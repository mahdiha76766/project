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قیمت" state="visible" r:id="rId4"/>
    <sheet sheetId="2" name="site_prices" state="visible" r:id="rId5"/>
    <sheet sheetId="3" name="داده خام" state="visible" r:id="rId6"/>
    <sheet sheetId="4" name="تلفن" state="visible" r:id="rId7"/>
    <sheet sheetId="5" name="کارتخوان" state="visible" r:id="rId8"/>
    <sheet sheetId="6" name="راهنما" state="visible" r:id="rId9"/>
    <sheet sheetId="7" name="تغییرات" state="visible" r:id="rId10"/>
  </sheets>
  <definedNames>
    <definedName name="_xlnm._FilterDatabase">'site_prices'!$A$1:$K$422</definedName>
  </definedNames>
  <calcPr calcId="171027"/>
</workbook>
</file>

<file path=xl/sharedStrings.xml><?xml version="1.0" encoding="utf-8"?>
<sst xmlns="http://schemas.openxmlformats.org/spreadsheetml/2006/main" count="7360" uniqueCount="2336">
  <si>
    <t>نام محصولات</t>
  </si>
  <si>
    <t>قیمت</t>
  </si>
  <si>
    <t>وزن</t>
  </si>
  <si>
    <t>قیمت عمده</t>
  </si>
  <si>
    <t>مقدار عمده</t>
  </si>
  <si>
    <t>123</t>
  </si>
  <si>
    <t>123123</t>
  </si>
  <si>
    <t>آب زرشک</t>
  </si>
  <si>
    <t>؟</t>
  </si>
  <si>
    <t>کیلو</t>
  </si>
  <si>
    <t>آبغوره</t>
  </si>
  <si>
    <t>نیم لیتر</t>
  </si>
  <si>
    <t>1لیتر</t>
  </si>
  <si>
    <t>ادویه آبگوشتی</t>
  </si>
  <si>
    <t>ادویه استیک</t>
  </si>
  <si>
    <t>ادویه الویه</t>
  </si>
  <si>
    <t>ادویه پلویی</t>
  </si>
  <si>
    <t>ادویه پنیر فرانسه</t>
  </si>
  <si>
    <t>ادویه پیاز و سبزیجات</t>
  </si>
  <si>
    <t>ادویه ترشی</t>
  </si>
  <si>
    <t>ادویه تند</t>
  </si>
  <si>
    <t>ادویه چدار</t>
  </si>
  <si>
    <t>ادویه دود</t>
  </si>
  <si>
    <t>ادویه سالاد ایتالیایی</t>
  </si>
  <si>
    <t>ادویه سس سزار</t>
  </si>
  <si>
    <t>ادویه سیب پنیری</t>
  </si>
  <si>
    <t>ادویه سیر و کره</t>
  </si>
  <si>
    <t>ادویه عربی</t>
  </si>
  <si>
    <t>ادویه فلافل</t>
  </si>
  <si>
    <t>ادویه قرمه سبزی</t>
  </si>
  <si>
    <t>ادویه کاچی</t>
  </si>
  <si>
    <t>ادویه کاری</t>
  </si>
  <si>
    <t>ادویه کره</t>
  </si>
  <si>
    <t>ادویه گرم</t>
  </si>
  <si>
    <t>ادویه لیمو فلفلی</t>
  </si>
  <si>
    <t>ادویه ماهی</t>
  </si>
  <si>
    <t>ادویه مرغ</t>
  </si>
  <si>
    <t>آرد برنج</t>
  </si>
  <si>
    <t>آرد سوخاری</t>
  </si>
  <si>
    <t>آرد نخودچی</t>
  </si>
  <si>
    <t>ارده</t>
  </si>
  <si>
    <t>اسپند پودر</t>
  </si>
  <si>
    <t>اسپند تخم</t>
  </si>
  <si>
    <t>اسپند نخودی</t>
  </si>
  <si>
    <t>استویا</t>
  </si>
  <si>
    <t>اسطوخودوس</t>
  </si>
  <si>
    <t>آسیاب ادویه</t>
  </si>
  <si>
    <t>کیلویی</t>
  </si>
  <si>
    <t>انبه پودر</t>
  </si>
  <si>
    <t>انجیر خشک</t>
  </si>
  <si>
    <t>آویشن شیرازی</t>
  </si>
  <si>
    <t>آویشن کوهی</t>
  </si>
  <si>
    <t>بابونه</t>
  </si>
  <si>
    <t>بادام زمینی</t>
  </si>
  <si>
    <t>بادام زمینی آستانه</t>
  </si>
  <si>
    <t>بادرنجبویه</t>
  </si>
  <si>
    <t>بادیان ستاره ای</t>
  </si>
  <si>
    <t>بارهنگ</t>
  </si>
  <si>
    <t>باقلا خشک</t>
  </si>
  <si>
    <t>بامیه پودر</t>
  </si>
  <si>
    <t>برگ بو</t>
  </si>
  <si>
    <t>بکینگ پودر</t>
  </si>
  <si>
    <t>بلوط</t>
  </si>
  <si>
    <t>به خشک</t>
  </si>
  <si>
    <t>پاپریکا</t>
  </si>
  <si>
    <t>پاکت</t>
  </si>
  <si>
    <t>پمادر درد (پماد ویکس)</t>
  </si>
  <si>
    <t>10 گرمی</t>
  </si>
  <si>
    <t>20 گرمی</t>
  </si>
  <si>
    <t>290</t>
  </si>
  <si>
    <t>پمادر درد (پماد ویکس) 55 گرمی</t>
  </si>
  <si>
    <t>پماد سرد</t>
  </si>
  <si>
    <t>30 گرمی</t>
  </si>
  <si>
    <t>پماد سیاه</t>
  </si>
  <si>
    <t>پماد گرم</t>
  </si>
  <si>
    <t>پماد لطیف</t>
  </si>
  <si>
    <t>پودر خربزه</t>
  </si>
  <si>
    <t>پودر سوخاری دانه درشت نارنجی</t>
  </si>
  <si>
    <t>پودر شربت</t>
  </si>
  <si>
    <t>پودر کشک گوسفندی</t>
  </si>
  <si>
    <t>پونه خشک</t>
  </si>
  <si>
    <t>پیاز پودر</t>
  </si>
  <si>
    <t>تخم ریحان</t>
  </si>
  <si>
    <t>تخم شربتی</t>
  </si>
  <si>
    <t>تخم کتان</t>
  </si>
  <si>
    <t>تخم مغز آفتابگردان</t>
  </si>
  <si>
    <t>تخم مغز کدو</t>
  </si>
  <si>
    <t>ترنجبین</t>
  </si>
  <si>
    <t>تمرهندی</t>
  </si>
  <si>
    <t>توت خشک</t>
  </si>
  <si>
    <t>تی بگ چربی سوز 15 گرمی</t>
  </si>
  <si>
    <t>بسته</t>
  </si>
  <si>
    <t>تی بگ خواب آور 7 گرمی</t>
  </si>
  <si>
    <t>تی بگ ناب سرا</t>
  </si>
  <si>
    <t>تی بگ ویتامین سی 7 گرمی</t>
  </si>
  <si>
    <t>ثعلب</t>
  </si>
  <si>
    <t>جدوار</t>
  </si>
  <si>
    <t>جوانه گندم</t>
  </si>
  <si>
    <t>پودر</t>
  </si>
  <si>
    <t>تازه</t>
  </si>
  <si>
    <t>جو دوسر پرک خارجی</t>
  </si>
  <si>
    <t>جوز هندی</t>
  </si>
  <si>
    <t>جوش شیرین</t>
  </si>
  <si>
    <t>جوش شیرین خوراکی</t>
  </si>
  <si>
    <t>جوهر لیمو</t>
  </si>
  <si>
    <t>چای انبه</t>
  </si>
  <si>
    <t>چای ترش ایرانی</t>
  </si>
  <si>
    <t>چای ترش خارجی</t>
  </si>
  <si>
    <t>چای توت فرنگی</t>
  </si>
  <si>
    <t>چای چوب</t>
  </si>
  <si>
    <t>چای سبز ایرانی</t>
  </si>
  <si>
    <t>چای کرک پسته زعفران</t>
  </si>
  <si>
    <t>چای کرک کارامل</t>
  </si>
  <si>
    <t>چای کرک لاته موزی</t>
  </si>
  <si>
    <t>چای کرک هل</t>
  </si>
  <si>
    <t>چای کوهی</t>
  </si>
  <si>
    <t>چای ماسالا</t>
  </si>
  <si>
    <t>چای مراکش</t>
  </si>
  <si>
    <t>چای میوه ای</t>
  </si>
  <si>
    <t>چوبک</t>
  </si>
  <si>
    <t>ریشه خشک</t>
  </si>
  <si>
    <t>چهار تخم</t>
  </si>
  <si>
    <t>چیاسید</t>
  </si>
  <si>
    <t>حلوا ارده پسته ای</t>
  </si>
  <si>
    <t>500 گرمی</t>
  </si>
  <si>
    <t>حلوا ارده ساده</t>
  </si>
  <si>
    <t>حلوا پشمکی</t>
  </si>
  <si>
    <t>حلوا روغنی</t>
  </si>
  <si>
    <t>حلوا طنابی</t>
  </si>
  <si>
    <t>حلوا کشی</t>
  </si>
  <si>
    <t>حنا</t>
  </si>
  <si>
    <t>حنا بی رنگ</t>
  </si>
  <si>
    <t>250 گرمی</t>
  </si>
  <si>
    <t>خاکشیر همدان</t>
  </si>
  <si>
    <t>خردل</t>
  </si>
  <si>
    <t>خرفه</t>
  </si>
  <si>
    <t>خمیر مایه فریمان</t>
  </si>
  <si>
    <t>دارچین سیگاری</t>
  </si>
  <si>
    <t>دارچین سیلان</t>
  </si>
  <si>
    <t>دارچین گل سرخی</t>
  </si>
  <si>
    <t>دمنوش 10 گیاه</t>
  </si>
  <si>
    <t>دمنوش آویشن</t>
  </si>
  <si>
    <t>ذرت مکزیکی</t>
  </si>
  <si>
    <t>رازیانه</t>
  </si>
  <si>
    <t>رب انار</t>
  </si>
  <si>
    <t>رزماری</t>
  </si>
  <si>
    <t>برگ</t>
  </si>
  <si>
    <t>روغن ارده</t>
  </si>
  <si>
    <t>روغن آرگان درجه 1</t>
  </si>
  <si>
    <t>30میل</t>
  </si>
  <si>
    <t>60میل</t>
  </si>
  <si>
    <t>روغن آرگان درجه 2</t>
  </si>
  <si>
    <t>روغن آرگان مراکش درجه 1</t>
  </si>
  <si>
    <t>روغن آرگان مراکش درجه 2</t>
  </si>
  <si>
    <t>روغن اسطوخودوس</t>
  </si>
  <si>
    <t>روغن آفتابگردان</t>
  </si>
  <si>
    <t>روغن اکالیپتوس</t>
  </si>
  <si>
    <t>روغن الاغ</t>
  </si>
  <si>
    <t>روغن آمله</t>
  </si>
  <si>
    <t>روغن انار</t>
  </si>
  <si>
    <t>روغن آووکادو</t>
  </si>
  <si>
    <t>روغن بابونه</t>
  </si>
  <si>
    <t>روغن بادام تلخ</t>
  </si>
  <si>
    <t>روغن تقویت مو (ناب سرا)</t>
  </si>
  <si>
    <t>روغن بادام شیرین</t>
  </si>
  <si>
    <t>روغن بنفشه</t>
  </si>
  <si>
    <t>روغن پونه</t>
  </si>
  <si>
    <t>روغن ترخون</t>
  </si>
  <si>
    <t>روغن تقویت مو (نابسرا)</t>
  </si>
  <si>
    <t>روغن جوانه گندم</t>
  </si>
  <si>
    <t>روغن جوجوبا</t>
  </si>
  <si>
    <t>روغن حنظل</t>
  </si>
  <si>
    <t>روغن خارمریم</t>
  </si>
  <si>
    <t>روغن خراطین</t>
  </si>
  <si>
    <t>روغن خشخاش</t>
  </si>
  <si>
    <t>روغن درخت چای</t>
  </si>
  <si>
    <t>روغن درمنه</t>
  </si>
  <si>
    <t>روغن رازیانه</t>
  </si>
  <si>
    <t>روغن رزماری</t>
  </si>
  <si>
    <t>روغن زردچوبه</t>
  </si>
  <si>
    <t>روغن زنجبیل</t>
  </si>
  <si>
    <t>روغن زنیان</t>
  </si>
  <si>
    <t>روغن زیتون</t>
  </si>
  <si>
    <t>روغن زیتون موضعی</t>
  </si>
  <si>
    <t>روغن سقز</t>
  </si>
  <si>
    <t>روغن سیاهدانه</t>
  </si>
  <si>
    <t>روغن سیاهدانه هندی</t>
  </si>
  <si>
    <t>روغن سیر</t>
  </si>
  <si>
    <t>روغن شترمرغ</t>
  </si>
  <si>
    <t>روغن شوید</t>
  </si>
  <si>
    <t>روغن شی باتر</t>
  </si>
  <si>
    <t>90 گرم</t>
  </si>
  <si>
    <t>روغن ضد التهاب</t>
  </si>
  <si>
    <t>روغن ضد درد</t>
  </si>
  <si>
    <t>روغن فندق</t>
  </si>
  <si>
    <t>روغن کدو</t>
  </si>
  <si>
    <t>روغن کرچک</t>
  </si>
  <si>
    <t>روغن کلزا</t>
  </si>
  <si>
    <t>روغن کنجد</t>
  </si>
  <si>
    <t>روغن کنجد #</t>
  </si>
  <si>
    <t>روغن کنجد موضعی</t>
  </si>
  <si>
    <t>روغن کندر</t>
  </si>
  <si>
    <t>روغن کندش</t>
  </si>
  <si>
    <t>روغن کوسه</t>
  </si>
  <si>
    <t>روغن کوهان شتر</t>
  </si>
  <si>
    <t>روغن گردو</t>
  </si>
  <si>
    <t>روغن گل سرخ</t>
  </si>
  <si>
    <t>روغن گلیسیرین</t>
  </si>
  <si>
    <t>روغن لیمو</t>
  </si>
  <si>
    <t>روغن ماکادمیا</t>
  </si>
  <si>
    <t>روغن مورد</t>
  </si>
  <si>
    <t>روغن مورینگا</t>
  </si>
  <si>
    <t>روغن میخک</t>
  </si>
  <si>
    <t>روغن نارگیل</t>
  </si>
  <si>
    <t>روغن هسته انگور</t>
  </si>
  <si>
    <t>روغن هسته نارنج</t>
  </si>
  <si>
    <t>30 میل</t>
  </si>
  <si>
    <t>روغنیی</t>
  </si>
  <si>
    <t>1 کیلویی</t>
  </si>
  <si>
    <t>روغنیییی</t>
  </si>
  <si>
    <t>روغنیییی 3</t>
  </si>
  <si>
    <t>2 کیلویی</t>
  </si>
  <si>
    <t>4 کیلویی</t>
  </si>
  <si>
    <t>زاج</t>
  </si>
  <si>
    <t>زردچوبه چارمنار</t>
  </si>
  <si>
    <t>زردچوبه زرین</t>
  </si>
  <si>
    <t>زرشک پفکی</t>
  </si>
  <si>
    <t>زرشک ناپاک</t>
  </si>
  <si>
    <t>زعفران</t>
  </si>
  <si>
    <t>زنجبیل چینی</t>
  </si>
  <si>
    <t>زنیان</t>
  </si>
  <si>
    <t>زیره سبز</t>
  </si>
  <si>
    <t>زیره سیاه</t>
  </si>
  <si>
    <t>ژلاتین</t>
  </si>
  <si>
    <t>سدر</t>
  </si>
  <si>
    <t>سرکه انگور</t>
  </si>
  <si>
    <t>نیم کیلو</t>
  </si>
  <si>
    <t>1کیلو</t>
  </si>
  <si>
    <t>سرکه سیب</t>
  </si>
  <si>
    <t>سرمه</t>
  </si>
  <si>
    <t>سفیده تخم مرغ</t>
  </si>
  <si>
    <t>سماق قرمز پودر</t>
  </si>
  <si>
    <t>سماق قرمزگل</t>
  </si>
  <si>
    <t>سماق قهوه ای پودر</t>
  </si>
  <si>
    <t>سماق ناساب</t>
  </si>
  <si>
    <t>سمنو</t>
  </si>
  <si>
    <t>سنبل الطیب</t>
  </si>
  <si>
    <t>سنجد</t>
  </si>
  <si>
    <t>سنجد پودر</t>
  </si>
  <si>
    <t>سویق ترکیبی</t>
  </si>
  <si>
    <t>سویق جوانه جو</t>
  </si>
  <si>
    <t>سویق جوانه عدس</t>
  </si>
  <si>
    <t>سویق جوانه گندم</t>
  </si>
  <si>
    <t>سویق جوانه ماش</t>
  </si>
  <si>
    <t>سیاهدانه</t>
  </si>
  <si>
    <t>سیر سیاه</t>
  </si>
  <si>
    <t>سیر همدان</t>
  </si>
  <si>
    <t>سیر هندی</t>
  </si>
  <si>
    <t>شربت آلبالو</t>
  </si>
  <si>
    <t>شربت سرکه انگبین</t>
  </si>
  <si>
    <t>شربت سکنجبین</t>
  </si>
  <si>
    <t>شکر سفید</t>
  </si>
  <si>
    <t>شکر قهوه ای</t>
  </si>
  <si>
    <t>شکلات تخته ای وانیلی</t>
  </si>
  <si>
    <t>شکلات چیپسی تلخ</t>
  </si>
  <si>
    <t>شکلات نسوز کوکی</t>
  </si>
  <si>
    <t>شلغم پودر</t>
  </si>
  <si>
    <t>شنبلیله</t>
  </si>
  <si>
    <t>شنبلیله تخم</t>
  </si>
  <si>
    <t>شوید خشک</t>
  </si>
  <si>
    <t>شیرخشک قنادی</t>
  </si>
  <si>
    <t>شیره 3 شیره</t>
  </si>
  <si>
    <t>500 گرم</t>
  </si>
  <si>
    <t>شیره 4 شیره</t>
  </si>
  <si>
    <t>شیره انجیر</t>
  </si>
  <si>
    <t>شیره انگور</t>
  </si>
  <si>
    <t>شیره توت</t>
  </si>
  <si>
    <t>شیره خرما</t>
  </si>
  <si>
    <t>شیره سفید</t>
  </si>
  <si>
    <t>1 کیلو</t>
  </si>
  <si>
    <t>شیره سیب</t>
  </si>
  <si>
    <t>شیره شیرین بیان</t>
  </si>
  <si>
    <t>شیرین بیان چوب</t>
  </si>
  <si>
    <t>صابون 7 گیاه</t>
  </si>
  <si>
    <t>صابون آرگان</t>
  </si>
  <si>
    <t>صابون آلبالو</t>
  </si>
  <si>
    <t>صابون انار</t>
  </si>
  <si>
    <t>صابون انگور</t>
  </si>
  <si>
    <t>صابون تریاک</t>
  </si>
  <si>
    <t>صابون درخت چای</t>
  </si>
  <si>
    <t>صابون ذغال اکتیو</t>
  </si>
  <si>
    <t>صابون زردآلو</t>
  </si>
  <si>
    <t>صابون زردچوبه</t>
  </si>
  <si>
    <t>صابون زیتون</t>
  </si>
  <si>
    <t>صابون سفیداب</t>
  </si>
  <si>
    <t>صابون سیاهدانه</t>
  </si>
  <si>
    <t>صابون شیرالاغ</t>
  </si>
  <si>
    <t>صابون فندق</t>
  </si>
  <si>
    <t>صابون ماکادمیا</t>
  </si>
  <si>
    <t>صمغ</t>
  </si>
  <si>
    <t>ظرف 300 گرمی</t>
  </si>
  <si>
    <t>ظرف اسپری</t>
  </si>
  <si>
    <t>سبز</t>
  </si>
  <si>
    <t>بزرگ</t>
  </si>
  <si>
    <t>ظرف بطری پلاستیکی</t>
  </si>
  <si>
    <t>1 لیتر</t>
  </si>
  <si>
    <t>ظرف بطری شیشه ای</t>
  </si>
  <si>
    <t>ظرف جار</t>
  </si>
  <si>
    <t>جار 25</t>
  </si>
  <si>
    <t>جار 50</t>
  </si>
  <si>
    <t>ظرف جار سایز 2</t>
  </si>
  <si>
    <t>کوچک</t>
  </si>
  <si>
    <t>متوسط</t>
  </si>
  <si>
    <t>ظرف روغن موضعی</t>
  </si>
  <si>
    <t>60 میل</t>
  </si>
  <si>
    <t>ظرف سطلی یک کیلویی</t>
  </si>
  <si>
    <t>ظرف کتابی</t>
  </si>
  <si>
    <t>400 گرمی</t>
  </si>
  <si>
    <t>ظرف کوزه ای</t>
  </si>
  <si>
    <t>عرق استنشاقی</t>
  </si>
  <si>
    <t>عرق اسطوخودوس</t>
  </si>
  <si>
    <t>عرق اکالیپتوس</t>
  </si>
  <si>
    <t>عرق آویشن</t>
  </si>
  <si>
    <t>عرق بابونه</t>
  </si>
  <si>
    <t>عرق بولاغ اوتی</t>
  </si>
  <si>
    <t>عرق بهار نارنج</t>
  </si>
  <si>
    <t>عرق بیدمشک</t>
  </si>
  <si>
    <t>عرق پونه</t>
  </si>
  <si>
    <t>عرق چهل گیاه</t>
  </si>
  <si>
    <t>عرق خارشتر</t>
  </si>
  <si>
    <t>عرق دارچین</t>
  </si>
  <si>
    <t>عرق درمنه</t>
  </si>
  <si>
    <t>عرق رازیانه</t>
  </si>
  <si>
    <t>عرق رزماری</t>
  </si>
  <si>
    <t>عرق رزماری اسپری</t>
  </si>
  <si>
    <t>300 میل</t>
  </si>
  <si>
    <t>عرق زنجبیل</t>
  </si>
  <si>
    <t>عرق زنیان</t>
  </si>
  <si>
    <t>عرق زیره سبز</t>
  </si>
  <si>
    <t>عرق شاتره</t>
  </si>
  <si>
    <t>عرق شنبلیله</t>
  </si>
  <si>
    <t>عرق شوید</t>
  </si>
  <si>
    <t>عرق کاسنی</t>
  </si>
  <si>
    <t>عرق کاکوتی</t>
  </si>
  <si>
    <t>عرق گزنه</t>
  </si>
  <si>
    <t>عرق گلاب ساده</t>
  </si>
  <si>
    <t>عرق گلاب سنگین</t>
  </si>
  <si>
    <t>عرق گلاب ویژه</t>
  </si>
  <si>
    <t>عرق گل گاوزبان</t>
  </si>
  <si>
    <t>عرق محرک پیاز مو</t>
  </si>
  <si>
    <t>عرق معجون سنگ کلیه</t>
  </si>
  <si>
    <t>عرق نعناع سنگین</t>
  </si>
  <si>
    <t>عرق نعناع فلفلی</t>
  </si>
  <si>
    <t>عرق هل سنگین</t>
  </si>
  <si>
    <t>عرق یونجه</t>
  </si>
  <si>
    <t>عسل بهار نارنج</t>
  </si>
  <si>
    <t>بدون موم</t>
  </si>
  <si>
    <t>با موم</t>
  </si>
  <si>
    <t>عسل جنگلی</t>
  </si>
  <si>
    <t>عسل چند گیاه</t>
  </si>
  <si>
    <t>عسل سیاهدانه</t>
  </si>
  <si>
    <t>عسل کنار</t>
  </si>
  <si>
    <t>عسل یونجه</t>
  </si>
  <si>
    <t>عناب</t>
  </si>
  <si>
    <t>بسته زرگل</t>
  </si>
  <si>
    <t>بسته طلا</t>
  </si>
  <si>
    <t>عناب خشک</t>
  </si>
  <si>
    <t>عود</t>
  </si>
  <si>
    <t>شاخه ای</t>
  </si>
  <si>
    <t>غوره پودر</t>
  </si>
  <si>
    <t>فلفل ترکی</t>
  </si>
  <si>
    <t>فلفل سیاه</t>
  </si>
  <si>
    <t>فلفل قرمز ایرانی</t>
  </si>
  <si>
    <t>فلفل قرمز هندی تند</t>
  </si>
  <si>
    <t>فلفل قرمز هندی (رنگ)</t>
  </si>
  <si>
    <t>قرص کمر</t>
  </si>
  <si>
    <t>قره قروت</t>
  </si>
  <si>
    <t>قهوه اسپرسو</t>
  </si>
  <si>
    <t>بسته ای</t>
  </si>
  <si>
    <t>قهوه ترک</t>
  </si>
  <si>
    <t>قهوه فوری</t>
  </si>
  <si>
    <t>کاکائو</t>
  </si>
  <si>
    <t>کپسول خالی</t>
  </si>
  <si>
    <t>25 عددی</t>
  </si>
  <si>
    <t>کرم ارده</t>
  </si>
  <si>
    <t>کرم بادام زمینی</t>
  </si>
  <si>
    <t>کرم کنجد</t>
  </si>
  <si>
    <t>200گرم</t>
  </si>
  <si>
    <t>کره بادام درختی</t>
  </si>
  <si>
    <t>215 گرم ظ</t>
  </si>
  <si>
    <t>کره بادام زمینی</t>
  </si>
  <si>
    <t>کره بادام زمینی عسلی</t>
  </si>
  <si>
    <t>کره بادام هندی</t>
  </si>
  <si>
    <t>کره پسته</t>
  </si>
  <si>
    <t>180 گرم</t>
  </si>
  <si>
    <t>کره پنج مغز</t>
  </si>
  <si>
    <t>195 گرم</t>
  </si>
  <si>
    <t>کره فندق</t>
  </si>
  <si>
    <t>کره کدو</t>
  </si>
  <si>
    <t>کره نارگیل</t>
  </si>
  <si>
    <t>255 گرم</t>
  </si>
  <si>
    <t>کشمش با هسته (مویز)</t>
  </si>
  <si>
    <t>کشمش سبز</t>
  </si>
  <si>
    <t>کلوچه زنجبیلی با شکر قهوه ای</t>
  </si>
  <si>
    <t>کلوچه زنجبیلی با مغز خرما</t>
  </si>
  <si>
    <t>کلوچه کلمپه</t>
  </si>
  <si>
    <t>عددی</t>
  </si>
  <si>
    <t>کنجد خام ایرانی</t>
  </si>
  <si>
    <t>کنجد دزفول</t>
  </si>
  <si>
    <t>کنجد سفید</t>
  </si>
  <si>
    <t>کنجد قهوه ای</t>
  </si>
  <si>
    <t>کنجد لار ارده</t>
  </si>
  <si>
    <t>کندر خوراکی</t>
  </si>
  <si>
    <t>کینوا سفید</t>
  </si>
  <si>
    <t>گرده گل</t>
  </si>
  <si>
    <t>گشنیز</t>
  </si>
  <si>
    <t>گلپر</t>
  </si>
  <si>
    <t>گل ختمی</t>
  </si>
  <si>
    <t>گلرنگ</t>
  </si>
  <si>
    <t>گل سرخ پرک</t>
  </si>
  <si>
    <t>گل سرخ غنچه</t>
  </si>
  <si>
    <t>گل گاوزبان</t>
  </si>
  <si>
    <t>گندم</t>
  </si>
  <si>
    <t>گوجه پودر</t>
  </si>
  <si>
    <t>لبو</t>
  </si>
  <si>
    <t>لواشک</t>
  </si>
  <si>
    <t>لیمو اسلایس</t>
  </si>
  <si>
    <t>لیمو ببری</t>
  </si>
  <si>
    <t>محصول 4</t>
  </si>
  <si>
    <t>محصول شماره 5</t>
  </si>
  <si>
    <t>مرزه</t>
  </si>
  <si>
    <t>مصفی خون</t>
  </si>
  <si>
    <t>موسیر</t>
  </si>
  <si>
    <t>میخک</t>
  </si>
  <si>
    <t>نارگیل سریلانکا چرب</t>
  </si>
  <si>
    <t>نبات طعم دار</t>
  </si>
  <si>
    <t>نشاسته ذرت</t>
  </si>
  <si>
    <t>نوتلا ناب سرا</t>
  </si>
  <si>
    <t>بسته بندی</t>
  </si>
  <si>
    <t>نعناع خشک</t>
  </si>
  <si>
    <t>نمک ارومیه</t>
  </si>
  <si>
    <t>نمک جهرم دل نمک</t>
  </si>
  <si>
    <t>نمک دریا</t>
  </si>
  <si>
    <t>نمک صورتی</t>
  </si>
  <si>
    <t>نمک صورتی سنگ</t>
  </si>
  <si>
    <t>نمک صورتی نخودی (سنگ)</t>
  </si>
  <si>
    <t>نمک نارنجی</t>
  </si>
  <si>
    <t>نمک نخودی (سنگ)</t>
  </si>
  <si>
    <t>نوتلا</t>
  </si>
  <si>
    <t>نوتلا نابسرا</t>
  </si>
  <si>
    <t>نوره</t>
  </si>
  <si>
    <t>وانیل خالص</t>
  </si>
  <si>
    <t>قوطی</t>
  </si>
  <si>
    <t>وانیل خرسی شکری</t>
  </si>
  <si>
    <t>هل باد</t>
  </si>
  <si>
    <t>هل پودر</t>
  </si>
  <si>
    <t>هل پیور اسپایس</t>
  </si>
  <si>
    <t>هلیله سیاه</t>
  </si>
  <si>
    <t>product_id</t>
  </si>
  <si>
    <t>نام محصول</t>
  </si>
  <si>
    <t>slug</t>
  </si>
  <si>
    <t>دسته‌بندی</t>
  </si>
  <si>
    <t>نوع/وزن</t>
  </si>
  <si>
    <t>واحد</t>
  </si>
  <si>
    <t>قیمت خام</t>
  </si>
  <si>
    <t>price_toman</t>
  </si>
  <si>
    <t>درصد</t>
  </si>
  <si>
    <t>قیمت سایت</t>
  </si>
  <si>
    <t>قیمت سایت جداگانه</t>
  </si>
  <si>
    <t>وضعیت</t>
  </si>
  <si>
    <t>source_row</t>
  </si>
  <si>
    <t>site_key</t>
  </si>
  <si>
    <t>price_lookup_key</t>
  </si>
  <si>
    <t>جستجوی سریع برای خواندن سایت</t>
  </si>
  <si>
    <t>NS-0034-1</t>
  </si>
  <si>
    <t>rice_flour</t>
  </si>
  <si>
    <t>آرد و قنادی</t>
  </si>
  <si>
    <t>بله</t>
  </si>
  <si>
    <t>29-1</t>
  </si>
  <si>
    <t>جستجو:</t>
  </si>
  <si>
    <t>NS-0035-1</t>
  </si>
  <si>
    <t>breadcrumbs</t>
  </si>
  <si>
    <t>30-1</t>
  </si>
  <si>
    <t>NS-0036-1</t>
  </si>
  <si>
    <t>chickpea_flour</t>
  </si>
  <si>
    <t>31-1</t>
  </si>
  <si>
    <t>NS-0049-1</t>
  </si>
  <si>
    <t>baking_powder</t>
  </si>
  <si>
    <t>52-1</t>
  </si>
  <si>
    <t>NS-0371-1</t>
  </si>
  <si>
    <t>corn_starch</t>
  </si>
  <si>
    <t>387-1</t>
  </si>
  <si>
    <t>NS-0372-1</t>
  </si>
  <si>
    <t>نشاسته گندم گل</t>
  </si>
  <si>
    <t>wheat_starch</t>
  </si>
  <si>
    <t>388-1</t>
  </si>
  <si>
    <t>NS-0201-1</t>
  </si>
  <si>
    <t>gelatin</t>
  </si>
  <si>
    <t>211-1</t>
  </si>
  <si>
    <t>NS-0003-1</t>
  </si>
  <si>
    <t>spice_abgoosht</t>
  </si>
  <si>
    <t>ادویه و چاشنی</t>
  </si>
  <si>
    <t>5-1</t>
  </si>
  <si>
    <t>NS-0001-1</t>
  </si>
  <si>
    <t>spice_steak</t>
  </si>
  <si>
    <t>6-1</t>
  </si>
  <si>
    <t>NS-0002-1</t>
  </si>
  <si>
    <t>spice_olivieh</t>
  </si>
  <si>
    <t>7-1</t>
  </si>
  <si>
    <t>NS-0007-1</t>
  </si>
  <si>
    <t>spice_pickle</t>
  </si>
  <si>
    <t>11-1</t>
  </si>
  <si>
    <t>NS-0008-1</t>
  </si>
  <si>
    <t>spice_hot</t>
  </si>
  <si>
    <t>12-1</t>
  </si>
  <si>
    <t>NS-0010-1</t>
  </si>
  <si>
    <t>spice_smoked</t>
  </si>
  <si>
    <t>14-1</t>
  </si>
  <si>
    <t>NS-0011-1</t>
  </si>
  <si>
    <t>spice_salad_italian</t>
  </si>
  <si>
    <t>15-1</t>
  </si>
  <si>
    <t>NS-0012-1</t>
  </si>
  <si>
    <t>spice_sauce_caesar</t>
  </si>
  <si>
    <t>16-1</t>
  </si>
  <si>
    <t>NS-0013-1</t>
  </si>
  <si>
    <t>spice_apple_cheese</t>
  </si>
  <si>
    <t>17-1</t>
  </si>
  <si>
    <t>NS-0014-1</t>
  </si>
  <si>
    <t>spice_garlic_v_butter</t>
  </si>
  <si>
    <t>18-1</t>
  </si>
  <si>
    <t>NS-0015-1</t>
  </si>
  <si>
    <t>spice_arabic</t>
  </si>
  <si>
    <t>19-1</t>
  </si>
  <si>
    <t>NS-0016-1</t>
  </si>
  <si>
    <t>spice_falafel</t>
  </si>
  <si>
    <t>20-1</t>
  </si>
  <si>
    <t>NS-0017-1</t>
  </si>
  <si>
    <t>spice_ghormeh_sabzi</t>
  </si>
  <si>
    <t>21-1</t>
  </si>
  <si>
    <t>NS-0021-1</t>
  </si>
  <si>
    <t>spice_lemon_peppermint</t>
  </si>
  <si>
    <t>26-1</t>
  </si>
  <si>
    <t>NS-0022-1</t>
  </si>
  <si>
    <t>spice_fish</t>
  </si>
  <si>
    <t>27-1</t>
  </si>
  <si>
    <t>NS-0023-1</t>
  </si>
  <si>
    <t>spice_chicken</t>
  </si>
  <si>
    <t>28-1</t>
  </si>
  <si>
    <t>NS-0004-1</t>
  </si>
  <si>
    <t>spice_polo</t>
  </si>
  <si>
    <t>8-1</t>
  </si>
  <si>
    <t>NS-0005-1</t>
  </si>
  <si>
    <t>spice_cheese_french</t>
  </si>
  <si>
    <t>9-1</t>
  </si>
  <si>
    <t>NS-0006-1</t>
  </si>
  <si>
    <t>spice_onion_v_vegetables</t>
  </si>
  <si>
    <t>10-1</t>
  </si>
  <si>
    <t>NS-0009-1</t>
  </si>
  <si>
    <t>spice_cheddar</t>
  </si>
  <si>
    <t>13-1</t>
  </si>
  <si>
    <t>NS-0019-1</t>
  </si>
  <si>
    <t>spice_curry</t>
  </si>
  <si>
    <t>23-1</t>
  </si>
  <si>
    <t>NS-0018-1</t>
  </si>
  <si>
    <t>spice_kachi</t>
  </si>
  <si>
    <t>22-1</t>
  </si>
  <si>
    <t>NS-0020-1</t>
  </si>
  <si>
    <t>spice_butter</t>
  </si>
  <si>
    <t>24-1</t>
  </si>
  <si>
    <t>NS-0112-1</t>
  </si>
  <si>
    <t>cinnamon_ceylon</t>
  </si>
  <si>
    <t>119-1</t>
  </si>
  <si>
    <t>NS-0111-1</t>
  </si>
  <si>
    <t>cinnamon_cigar</t>
  </si>
  <si>
    <t>118-1</t>
  </si>
  <si>
    <t>NS-0113-1</t>
  </si>
  <si>
    <t>cinnamon_flower_red</t>
  </si>
  <si>
    <t>120-1</t>
  </si>
  <si>
    <t>NS-0117-1</t>
  </si>
  <si>
    <t>fennel</t>
  </si>
  <si>
    <t>124-1</t>
  </si>
  <si>
    <t>NS-0193-1</t>
  </si>
  <si>
    <t>turmeric_zarrin</t>
  </si>
  <si>
    <t>203-1</t>
  </si>
  <si>
    <t>NS-0192-1</t>
  </si>
  <si>
    <t>turmeric_chahar_menar</t>
  </si>
  <si>
    <t>202-1</t>
  </si>
  <si>
    <t>NS-0196-1</t>
  </si>
  <si>
    <t>saffron</t>
  </si>
  <si>
    <t>206-1</t>
  </si>
  <si>
    <t>NS-0197-1</t>
  </si>
  <si>
    <t>ginger_chinese</t>
  </si>
  <si>
    <t>207-1</t>
  </si>
  <si>
    <t>NS-0199-1</t>
  </si>
  <si>
    <t>cumin_green</t>
  </si>
  <si>
    <t>209-1</t>
  </si>
  <si>
    <t>NS-0200-1</t>
  </si>
  <si>
    <t>cumin_black</t>
  </si>
  <si>
    <t>210-1</t>
  </si>
  <si>
    <t>NS-0206-1</t>
  </si>
  <si>
    <t>egg_white</t>
  </si>
  <si>
    <t>216-1</t>
  </si>
  <si>
    <t>NS-0207-1</t>
  </si>
  <si>
    <t>red_sumac_powder</t>
  </si>
  <si>
    <t>217-1</t>
  </si>
  <si>
    <t>NS-0208-1</t>
  </si>
  <si>
    <t>brown_sumac_powder</t>
  </si>
  <si>
    <t>219-1</t>
  </si>
  <si>
    <t>NS-0209-1</t>
  </si>
  <si>
    <t>whole_sumac</t>
  </si>
  <si>
    <t>220-1</t>
  </si>
  <si>
    <t>NS-0220-1</t>
  </si>
  <si>
    <t>black_garlic</t>
  </si>
  <si>
    <t>231-1</t>
  </si>
  <si>
    <t>NS-0221-1</t>
  </si>
  <si>
    <t>garlic_hamedan</t>
  </si>
  <si>
    <t>232-1</t>
  </si>
  <si>
    <t>NS-0222-1</t>
  </si>
  <si>
    <t>garlic_cashew</t>
  </si>
  <si>
    <t>233-1</t>
  </si>
  <si>
    <t>NS-0255-1</t>
  </si>
  <si>
    <t>soap_turmeric</t>
  </si>
  <si>
    <t>266-1</t>
  </si>
  <si>
    <t>NS-0316-1</t>
  </si>
  <si>
    <t>flfl_turkish</t>
  </si>
  <si>
    <t>329-1</t>
  </si>
  <si>
    <t>NS-0317-1</t>
  </si>
  <si>
    <t>black_pepper</t>
  </si>
  <si>
    <t>330-1</t>
  </si>
  <si>
    <t>NS-0318-1</t>
  </si>
  <si>
    <t>iranian_red_pepper</t>
  </si>
  <si>
    <t>331-1</t>
  </si>
  <si>
    <t>NS-0319-1</t>
  </si>
  <si>
    <t>indian_red_pepper</t>
  </si>
  <si>
    <t>333-1</t>
  </si>
  <si>
    <t>NS-0320-1</t>
  </si>
  <si>
    <t>hot_indian_red_pepper</t>
  </si>
  <si>
    <t>332-1</t>
  </si>
  <si>
    <t>NS-0368-1</t>
  </si>
  <si>
    <t>mvsyr</t>
  </si>
  <si>
    <t>383-1</t>
  </si>
  <si>
    <t>NS-0369-1</t>
  </si>
  <si>
    <t>clove</t>
  </si>
  <si>
    <t>384-1</t>
  </si>
  <si>
    <t>NS-0374-1</t>
  </si>
  <si>
    <t>urmia_salt</t>
  </si>
  <si>
    <t>390-1</t>
  </si>
  <si>
    <t>NS-0375-1</t>
  </si>
  <si>
    <t>salt_jhrm_dl_salt</t>
  </si>
  <si>
    <t>391-1</t>
  </si>
  <si>
    <t>NS-0376-1</t>
  </si>
  <si>
    <t>sea_salt</t>
  </si>
  <si>
    <t>392-1</t>
  </si>
  <si>
    <t>NS-0377-1</t>
  </si>
  <si>
    <t>pink_salt</t>
  </si>
  <si>
    <t>393-1</t>
  </si>
  <si>
    <t>NS-0378-1</t>
  </si>
  <si>
    <t>pink_rock_salt</t>
  </si>
  <si>
    <t>394-1</t>
  </si>
  <si>
    <t>NS-0379-1</t>
  </si>
  <si>
    <t>salt_orange</t>
  </si>
  <si>
    <t>396-1</t>
  </si>
  <si>
    <t>NS-0384-1</t>
  </si>
  <si>
    <t>cardamom_pods</t>
  </si>
  <si>
    <t>403-1</t>
  </si>
  <si>
    <t>NS-0385-1</t>
  </si>
  <si>
    <t>cardamom_powder</t>
  </si>
  <si>
    <t>404-1</t>
  </si>
  <si>
    <t>NS-0386-1</t>
  </si>
  <si>
    <t>cardamom_pure_spice</t>
  </si>
  <si>
    <t>405-1</t>
  </si>
  <si>
    <t>NS-0387-1</t>
  </si>
  <si>
    <t>chebulic_myrobalan_black</t>
  </si>
  <si>
    <t>406-1</t>
  </si>
  <si>
    <t>NS-0052-1</t>
  </si>
  <si>
    <t>paprika</t>
  </si>
  <si>
    <t>55-1</t>
  </si>
  <si>
    <t>NS-0065-1</t>
  </si>
  <si>
    <t>onion_powder</t>
  </si>
  <si>
    <t>68-1</t>
  </si>
  <si>
    <t>NS-0358-1</t>
  </si>
  <si>
    <t>golpar</t>
  </si>
  <si>
    <t>367-1</t>
  </si>
  <si>
    <t>NS-0027-1</t>
  </si>
  <si>
    <t>espand_chickpea</t>
  </si>
  <si>
    <t>حبوبات و غلات</t>
  </si>
  <si>
    <t>35-1</t>
  </si>
  <si>
    <t>NS-0046-1</t>
  </si>
  <si>
    <t>fava_bean_dried</t>
  </si>
  <si>
    <t>49-1</t>
  </si>
  <si>
    <t>NS-0078-1</t>
  </si>
  <si>
    <t>imported_rolled_oats</t>
  </si>
  <si>
    <t>84-1</t>
  </si>
  <si>
    <t>NS-0079-1</t>
  </si>
  <si>
    <t>wheat_germ_powder</t>
  </si>
  <si>
    <t>83-1</t>
  </si>
  <si>
    <t>NS-0079-2</t>
  </si>
  <si>
    <t>wheat_germ_fresh</t>
  </si>
  <si>
    <t>83-2</t>
  </si>
  <si>
    <t>NS-0080-1</t>
  </si>
  <si>
    <t>nutmeg_cashew</t>
  </si>
  <si>
    <t>85-1</t>
  </si>
  <si>
    <t>NS-0081-1</t>
  </si>
  <si>
    <t>baking_soda</t>
  </si>
  <si>
    <t>86-1</t>
  </si>
  <si>
    <t>NS-0082-1</t>
  </si>
  <si>
    <t>citric_acid</t>
  </si>
  <si>
    <t>88-1</t>
  </si>
  <si>
    <t>NS-0116-1</t>
  </si>
  <si>
    <t>mexican_corn</t>
  </si>
  <si>
    <t>123-1</t>
  </si>
  <si>
    <t>NS-0215-1</t>
  </si>
  <si>
    <t>saviq_sprout_barley</t>
  </si>
  <si>
    <t>226-1</t>
  </si>
  <si>
    <t>NS-0216-1</t>
  </si>
  <si>
    <t>saviq_sprout_lentil</t>
  </si>
  <si>
    <t>227-1</t>
  </si>
  <si>
    <t>NS-0218-1</t>
  </si>
  <si>
    <t>saviq_sprout_mung</t>
  </si>
  <si>
    <t>229-1</t>
  </si>
  <si>
    <t>NS-0217-1</t>
  </si>
  <si>
    <t>saviq_sprout_wheat</t>
  </si>
  <si>
    <t>228-1</t>
  </si>
  <si>
    <t>NS-0380-1</t>
  </si>
  <si>
    <t>salt_chickpea</t>
  </si>
  <si>
    <t>397-1</t>
  </si>
  <si>
    <t>NS-0351-1</t>
  </si>
  <si>
    <t>white_quinoa</t>
  </si>
  <si>
    <t>364-1</t>
  </si>
  <si>
    <t>NS-0360-1</t>
  </si>
  <si>
    <t>wheat</t>
  </si>
  <si>
    <t>373-1</t>
  </si>
  <si>
    <t>NS-0031-1</t>
  </si>
  <si>
    <t>dried_fig</t>
  </si>
  <si>
    <t>خشکبار و آجیل</t>
  </si>
  <si>
    <t>40-1</t>
  </si>
  <si>
    <t>NS-0041-1</t>
  </si>
  <si>
    <t>peanut</t>
  </si>
  <si>
    <t>44-1</t>
  </si>
  <si>
    <t>NS-0042-1</t>
  </si>
  <si>
    <t>almond_peanut_astaneh</t>
  </si>
  <si>
    <t>45-1</t>
  </si>
  <si>
    <t>NS-0072-1</t>
  </si>
  <si>
    <t>dried_mulberry</t>
  </si>
  <si>
    <t>76-1</t>
  </si>
  <si>
    <t>NS-0195-1</t>
  </si>
  <si>
    <t>uncleaned_barberry</t>
  </si>
  <si>
    <t>205-1</t>
  </si>
  <si>
    <t>NS-0194-1</t>
  </si>
  <si>
    <t>puffed_barberry</t>
  </si>
  <si>
    <t>204-1</t>
  </si>
  <si>
    <t>NS-0212-1</t>
  </si>
  <si>
    <t>oleaster</t>
  </si>
  <si>
    <t>223-1</t>
  </si>
  <si>
    <t>NS-0213-1</t>
  </si>
  <si>
    <t>oleaster_powder</t>
  </si>
  <si>
    <t>224-1</t>
  </si>
  <si>
    <t>NS-0238-1</t>
  </si>
  <si>
    <t>fig_syrup</t>
  </si>
  <si>
    <t>249-1</t>
  </si>
  <si>
    <t>NS-0254-1</t>
  </si>
  <si>
    <t>soap_apricot</t>
  </si>
  <si>
    <t>265-1</t>
  </si>
  <si>
    <t>NS-0260-1</t>
  </si>
  <si>
    <t>soap_hazelnut</t>
  </si>
  <si>
    <t>271-1</t>
  </si>
  <si>
    <t>NS-0312-1</t>
  </si>
  <si>
    <t>jujube_bsth_zrgl</t>
  </si>
  <si>
    <t>325-1</t>
  </si>
  <si>
    <t>NS-0312-2</t>
  </si>
  <si>
    <t>jujube_bsth_tla</t>
  </si>
  <si>
    <t>325-2</t>
  </si>
  <si>
    <t>NS-0313-1</t>
  </si>
  <si>
    <t>jujube_dried_1</t>
  </si>
  <si>
    <t>326-1</t>
  </si>
  <si>
    <t>NS-0313-2</t>
  </si>
  <si>
    <t>jujube_dried_bsth</t>
  </si>
  <si>
    <t>326-2</t>
  </si>
  <si>
    <t>NS-0329-1</t>
  </si>
  <si>
    <t>peanut_cream</t>
  </si>
  <si>
    <t>342-1</t>
  </si>
  <si>
    <t>NS-0330-1</t>
  </si>
  <si>
    <t>sesame_cream</t>
  </si>
  <si>
    <t>343-1</t>
  </si>
  <si>
    <t>NS-0331-1</t>
  </si>
  <si>
    <t>almond_butter_180_warm</t>
  </si>
  <si>
    <t>344-1</t>
  </si>
  <si>
    <t>NS-0331-2</t>
  </si>
  <si>
    <t>almond_butter_2</t>
  </si>
  <si>
    <t>344-2</t>
  </si>
  <si>
    <t>NS-0332-1</t>
  </si>
  <si>
    <t>peanut_butter</t>
  </si>
  <si>
    <t>345-1</t>
  </si>
  <si>
    <t>NS-0334-1</t>
  </si>
  <si>
    <t>cashew_butter</t>
  </si>
  <si>
    <t>347-1</t>
  </si>
  <si>
    <t>NS-0337-1</t>
  </si>
  <si>
    <t>hazelnut_butter</t>
  </si>
  <si>
    <t>350-1</t>
  </si>
  <si>
    <t>NS-0335-1</t>
  </si>
  <si>
    <t>pistachio_butter_180_warm</t>
  </si>
  <si>
    <t>348-1</t>
  </si>
  <si>
    <t>NS-0335-2</t>
  </si>
  <si>
    <t>pistachio_butter_2</t>
  </si>
  <si>
    <t>348-2</t>
  </si>
  <si>
    <t>NS-0340-1</t>
  </si>
  <si>
    <t>raisin_with_seed</t>
  </si>
  <si>
    <t>353-1</t>
  </si>
  <si>
    <t>NS-0341-1</t>
  </si>
  <si>
    <t>green_raisin</t>
  </si>
  <si>
    <t>354-1</t>
  </si>
  <si>
    <t>NS-0345-1</t>
  </si>
  <si>
    <t>sesame_raw_iranian</t>
  </si>
  <si>
    <t>358-1</t>
  </si>
  <si>
    <t>NS-0346-1</t>
  </si>
  <si>
    <t>sesame_dezful</t>
  </si>
  <si>
    <t>359-1</t>
  </si>
  <si>
    <t>NS-0347-1</t>
  </si>
  <si>
    <t>white_sesame</t>
  </si>
  <si>
    <t>360-1</t>
  </si>
  <si>
    <t>NS-0348-1</t>
  </si>
  <si>
    <t>brown_sesame</t>
  </si>
  <si>
    <t>361-1</t>
  </si>
  <si>
    <t>NS-0103-1</t>
  </si>
  <si>
    <t>halva_oily</t>
  </si>
  <si>
    <t>روغن</t>
  </si>
  <si>
    <t>109-1</t>
  </si>
  <si>
    <t>NS-0125-1</t>
  </si>
  <si>
    <t>oil_argan_grade_1_30ml</t>
  </si>
  <si>
    <t>128-1</t>
  </si>
  <si>
    <t>NS-0125-2</t>
  </si>
  <si>
    <t>oil_argan_grade_1_60ml</t>
  </si>
  <si>
    <t>128-2</t>
  </si>
  <si>
    <t>NS-0126-1</t>
  </si>
  <si>
    <t>oil_argan_grade_2_30ml</t>
  </si>
  <si>
    <t>129-1</t>
  </si>
  <si>
    <t>NS-0126-2</t>
  </si>
  <si>
    <t>oil_argan_grade_2_60ml</t>
  </si>
  <si>
    <t>129-2</t>
  </si>
  <si>
    <t>NS-0127-1</t>
  </si>
  <si>
    <t>oil_argan_moroccan_grade_1_half_liter</t>
  </si>
  <si>
    <t>130-1</t>
  </si>
  <si>
    <t>NS-0127-2</t>
  </si>
  <si>
    <t>oil_argan_moroccan_grade_1_1_liter</t>
  </si>
  <si>
    <t>130-2</t>
  </si>
  <si>
    <t>NS-0128-1</t>
  </si>
  <si>
    <t>oil_argan_moroccan_grade_2_half_liter</t>
  </si>
  <si>
    <t>131-1</t>
  </si>
  <si>
    <t>NS-0128-2</t>
  </si>
  <si>
    <t>oil_argan_moroccan_grade_2_1_liter</t>
  </si>
  <si>
    <t>131-2</t>
  </si>
  <si>
    <t>NS-0129-1</t>
  </si>
  <si>
    <t>oil_sunflower_half_liter</t>
  </si>
  <si>
    <t>133-1</t>
  </si>
  <si>
    <t>NS-0129-2</t>
  </si>
  <si>
    <t>oil_sunflower_1_liter</t>
  </si>
  <si>
    <t>133-2</t>
  </si>
  <si>
    <t>NS-0130-1</t>
  </si>
  <si>
    <t>oil_amla_30ml</t>
  </si>
  <si>
    <t>136-1</t>
  </si>
  <si>
    <t>NS-0130-2</t>
  </si>
  <si>
    <t>oil_amla_60ml</t>
  </si>
  <si>
    <t>136-2</t>
  </si>
  <si>
    <t>NS-0131-1</t>
  </si>
  <si>
    <t>oil_avocado_30ml</t>
  </si>
  <si>
    <t>138-1</t>
  </si>
  <si>
    <t>NS-0131-2</t>
  </si>
  <si>
    <t>oil_avocado_60ml</t>
  </si>
  <si>
    <t>138-2</t>
  </si>
  <si>
    <t>NS-0120-1</t>
  </si>
  <si>
    <t>oil_tahini_half_liter</t>
  </si>
  <si>
    <t>127-1</t>
  </si>
  <si>
    <t>NS-0120-2</t>
  </si>
  <si>
    <t>oil_tahini_1_liter</t>
  </si>
  <si>
    <t>127-2</t>
  </si>
  <si>
    <t>NS-0121-1</t>
  </si>
  <si>
    <t>oil_lavender_30ml</t>
  </si>
  <si>
    <t>132-1</t>
  </si>
  <si>
    <t>NS-0121-2</t>
  </si>
  <si>
    <t>oil_lavender_60ml</t>
  </si>
  <si>
    <t>132-2</t>
  </si>
  <si>
    <t>NS-0123-1</t>
  </si>
  <si>
    <t>oil_donkey_30ml</t>
  </si>
  <si>
    <t>135-1</t>
  </si>
  <si>
    <t>NS-0123-2</t>
  </si>
  <si>
    <t>oil_donkey_60ml</t>
  </si>
  <si>
    <t>135-2</t>
  </si>
  <si>
    <t>NS-0124-1</t>
  </si>
  <si>
    <t>oil_pomegranate_30ml</t>
  </si>
  <si>
    <t>137-1</t>
  </si>
  <si>
    <t>NS-0124-2</t>
  </si>
  <si>
    <t>oil_pomegranate_60ml</t>
  </si>
  <si>
    <t>137-2</t>
  </si>
  <si>
    <t>NS-0122-1</t>
  </si>
  <si>
    <t>oil_eucalyptus_30ml</t>
  </si>
  <si>
    <t>134-1</t>
  </si>
  <si>
    <t>NS-0122-2</t>
  </si>
  <si>
    <t>oil_eucalyptus_60ml</t>
  </si>
  <si>
    <t>134-2</t>
  </si>
  <si>
    <t>NS-0132-1</t>
  </si>
  <si>
    <t>oil_chamomile_30ml</t>
  </si>
  <si>
    <t>139-1</t>
  </si>
  <si>
    <t>NS-0132-2</t>
  </si>
  <si>
    <t>oil_chamomile_60ml</t>
  </si>
  <si>
    <t>139-2</t>
  </si>
  <si>
    <t>NS-0133-1</t>
  </si>
  <si>
    <t>bitter_almond_oil_30ml</t>
  </si>
  <si>
    <t>140-1</t>
  </si>
  <si>
    <t>NS-0134-1</t>
  </si>
  <si>
    <t>bitter_almond_oil_half_liter</t>
  </si>
  <si>
    <t>140-2</t>
  </si>
  <si>
    <t>NS-0133-2</t>
  </si>
  <si>
    <t>bitter_almond_oil_60ml</t>
  </si>
  <si>
    <t>141-1</t>
  </si>
  <si>
    <t>NS-0134-2</t>
  </si>
  <si>
    <t>bitter_almond_oil_1_liter</t>
  </si>
  <si>
    <t>141-2</t>
  </si>
  <si>
    <t>NS-0135-1</t>
  </si>
  <si>
    <t>sweet_almond_oil_half_liter</t>
  </si>
  <si>
    <t>142-1</t>
  </si>
  <si>
    <t>NS-0136-1</t>
  </si>
  <si>
    <t>sweet_almond_oil_30ml</t>
  </si>
  <si>
    <t>142-2</t>
  </si>
  <si>
    <t>NS-0135-2</t>
  </si>
  <si>
    <t>sweet_almond_oil_1_liter</t>
  </si>
  <si>
    <t>143-1</t>
  </si>
  <si>
    <t>NS-0136-2</t>
  </si>
  <si>
    <t>sweet_almond_oil_60ml</t>
  </si>
  <si>
    <t>143-2</t>
  </si>
  <si>
    <t>NS-0137-1</t>
  </si>
  <si>
    <t>oil_violet_30ml</t>
  </si>
  <si>
    <t>144-1</t>
  </si>
  <si>
    <t>NS-0137-2</t>
  </si>
  <si>
    <t>oil_violet_60ml</t>
  </si>
  <si>
    <t>144-2</t>
  </si>
  <si>
    <t>NS-0139-1</t>
  </si>
  <si>
    <t>oil_tarragon_30ml</t>
  </si>
  <si>
    <t>146-1</t>
  </si>
  <si>
    <t>NS-0139-2</t>
  </si>
  <si>
    <t>oil_tarragon_60ml</t>
  </si>
  <si>
    <t>146-2</t>
  </si>
  <si>
    <t>NS-0140-1</t>
  </si>
  <si>
    <t>hair_strengthening_oil</t>
  </si>
  <si>
    <t>old_155_141-1</t>
  </si>
  <si>
    <t>NS-0141-1</t>
  </si>
  <si>
    <t>oil_sprout_wheat_30ml</t>
  </si>
  <si>
    <t>148-1</t>
  </si>
  <si>
    <t>NS-0141-2</t>
  </si>
  <si>
    <t>oil_sprout_wheat_60ml</t>
  </si>
  <si>
    <t>148-2</t>
  </si>
  <si>
    <t>NS-0142-1</t>
  </si>
  <si>
    <t>oil_jojoba_30ml</t>
  </si>
  <si>
    <t>149-1</t>
  </si>
  <si>
    <t>NS-0142-2</t>
  </si>
  <si>
    <t>oil_jojoba_60ml</t>
  </si>
  <si>
    <t>149-2</t>
  </si>
  <si>
    <t>NS-0143-1</t>
  </si>
  <si>
    <t>oil_colocynth_30ml</t>
  </si>
  <si>
    <t>150-1</t>
  </si>
  <si>
    <t>NS-0143-2</t>
  </si>
  <si>
    <t>oil_colocynth_60ml</t>
  </si>
  <si>
    <t>150-2</t>
  </si>
  <si>
    <t>NS-0144-1</t>
  </si>
  <si>
    <t>oil_milk_thistle_30ml</t>
  </si>
  <si>
    <t>151-1</t>
  </si>
  <si>
    <t>NS-0144-2</t>
  </si>
  <si>
    <t>oil_milk_thistle_60ml</t>
  </si>
  <si>
    <t>151-2</t>
  </si>
  <si>
    <t>NS-0145-1</t>
  </si>
  <si>
    <t>oil_kharatin_30ml</t>
  </si>
  <si>
    <t>152-1</t>
  </si>
  <si>
    <t>NS-0145-2</t>
  </si>
  <si>
    <t>oil_kharatin_60ml</t>
  </si>
  <si>
    <t>152-2</t>
  </si>
  <si>
    <t>NS-0146-1</t>
  </si>
  <si>
    <t>oil_poppy_30ml</t>
  </si>
  <si>
    <t>153-1</t>
  </si>
  <si>
    <t>NS-0146-2</t>
  </si>
  <si>
    <t>oil_poppy_60ml</t>
  </si>
  <si>
    <t>153-2</t>
  </si>
  <si>
    <t>NS-0147-1</t>
  </si>
  <si>
    <t>tea_tree_oil_30ml</t>
  </si>
  <si>
    <t>154-1</t>
  </si>
  <si>
    <t>NS-0147-2</t>
  </si>
  <si>
    <t>tea_tree_oil_60ml</t>
  </si>
  <si>
    <t>154-2</t>
  </si>
  <si>
    <t>NS-0148-1</t>
  </si>
  <si>
    <t>oil_wormwood_30ml</t>
  </si>
  <si>
    <t>155-1</t>
  </si>
  <si>
    <t>NS-0148-2</t>
  </si>
  <si>
    <t>oil_wormwood_60ml</t>
  </si>
  <si>
    <t>155-2</t>
  </si>
  <si>
    <t>NS-0149-1</t>
  </si>
  <si>
    <t>oil_fennel_30ml</t>
  </si>
  <si>
    <t>156-1</t>
  </si>
  <si>
    <t>NS-0149-2</t>
  </si>
  <si>
    <t>oil_fennel_60ml</t>
  </si>
  <si>
    <t>156-2</t>
  </si>
  <si>
    <t>NS-0150-1</t>
  </si>
  <si>
    <t>oil_rosemary_half_liter</t>
  </si>
  <si>
    <t>157-1</t>
  </si>
  <si>
    <t>NS-0151-1</t>
  </si>
  <si>
    <t>oil_rosemary_30ml</t>
  </si>
  <si>
    <t>157-2</t>
  </si>
  <si>
    <t>NS-0150-2</t>
  </si>
  <si>
    <t>oil_rosemary_1_liter</t>
  </si>
  <si>
    <t>158-1</t>
  </si>
  <si>
    <t>NS-0151-2</t>
  </si>
  <si>
    <t>oil_rosemary_60ml</t>
  </si>
  <si>
    <t>158-2</t>
  </si>
  <si>
    <t>NS-0152-1</t>
  </si>
  <si>
    <t>oil_turmeric_30ml</t>
  </si>
  <si>
    <t>159-1</t>
  </si>
  <si>
    <t>NS-0152-2</t>
  </si>
  <si>
    <t>oil_turmeric_60ml</t>
  </si>
  <si>
    <t>159-2</t>
  </si>
  <si>
    <t>NS-0153-1</t>
  </si>
  <si>
    <t>oil_ginger_30ml</t>
  </si>
  <si>
    <t>160-1</t>
  </si>
  <si>
    <t>NS-0153-2</t>
  </si>
  <si>
    <t>oil_ginger_60ml</t>
  </si>
  <si>
    <t>160-2</t>
  </si>
  <si>
    <t>NS-0154-1</t>
  </si>
  <si>
    <t>oil_ajwain_30ml</t>
  </si>
  <si>
    <t>161-1</t>
  </si>
  <si>
    <t>NS-0154-2</t>
  </si>
  <si>
    <t>oil_ajwain_60ml</t>
  </si>
  <si>
    <t>161-2</t>
  </si>
  <si>
    <t>NS-0155-1</t>
  </si>
  <si>
    <t>oil_olive_half_liter</t>
  </si>
  <si>
    <t>162-1</t>
  </si>
  <si>
    <t>NS-0155-2</t>
  </si>
  <si>
    <t>oil_olive_1_liter</t>
  </si>
  <si>
    <t>162-2</t>
  </si>
  <si>
    <t>NS-0156-1</t>
  </si>
  <si>
    <t>topical_olive_oil_30ml</t>
  </si>
  <si>
    <t>163-1</t>
  </si>
  <si>
    <t>NS-0156-2</t>
  </si>
  <si>
    <t>topical_olive_oil_60ml</t>
  </si>
  <si>
    <t>163-2</t>
  </si>
  <si>
    <t>NS-0157-1</t>
  </si>
  <si>
    <t>oil_mastic_30ml</t>
  </si>
  <si>
    <t>164-1</t>
  </si>
  <si>
    <t>NS-0157-2</t>
  </si>
  <si>
    <t>oil_mastic_60ml</t>
  </si>
  <si>
    <t>164-2</t>
  </si>
  <si>
    <t>NS-0158-1</t>
  </si>
  <si>
    <t>oil_syahdanh_30ml</t>
  </si>
  <si>
    <t>165-1</t>
  </si>
  <si>
    <t>NS-0158-2</t>
  </si>
  <si>
    <t>oil_syahdanh_60ml</t>
  </si>
  <si>
    <t>165-2</t>
  </si>
  <si>
    <t>NS-0159-1</t>
  </si>
  <si>
    <t>indian_black_seed_oil_half_liter</t>
  </si>
  <si>
    <t>166-1</t>
  </si>
  <si>
    <t>NS-0159-2</t>
  </si>
  <si>
    <t>indian_black_seed_oil_1_liter</t>
  </si>
  <si>
    <t>166-2</t>
  </si>
  <si>
    <t>NS-0160-1</t>
  </si>
  <si>
    <t>oil_garlic_30ml</t>
  </si>
  <si>
    <t>167-1</t>
  </si>
  <si>
    <t>NS-0160-2</t>
  </si>
  <si>
    <t>oil_garlic_60ml</t>
  </si>
  <si>
    <t>167-2</t>
  </si>
  <si>
    <t>NS-0161-1</t>
  </si>
  <si>
    <t>oil_ostrich_30ml</t>
  </si>
  <si>
    <t>168-1</t>
  </si>
  <si>
    <t>NS-0161-2</t>
  </si>
  <si>
    <t>oil_ostrich_60ml</t>
  </si>
  <si>
    <t>168-2</t>
  </si>
  <si>
    <t>NS-0162-1</t>
  </si>
  <si>
    <t>oil_dill_30ml</t>
  </si>
  <si>
    <t>169-1</t>
  </si>
  <si>
    <t>NS-0162-2</t>
  </si>
  <si>
    <t>oil_dill_60ml</t>
  </si>
  <si>
    <t>169-2</t>
  </si>
  <si>
    <t>NS-0163-1</t>
  </si>
  <si>
    <t>shea_butter_oil_90_warm</t>
  </si>
  <si>
    <t>170-1</t>
  </si>
  <si>
    <t>NS-0163-2</t>
  </si>
  <si>
    <t>shea_butter_oil_2</t>
  </si>
  <si>
    <t>170-2</t>
  </si>
  <si>
    <t>NS-0164-1</t>
  </si>
  <si>
    <t>anti_inflammatory_oil_30ml</t>
  </si>
  <si>
    <t>171-1</t>
  </si>
  <si>
    <t>NS-0164-2</t>
  </si>
  <si>
    <t>anti_inflammatory_oil_60ml</t>
  </si>
  <si>
    <t>171-2</t>
  </si>
  <si>
    <t>NS-0165-1</t>
  </si>
  <si>
    <t>pain_relief_oil_half_liter</t>
  </si>
  <si>
    <t>172-1</t>
  </si>
  <si>
    <t>NS-0166-1</t>
  </si>
  <si>
    <t>pain_relief_oil_30ml</t>
  </si>
  <si>
    <t>172-2</t>
  </si>
  <si>
    <t>NS-0165-2</t>
  </si>
  <si>
    <t>pain_relief_oil_1_liter</t>
  </si>
  <si>
    <t>173-1</t>
  </si>
  <si>
    <t>NS-0166-2</t>
  </si>
  <si>
    <t>pain_relief_oil_60ml</t>
  </si>
  <si>
    <t>173-2</t>
  </si>
  <si>
    <t>NS-0167-1</t>
  </si>
  <si>
    <t>oil_hazelnut_30ml</t>
  </si>
  <si>
    <t>174-1</t>
  </si>
  <si>
    <t>NS-0167-2</t>
  </si>
  <si>
    <t>oil_hazelnut_60ml</t>
  </si>
  <si>
    <t>174-2</t>
  </si>
  <si>
    <t>NS-0182-1</t>
  </si>
  <si>
    <t>oil_lemon_30ml</t>
  </si>
  <si>
    <t>189-1</t>
  </si>
  <si>
    <t>NS-0182-2</t>
  </si>
  <si>
    <t>oil_lemon_60ml</t>
  </si>
  <si>
    <t>189-2</t>
  </si>
  <si>
    <t>NS-0183-1</t>
  </si>
  <si>
    <t>oil_macadamia_30ml</t>
  </si>
  <si>
    <t>190-1</t>
  </si>
  <si>
    <t>NS-0183-2</t>
  </si>
  <si>
    <t>oil_macadamia_60ml</t>
  </si>
  <si>
    <t>190-2</t>
  </si>
  <si>
    <t>NS-0184-1</t>
  </si>
  <si>
    <t>oil_myrtle_30ml</t>
  </si>
  <si>
    <t>191-1</t>
  </si>
  <si>
    <t>NS-0184-2</t>
  </si>
  <si>
    <t>oil_myrtle_60ml</t>
  </si>
  <si>
    <t>191-2</t>
  </si>
  <si>
    <t>NS-0185-1</t>
  </si>
  <si>
    <t>oil_moringa_30ml</t>
  </si>
  <si>
    <t>192-1</t>
  </si>
  <si>
    <t>NS-0185-2</t>
  </si>
  <si>
    <t>oil_moringa_60ml</t>
  </si>
  <si>
    <t>192-2</t>
  </si>
  <si>
    <t>NS-0186-1</t>
  </si>
  <si>
    <t>oil_clove_30ml</t>
  </si>
  <si>
    <t>193-1</t>
  </si>
  <si>
    <t>NS-0186-2</t>
  </si>
  <si>
    <t>oil_clove_60ml</t>
  </si>
  <si>
    <t>193-2</t>
  </si>
  <si>
    <t>NS-0187-1</t>
  </si>
  <si>
    <t>oil_coconut_half_liter</t>
  </si>
  <si>
    <t>194-1</t>
  </si>
  <si>
    <t>NS-0188-1</t>
  </si>
  <si>
    <t>oil_coconut_30ml</t>
  </si>
  <si>
    <t>194-2</t>
  </si>
  <si>
    <t>NS-0187-2</t>
  </si>
  <si>
    <t>oil_coconut_1_liter</t>
  </si>
  <si>
    <t>195-1</t>
  </si>
  <si>
    <t>NS-0188-2</t>
  </si>
  <si>
    <t>oil_coconut_60ml</t>
  </si>
  <si>
    <t>195-2</t>
  </si>
  <si>
    <t>NS-0189-1</t>
  </si>
  <si>
    <t>grape_seed_oil_30ml</t>
  </si>
  <si>
    <t>196-1</t>
  </si>
  <si>
    <t>NS-0189-2</t>
  </si>
  <si>
    <t>grape_seed_oil_60ml</t>
  </si>
  <si>
    <t>196-2</t>
  </si>
  <si>
    <t>NS-0190-1</t>
  </si>
  <si>
    <t>bitter_orange_seed_oil_30ml</t>
  </si>
  <si>
    <t>197-1</t>
  </si>
  <si>
    <t>NS-0190-2</t>
  </si>
  <si>
    <t>bitter_orange_seed_oil_60ml</t>
  </si>
  <si>
    <t>197-2</t>
  </si>
  <si>
    <t>NS-0138-1</t>
  </si>
  <si>
    <t>oil_pennyroyal_30ml</t>
  </si>
  <si>
    <t>145-1</t>
  </si>
  <si>
    <t>NS-0138-2</t>
  </si>
  <si>
    <t>oil_pennyroyal_60ml</t>
  </si>
  <si>
    <t>145-2</t>
  </si>
  <si>
    <t>NS-0168-1</t>
  </si>
  <si>
    <t>oil_pumpkin_30ml</t>
  </si>
  <si>
    <t>175-1</t>
  </si>
  <si>
    <t>NS-0168-2</t>
  </si>
  <si>
    <t>oil_pumpkin_60ml</t>
  </si>
  <si>
    <t>175-2</t>
  </si>
  <si>
    <t>NS-0169-1</t>
  </si>
  <si>
    <t>oil_castor_half_liter</t>
  </si>
  <si>
    <t>176-1</t>
  </si>
  <si>
    <t>NS-0170-1</t>
  </si>
  <si>
    <t>oil_castor_30ml</t>
  </si>
  <si>
    <t>176-2</t>
  </si>
  <si>
    <t>NS-0169-2</t>
  </si>
  <si>
    <t>oil_castor_1_liter</t>
  </si>
  <si>
    <t>177-1</t>
  </si>
  <si>
    <t>NS-0170-2</t>
  </si>
  <si>
    <t>oil_castor_60ml</t>
  </si>
  <si>
    <t>177-2</t>
  </si>
  <si>
    <t>NS-0171-1</t>
  </si>
  <si>
    <t>oil_canola_half_liter</t>
  </si>
  <si>
    <t>178-1</t>
  </si>
  <si>
    <t>NS-0171-2</t>
  </si>
  <si>
    <t>oil_canola_1_liter</t>
  </si>
  <si>
    <t>178-2</t>
  </si>
  <si>
    <t>NS-0172-1</t>
  </si>
  <si>
    <t>oil_sesame_half_liter</t>
  </si>
  <si>
    <t>179-1</t>
  </si>
  <si>
    <t>NS-0172-2</t>
  </si>
  <si>
    <t>oil_sesame_1_liter</t>
  </si>
  <si>
    <t>179-2</t>
  </si>
  <si>
    <t>NS-0173-1</t>
  </si>
  <si>
    <t>oil_sesame_1</t>
  </si>
  <si>
    <t>180-1</t>
  </si>
  <si>
    <t>NS-0173-2</t>
  </si>
  <si>
    <t>oil_sesame_2</t>
  </si>
  <si>
    <t>180-2</t>
  </si>
  <si>
    <t>NS-0174-1</t>
  </si>
  <si>
    <t>oil_sesame_topical_30ml</t>
  </si>
  <si>
    <t>181-1</t>
  </si>
  <si>
    <t>NS-0174-2</t>
  </si>
  <si>
    <t>oil_sesame_topical_60ml</t>
  </si>
  <si>
    <t>181-2</t>
  </si>
  <si>
    <t>NS-0175-1</t>
  </si>
  <si>
    <t>oil_frankincense_30ml</t>
  </si>
  <si>
    <t>182-1</t>
  </si>
  <si>
    <t>NS-0175-2</t>
  </si>
  <si>
    <t>oil_frankincense_60ml</t>
  </si>
  <si>
    <t>182-2</t>
  </si>
  <si>
    <t>NS-0176-1</t>
  </si>
  <si>
    <t>oil_kondosh_30ml</t>
  </si>
  <si>
    <t>183-1</t>
  </si>
  <si>
    <t>NS-0176-2</t>
  </si>
  <si>
    <t>oil_kondosh_60ml</t>
  </si>
  <si>
    <t>183-2</t>
  </si>
  <si>
    <t>NS-0177-1</t>
  </si>
  <si>
    <t>oil_shark_30ml</t>
  </si>
  <si>
    <t>184-1</t>
  </si>
  <si>
    <t>NS-0177-2</t>
  </si>
  <si>
    <t>oil_shark_60ml</t>
  </si>
  <si>
    <t>184-2</t>
  </si>
  <si>
    <t>NS-0178-1</t>
  </si>
  <si>
    <t>oil_hump_camel_30ml</t>
  </si>
  <si>
    <t>185-1</t>
  </si>
  <si>
    <t>NS-0178-2</t>
  </si>
  <si>
    <t>oil_hump_camel_60ml</t>
  </si>
  <si>
    <t>185-2</t>
  </si>
  <si>
    <t>NS-0179-1</t>
  </si>
  <si>
    <t>oil_walnut_30ml</t>
  </si>
  <si>
    <t>186-1</t>
  </si>
  <si>
    <t>NS-0179-2</t>
  </si>
  <si>
    <t>oil_walnut_60ml</t>
  </si>
  <si>
    <t>186-2</t>
  </si>
  <si>
    <t>NS-0180-1</t>
  </si>
  <si>
    <t>oil_flower_rose_30ml</t>
  </si>
  <si>
    <t>187-1</t>
  </si>
  <si>
    <t>NS-0180-2</t>
  </si>
  <si>
    <t>oil_flower_rose_60ml</t>
  </si>
  <si>
    <t>187-2</t>
  </si>
  <si>
    <t>NS-0181-1</t>
  </si>
  <si>
    <t>oil_glycerin_30ml</t>
  </si>
  <si>
    <t>188-1</t>
  </si>
  <si>
    <t>NS-0181-2</t>
  </si>
  <si>
    <t>oil_glycerin_60ml</t>
  </si>
  <si>
    <t>188-2</t>
  </si>
  <si>
    <t>NS-0030-1</t>
  </si>
  <si>
    <t>mango_powder</t>
  </si>
  <si>
    <t>سایر</t>
  </si>
  <si>
    <t>39-1</t>
  </si>
  <si>
    <t>NS-0047-1</t>
  </si>
  <si>
    <t>okra_powder</t>
  </si>
  <si>
    <t>50-1</t>
  </si>
  <si>
    <t>NS-0050-1</t>
  </si>
  <si>
    <t>acorn</t>
  </si>
  <si>
    <t>53-1</t>
  </si>
  <si>
    <t>NS-0066-1</t>
  </si>
  <si>
    <t>seed_basil</t>
  </si>
  <si>
    <t>69-1</t>
  </si>
  <si>
    <t>NS-0069-1</t>
  </si>
  <si>
    <t>seed_kernel_sunflower</t>
  </si>
  <si>
    <t>72-1</t>
  </si>
  <si>
    <t>NS-0070-1</t>
  </si>
  <si>
    <t>seed_kernel_pumpkin</t>
  </si>
  <si>
    <t>73-1</t>
  </si>
  <si>
    <t>NS-0068-1</t>
  </si>
  <si>
    <t>seed_flax</t>
  </si>
  <si>
    <t>71-1</t>
  </si>
  <si>
    <t>NS-0071-1</t>
  </si>
  <si>
    <t>tamarind</t>
  </si>
  <si>
    <t>75-1</t>
  </si>
  <si>
    <t>NS-0077-1</t>
  </si>
  <si>
    <t>zedoary</t>
  </si>
  <si>
    <t>82-1</t>
  </si>
  <si>
    <t>NS-0106-1</t>
  </si>
  <si>
    <t>henna</t>
  </si>
  <si>
    <t>112-1</t>
  </si>
  <si>
    <t>NS-0107-1</t>
  </si>
  <si>
    <t>colorless_henna</t>
  </si>
  <si>
    <t>113-1</t>
  </si>
  <si>
    <t>NS-0109-1</t>
  </si>
  <si>
    <t>purslane</t>
  </si>
  <si>
    <t>116-1</t>
  </si>
  <si>
    <t>NS-0110-1</t>
  </si>
  <si>
    <t>fariman_yeast</t>
  </si>
  <si>
    <t>117-1</t>
  </si>
  <si>
    <t>NS-0118-1</t>
  </si>
  <si>
    <t>pomegranate_paste</t>
  </si>
  <si>
    <t>125-1</t>
  </si>
  <si>
    <t>NS-0119-1</t>
  </si>
  <si>
    <t>rosemary</t>
  </si>
  <si>
    <t>126-1</t>
  </si>
  <si>
    <t>NS-0191-1</t>
  </si>
  <si>
    <t>zaj</t>
  </si>
  <si>
    <t>201-1</t>
  </si>
  <si>
    <t>NS-0202-1</t>
  </si>
  <si>
    <t>sidr</t>
  </si>
  <si>
    <t>212-1</t>
  </si>
  <si>
    <t>NS-0205-1</t>
  </si>
  <si>
    <t>surma</t>
  </si>
  <si>
    <t>215-1</t>
  </si>
  <si>
    <t>NS-0210-1</t>
  </si>
  <si>
    <t>samanu</t>
  </si>
  <si>
    <t>221-1</t>
  </si>
  <si>
    <t>NS-0214-1</t>
  </si>
  <si>
    <t>saviq_mixed</t>
  </si>
  <si>
    <t>225-1</t>
  </si>
  <si>
    <t>NS-0219-1</t>
  </si>
  <si>
    <t>black_seed</t>
  </si>
  <si>
    <t>230-1</t>
  </si>
  <si>
    <t>NS-0231-1</t>
  </si>
  <si>
    <t>turnip_powder</t>
  </si>
  <si>
    <t>242-1</t>
  </si>
  <si>
    <t>NS-0232-1</t>
  </si>
  <si>
    <t>fenugreek</t>
  </si>
  <si>
    <t>243-1</t>
  </si>
  <si>
    <t>NS-0233-1</t>
  </si>
  <si>
    <t>fenugreek_seed</t>
  </si>
  <si>
    <t>244-1</t>
  </si>
  <si>
    <t>NS-0234-1</t>
  </si>
  <si>
    <t>dried_dill</t>
  </si>
  <si>
    <t>245-1</t>
  </si>
  <si>
    <t>NS-0235-1</t>
  </si>
  <si>
    <t>confectionery_milk_powder</t>
  </si>
  <si>
    <t>246-1</t>
  </si>
  <si>
    <t>NS-0236-1</t>
  </si>
  <si>
    <t>syrup_3_syrup</t>
  </si>
  <si>
    <t>247-1</t>
  </si>
  <si>
    <t>NS-0237-1</t>
  </si>
  <si>
    <t>syrup_4_syrup</t>
  </si>
  <si>
    <t>248-1</t>
  </si>
  <si>
    <t>NS-0239-1</t>
  </si>
  <si>
    <t>grape_syrup</t>
  </si>
  <si>
    <t>250-1</t>
  </si>
  <si>
    <t>NS-0240-1</t>
  </si>
  <si>
    <t>mulberry_syrup</t>
  </si>
  <si>
    <t>251-1</t>
  </si>
  <si>
    <t>NS-0242-1</t>
  </si>
  <si>
    <t>white_syrup_500g</t>
  </si>
  <si>
    <t>253-1</t>
  </si>
  <si>
    <t>NS-0242-2</t>
  </si>
  <si>
    <t>white_syrup_1_kylv</t>
  </si>
  <si>
    <t>253-2</t>
  </si>
  <si>
    <t>NS-0243-1</t>
  </si>
  <si>
    <t>apple_syrup</t>
  </si>
  <si>
    <t>254-1</t>
  </si>
  <si>
    <t>NS-0246-1</t>
  </si>
  <si>
    <t>soap_7_herb</t>
  </si>
  <si>
    <t>257-1</t>
  </si>
  <si>
    <t>NS-0249-1</t>
  </si>
  <si>
    <t>soap_argan</t>
  </si>
  <si>
    <t>258-1</t>
  </si>
  <si>
    <t>NS-0250-1</t>
  </si>
  <si>
    <t>soap_sour_cherry</t>
  </si>
  <si>
    <t>259-1</t>
  </si>
  <si>
    <t>NS-0247-1</t>
  </si>
  <si>
    <t>soap_pomegranate</t>
  </si>
  <si>
    <t>260-1</t>
  </si>
  <si>
    <t>NS-0248-1</t>
  </si>
  <si>
    <t>soap_grape</t>
  </si>
  <si>
    <t>261-1</t>
  </si>
  <si>
    <t>NS-0251-1</t>
  </si>
  <si>
    <t>soap_tryak</t>
  </si>
  <si>
    <t>262-1</t>
  </si>
  <si>
    <t>NS-0253-1</t>
  </si>
  <si>
    <t>soap_charcoal_active</t>
  </si>
  <si>
    <t>264-1</t>
  </si>
  <si>
    <t>NS-0256-1</t>
  </si>
  <si>
    <t>soap_olive</t>
  </si>
  <si>
    <t>267-1</t>
  </si>
  <si>
    <t>NS-0257-1</t>
  </si>
  <si>
    <t>soap_sefidab</t>
  </si>
  <si>
    <t>268-1</t>
  </si>
  <si>
    <t>NS-0258-1</t>
  </si>
  <si>
    <t>soap_syahdanh</t>
  </si>
  <si>
    <t>269-1</t>
  </si>
  <si>
    <t>NS-0259-1</t>
  </si>
  <si>
    <t>soap_donkey_milk</t>
  </si>
  <si>
    <t>270-1</t>
  </si>
  <si>
    <t>NS-0261-1</t>
  </si>
  <si>
    <t>soap_macadamia</t>
  </si>
  <si>
    <t>272-1</t>
  </si>
  <si>
    <t>NS-0262-1</t>
  </si>
  <si>
    <t>gum</t>
  </si>
  <si>
    <t>273-1</t>
  </si>
  <si>
    <t>NS-0314-1</t>
  </si>
  <si>
    <t>incense</t>
  </si>
  <si>
    <t>327-1</t>
  </si>
  <si>
    <t>NS-0315-1</t>
  </si>
  <si>
    <t>unripe_grape_powder</t>
  </si>
  <si>
    <t>328-1</t>
  </si>
  <si>
    <t>NS-0321-1</t>
  </si>
  <si>
    <t>tablet_back</t>
  </si>
  <si>
    <t>334-1</t>
  </si>
  <si>
    <t>NS-0322-1</t>
  </si>
  <si>
    <t>qarehqurut</t>
  </si>
  <si>
    <t>335-1</t>
  </si>
  <si>
    <t>NS-0323-1</t>
  </si>
  <si>
    <t>espresso_coffee_1</t>
  </si>
  <si>
    <t>336-1</t>
  </si>
  <si>
    <t>NS-0323-2</t>
  </si>
  <si>
    <t>espresso_coffee_bsth_e</t>
  </si>
  <si>
    <t>336-2</t>
  </si>
  <si>
    <t>NS-0324-1</t>
  </si>
  <si>
    <t>turkish_coffee_1</t>
  </si>
  <si>
    <t>337-1</t>
  </si>
  <si>
    <t>NS-0324-2</t>
  </si>
  <si>
    <t>turkish_coffee_bsth_e</t>
  </si>
  <si>
    <t>337-2</t>
  </si>
  <si>
    <t>NS-0325-1</t>
  </si>
  <si>
    <t>instant_coffee</t>
  </si>
  <si>
    <t>338-1</t>
  </si>
  <si>
    <t>NS-0362-1</t>
  </si>
  <si>
    <t>beetroot</t>
  </si>
  <si>
    <t>375-1</t>
  </si>
  <si>
    <t>NS-0363-1</t>
  </si>
  <si>
    <t>fruit_leather</t>
  </si>
  <si>
    <t>376-1</t>
  </si>
  <si>
    <t>NS-0364-1</t>
  </si>
  <si>
    <t>sliced_lemon</t>
  </si>
  <si>
    <t>377-1</t>
  </si>
  <si>
    <t>NS-0365-1</t>
  </si>
  <si>
    <t>lemon_tiger</t>
  </si>
  <si>
    <t>378-1</t>
  </si>
  <si>
    <t>NS-0367-1</t>
  </si>
  <si>
    <t>purifier_blood</t>
  </si>
  <si>
    <t>382-1</t>
  </si>
  <si>
    <t>NS-0370-1</t>
  </si>
  <si>
    <t>fat_sri_lankan_coconut</t>
  </si>
  <si>
    <t>385-1</t>
  </si>
  <si>
    <t>NS-0383-1</t>
  </si>
  <si>
    <t>depilatory</t>
  </si>
  <si>
    <t>400-1</t>
  </si>
  <si>
    <t>NS-0054-1</t>
  </si>
  <si>
    <t>ointment_cold_10_gram</t>
  </si>
  <si>
    <t>59-1</t>
  </si>
  <si>
    <t>NS-0054-2</t>
  </si>
  <si>
    <t>ointment_cold_20_gram</t>
  </si>
  <si>
    <t>59-2</t>
  </si>
  <si>
    <t>NS-0055-1</t>
  </si>
  <si>
    <t>ointment_black</t>
  </si>
  <si>
    <t>60-1</t>
  </si>
  <si>
    <t>NS-0057-1</t>
  </si>
  <si>
    <t>ointment_latif_20_gram</t>
  </si>
  <si>
    <t>62-1</t>
  </si>
  <si>
    <t>NS-0057-2</t>
  </si>
  <si>
    <t>ointment_latif_30_gram</t>
  </si>
  <si>
    <t>62-2</t>
  </si>
  <si>
    <t>NS-0056-1</t>
  </si>
  <si>
    <t>ointment_warm_10_gram</t>
  </si>
  <si>
    <t>61-1</t>
  </si>
  <si>
    <t>NS-0056-2</t>
  </si>
  <si>
    <t>ointment_warm_20_gram</t>
  </si>
  <si>
    <t>61-2</t>
  </si>
  <si>
    <t>NS-0058-1</t>
  </si>
  <si>
    <t>pmadr_pain_10_gram</t>
  </si>
  <si>
    <t>57-1</t>
  </si>
  <si>
    <t>NS-0058-2</t>
  </si>
  <si>
    <t>pmadr_pain_20_gram</t>
  </si>
  <si>
    <t>57-2</t>
  </si>
  <si>
    <t>NS-0059-1</t>
  </si>
  <si>
    <t>pmadr_pain_55_gram</t>
  </si>
  <si>
    <t>58-1</t>
  </si>
  <si>
    <t>NS-0060-1</t>
  </si>
  <si>
    <t>melon_powder</t>
  </si>
  <si>
    <t>63-1</t>
  </si>
  <si>
    <t>NS-0061-1</t>
  </si>
  <si>
    <t>coarse_orange_breadcrumbs</t>
  </si>
  <si>
    <t>64-1</t>
  </si>
  <si>
    <t>NS-0063-1</t>
  </si>
  <si>
    <t>sheep_kashk_powder</t>
  </si>
  <si>
    <t>66-1</t>
  </si>
  <si>
    <t>NS-0064-1</t>
  </si>
  <si>
    <t>pennyroyal_dried</t>
  </si>
  <si>
    <t>67-1</t>
  </si>
  <si>
    <t>NS-0097-1</t>
  </si>
  <si>
    <t>four_seed_mix</t>
  </si>
  <si>
    <t>104-1</t>
  </si>
  <si>
    <t>NS-0098-1</t>
  </si>
  <si>
    <t>soapwort</t>
  </si>
  <si>
    <t>103-1</t>
  </si>
  <si>
    <t>NS-0099-1</t>
  </si>
  <si>
    <t>chia_seed</t>
  </si>
  <si>
    <t>105-1</t>
  </si>
  <si>
    <t>NS-0339-1</t>
  </si>
  <si>
    <t>coconut_butter_195_warm</t>
  </si>
  <si>
    <t>352-1</t>
  </si>
  <si>
    <t>NS-0339-2</t>
  </si>
  <si>
    <t>coconut_butter_255_warm</t>
  </si>
  <si>
    <t>352-2</t>
  </si>
  <si>
    <t>NS-0336-1</t>
  </si>
  <si>
    <t>five_nut_butter</t>
  </si>
  <si>
    <t>349-1</t>
  </si>
  <si>
    <t>NS-0338-1</t>
  </si>
  <si>
    <t>butter_pumpkin</t>
  </si>
  <si>
    <t>351-1</t>
  </si>
  <si>
    <t>NS-0344-1</t>
  </si>
  <si>
    <t>cookie_kolompeh</t>
  </si>
  <si>
    <t>357-1</t>
  </si>
  <si>
    <t>NS-0350-1</t>
  </si>
  <si>
    <t>edible_frankincense</t>
  </si>
  <si>
    <t>363-1</t>
  </si>
  <si>
    <t>NS-0327-1</t>
  </si>
  <si>
    <t>empty_capsule</t>
  </si>
  <si>
    <t>340-1</t>
  </si>
  <si>
    <t>NS-0352-1</t>
  </si>
  <si>
    <t>bee_pollen</t>
  </si>
  <si>
    <t>365-1</t>
  </si>
  <si>
    <t>NS-0353-1</t>
  </si>
  <si>
    <t>coriander</t>
  </si>
  <si>
    <t>366-1</t>
  </si>
  <si>
    <t>NS-0356-1</t>
  </si>
  <si>
    <t>rose_bud</t>
  </si>
  <si>
    <t>371-1</t>
  </si>
  <si>
    <t>NS-0355-1</t>
  </si>
  <si>
    <t>rose_petals</t>
  </si>
  <si>
    <t>370-1</t>
  </si>
  <si>
    <t>NS-0359-1</t>
  </si>
  <si>
    <t>safflower</t>
  </si>
  <si>
    <t>369-1</t>
  </si>
  <si>
    <t>NS-0361-1</t>
  </si>
  <si>
    <t>tomato_powder</t>
  </si>
  <si>
    <t>374-1</t>
  </si>
  <si>
    <t>NS-0024-1</t>
  </si>
  <si>
    <t>tahini</t>
  </si>
  <si>
    <t>قنادی و شیرینی</t>
  </si>
  <si>
    <t>32-1</t>
  </si>
  <si>
    <t>NS-0101-1</t>
  </si>
  <si>
    <t>plain_tahini_halva</t>
  </si>
  <si>
    <t>107-1</t>
  </si>
  <si>
    <t>NS-0100-1</t>
  </si>
  <si>
    <t>pistachio_tahini_halva</t>
  </si>
  <si>
    <t>106-1</t>
  </si>
  <si>
    <t>NS-0104-1</t>
  </si>
  <si>
    <t>halva_rope</t>
  </si>
  <si>
    <t>110-1</t>
  </si>
  <si>
    <t>NS-0102-1</t>
  </si>
  <si>
    <t>halva_cotton</t>
  </si>
  <si>
    <t>108-1</t>
  </si>
  <si>
    <t>NS-0105-1</t>
  </si>
  <si>
    <t>halva_sticky</t>
  </si>
  <si>
    <t>111-1</t>
  </si>
  <si>
    <t>NS-0226-1</t>
  </si>
  <si>
    <t>white_sugar</t>
  </si>
  <si>
    <t>237-1</t>
  </si>
  <si>
    <t>NS-0227-1</t>
  </si>
  <si>
    <t>brown_sugar</t>
  </si>
  <si>
    <t>238-1</t>
  </si>
  <si>
    <t>NS-0228-1</t>
  </si>
  <si>
    <t>vanilla_bar_chocolate</t>
  </si>
  <si>
    <t>239-1</t>
  </si>
  <si>
    <t>NS-0230-1</t>
  </si>
  <si>
    <t>bake_stable_cookie_chocolate</t>
  </si>
  <si>
    <t>241-1</t>
  </si>
  <si>
    <t>NS-0229-1</t>
  </si>
  <si>
    <t>dark_chocolate_chips</t>
  </si>
  <si>
    <t>240-1</t>
  </si>
  <si>
    <t>NS-0241-1</t>
  </si>
  <si>
    <t>date_syrup</t>
  </si>
  <si>
    <t>252-1</t>
  </si>
  <si>
    <t>NS-0306-1</t>
  </si>
  <si>
    <t>orange_blossom_honey_bdvn_mvm</t>
  </si>
  <si>
    <t>319-1</t>
  </si>
  <si>
    <t>NS-0306-2</t>
  </si>
  <si>
    <t>orange_blossom_honey_with_mvm</t>
  </si>
  <si>
    <t>319-2</t>
  </si>
  <si>
    <t>NS-0307-1</t>
  </si>
  <si>
    <t>forest_honey</t>
  </si>
  <si>
    <t>320-1</t>
  </si>
  <si>
    <t>NS-0309-1</t>
  </si>
  <si>
    <t>black_seed_honey</t>
  </si>
  <si>
    <t>322-1</t>
  </si>
  <si>
    <t>NS-0308-1</t>
  </si>
  <si>
    <t>multi_flower_honey</t>
  </si>
  <si>
    <t>321-1</t>
  </si>
  <si>
    <t>NS-0310-1</t>
  </si>
  <si>
    <t>sidr_honey</t>
  </si>
  <si>
    <t>323-1</t>
  </si>
  <si>
    <t>NS-0311-1</t>
  </si>
  <si>
    <t>alfalfa_honey</t>
  </si>
  <si>
    <t>324-1</t>
  </si>
  <si>
    <t>NS-0381-1</t>
  </si>
  <si>
    <t>nutella</t>
  </si>
  <si>
    <t>398-1</t>
  </si>
  <si>
    <t>NS-0382-1</t>
  </si>
  <si>
    <t>nabsara_nutella_kilo</t>
  </si>
  <si>
    <t>old_370_383-1</t>
  </si>
  <si>
    <t>NS-0382-2</t>
  </si>
  <si>
    <t>nabsara_nutella_bsth_bndy</t>
  </si>
  <si>
    <t>388-2</t>
  </si>
  <si>
    <t>NS-0388-1</t>
  </si>
  <si>
    <t>sugary_bear_vanilla</t>
  </si>
  <si>
    <t>402-1</t>
  </si>
  <si>
    <t>NS-0326-1</t>
  </si>
  <si>
    <t>kakayv</t>
  </si>
  <si>
    <t>339-1</t>
  </si>
  <si>
    <t>NS-0328-1</t>
  </si>
  <si>
    <t>tahini_cream</t>
  </si>
  <si>
    <t>341-1</t>
  </si>
  <si>
    <t>NS-0333-1</t>
  </si>
  <si>
    <t>honey_peanut_butter</t>
  </si>
  <si>
    <t>346-1</t>
  </si>
  <si>
    <t>NS-0342-1</t>
  </si>
  <si>
    <t>ginger_cookie_with_brown_sugar</t>
  </si>
  <si>
    <t>355-1</t>
  </si>
  <si>
    <t>NS-0343-1</t>
  </si>
  <si>
    <t>ginger_cookie_with_date_filling</t>
  </si>
  <si>
    <t>356-1</t>
  </si>
  <si>
    <t>NS-0349-1</t>
  </si>
  <si>
    <t>lar_sesame_for_tahini</t>
  </si>
  <si>
    <t>362-1</t>
  </si>
  <si>
    <t>NS-0037-1</t>
  </si>
  <si>
    <t>spice_grinder</t>
  </si>
  <si>
    <t>ملزومات</t>
  </si>
  <si>
    <t>38-1</t>
  </si>
  <si>
    <t>NS-0263-1</t>
  </si>
  <si>
    <t>container_300_gram</t>
  </si>
  <si>
    <t>274-1</t>
  </si>
  <si>
    <t>NS-0264-1</t>
  </si>
  <si>
    <t>container_spray_green</t>
  </si>
  <si>
    <t>275-1</t>
  </si>
  <si>
    <t>NS-0264-2</t>
  </si>
  <si>
    <t>container_spray_bzrg</t>
  </si>
  <si>
    <t>275-2</t>
  </si>
  <si>
    <t>NS-0266-1</t>
  </si>
  <si>
    <t>glass_bottle_container_half_liter</t>
  </si>
  <si>
    <t>277-1</t>
  </si>
  <si>
    <t>NS-0266-2</t>
  </si>
  <si>
    <t>glass_bottle_container_1_liter</t>
  </si>
  <si>
    <t>277-2</t>
  </si>
  <si>
    <t>NS-0265-1</t>
  </si>
  <si>
    <t>plastic_bottle_container_half_liter</t>
  </si>
  <si>
    <t>276-1</t>
  </si>
  <si>
    <t>NS-0265-2</t>
  </si>
  <si>
    <t>plastic_bottle_container_1_liter</t>
  </si>
  <si>
    <t>276-2</t>
  </si>
  <si>
    <t>NS-0267-1</t>
  </si>
  <si>
    <t>container_jar_jar_25</t>
  </si>
  <si>
    <t>278-1</t>
  </si>
  <si>
    <t>NS-0267-2</t>
  </si>
  <si>
    <t>container_jar_jar_50</t>
  </si>
  <si>
    <t>278-2</t>
  </si>
  <si>
    <t>NS-0268-1</t>
  </si>
  <si>
    <t>jar_container_size_2_kvchk</t>
  </si>
  <si>
    <t>279-1</t>
  </si>
  <si>
    <t>NS-0268-2</t>
  </si>
  <si>
    <t>jar_container_size_2_mtvst</t>
  </si>
  <si>
    <t>279-2</t>
  </si>
  <si>
    <t>NS-0269-1</t>
  </si>
  <si>
    <t>topical_oil_container_30ml</t>
  </si>
  <si>
    <t>280-1</t>
  </si>
  <si>
    <t>NS-0269-2</t>
  </si>
  <si>
    <t>topical_oil_container_60ml</t>
  </si>
  <si>
    <t>280-2</t>
  </si>
  <si>
    <t>NS-0270-1</t>
  </si>
  <si>
    <t>one_kilo_bucket_container</t>
  </si>
  <si>
    <t>281-1</t>
  </si>
  <si>
    <t>NS-0271-1</t>
  </si>
  <si>
    <t>book_shape_container_250_gram</t>
  </si>
  <si>
    <t>282-1</t>
  </si>
  <si>
    <t>NS-0271-2</t>
  </si>
  <si>
    <t>book_shape_container_400_gram</t>
  </si>
  <si>
    <t>282-2</t>
  </si>
  <si>
    <t>NS-0272-1</t>
  </si>
  <si>
    <t>jug_container_kvchk</t>
  </si>
  <si>
    <t>283-1</t>
  </si>
  <si>
    <t>NS-0272-2</t>
  </si>
  <si>
    <t>jug_container_bzrg</t>
  </si>
  <si>
    <t>283-2</t>
  </si>
  <si>
    <t>NS-0053-1</t>
  </si>
  <si>
    <t>pouch</t>
  </si>
  <si>
    <t>56-1</t>
  </si>
  <si>
    <t>NS-0032-1</t>
  </si>
  <si>
    <t>barberry_juice</t>
  </si>
  <si>
    <t>نوشیدنی و عرقیات</t>
  </si>
  <si>
    <t>3-1</t>
  </si>
  <si>
    <t>NS-0033-1</t>
  </si>
  <si>
    <t>sour_grape_juice_half_liter</t>
  </si>
  <si>
    <t>4-1</t>
  </si>
  <si>
    <t>NS-0093-1</t>
  </si>
  <si>
    <t>mountain_tea</t>
  </si>
  <si>
    <t>چای و دمنوش</t>
  </si>
  <si>
    <t>99-1</t>
  </si>
  <si>
    <t>NS-0038-1</t>
  </si>
  <si>
    <t>shirazi_thyme</t>
  </si>
  <si>
    <t>گیاهان دارویی</t>
  </si>
  <si>
    <t>41-1</t>
  </si>
  <si>
    <t>NS-0039-1</t>
  </si>
  <si>
    <t>wild_thyme</t>
  </si>
  <si>
    <t>42-1</t>
  </si>
  <si>
    <t>NS-0028-1</t>
  </si>
  <si>
    <t>stevia</t>
  </si>
  <si>
    <t>36-1</t>
  </si>
  <si>
    <t>NS-0029-1</t>
  </si>
  <si>
    <t>lavender</t>
  </si>
  <si>
    <t>37-1</t>
  </si>
  <si>
    <t>NS-0026-1</t>
  </si>
  <si>
    <t>espand_seed</t>
  </si>
  <si>
    <t>34-1</t>
  </si>
  <si>
    <t>NS-0025-1</t>
  </si>
  <si>
    <t>espand_powder</t>
  </si>
  <si>
    <t>33-1</t>
  </si>
  <si>
    <t>NS-0040-1</t>
  </si>
  <si>
    <t>chamomile</t>
  </si>
  <si>
    <t>43-1</t>
  </si>
  <si>
    <t>NS-0043-1</t>
  </si>
  <si>
    <t>lemon_balm</t>
  </si>
  <si>
    <t>46-1</t>
  </si>
  <si>
    <t>NS-0044-1</t>
  </si>
  <si>
    <t>star_anise</t>
  </si>
  <si>
    <t>47-1</t>
  </si>
  <si>
    <t>NS-0045-1</t>
  </si>
  <si>
    <t>plantain</t>
  </si>
  <si>
    <t>48-1</t>
  </si>
  <si>
    <t>NS-0048-1</t>
  </si>
  <si>
    <t>bay_leaf</t>
  </si>
  <si>
    <t>51-1</t>
  </si>
  <si>
    <t>NS-0051-1</t>
  </si>
  <si>
    <t>dried_quince</t>
  </si>
  <si>
    <t>54-1</t>
  </si>
  <si>
    <t>NS-0108-1</t>
  </si>
  <si>
    <t>hamedan_flixweed</t>
  </si>
  <si>
    <t>114-1</t>
  </si>
  <si>
    <t>NS-0198-1</t>
  </si>
  <si>
    <t>ajwain</t>
  </si>
  <si>
    <t>208-1</t>
  </si>
  <si>
    <t>NS-0211-1</t>
  </si>
  <si>
    <t>valerian</t>
  </si>
  <si>
    <t>222-1</t>
  </si>
  <si>
    <t>NS-0244-1</t>
  </si>
  <si>
    <t>licorice_syrup</t>
  </si>
  <si>
    <t>255-1</t>
  </si>
  <si>
    <t>NS-0245-1</t>
  </si>
  <si>
    <t>licorice_root</t>
  </si>
  <si>
    <t>256-1</t>
  </si>
  <si>
    <t>NS-0366-1</t>
  </si>
  <si>
    <t>savory</t>
  </si>
  <si>
    <t>381-1</t>
  </si>
  <si>
    <t>NS-0373-1</t>
  </si>
  <si>
    <t>dried_mint</t>
  </si>
  <si>
    <t>389-1</t>
  </si>
  <si>
    <t>NS-0354-1</t>
  </si>
  <si>
    <t>marshmallow_flower</t>
  </si>
  <si>
    <t>368-1</t>
  </si>
  <si>
    <t>NS-0357-1</t>
  </si>
  <si>
    <t>borage_flower</t>
  </si>
  <si>
    <t>372-1</t>
  </si>
  <si>
    <t>NS-NEW-0023-1</t>
  </si>
  <si>
    <t>product_23_1</t>
  </si>
  <si>
    <t>25-1</t>
  </si>
  <si>
    <t>NS-NEW-0036-2</t>
  </si>
  <si>
    <t>product_36_2</t>
  </si>
  <si>
    <t>4-2</t>
  </si>
  <si>
    <t>NS-NEW-0057-3</t>
  </si>
  <si>
    <t>product_57_3</t>
  </si>
  <si>
    <t>59-3</t>
  </si>
  <si>
    <t>NS-NEW-0059-3</t>
  </si>
  <si>
    <t>product_59_3</t>
  </si>
  <si>
    <t>61-3</t>
  </si>
  <si>
    <t>NS-NEW-0061-3</t>
  </si>
  <si>
    <t>product_61_3</t>
  </si>
  <si>
    <t>57-3</t>
  </si>
  <si>
    <t>NS-NEW-0065-1</t>
  </si>
  <si>
    <t>product_65_1</t>
  </si>
  <si>
    <t>65-1</t>
  </si>
  <si>
    <t>NS-NEW-0070-1</t>
  </si>
  <si>
    <t>product_70_1</t>
  </si>
  <si>
    <t>70-1</t>
  </si>
  <si>
    <t>NS-NEW-0074-1</t>
  </si>
  <si>
    <t>product_74_1</t>
  </si>
  <si>
    <t>74-1</t>
  </si>
  <si>
    <t>NS-NEW-0077-1</t>
  </si>
  <si>
    <t>product_77_1</t>
  </si>
  <si>
    <t>77-1</t>
  </si>
  <si>
    <t>NS-NEW-0077-2</t>
  </si>
  <si>
    <t>product_77_2</t>
  </si>
  <si>
    <t>77-2</t>
  </si>
  <si>
    <t>NS-NEW-0078-1</t>
  </si>
  <si>
    <t>product_78_1</t>
  </si>
  <si>
    <t>78-1</t>
  </si>
  <si>
    <t>NS-NEW-0078-2</t>
  </si>
  <si>
    <t>product_78_2</t>
  </si>
  <si>
    <t>78-2</t>
  </si>
  <si>
    <t>NS-NEW-0079-1</t>
  </si>
  <si>
    <t>product_79_1</t>
  </si>
  <si>
    <t>79-1</t>
  </si>
  <si>
    <t>NS-NEW-0080-1</t>
  </si>
  <si>
    <t>product_80_1</t>
  </si>
  <si>
    <t>80-1</t>
  </si>
  <si>
    <t>NS-NEW-0080-2</t>
  </si>
  <si>
    <t>product_80_2</t>
  </si>
  <si>
    <t>80-2</t>
  </si>
  <si>
    <t>NS-NEW-0081-1</t>
  </si>
  <si>
    <t>product_81_1</t>
  </si>
  <si>
    <t>81-1</t>
  </si>
  <si>
    <t>NS-NEW-0087-1</t>
  </si>
  <si>
    <t>product_87_1</t>
  </si>
  <si>
    <t>87-1</t>
  </si>
  <si>
    <t>NS-NEW-0089-1</t>
  </si>
  <si>
    <t>product_89_1</t>
  </si>
  <si>
    <t>89-1</t>
  </si>
  <si>
    <t>NS-NEW-0090-1</t>
  </si>
  <si>
    <t>product_90_1</t>
  </si>
  <si>
    <t>90-1</t>
  </si>
  <si>
    <t>NS-NEW-0091-1</t>
  </si>
  <si>
    <t>product_91_1</t>
  </si>
  <si>
    <t>91-1</t>
  </si>
  <si>
    <t>NS-NEW-0092-1</t>
  </si>
  <si>
    <t>product_92_1</t>
  </si>
  <si>
    <t>92-1</t>
  </si>
  <si>
    <t>NS-NEW-0093-1</t>
  </si>
  <si>
    <t>product_93_1</t>
  </si>
  <si>
    <t>93-1</t>
  </si>
  <si>
    <t>NS-NEW-0094-1</t>
  </si>
  <si>
    <t>product_94_1</t>
  </si>
  <si>
    <t>94-1</t>
  </si>
  <si>
    <t>NS-NEW-0095-1</t>
  </si>
  <si>
    <t>product_95_1</t>
  </si>
  <si>
    <t>95-1</t>
  </si>
  <si>
    <t>NS-NEW-0096-1</t>
  </si>
  <si>
    <t>product_96_1</t>
  </si>
  <si>
    <t>96-1</t>
  </si>
  <si>
    <t>NS-NEW-0097-1</t>
  </si>
  <si>
    <t>product_97_1</t>
  </si>
  <si>
    <t>97-1</t>
  </si>
  <si>
    <t>NS-NEW-0098-1</t>
  </si>
  <si>
    <t>product_98_1</t>
  </si>
  <si>
    <t>98-1</t>
  </si>
  <si>
    <t>NS-NEW-0100-1</t>
  </si>
  <si>
    <t>product_100_1</t>
  </si>
  <si>
    <t>100-1</t>
  </si>
  <si>
    <t>NS-NEW-0101-1</t>
  </si>
  <si>
    <t>product_101_1</t>
  </si>
  <si>
    <t>101-1</t>
  </si>
  <si>
    <t>NS-NEW-0102-1</t>
  </si>
  <si>
    <t>product_102_1</t>
  </si>
  <si>
    <t>102-1</t>
  </si>
  <si>
    <t>NS-NEW-0115-1</t>
  </si>
  <si>
    <t>product_115_1</t>
  </si>
  <si>
    <t>115-1</t>
  </si>
  <si>
    <t>NS-NEW-0121-1</t>
  </si>
  <si>
    <t>product_121_1</t>
  </si>
  <si>
    <t>121-1</t>
  </si>
  <si>
    <t>NS-NEW-0122-1</t>
  </si>
  <si>
    <t>product_122_1</t>
  </si>
  <si>
    <t>122-1</t>
  </si>
  <si>
    <t>NS-NEW-0147-1</t>
  </si>
  <si>
    <t>product_147_1</t>
  </si>
  <si>
    <t>147-1</t>
  </si>
  <si>
    <t>NS-NEW-0210-1</t>
  </si>
  <si>
    <t>product_210_1</t>
  </si>
  <si>
    <t>213-1</t>
  </si>
  <si>
    <t>NS-NEW-0210-2</t>
  </si>
  <si>
    <t>product_210_2</t>
  </si>
  <si>
    <t>213-2</t>
  </si>
  <si>
    <t>NS-NEW-0211-1</t>
  </si>
  <si>
    <t>product_211_1</t>
  </si>
  <si>
    <t>214-1</t>
  </si>
  <si>
    <t>NS-NEW-0211-2</t>
  </si>
  <si>
    <t>product_211_2</t>
  </si>
  <si>
    <t>214-2</t>
  </si>
  <si>
    <t>NS-NEW-0215-1</t>
  </si>
  <si>
    <t>product_215_1</t>
  </si>
  <si>
    <t>218-1</t>
  </si>
  <si>
    <t>NS-NEW-0231-1</t>
  </si>
  <si>
    <t>product_231_1</t>
  </si>
  <si>
    <t>234-1</t>
  </si>
  <si>
    <t>NS-NEW-0232-1</t>
  </si>
  <si>
    <t>product_232_1</t>
  </si>
  <si>
    <t>235-1</t>
  </si>
  <si>
    <t>NS-NEW-0232-2</t>
  </si>
  <si>
    <t>product_232_2</t>
  </si>
  <si>
    <t>235-2</t>
  </si>
  <si>
    <t>NS-NEW-0233-1</t>
  </si>
  <si>
    <t>product_233_1</t>
  </si>
  <si>
    <t>236-1</t>
  </si>
  <si>
    <t>NS-NEW-0233-2</t>
  </si>
  <si>
    <t>product_233_2</t>
  </si>
  <si>
    <t>236-2</t>
  </si>
  <si>
    <t>NS-NEW-0260-1</t>
  </si>
  <si>
    <t>product_260_1</t>
  </si>
  <si>
    <t>263-1</t>
  </si>
  <si>
    <t>NS-NEW-0281-1</t>
  </si>
  <si>
    <t>product_281_1</t>
  </si>
  <si>
    <t>284-1</t>
  </si>
  <si>
    <t>NS-NEW-0281-2</t>
  </si>
  <si>
    <t>product_281_2</t>
  </si>
  <si>
    <t>284-2</t>
  </si>
  <si>
    <t>NS-NEW-0282-1</t>
  </si>
  <si>
    <t>product_282_1</t>
  </si>
  <si>
    <t>285-1</t>
  </si>
  <si>
    <t>NS-NEW-0282-2</t>
  </si>
  <si>
    <t>product_282_2</t>
  </si>
  <si>
    <t>285-2</t>
  </si>
  <si>
    <t>NS-NEW-0283-1</t>
  </si>
  <si>
    <t>product_283_1</t>
  </si>
  <si>
    <t>286-1</t>
  </si>
  <si>
    <t>NS-NEW-0283-2</t>
  </si>
  <si>
    <t>product_283_2</t>
  </si>
  <si>
    <t>286-2</t>
  </si>
  <si>
    <t>NS-NEW-0284-1</t>
  </si>
  <si>
    <t>product_284_1</t>
  </si>
  <si>
    <t>287-1</t>
  </si>
  <si>
    <t>NS-NEW-0284-2</t>
  </si>
  <si>
    <t>product_284_2</t>
  </si>
  <si>
    <t>287-2</t>
  </si>
  <si>
    <t>NS-NEW-0285-1</t>
  </si>
  <si>
    <t>product_285_1</t>
  </si>
  <si>
    <t>288-1</t>
  </si>
  <si>
    <t>NS-NEW-0285-2</t>
  </si>
  <si>
    <t>product_285_2</t>
  </si>
  <si>
    <t>288-2</t>
  </si>
  <si>
    <t>NS-NEW-0286-1</t>
  </si>
  <si>
    <t>product_286_1</t>
  </si>
  <si>
    <t>290-1</t>
  </si>
  <si>
    <t>NS-NEW-0286-2</t>
  </si>
  <si>
    <t>product_286_2</t>
  </si>
  <si>
    <t>290-2</t>
  </si>
  <si>
    <t>NS-NEW-0287-1</t>
  </si>
  <si>
    <t>product_287_1</t>
  </si>
  <si>
    <t>289-1</t>
  </si>
  <si>
    <t>NS-NEW-0287-2</t>
  </si>
  <si>
    <t>product_287_2</t>
  </si>
  <si>
    <t>289-2</t>
  </si>
  <si>
    <t>NS-NEW-0288-1</t>
  </si>
  <si>
    <t>product_288_1</t>
  </si>
  <si>
    <t>291-1</t>
  </si>
  <si>
    <t>NS-NEW-0288-2</t>
  </si>
  <si>
    <t>product_288_2</t>
  </si>
  <si>
    <t>291-2</t>
  </si>
  <si>
    <t>NS-NEW-0289-1</t>
  </si>
  <si>
    <t>product_289_1</t>
  </si>
  <si>
    <t>292-1</t>
  </si>
  <si>
    <t>NS-NEW-0289-2</t>
  </si>
  <si>
    <t>product_289_2</t>
  </si>
  <si>
    <t>292-2</t>
  </si>
  <si>
    <t>NS-NEW-0290-1</t>
  </si>
  <si>
    <t>product_290_1</t>
  </si>
  <si>
    <t>293-1</t>
  </si>
  <si>
    <t>NS-NEW-0290-2</t>
  </si>
  <si>
    <t>product_290_2</t>
  </si>
  <si>
    <t>293-2</t>
  </si>
  <si>
    <t>NS-NEW-0291-1</t>
  </si>
  <si>
    <t>product_291_1</t>
  </si>
  <si>
    <t>294-1</t>
  </si>
  <si>
    <t>NS-NEW-0291-2</t>
  </si>
  <si>
    <t>product_291_2</t>
  </si>
  <si>
    <t>294-2</t>
  </si>
  <si>
    <t>NS-NEW-0292-1</t>
  </si>
  <si>
    <t>product_292_1</t>
  </si>
  <si>
    <t>295-1</t>
  </si>
  <si>
    <t>NS-NEW-0292-2</t>
  </si>
  <si>
    <t>product_292_2</t>
  </si>
  <si>
    <t>295-2</t>
  </si>
  <si>
    <t>NS-NEW-0293-1</t>
  </si>
  <si>
    <t>product_293_1</t>
  </si>
  <si>
    <t>296-1</t>
  </si>
  <si>
    <t>NS-NEW-0293-2</t>
  </si>
  <si>
    <t>product_293_2</t>
  </si>
  <si>
    <t>296-2</t>
  </si>
  <si>
    <t>NS-NEW-0294-1</t>
  </si>
  <si>
    <t>product_294_1</t>
  </si>
  <si>
    <t>297-1</t>
  </si>
  <si>
    <t>NS-NEW-0294-2</t>
  </si>
  <si>
    <t>product_294_2</t>
  </si>
  <si>
    <t>297-2</t>
  </si>
  <si>
    <t>NS-NEW-0295-1</t>
  </si>
  <si>
    <t>product_295_1</t>
  </si>
  <si>
    <t>298-1</t>
  </si>
  <si>
    <t>NS-NEW-0295-2</t>
  </si>
  <si>
    <t>product_295_2</t>
  </si>
  <si>
    <t>298-2</t>
  </si>
  <si>
    <t>NS-NEW-0296-1</t>
  </si>
  <si>
    <t>product_296_1</t>
  </si>
  <si>
    <t>299-1</t>
  </si>
  <si>
    <t>NS-NEW-0297-1</t>
  </si>
  <si>
    <t>product_297_1</t>
  </si>
  <si>
    <t>300-1</t>
  </si>
  <si>
    <t>NS-NEW-0297-2</t>
  </si>
  <si>
    <t>product_297_2</t>
  </si>
  <si>
    <t>300-2</t>
  </si>
  <si>
    <t>NS-NEW-0298-1</t>
  </si>
  <si>
    <t>product_298_1</t>
  </si>
  <si>
    <t>301-1</t>
  </si>
  <si>
    <t>NS-NEW-0298-2</t>
  </si>
  <si>
    <t>product_298_2</t>
  </si>
  <si>
    <t>301-2</t>
  </si>
  <si>
    <t>NS-NEW-0299-1</t>
  </si>
  <si>
    <t>product_299_1</t>
  </si>
  <si>
    <t>302-1</t>
  </si>
  <si>
    <t>NS-NEW-0299-2</t>
  </si>
  <si>
    <t>product_299_2</t>
  </si>
  <si>
    <t>302-2</t>
  </si>
  <si>
    <t>NS-NEW-0300-1</t>
  </si>
  <si>
    <t>product_300_1</t>
  </si>
  <si>
    <t>303-1</t>
  </si>
  <si>
    <t>NS-NEW-0300-2</t>
  </si>
  <si>
    <t>product_300_2</t>
  </si>
  <si>
    <t>303-2</t>
  </si>
  <si>
    <t>NS-NEW-0301-1</t>
  </si>
  <si>
    <t>product_301_1</t>
  </si>
  <si>
    <t>304-1</t>
  </si>
  <si>
    <t>NS-NEW-0301-2</t>
  </si>
  <si>
    <t>product_301_2</t>
  </si>
  <si>
    <t>304-2</t>
  </si>
  <si>
    <t>NS-NEW-0302-1</t>
  </si>
  <si>
    <t>product_302_1</t>
  </si>
  <si>
    <t>305-1</t>
  </si>
  <si>
    <t>NS-NEW-0302-2</t>
  </si>
  <si>
    <t>product_302_2</t>
  </si>
  <si>
    <t>305-2</t>
  </si>
  <si>
    <t>NS-NEW-0303-1</t>
  </si>
  <si>
    <t>product_303_1</t>
  </si>
  <si>
    <t>306-1</t>
  </si>
  <si>
    <t>NS-NEW-0303-2</t>
  </si>
  <si>
    <t>product_303_2</t>
  </si>
  <si>
    <t>306-2</t>
  </si>
  <si>
    <t>NS-NEW-0304-1</t>
  </si>
  <si>
    <t>product_304_1</t>
  </si>
  <si>
    <t>307-1</t>
  </si>
  <si>
    <t>NS-NEW-0304-2</t>
  </si>
  <si>
    <t>product_304_2</t>
  </si>
  <si>
    <t>307-2</t>
  </si>
  <si>
    <t>NS-NEW-0305-1</t>
  </si>
  <si>
    <t>product_305_1</t>
  </si>
  <si>
    <t>308-1</t>
  </si>
  <si>
    <t>NS-NEW-0305-2</t>
  </si>
  <si>
    <t>product_305_2</t>
  </si>
  <si>
    <t>308-2</t>
  </si>
  <si>
    <t>NS-NEW-0306-1</t>
  </si>
  <si>
    <t>product_306_1</t>
  </si>
  <si>
    <t>312-1</t>
  </si>
  <si>
    <t>NS-NEW-0306-2</t>
  </si>
  <si>
    <t>product_306_2</t>
  </si>
  <si>
    <t>312-2</t>
  </si>
  <si>
    <t>NS-NEW-0307-1</t>
  </si>
  <si>
    <t>product_307_1</t>
  </si>
  <si>
    <t>309-1</t>
  </si>
  <si>
    <t>NS-NEW-0307-2</t>
  </si>
  <si>
    <t>product_307_2</t>
  </si>
  <si>
    <t>309-2</t>
  </si>
  <si>
    <t>NS-NEW-0308-1</t>
  </si>
  <si>
    <t>product_308_1</t>
  </si>
  <si>
    <t>310-1</t>
  </si>
  <si>
    <t>NS-NEW-0308-2</t>
  </si>
  <si>
    <t>product_308_2</t>
  </si>
  <si>
    <t>310-2</t>
  </si>
  <si>
    <t>NS-NEW-0309-1</t>
  </si>
  <si>
    <t>product_309_1</t>
  </si>
  <si>
    <t>311-1</t>
  </si>
  <si>
    <t>NS-NEW-0309-2</t>
  </si>
  <si>
    <t>product_309_2</t>
  </si>
  <si>
    <t>311-2</t>
  </si>
  <si>
    <t>NS-NEW-0310-1</t>
  </si>
  <si>
    <t>product_310_1</t>
  </si>
  <si>
    <t>313-1</t>
  </si>
  <si>
    <t>NS-NEW-0310-2</t>
  </si>
  <si>
    <t>product_310_2</t>
  </si>
  <si>
    <t>313-2</t>
  </si>
  <si>
    <t>NS-NEW-0311-1</t>
  </si>
  <si>
    <t>product_311_1</t>
  </si>
  <si>
    <t>314-1</t>
  </si>
  <si>
    <t>NS-NEW-0311-2</t>
  </si>
  <si>
    <t>product_311_2</t>
  </si>
  <si>
    <t>314-2</t>
  </si>
  <si>
    <t>NS-NEW-0312-1</t>
  </si>
  <si>
    <t>product_312_1</t>
  </si>
  <si>
    <t>315-1</t>
  </si>
  <si>
    <t>NS-NEW-0312-2</t>
  </si>
  <si>
    <t>product_312_2</t>
  </si>
  <si>
    <t>315-2</t>
  </si>
  <si>
    <t>NS-NEW-0313-1</t>
  </si>
  <si>
    <t>product_313_1</t>
  </si>
  <si>
    <t>316-1</t>
  </si>
  <si>
    <t>NS-NEW-0313-2</t>
  </si>
  <si>
    <t>product_313_2</t>
  </si>
  <si>
    <t>316-2</t>
  </si>
  <si>
    <t>NS-NEW-0314-1</t>
  </si>
  <si>
    <t>product_314_1</t>
  </si>
  <si>
    <t>317-1</t>
  </si>
  <si>
    <t>NS-NEW-0314-2</t>
  </si>
  <si>
    <t>product_314_2</t>
  </si>
  <si>
    <t>317-2</t>
  </si>
  <si>
    <t>NS-NEW-0315-1</t>
  </si>
  <si>
    <t>product_315_1</t>
  </si>
  <si>
    <t>318-1</t>
  </si>
  <si>
    <t>NS-NEW-0315-2</t>
  </si>
  <si>
    <t>product_315_2</t>
  </si>
  <si>
    <t>318-2</t>
  </si>
  <si>
    <t>NS-NEW-0340-2</t>
  </si>
  <si>
    <t>product_340_2</t>
  </si>
  <si>
    <t>343-2</t>
  </si>
  <si>
    <t>NS-NEW-0381-1</t>
  </si>
  <si>
    <t>product_381_1</t>
  </si>
  <si>
    <t>386-1</t>
  </si>
  <si>
    <t>NS-NEW-0390-1</t>
  </si>
  <si>
    <t>product_390_1</t>
  </si>
  <si>
    <t>395-1</t>
  </si>
  <si>
    <t>NS-NEW-0394-1</t>
  </si>
  <si>
    <t>product_394_1</t>
  </si>
  <si>
    <t>399-1</t>
  </si>
  <si>
    <t>NS-NEW-0394-2</t>
  </si>
  <si>
    <t>product_394_2</t>
  </si>
  <si>
    <t>399-2</t>
  </si>
  <si>
    <t>NS-NEW-0400-1</t>
  </si>
  <si>
    <t>product_400_1</t>
  </si>
  <si>
    <t>401-1</t>
  </si>
  <si>
    <t>NS-NEW-0402-1</t>
  </si>
  <si>
    <t>_4_1_</t>
  </si>
  <si>
    <t/>
  </si>
  <si>
    <t>خیر</t>
  </si>
  <si>
    <t>فعال</t>
  </si>
  <si>
    <t>379-1</t>
  </si>
  <si>
    <t>NS-NEW-0403-1</t>
  </si>
  <si>
    <t>_5_1_</t>
  </si>
  <si>
    <t>380-1</t>
  </si>
  <si>
    <t>NS-NEW-0404-1</t>
  </si>
  <si>
    <t>123_123123</t>
  </si>
  <si>
    <t>2-1</t>
  </si>
  <si>
    <t>NS-NEW-0405-1</t>
  </si>
  <si>
    <t>product_405_1_</t>
  </si>
  <si>
    <t>198-1</t>
  </si>
  <si>
    <t>NS-NEW-0406-1</t>
  </si>
  <si>
    <t>product_406_1_</t>
  </si>
  <si>
    <t>199-1</t>
  </si>
  <si>
    <t>NS-NEW-0407-1</t>
  </si>
  <si>
    <t>_3_1_</t>
  </si>
  <si>
    <t>200-1</t>
  </si>
  <si>
    <t>NS-NEW-0407-2</t>
  </si>
  <si>
    <t>_3_2_</t>
  </si>
  <si>
    <t>200-2</t>
  </si>
  <si>
    <t>NS-NEW-0407-3</t>
  </si>
  <si>
    <t>_3_4_</t>
  </si>
  <si>
    <t>200-3</t>
  </si>
  <si>
    <t>قیمت ۱ اولیه</t>
  </si>
  <si>
    <t>نوع/وزن ۱ اولیه</t>
  </si>
  <si>
    <t>قیمت ۲ اولیه</t>
  </si>
  <si>
    <t>نوع/وزن ۲ اولیه</t>
  </si>
  <si>
    <t>این شیت فقط پشتیبان قیمت‌های اولیه است. برای کار روزانه از شیت «قیمت ها» استفاده کن.</t>
  </si>
  <si>
    <t>1,150,000 تومان</t>
  </si>
  <si>
    <t>700,000 تومان</t>
  </si>
  <si>
    <t>600,000 تومان</t>
  </si>
  <si>
    <t>1,100,000 تومان</t>
  </si>
  <si>
    <t>800,000 تومان</t>
  </si>
  <si>
    <t>850,000 تومان</t>
  </si>
  <si>
    <t>750,000 تومان</t>
  </si>
  <si>
    <t>190,000 تومان</t>
  </si>
  <si>
    <t>950,000 تومان</t>
  </si>
  <si>
    <t>900,000 تومان</t>
  </si>
  <si>
    <t>710,000 تومان</t>
  </si>
  <si>
    <t>140,000 تومان</t>
  </si>
  <si>
    <t>200,000 تومان</t>
  </si>
  <si>
    <t>180,000 تومان</t>
  </si>
  <si>
    <t>2,400,000 تومان</t>
  </si>
  <si>
    <t>2,800,000 تومان</t>
  </si>
  <si>
    <t>400,000 تومان</t>
  </si>
  <si>
    <t>نامشخص</t>
  </si>
  <si>
    <t>110,000 تومان</t>
  </si>
  <si>
    <t>210,000 تومان</t>
  </si>
  <si>
    <t>295,000 تومان</t>
  </si>
  <si>
    <t>270,000 تومان</t>
  </si>
  <si>
    <t>390,000 تومان</t>
  </si>
  <si>
    <t>50,000 تومان</t>
  </si>
  <si>
    <t>4,500,000 تومان</t>
  </si>
  <si>
    <t>3,900,000 تومان</t>
  </si>
  <si>
    <t>1,800,000 تومان</t>
  </si>
  <si>
    <t>660,000 تومان</t>
  </si>
  <si>
    <t>2,900,000 تومان</t>
  </si>
  <si>
    <t>1,950,000 تومان</t>
  </si>
  <si>
    <t>890,000 تومان</t>
  </si>
  <si>
    <t>1,250,000 تومان</t>
  </si>
  <si>
    <t>1,500,000 تومان</t>
  </si>
  <si>
    <t>610,000 تومان</t>
  </si>
  <si>
    <t>650,000 تومان</t>
  </si>
  <si>
    <t>990,000 تومان</t>
  </si>
  <si>
    <t>250,000 تومان</t>
  </si>
  <si>
    <t>360,000 تومان</t>
  </si>
  <si>
    <t>120,000 تومان</t>
  </si>
  <si>
    <t>240,000 تومان</t>
  </si>
  <si>
    <t>320,000 تومان</t>
  </si>
  <si>
    <t>550,000 تومان</t>
  </si>
  <si>
    <t>130,000 تومان</t>
  </si>
  <si>
    <t>15,000 تومان</t>
  </si>
  <si>
    <t>20,000 تومان</t>
  </si>
  <si>
    <t>2,100,000 تومان</t>
  </si>
  <si>
    <t>1,200,000 تومان</t>
  </si>
  <si>
    <t>490,000 تومان</t>
  </si>
  <si>
    <t>340,000 تومان</t>
  </si>
  <si>
    <t>3,800,000 تومان</t>
  </si>
  <si>
    <t>580,000 تومان</t>
  </si>
  <si>
    <t>3,250,000 تومان</t>
  </si>
  <si>
    <t>3,700,000 تومان</t>
  </si>
  <si>
    <t>350,000 تومان</t>
  </si>
  <si>
    <t>1,850,000 تومان</t>
  </si>
  <si>
    <t>1,590,000 تومان</t>
  </si>
  <si>
    <t>670,000 تومان</t>
  </si>
  <si>
    <t>430,000 تومان</t>
  </si>
  <si>
    <t>330,000 تومان</t>
  </si>
  <si>
    <t>150,000 تومان</t>
  </si>
  <si>
    <t>480,000 تومان</t>
  </si>
  <si>
    <t>1,900,000 تومان</t>
  </si>
  <si>
    <t>740,000 تومان</t>
  </si>
  <si>
    <t>555,000 تومان</t>
  </si>
  <si>
    <t>80,000 تومان</t>
  </si>
  <si>
    <t>65,000 تومان</t>
  </si>
  <si>
    <t>495,000 تومان</t>
  </si>
  <si>
    <t>170,000 تومان</t>
  </si>
  <si>
    <t>335,000 تومان</t>
  </si>
  <si>
    <t>3,750,000 تومان</t>
  </si>
  <si>
    <t>7,500,000 تومان</t>
  </si>
  <si>
    <t>2,250,000 تومان</t>
  </si>
  <si>
    <t>790,000 تومان</t>
  </si>
  <si>
    <t>100,000 تومان</t>
  </si>
  <si>
    <t>195,000 تومان</t>
  </si>
  <si>
    <t>95,000 تومان</t>
  </si>
  <si>
    <t>1,300,000 تومان</t>
  </si>
  <si>
    <t>2,600,000 تومان</t>
  </si>
  <si>
    <t>1,550,000 تومان</t>
  </si>
  <si>
    <t>3,100,000 تومان</t>
  </si>
  <si>
    <t>135,000 تومان</t>
  </si>
  <si>
    <t>260,000 تومان</t>
  </si>
  <si>
    <t>90,000 تومان</t>
  </si>
  <si>
    <t>115,000 تومان</t>
  </si>
  <si>
    <t>220,000 تومان</t>
  </si>
  <si>
    <t>185,000 تومان</t>
  </si>
  <si>
    <t>500,000 تومان</t>
  </si>
  <si>
    <t>1,000,000 تومان</t>
  </si>
  <si>
    <t>70,000 تومان</t>
  </si>
  <si>
    <t>255,000 تومان</t>
  </si>
  <si>
    <t>1,760,000 تومان</t>
  </si>
  <si>
    <t>3,500,000 تومان</t>
  </si>
  <si>
    <t>145,000 تومان</t>
  </si>
  <si>
    <t>1,475,000 تومان</t>
  </si>
  <si>
    <t>2,950,000 تومان</t>
  </si>
  <si>
    <t>45,000 تومان</t>
  </si>
  <si>
    <t>85,000 تومان</t>
  </si>
  <si>
    <t>160,000 تومان</t>
  </si>
  <si>
    <t>75,000 تومان</t>
  </si>
  <si>
    <t>2,200,000 تومان</t>
  </si>
  <si>
    <t>880,000 تومان</t>
  </si>
  <si>
    <t>1,340,000 تومان</t>
  </si>
  <si>
    <t>910,000 تومان</t>
  </si>
  <si>
    <t>3,000,000 تومان</t>
  </si>
  <si>
    <t>450,000 تومان</t>
  </si>
  <si>
    <t>380,000 تومان</t>
  </si>
  <si>
    <t>155,000 تومان</t>
  </si>
  <si>
    <t>980,000 تومان</t>
  </si>
  <si>
    <t>230,000 تومان</t>
  </si>
  <si>
    <t>300,000 تومان</t>
  </si>
  <si>
    <t>30,000 تومان</t>
  </si>
  <si>
    <t>60,000 تومان</t>
  </si>
  <si>
    <t>18,000 تومان</t>
  </si>
  <si>
    <t>23,000 تومان</t>
  </si>
  <si>
    <t>32,000 تومان</t>
  </si>
  <si>
    <t>35,000 تومان</t>
  </si>
  <si>
    <t>25,000 تومان</t>
  </si>
  <si>
    <t>12,000 تومان</t>
  </si>
  <si>
    <t>22,000 تومان</t>
  </si>
  <si>
    <t>40,000 تومان</t>
  </si>
  <si>
    <t>105,000 تومان</t>
  </si>
  <si>
    <t>280,000 تومان</t>
  </si>
  <si>
    <t>410,000 تومان</t>
  </si>
  <si>
    <t>2,300,000 تومان</t>
  </si>
  <si>
    <t>4,900,000 تومان</t>
  </si>
  <si>
    <t>690,000 تومان</t>
  </si>
  <si>
    <t>810,000 تومان</t>
  </si>
  <si>
    <t>460,000 تومان</t>
  </si>
  <si>
    <t>680,000 تومان</t>
  </si>
  <si>
    <t>4,400,000 تومان</t>
  </si>
  <si>
    <t>3,200,000 تومان</t>
  </si>
  <si>
    <t>3,300,000 تومان</t>
  </si>
  <si>
    <t>1,750,000 تومان</t>
  </si>
  <si>
    <t>نام / مجموعه</t>
  </si>
  <si>
    <t>شماره تماس</t>
  </si>
  <si>
    <t>توضیحات</t>
  </si>
  <si>
    <t>آقای موسوی (لرد بادام تلخ)</t>
  </si>
  <si>
    <t>09389682727</t>
  </si>
  <si>
    <t>خانم دلاور (نعناع خشک)</t>
  </si>
  <si>
    <t>09106287073</t>
  </si>
  <si>
    <t>فست فود بلوط</t>
  </si>
  <si>
    <t>33859128</t>
  </si>
  <si>
    <t>آقای روشن (منتول استنشاقی)</t>
  </si>
  <si>
    <t>09915700347</t>
  </si>
  <si>
    <t>گزارش کارتخوان سال 1405</t>
  </si>
  <si>
    <t>ماه</t>
  </si>
  <si>
    <t>مبلغ کارتخوان (ریال)</t>
  </si>
  <si>
    <t>مبلغ نقدی (تومان)</t>
  </si>
  <si>
    <t>کارت‌به‌کارت (تومان)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</si>
  <si>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</si>
  <si>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</si>
  <si>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</si>
  <si>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</si>
  <si>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</si>
  <si>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</si>
  <si>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</si>
  <si>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</si>
  <si>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</si>
  <si>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</si>
  <si>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</si>
  <si>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</si>
  <si>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عنوان</t>
  </si>
  <si>
    <t>توضیح</t>
  </si>
  <si>
    <t>نسخه مرتب‌شده فایل</t>
  </si>
  <si>
    <t>هدرهای تکراری اصلاح شد، ردیف خالی حذف شد و ظاهر شیت‌ها یکدست و خواناتر شد.</t>
  </si>
  <si>
    <t>شیت قیمت</t>
  </si>
  <si>
    <t>ستون‌ها به نام محصول، قیمت ۱/۲/۳ و واحد/وزن ۱/۲/۳ تبدیل شد.</t>
  </si>
  <si>
    <t>نمایش قیمت‌ها</t>
  </si>
  <si>
    <t>منبع اصلی قیمت‌ها ستون price_toman در شیت site_prices است. شیت «قیمت ها» فقط خروجی فرمولی قیمت ۱ و قیمت ۲ را نمایش می‌دهد.</t>
  </si>
  <si>
    <t>مقادیر نامشخص</t>
  </si>
  <si>
    <t>علامت سؤال به «نامشخص» تبدیل و با رنگ هشدار مشخص شد تا بعداً تکمیل شود.</t>
  </si>
  <si>
    <t>نام‌گذاری</t>
  </si>
  <si>
    <t>فاصله‌های اضافی، چند واحد نوشتاری و املای برند «ناب سرا» یکدست شد.</t>
  </si>
  <si>
    <t>تاریخ (شمسی)</t>
  </si>
  <si>
    <t>ساعت</t>
  </si>
  <si>
    <t>قیمت قبلی (تومان)</t>
  </si>
  <si>
    <t>قیمت جدید (تومان)</t>
  </si>
  <si>
    <t>۱۴۰۵/۰۴/۱۴</t>
  </si>
  <si>
    <t>۲۳:۱۸</t>
  </si>
  <si>
    <t>۲۳:۲۰</t>
  </si>
  <si>
    <t>۱۴۰۵/۰۴/۲۴</t>
  </si>
  <si>
    <t>۰۹:۱۴</t>
  </si>
  <si>
    <t>روغن آرگان مراکش</t>
  </si>
  <si>
    <t>argan</t>
  </si>
  <si>
    <t>۰۹:۲۱</t>
  </si>
  <si>
    <t>sour_grape_juice</t>
  </si>
  <si>
    <t>۰۹:۲۴</t>
  </si>
  <si>
    <t>oil_argan_grade_1</t>
  </si>
  <si>
    <t>۱۰:۴۴</t>
  </si>
  <si>
    <t>۲۲:۵۸</t>
  </si>
  <si>
    <t>محصول شماره 2</t>
  </si>
  <si>
    <t>_2</t>
  </si>
  <si>
    <t>NS-NEW-0779-1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</si>
</sst>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&gt;=1000]#&quot;/&quot;000;0"/>
    <numFmt numFmtId="165" formatCode="#,##0 &quot;تومان&quot;"/>
    <numFmt numFmtId="166" formatCode="0&quot;%&quot;"/>
    <numFmt numFmtId="167" formatCode="#,##0 &quot;ریال&quot;"/>
  </numFmts>
  <fonts count="9" x14ac:knownFonts="1">
    <font>
      <color theme="1"/>
      <family val="2"/>
      <scheme val="minor"/>
      <sz val="11"/>
      <name val="Calibri"/>
    </font>
    <font>
      <color theme="1"/>
      <family val="1"/>
      <scheme val="major"/>
      <sz val="16"/>
      <name val="Calibri"/>
    </font>
    <font>
      <family val="1"/>
      <scheme val="major"/>
      <sz val="16"/>
      <name val="Calibri"/>
    </font>
    <font>
      <b/>
      <color rgb="FFFFFFFF"/>
      <sz val="11"/>
      <name val="Carlito"/>
    </font>
    <font>
      <b/>
      <color rgb="FF000000"/>
      <sz val="11"/>
      <name val="Carlito"/>
    </font>
    <font>
      <b/>
      <sz val="11"/>
      <name val="Carlito"/>
    </font>
    <font>
      <b/>
      <color rgb="FFFFFFFF"/>
      <sz val="13"/>
      <name val="Carlito"/>
    </font>
    <font>
      <color rgb="FFFFFFFF"/>
      <sz val="11"/>
      <name val="Carlito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7C2D1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/>
    <xf numFmtId="0" fontId="6" fillId="6" borderId="0" xfId="0" applyFont="1" applyFill="1"/>
    <xf numFmtId="0" fontId="7" fillId="2" borderId="0" xfId="0" applyFont="1" applyFill="1"/>
    <xf numFmtId="0" fontId="8" fillId="0" borderId="0" xfId="0" applyFont="1"/>
    <xf numFmtId="3" fontId="8" fillId="0" borderId="0" xfId="0" applyNumberFormat="1" applyFont="1"/>
    <xf numFmtId="3" fontId="8" fillId="7" borderId="0" xfId="0" applyNumberFormat="1" applyFont="1" applyFill="1"/>
    <xf numFmtId="1" fontId="8" fillId="7" borderId="0" xfId="0" applyNumberFormat="1" applyFont="1" applyFill="1"/>
    <xf numFmtId="0" fontId="8" fillId="7" borderId="0" xfId="0" applyFont="1" applyFill="1"/>
    <xf numFmtId="0" fontId="3" fillId="8" borderId="0" xfId="0" applyFont="1" applyFill="1" applyAlignment="1">
      <alignment horizontal="center" vertical="center"/>
    </xf>
    <xf numFmtId="165" fontId="8" fillId="0" borderId="0" xfId="0" applyNumberFormat="1" applyFont="1"/>
    <xf numFmtId="166" fontId="8" fillId="7" borderId="0" xfId="0" applyNumberFormat="1" applyFont="1" applyFill="1"/>
    <xf numFmtId="0" fontId="3" fillId="9" borderId="0" xfId="0" applyFont="1" applyFill="1" applyAlignment="1">
      <alignment horizontal="center" vertical="center"/>
    </xf>
    <xf numFmtId="49" fontId="8" fillId="0" borderId="0" xfId="0" applyNumberFormat="1" applyFont="1"/>
    <xf numFmtId="0" fontId="6" fillId="10" borderId="0" xfId="0" applyFont="1" applyFill="1" applyAlignment="1">
      <alignment horizontal="center" vertical="center"/>
    </xf>
    <xf numFmtId="167" fontId="8" fillId="0" borderId="0" xfId="0" applyNumberFormat="1" applyFont="1"/>
    <xf numFmtId="0" fontId="3" fillId="9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7"/>
  <sheetViews>
    <sheetView workbookViewId="0" zoomScale="100" zoomScaleNormal="100">
      <selection activeCell="D402" sqref="D402"/>
    </sheetView>
  </sheetViews>
  <sheetFormatPr defaultRowHeight="14.4" outlineLevelRow="0" outlineLevelCol="0" x14ac:dyDescent="0" defaultColWidth="9" customHeight="1"/>
  <cols>
    <col min="1" max="1" width="32.44140625" customWidth="1"/>
    <col min="2" max="2" width="14.44140625" customWidth="1"/>
    <col min="3" max="3" width="13.5546875" customWidth="1"/>
    <col min="4" max="4" width="13.33203125" customWidth="1"/>
    <col min="5" max="6" width="13.5546875" customWidth="1"/>
  </cols>
  <sheetData>
    <row r="1" ht="21" customHeight="1" spans="1:7" x14ac:dyDescent="0.25">
      <c r="A1" s="1" t="s">
        <v>0</v>
      </c>
      <c r="B1" s="2" t="s">
        <v>1</v>
      </c>
      <c r="C1" s="2" t="s">
        <v>2</v>
      </c>
      <c r="D1" s="2" t="s">
        <v>1</v>
      </c>
      <c r="E1" s="3" t="s">
        <v>2</v>
      </c>
      <c r="F1" s="4" t="s">
        <v>3</v>
      </c>
      <c r="G1" s="5" t="s">
        <v>4</v>
      </c>
    </row>
    <row r="2" ht="21" customHeight="1" spans="1:9" x14ac:dyDescent="0.25">
      <c r="A2" s="6" t="s">
        <v>5</v>
      </c>
      <c r="B2" s="7">
        <v>1212</v>
      </c>
      <c r="C2" s="8" t="s">
        <v>6</v>
      </c>
      <c r="D2" s="7"/>
      <c r="E2" s="8"/>
      <c r="F2" s="7"/>
      <c r="G2" s="8"/>
    </row>
    <row r="3" ht="21" customHeight="1" spans="1:9" x14ac:dyDescent="0.25">
      <c r="A3" s="6" t="s">
        <v>7</v>
      </c>
      <c r="B3" s="7" t="s">
        <v>8</v>
      </c>
      <c r="C3" s="8" t="s">
        <v>9</v>
      </c>
      <c r="D3" s="7"/>
      <c r="E3" s="8"/>
      <c r="F3" s="7"/>
      <c r="G3" s="8"/>
    </row>
    <row r="4" ht="21" customHeight="1" spans="1:9" x14ac:dyDescent="0.25">
      <c r="A4" s="6" t="s">
        <v>10</v>
      </c>
      <c r="B4" s="7">
        <v>110</v>
      </c>
      <c r="C4" s="8" t="s">
        <v>11</v>
      </c>
      <c r="D4" s="7">
        <v>210</v>
      </c>
      <c r="E4" s="8" t="s">
        <v>12</v>
      </c>
      <c r="F4" s="7"/>
      <c r="G4" s="8"/>
    </row>
    <row r="5" ht="21" customHeight="1" spans="1:9" x14ac:dyDescent="0.25">
      <c r="A5" s="6" t="s">
        <v>13</v>
      </c>
      <c r="B5" s="7">
        <v>600</v>
      </c>
      <c r="C5" s="8" t="s">
        <v>9</v>
      </c>
      <c r="D5" s="7"/>
      <c r="E5" s="8"/>
      <c r="F5" s="7"/>
      <c r="G5" s="8"/>
    </row>
    <row r="6" ht="21" customHeight="1" spans="1:9" x14ac:dyDescent="0.25">
      <c r="A6" s="6" t="s">
        <v>14</v>
      </c>
      <c r="B6" s="7">
        <v>1150</v>
      </c>
      <c r="C6" s="8" t="s">
        <v>9</v>
      </c>
      <c r="D6" s="7"/>
      <c r="E6" s="8"/>
      <c r="F6" s="7"/>
      <c r="G6" s="8"/>
    </row>
    <row r="7" ht="21" customHeight="1" spans="1:9" x14ac:dyDescent="0.25">
      <c r="A7" s="6" t="s">
        <v>15</v>
      </c>
      <c r="B7" s="7">
        <v>700</v>
      </c>
      <c r="C7" s="8" t="s">
        <v>9</v>
      </c>
      <c r="D7" s="7"/>
      <c r="E7" s="8"/>
      <c r="F7" s="7"/>
      <c r="G7" s="8"/>
    </row>
    <row r="8" ht="21" customHeight="1" spans="1:9" x14ac:dyDescent="0.25">
      <c r="A8" s="6" t="s">
        <v>16</v>
      </c>
      <c r="B8" s="7">
        <v>700</v>
      </c>
      <c r="C8" s="8" t="s">
        <v>9</v>
      </c>
      <c r="D8" s="7"/>
      <c r="E8" s="8"/>
      <c r="F8" s="7"/>
      <c r="G8" s="8"/>
    </row>
    <row r="9" ht="21" customHeight="1" spans="1:9" x14ac:dyDescent="0.25">
      <c r="A9" s="6" t="s">
        <v>17</v>
      </c>
      <c r="B9" s="7">
        <v>1100</v>
      </c>
      <c r="C9" s="8" t="s">
        <v>9</v>
      </c>
      <c r="D9" s="7"/>
      <c r="E9" s="8"/>
      <c r="F9" s="7"/>
      <c r="G9" s="8"/>
    </row>
    <row r="10" ht="21" customHeight="1" spans="1:9" x14ac:dyDescent="0.25">
      <c r="A10" s="6" t="s">
        <v>18</v>
      </c>
      <c r="B10" s="7">
        <v>800</v>
      </c>
      <c r="C10" s="8" t="s">
        <v>9</v>
      </c>
      <c r="D10" s="7"/>
      <c r="E10" s="8"/>
      <c r="F10" s="7"/>
      <c r="G10" s="8"/>
    </row>
    <row r="11" ht="21" customHeight="1" spans="1:9" x14ac:dyDescent="0.25">
      <c r="A11" s="6" t="s">
        <v>19</v>
      </c>
      <c r="B11" s="7">
        <v>850</v>
      </c>
      <c r="C11" s="8" t="s">
        <v>9</v>
      </c>
      <c r="D11" s="7"/>
      <c r="E11" s="8"/>
      <c r="F11" s="7"/>
      <c r="G11" s="8"/>
    </row>
    <row r="12" ht="21" customHeight="1" spans="1:9" x14ac:dyDescent="0.25">
      <c r="A12" s="6" t="s">
        <v>20</v>
      </c>
      <c r="B12" s="7">
        <v>750</v>
      </c>
      <c r="C12" s="8" t="s">
        <v>9</v>
      </c>
      <c r="D12" s="7"/>
      <c r="E12" s="8"/>
      <c r="F12" s="7"/>
      <c r="G12" s="8"/>
    </row>
    <row r="13" ht="21" customHeight="1" spans="1:9" x14ac:dyDescent="0.25">
      <c r="A13" s="6" t="s">
        <v>21</v>
      </c>
      <c r="B13" s="7">
        <v>800</v>
      </c>
      <c r="C13" s="8" t="s">
        <v>9</v>
      </c>
      <c r="D13" s="7"/>
      <c r="E13" s="8"/>
      <c r="F13" s="7"/>
      <c r="G13" s="8"/>
    </row>
    <row r="14" ht="21" customHeight="1" spans="1:9" x14ac:dyDescent="0.25">
      <c r="A14" s="6" t="s">
        <v>22</v>
      </c>
      <c r="B14" s="7">
        <v>1100</v>
      </c>
      <c r="C14" s="8" t="s">
        <v>9</v>
      </c>
      <c r="D14" s="7"/>
      <c r="E14" s="8"/>
      <c r="F14" s="7"/>
      <c r="G14" s="8"/>
    </row>
    <row r="15" ht="21" customHeight="1" spans="1:9" x14ac:dyDescent="0.25">
      <c r="A15" s="6" t="s">
        <v>23</v>
      </c>
      <c r="B15" s="7">
        <v>800</v>
      </c>
      <c r="C15" s="8" t="s">
        <v>9</v>
      </c>
      <c r="D15" s="7"/>
      <c r="E15" s="8"/>
      <c r="F15" s="7"/>
      <c r="G15" s="8"/>
    </row>
    <row r="16" ht="21" customHeight="1" spans="1:9" x14ac:dyDescent="0.25">
      <c r="A16" s="6" t="s">
        <v>24</v>
      </c>
      <c r="B16" s="7">
        <v>850</v>
      </c>
      <c r="C16" s="8" t="s">
        <v>9</v>
      </c>
      <c r="D16" s="7"/>
      <c r="E16" s="8"/>
      <c r="F16" s="7"/>
      <c r="G16" s="8"/>
    </row>
    <row r="17" ht="21" customHeight="1" spans="1:9" x14ac:dyDescent="0.25">
      <c r="A17" s="6" t="s">
        <v>25</v>
      </c>
      <c r="B17" s="7">
        <v>1100</v>
      </c>
      <c r="C17" s="8" t="s">
        <v>9</v>
      </c>
      <c r="D17" s="7"/>
      <c r="E17" s="8"/>
      <c r="F17" s="7"/>
      <c r="G17" s="8"/>
    </row>
    <row r="18" ht="21" customHeight="1" spans="1:9" x14ac:dyDescent="0.25">
      <c r="A18" s="6" t="s">
        <v>26</v>
      </c>
      <c r="B18" s="7">
        <v>800</v>
      </c>
      <c r="C18" s="8" t="s">
        <v>9</v>
      </c>
      <c r="D18" s="7"/>
      <c r="E18" s="8"/>
      <c r="F18" s="7"/>
      <c r="G18" s="8"/>
    </row>
    <row r="19" ht="21" customHeight="1" spans="1:9" x14ac:dyDescent="0.25">
      <c r="A19" s="6" t="s">
        <v>27</v>
      </c>
      <c r="B19" s="7">
        <v>190</v>
      </c>
      <c r="C19" s="8" t="s">
        <v>9</v>
      </c>
      <c r="D19" s="7"/>
      <c r="E19" s="8"/>
      <c r="F19" s="7"/>
      <c r="G19" s="8"/>
    </row>
    <row r="20" ht="21" customHeight="1" spans="1:9" x14ac:dyDescent="0.25">
      <c r="A20" s="6" t="s">
        <v>28</v>
      </c>
      <c r="B20" s="7">
        <v>900</v>
      </c>
      <c r="C20" s="8" t="s">
        <v>9</v>
      </c>
      <c r="D20" s="7"/>
      <c r="E20" s="8"/>
      <c r="F20" s="7"/>
      <c r="G20" s="8"/>
    </row>
    <row r="21" ht="21" customHeight="1" spans="1:9" x14ac:dyDescent="0.25">
      <c r="A21" s="6" t="s">
        <v>29</v>
      </c>
      <c r="B21" s="7">
        <v>950</v>
      </c>
      <c r="C21" s="8" t="s">
        <v>9</v>
      </c>
      <c r="D21" s="7"/>
      <c r="E21" s="8"/>
      <c r="F21" s="7"/>
      <c r="G21" s="8"/>
    </row>
    <row r="22" ht="21" customHeight="1" spans="1:9" x14ac:dyDescent="0.25">
      <c r="A22" s="6" t="s">
        <v>30</v>
      </c>
      <c r="B22" s="7">
        <v>700</v>
      </c>
      <c r="C22" s="8" t="s">
        <v>9</v>
      </c>
      <c r="D22" s="7"/>
      <c r="E22" s="8"/>
      <c r="F22" s="7"/>
      <c r="G22" s="8"/>
    </row>
    <row r="23" ht="21" customHeight="1" spans="1:9" x14ac:dyDescent="0.25">
      <c r="A23" s="6" t="s">
        <v>31</v>
      </c>
      <c r="B23" s="7">
        <v>850</v>
      </c>
      <c r="C23" s="8" t="s">
        <v>9</v>
      </c>
      <c r="D23" s="7"/>
      <c r="E23" s="8"/>
      <c r="F23" s="7"/>
      <c r="G23" s="8"/>
    </row>
    <row r="24" ht="21" customHeight="1" spans="1:9" x14ac:dyDescent="0.25">
      <c r="A24" s="6" t="s">
        <v>32</v>
      </c>
      <c r="B24" s="7">
        <v>1100</v>
      </c>
      <c r="C24" s="8" t="s">
        <v>9</v>
      </c>
      <c r="D24" s="7"/>
      <c r="E24" s="8"/>
      <c r="F24" s="7"/>
      <c r="G24" s="8"/>
    </row>
    <row r="25" ht="21" customHeight="1" spans="1:9" x14ac:dyDescent="0.25">
      <c r="A25" s="6" t="s">
        <v>33</v>
      </c>
      <c r="B25" s="7">
        <v>800</v>
      </c>
      <c r="C25" s="8"/>
      <c r="D25" s="7"/>
      <c r="E25" s="8"/>
      <c r="F25" s="7"/>
      <c r="G25" s="8"/>
    </row>
    <row r="26" ht="21" customHeight="1" spans="1:9" x14ac:dyDescent="0.25">
      <c r="A26" s="6" t="s">
        <v>34</v>
      </c>
      <c r="B26" s="7">
        <v>800</v>
      </c>
      <c r="C26" s="8" t="s">
        <v>9</v>
      </c>
      <c r="D26" s="7"/>
      <c r="E26" s="8"/>
      <c r="F26" s="7"/>
      <c r="G26" s="8"/>
    </row>
    <row r="27" ht="21" customHeight="1" spans="1:9" x14ac:dyDescent="0.25">
      <c r="A27" s="6" t="s">
        <v>35</v>
      </c>
      <c r="B27" s="7">
        <v>900</v>
      </c>
      <c r="C27" s="8" t="s">
        <v>9</v>
      </c>
      <c r="D27" s="7"/>
      <c r="E27" s="8"/>
      <c r="F27" s="7"/>
      <c r="G27" s="8"/>
    </row>
    <row r="28" ht="21" customHeight="1" spans="1:9" x14ac:dyDescent="0.25">
      <c r="A28" s="6" t="s">
        <v>36</v>
      </c>
      <c r="B28" s="7">
        <v>950</v>
      </c>
      <c r="C28" s="8" t="s">
        <v>9</v>
      </c>
      <c r="D28" s="7"/>
      <c r="E28" s="8"/>
      <c r="F28" s="7"/>
      <c r="G28" s="8"/>
    </row>
    <row r="29" ht="21" customHeight="1" spans="1:9" x14ac:dyDescent="0.25">
      <c r="A29" s="6" t="s">
        <v>37</v>
      </c>
      <c r="B29" s="7">
        <v>295</v>
      </c>
      <c r="C29" s="8" t="s">
        <v>9</v>
      </c>
      <c r="D29" s="7"/>
      <c r="E29" s="8"/>
      <c r="F29" s="7"/>
      <c r="G29" s="8"/>
    </row>
    <row r="30" ht="21" customHeight="1" spans="1:9" x14ac:dyDescent="0.25">
      <c r="A30" s="6" t="s">
        <v>38</v>
      </c>
      <c r="B30" s="7">
        <v>270</v>
      </c>
      <c r="C30" s="8" t="s">
        <v>9</v>
      </c>
      <c r="D30" s="7"/>
      <c r="E30" s="8"/>
      <c r="F30" s="7"/>
      <c r="G30" s="8"/>
    </row>
    <row r="31" ht="21" customHeight="1" spans="1:9" x14ac:dyDescent="0.25">
      <c r="A31" s="6" t="s">
        <v>39</v>
      </c>
      <c r="B31" s="7">
        <v>390</v>
      </c>
      <c r="C31" s="8" t="s">
        <v>9</v>
      </c>
      <c r="D31" s="7"/>
      <c r="E31" s="8"/>
      <c r="F31" s="7"/>
      <c r="G31" s="8"/>
    </row>
    <row r="32" ht="21" customHeight="1" spans="1:9" x14ac:dyDescent="0.25">
      <c r="A32" s="6" t="s">
        <v>40</v>
      </c>
      <c r="B32" s="7">
        <v>710</v>
      </c>
      <c r="C32" s="8" t="s">
        <v>9</v>
      </c>
      <c r="D32" s="7"/>
      <c r="E32" s="8"/>
      <c r="F32" s="7"/>
      <c r="G32" s="8"/>
    </row>
    <row r="33" ht="21" customHeight="1" spans="1:9" x14ac:dyDescent="0.25">
      <c r="A33" s="6" t="s">
        <v>41</v>
      </c>
      <c r="B33" s="7">
        <v>140</v>
      </c>
      <c r="C33" s="8" t="s">
        <v>9</v>
      </c>
      <c r="D33" s="7"/>
      <c r="E33" s="8"/>
      <c r="F33" s="7"/>
      <c r="G33" s="8"/>
    </row>
    <row r="34" ht="21" customHeight="1" spans="1:9" x14ac:dyDescent="0.25">
      <c r="A34" s="6" t="s">
        <v>42</v>
      </c>
      <c r="B34" s="7">
        <v>200</v>
      </c>
      <c r="C34" s="8" t="s">
        <v>9</v>
      </c>
      <c r="D34" s="7"/>
      <c r="E34" s="8"/>
      <c r="F34" s="7"/>
      <c r="G34" s="8"/>
    </row>
    <row r="35" ht="21" customHeight="1" spans="1:9" x14ac:dyDescent="0.25">
      <c r="A35" s="6" t="s">
        <v>43</v>
      </c>
      <c r="B35" s="7">
        <v>180</v>
      </c>
      <c r="C35" s="8" t="s">
        <v>9</v>
      </c>
      <c r="D35" s="7"/>
      <c r="E35" s="8"/>
      <c r="F35" s="7"/>
      <c r="G35" s="8"/>
    </row>
    <row r="36" ht="21" customHeight="1" spans="1:9" x14ac:dyDescent="0.25">
      <c r="A36" s="6" t="s">
        <v>44</v>
      </c>
      <c r="B36" s="7">
        <v>2400</v>
      </c>
      <c r="C36" s="8" t="s">
        <v>9</v>
      </c>
      <c r="D36" s="7"/>
      <c r="E36" s="9"/>
      <c r="F36" s="7"/>
      <c r="G36" s="9"/>
    </row>
    <row r="37" ht="21" customHeight="1" spans="1:9" x14ac:dyDescent="0.25">
      <c r="A37" s="6" t="s">
        <v>45</v>
      </c>
      <c r="B37" s="7">
        <v>2800</v>
      </c>
      <c r="C37" s="8" t="s">
        <v>9</v>
      </c>
      <c r="D37" s="7"/>
      <c r="E37" s="8"/>
      <c r="F37" s="7"/>
      <c r="G37" s="8"/>
    </row>
    <row r="38" ht="21" customHeight="1" spans="1:9" x14ac:dyDescent="0.25">
      <c r="A38" s="6" t="s">
        <v>46</v>
      </c>
      <c r="B38" s="7">
        <v>50</v>
      </c>
      <c r="C38" s="8" t="s">
        <v>47</v>
      </c>
      <c r="D38" s="7"/>
      <c r="E38" s="8"/>
      <c r="F38" s="7"/>
      <c r="G38" s="8"/>
    </row>
    <row r="39" ht="21" customHeight="1" spans="1:9" x14ac:dyDescent="0.25">
      <c r="A39" s="6" t="s">
        <v>48</v>
      </c>
      <c r="B39" s="7">
        <v>1100</v>
      </c>
      <c r="C39" s="8" t="s">
        <v>9</v>
      </c>
      <c r="D39" s="7"/>
      <c r="E39" s="8"/>
      <c r="F39" s="7"/>
      <c r="G39" s="8"/>
    </row>
    <row r="40" ht="21" customHeight="1" spans="1:9" x14ac:dyDescent="0.25">
      <c r="A40" s="6" t="s">
        <v>49</v>
      </c>
      <c r="B40" s="7">
        <v>400</v>
      </c>
      <c r="C40" s="8" t="s">
        <v>9</v>
      </c>
      <c r="D40" s="7"/>
      <c r="E40" s="8"/>
      <c r="F40" s="7"/>
      <c r="G40" s="8"/>
    </row>
    <row r="41" ht="21" customHeight="1" spans="1:9" x14ac:dyDescent="0.25">
      <c r="A41" s="6" t="s">
        <v>50</v>
      </c>
      <c r="B41" s="7">
        <v>4500</v>
      </c>
      <c r="C41" s="8" t="s">
        <v>9</v>
      </c>
      <c r="D41" s="7"/>
      <c r="E41" s="8"/>
      <c r="F41" s="7"/>
      <c r="G41" s="8"/>
    </row>
    <row r="42" ht="21" customHeight="1" spans="1:9" x14ac:dyDescent="0.25">
      <c r="A42" s="6" t="s">
        <v>51</v>
      </c>
      <c r="B42" s="7">
        <v>3900</v>
      </c>
      <c r="C42" s="8" t="s">
        <v>9</v>
      </c>
      <c r="D42" s="7"/>
      <c r="E42" s="8"/>
      <c r="F42" s="7"/>
      <c r="G42" s="8"/>
    </row>
    <row r="43" ht="21" customHeight="1" spans="1:9" x14ac:dyDescent="0.25">
      <c r="A43" s="6" t="s">
        <v>52</v>
      </c>
      <c r="B43" s="7">
        <v>1200</v>
      </c>
      <c r="C43" s="8" t="s">
        <v>9</v>
      </c>
      <c r="D43" s="7"/>
      <c r="E43" s="8"/>
      <c r="F43" s="7"/>
      <c r="G43" s="8"/>
    </row>
    <row r="44" ht="21" customHeight="1" spans="1:9" x14ac:dyDescent="0.25">
      <c r="A44" s="6" t="s">
        <v>53</v>
      </c>
      <c r="B44" s="7">
        <v>660</v>
      </c>
      <c r="C44" s="8" t="s">
        <v>9</v>
      </c>
      <c r="D44" s="7"/>
      <c r="E44" s="8"/>
      <c r="F44" s="7"/>
      <c r="G44" s="8"/>
    </row>
    <row r="45" ht="21" customHeight="1" spans="1:9" x14ac:dyDescent="0.25">
      <c r="A45" s="6" t="s">
        <v>54</v>
      </c>
      <c r="B45" s="7" t="s">
        <v>8</v>
      </c>
      <c r="C45" s="8" t="s">
        <v>9</v>
      </c>
      <c r="D45" s="7"/>
      <c r="E45" s="8"/>
      <c r="F45" s="7"/>
      <c r="G45" s="8"/>
    </row>
    <row r="46" ht="21" customHeight="1" spans="1:9" x14ac:dyDescent="0.25">
      <c r="A46" s="6" t="s">
        <v>55</v>
      </c>
      <c r="B46" s="7">
        <v>2900</v>
      </c>
      <c r="C46" s="8" t="s">
        <v>9</v>
      </c>
      <c r="D46" s="7"/>
      <c r="E46" s="8"/>
      <c r="F46" s="7"/>
      <c r="G46" s="8"/>
    </row>
    <row r="47" ht="21" customHeight="1" spans="1:9" x14ac:dyDescent="0.25">
      <c r="A47" s="6" t="s">
        <v>56</v>
      </c>
      <c r="B47" s="7">
        <v>1950</v>
      </c>
      <c r="C47" s="8" t="s">
        <v>9</v>
      </c>
      <c r="D47" s="7"/>
      <c r="E47" s="8"/>
      <c r="F47" s="7"/>
      <c r="G47" s="8"/>
    </row>
    <row r="48" ht="21" customHeight="1" spans="1:9" x14ac:dyDescent="0.25">
      <c r="A48" s="6" t="s">
        <v>57</v>
      </c>
      <c r="B48" s="7">
        <v>890</v>
      </c>
      <c r="C48" s="8" t="s">
        <v>9</v>
      </c>
      <c r="D48" s="7"/>
      <c r="E48" s="8"/>
      <c r="F48" s="7"/>
      <c r="G48" s="8"/>
    </row>
    <row r="49" ht="21" customHeight="1" spans="1:9" x14ac:dyDescent="0.25">
      <c r="A49" s="6" t="s">
        <v>58</v>
      </c>
      <c r="B49" s="7">
        <v>140</v>
      </c>
      <c r="C49" s="8" t="s">
        <v>9</v>
      </c>
      <c r="D49" s="7"/>
      <c r="E49" s="8"/>
      <c r="F49" s="7"/>
      <c r="G49" s="8"/>
    </row>
    <row r="50" ht="21" customHeight="1" spans="1:9" x14ac:dyDescent="0.25">
      <c r="A50" s="6" t="s">
        <v>59</v>
      </c>
      <c r="B50" s="7">
        <v>1100</v>
      </c>
      <c r="C50" s="8" t="s">
        <v>9</v>
      </c>
      <c r="D50" s="7"/>
      <c r="E50" s="8"/>
      <c r="F50" s="7"/>
      <c r="G50" s="8"/>
    </row>
    <row r="51" ht="21" customHeight="1" spans="1:9" x14ac:dyDescent="0.25">
      <c r="A51" s="6" t="s">
        <v>60</v>
      </c>
      <c r="B51" s="7">
        <v>1500</v>
      </c>
      <c r="C51" s="8" t="s">
        <v>9</v>
      </c>
      <c r="D51" s="7"/>
      <c r="E51" s="8"/>
      <c r="F51" s="7"/>
      <c r="G51" s="8"/>
    </row>
    <row r="52" ht="21" customHeight="1" spans="1:9" x14ac:dyDescent="0.25">
      <c r="A52" s="6" t="s">
        <v>61</v>
      </c>
      <c r="B52" s="7">
        <v>610</v>
      </c>
      <c r="C52" s="8" t="s">
        <v>9</v>
      </c>
      <c r="D52" s="7"/>
      <c r="E52" s="8"/>
      <c r="F52" s="7"/>
      <c r="G52" s="8"/>
    </row>
    <row r="53" ht="21" customHeight="1" spans="1:9" x14ac:dyDescent="0.25">
      <c r="A53" s="6" t="s">
        <v>62</v>
      </c>
      <c r="B53" s="7">
        <v>800</v>
      </c>
      <c r="C53" s="8" t="s">
        <v>9</v>
      </c>
      <c r="D53" s="7"/>
      <c r="E53" s="8"/>
      <c r="F53" s="7"/>
      <c r="G53" s="8"/>
    </row>
    <row r="54" ht="21" customHeight="1" spans="1:9" x14ac:dyDescent="0.25">
      <c r="A54" s="6" t="s">
        <v>63</v>
      </c>
      <c r="B54" s="7">
        <v>900</v>
      </c>
      <c r="C54" s="8" t="s">
        <v>9</v>
      </c>
      <c r="D54" s="7"/>
      <c r="E54" s="8"/>
      <c r="F54" s="7"/>
      <c r="G54" s="8"/>
    </row>
    <row r="55" ht="21" customHeight="1" spans="1:9" x14ac:dyDescent="0.25">
      <c r="A55" s="6" t="s">
        <v>64</v>
      </c>
      <c r="B55" s="7">
        <v>990</v>
      </c>
      <c r="C55" s="8" t="s">
        <v>9</v>
      </c>
      <c r="D55" s="7"/>
      <c r="E55" s="8"/>
      <c r="F55" s="7"/>
      <c r="G55" s="8"/>
    </row>
    <row r="56" ht="21" customHeight="1" spans="1:9" x14ac:dyDescent="0.25">
      <c r="A56" s="6" t="s">
        <v>65</v>
      </c>
      <c r="B56" s="7">
        <v>700</v>
      </c>
      <c r="C56" s="8" t="s">
        <v>47</v>
      </c>
      <c r="D56" s="7"/>
      <c r="E56" s="8"/>
      <c r="F56" s="7"/>
      <c r="G56" s="8"/>
    </row>
    <row r="57" ht="21" customHeight="1" spans="1:9" x14ac:dyDescent="0.25">
      <c r="A57" s="6" t="s">
        <v>66</v>
      </c>
      <c r="B57" s="7">
        <v>250</v>
      </c>
      <c r="C57" s="8" t="s">
        <v>67</v>
      </c>
      <c r="D57" s="7">
        <v>360</v>
      </c>
      <c r="E57" s="9" t="s">
        <v>68</v>
      </c>
      <c r="F57" s="7"/>
      <c r="G57" s="9"/>
      <c r="H57">
        <v>180</v>
      </c>
      <c r="I57" t="s">
        <v>69</v>
      </c>
    </row>
    <row r="58" ht="21" customHeight="1" spans="1:9" x14ac:dyDescent="0.25">
      <c r="A58" s="6" t="s">
        <v>70</v>
      </c>
      <c r="B58" s="7">
        <v>240</v>
      </c>
      <c r="C58" s="8" t="s">
        <v>9</v>
      </c>
      <c r="D58" s="7"/>
      <c r="E58" s="8"/>
      <c r="F58" s="7"/>
      <c r="G58" s="8"/>
    </row>
    <row r="59" ht="21" customHeight="1" spans="1:9" x14ac:dyDescent="0.25">
      <c r="A59" s="6" t="s">
        <v>71</v>
      </c>
      <c r="B59" s="7">
        <v>250</v>
      </c>
      <c r="C59" s="8" t="s">
        <v>67</v>
      </c>
      <c r="D59" s="7">
        <v>360</v>
      </c>
      <c r="E59" s="9" t="s">
        <v>68</v>
      </c>
      <c r="F59" s="7"/>
      <c r="G59" s="9"/>
      <c r="H59">
        <v>500</v>
      </c>
      <c r="I59" t="s">
        <v>72</v>
      </c>
    </row>
    <row r="60" ht="21" customHeight="1" spans="1:9" x14ac:dyDescent="0.25">
      <c r="A60" s="6" t="s">
        <v>73</v>
      </c>
      <c r="B60" s="7">
        <v>120</v>
      </c>
      <c r="C60" s="8" t="s">
        <v>9</v>
      </c>
      <c r="D60" s="7"/>
      <c r="E60" s="9"/>
      <c r="F60" s="7"/>
      <c r="G60" s="9"/>
    </row>
    <row r="61" ht="21" customHeight="1" spans="1:9" x14ac:dyDescent="0.25">
      <c r="A61" s="6" t="s">
        <v>74</v>
      </c>
      <c r="B61" s="7">
        <v>250</v>
      </c>
      <c r="C61" s="8" t="s">
        <v>67</v>
      </c>
      <c r="D61" s="7">
        <v>360</v>
      </c>
      <c r="E61" s="9" t="s">
        <v>68</v>
      </c>
      <c r="F61" s="7"/>
      <c r="G61" s="9"/>
      <c r="H61">
        <v>500</v>
      </c>
      <c r="I61" t="s">
        <v>72</v>
      </c>
    </row>
    <row r="62" ht="21" customHeight="1" spans="1:9" x14ac:dyDescent="0.25">
      <c r="A62" s="6" t="s">
        <v>75</v>
      </c>
      <c r="B62" s="7">
        <v>250</v>
      </c>
      <c r="C62" s="8" t="s">
        <v>68</v>
      </c>
      <c r="D62" s="7">
        <v>360</v>
      </c>
      <c r="E62" s="8" t="s">
        <v>72</v>
      </c>
      <c r="F62" s="7"/>
      <c r="G62" s="8"/>
    </row>
    <row r="63" ht="21" customHeight="1" spans="1:9" x14ac:dyDescent="0.25">
      <c r="A63" s="6" t="s">
        <v>76</v>
      </c>
      <c r="B63" s="7" t="s">
        <v>8</v>
      </c>
      <c r="C63" s="8" t="s">
        <v>9</v>
      </c>
      <c r="D63" s="7"/>
      <c r="E63" s="8"/>
      <c r="F63" s="7"/>
      <c r="G63" s="8"/>
    </row>
    <row r="64" ht="21" customHeight="1" spans="1:9" x14ac:dyDescent="0.25">
      <c r="A64" s="6" t="s">
        <v>77</v>
      </c>
      <c r="B64" s="7">
        <v>320</v>
      </c>
      <c r="C64" s="8" t="s">
        <v>9</v>
      </c>
      <c r="D64" s="7"/>
      <c r="E64" s="8"/>
      <c r="F64" s="7"/>
      <c r="G64" s="8"/>
    </row>
    <row r="65" ht="21" customHeight="1" spans="1:9" x14ac:dyDescent="0.25">
      <c r="A65" s="6" t="s">
        <v>78</v>
      </c>
      <c r="B65" s="7">
        <v>700</v>
      </c>
      <c r="C65" s="8"/>
      <c r="D65" s="7"/>
      <c r="E65" s="8"/>
      <c r="F65" s="7"/>
      <c r="G65" s="8"/>
    </row>
    <row r="66" ht="21" customHeight="1" spans="1:9" x14ac:dyDescent="0.25">
      <c r="A66" s="6" t="s">
        <v>79</v>
      </c>
      <c r="B66" s="7">
        <v>1100</v>
      </c>
      <c r="C66" s="8" t="s">
        <v>9</v>
      </c>
      <c r="D66" s="7"/>
      <c r="E66" s="8"/>
      <c r="F66" s="7"/>
      <c r="G66" s="8"/>
    </row>
    <row r="67" ht="21" customHeight="1" spans="1:9" x14ac:dyDescent="0.25">
      <c r="A67" s="6" t="s">
        <v>80</v>
      </c>
      <c r="B67" s="7">
        <v>700</v>
      </c>
      <c r="C67" s="8" t="s">
        <v>9</v>
      </c>
      <c r="D67" s="7"/>
      <c r="E67" s="8"/>
      <c r="F67" s="7"/>
      <c r="G67" s="8"/>
    </row>
    <row r="68" ht="21" customHeight="1" spans="1:9" x14ac:dyDescent="0.25">
      <c r="A68" s="6" t="s">
        <v>81</v>
      </c>
      <c r="B68" s="7">
        <v>700</v>
      </c>
      <c r="C68" s="8" t="s">
        <v>9</v>
      </c>
      <c r="D68" s="7"/>
      <c r="E68" s="8"/>
      <c r="F68" s="7"/>
      <c r="G68" s="8"/>
    </row>
    <row r="69" ht="21" customHeight="1" spans="1:9" x14ac:dyDescent="0.25">
      <c r="A69" s="6" t="s">
        <v>82</v>
      </c>
      <c r="B69" s="7">
        <v>550</v>
      </c>
      <c r="C69" s="8" t="s">
        <v>9</v>
      </c>
      <c r="D69" s="7"/>
      <c r="E69" s="8"/>
      <c r="F69" s="7"/>
      <c r="G69" s="8"/>
    </row>
    <row r="70" ht="21" customHeight="1" spans="1:9" x14ac:dyDescent="0.25">
      <c r="A70" s="6" t="s">
        <v>83</v>
      </c>
      <c r="B70" s="7">
        <v>720</v>
      </c>
      <c r="C70" s="8"/>
      <c r="D70" s="7"/>
      <c r="E70" s="8"/>
      <c r="F70" s="7"/>
      <c r="G70" s="8"/>
    </row>
    <row r="71" ht="21" customHeight="1" spans="1:9" x14ac:dyDescent="0.25">
      <c r="A71" s="6" t="s">
        <v>84</v>
      </c>
      <c r="B71" s="7">
        <v>400</v>
      </c>
      <c r="C71" s="8" t="s">
        <v>9</v>
      </c>
      <c r="D71" s="7"/>
      <c r="E71" s="8"/>
      <c r="F71" s="7"/>
      <c r="G71" s="8"/>
    </row>
    <row r="72" ht="21" customHeight="1" spans="1:9" x14ac:dyDescent="0.25">
      <c r="A72" s="6" t="s">
        <v>85</v>
      </c>
      <c r="B72" s="7">
        <v>1100</v>
      </c>
      <c r="C72" s="8" t="s">
        <v>9</v>
      </c>
      <c r="D72" s="7"/>
      <c r="E72" s="8"/>
      <c r="F72" s="7"/>
      <c r="G72" s="8"/>
    </row>
    <row r="73" ht="21" customHeight="1" spans="1:9" x14ac:dyDescent="0.25">
      <c r="A73" s="6" t="s">
        <v>86</v>
      </c>
      <c r="B73" s="7">
        <v>1800</v>
      </c>
      <c r="C73" s="8" t="s">
        <v>9</v>
      </c>
      <c r="D73" s="7"/>
      <c r="E73" s="8"/>
      <c r="F73" s="7"/>
      <c r="G73" s="8"/>
    </row>
    <row r="74" ht="21" customHeight="1" spans="1:9" x14ac:dyDescent="0.25">
      <c r="A74" s="6" t="s">
        <v>87</v>
      </c>
      <c r="B74" s="7">
        <v>4200</v>
      </c>
      <c r="C74" s="8"/>
      <c r="D74" s="7"/>
      <c r="E74" s="8"/>
      <c r="F74" s="7"/>
      <c r="G74" s="8"/>
    </row>
    <row r="75" ht="21" customHeight="1" spans="1:9" x14ac:dyDescent="0.25">
      <c r="A75" s="6" t="s">
        <v>88</v>
      </c>
      <c r="B75" s="7">
        <v>130</v>
      </c>
      <c r="C75" s="8" t="s">
        <v>9</v>
      </c>
      <c r="D75" s="7"/>
      <c r="E75" s="8"/>
      <c r="F75" s="7"/>
      <c r="G75" s="8"/>
    </row>
    <row r="76" ht="21" customHeight="1" spans="1:9" x14ac:dyDescent="0.25">
      <c r="A76" s="6" t="s">
        <v>89</v>
      </c>
      <c r="B76" s="7" t="s">
        <v>8</v>
      </c>
      <c r="C76" s="8" t="s">
        <v>9</v>
      </c>
      <c r="D76" s="7"/>
      <c r="E76" s="8"/>
      <c r="F76" s="7"/>
      <c r="G76" s="8"/>
    </row>
    <row r="77" ht="21" customHeight="1" spans="1:9" x14ac:dyDescent="0.25">
      <c r="A77" s="6" t="s">
        <v>90</v>
      </c>
      <c r="B77" s="7">
        <v>15</v>
      </c>
      <c r="C77" s="8" t="s">
        <v>91</v>
      </c>
      <c r="D77" s="7">
        <v>1150</v>
      </c>
      <c r="E77" s="9" t="s">
        <v>9</v>
      </c>
      <c r="F77" s="7"/>
      <c r="G77" s="9"/>
    </row>
    <row r="78" ht="21" customHeight="1" spans="1:9" x14ac:dyDescent="0.25">
      <c r="A78" s="6" t="s">
        <v>92</v>
      </c>
      <c r="B78" s="7">
        <v>20</v>
      </c>
      <c r="C78" s="8" t="s">
        <v>91</v>
      </c>
      <c r="D78" s="7">
        <v>2800</v>
      </c>
      <c r="E78" s="9" t="s">
        <v>9</v>
      </c>
      <c r="F78" s="7"/>
      <c r="G78" s="9"/>
    </row>
    <row r="79" ht="21" customHeight="1" spans="1:9" x14ac:dyDescent="0.25">
      <c r="A79" s="6" t="s">
        <v>93</v>
      </c>
      <c r="B79" s="7">
        <v>20</v>
      </c>
      <c r="C79" s="8" t="s">
        <v>91</v>
      </c>
      <c r="D79" s="7"/>
      <c r="E79" s="8"/>
      <c r="F79" s="7"/>
      <c r="G79" s="8"/>
    </row>
    <row r="80" ht="21" customHeight="1" spans="1:9" x14ac:dyDescent="0.25">
      <c r="A80" s="6" t="s">
        <v>94</v>
      </c>
      <c r="B80" s="7">
        <v>15</v>
      </c>
      <c r="C80" s="8" t="s">
        <v>91</v>
      </c>
      <c r="D80" s="7">
        <v>2100</v>
      </c>
      <c r="E80" s="9" t="s">
        <v>9</v>
      </c>
      <c r="F80" s="7"/>
      <c r="G80" s="9"/>
    </row>
    <row r="81" ht="21" customHeight="1" spans="1:9" x14ac:dyDescent="0.25">
      <c r="A81" s="6" t="s">
        <v>95</v>
      </c>
      <c r="B81" s="7">
        <v>1190</v>
      </c>
      <c r="C81" s="8"/>
      <c r="D81" s="7"/>
      <c r="E81" s="8"/>
      <c r="F81" s="7"/>
      <c r="G81" s="8"/>
    </row>
    <row r="82" ht="21" customHeight="1" spans="1:9" x14ac:dyDescent="0.25">
      <c r="A82" s="6" t="s">
        <v>96</v>
      </c>
      <c r="B82" s="7">
        <v>1200</v>
      </c>
      <c r="C82" s="8" t="s">
        <v>9</v>
      </c>
      <c r="D82" s="7"/>
      <c r="E82" s="8"/>
      <c r="F82" s="7"/>
      <c r="G82" s="8"/>
    </row>
    <row r="83" ht="21" customHeight="1" spans="1:9" x14ac:dyDescent="0.25">
      <c r="A83" s="6" t="s">
        <v>97</v>
      </c>
      <c r="B83" s="7">
        <v>340</v>
      </c>
      <c r="C83" s="8" t="s">
        <v>98</v>
      </c>
      <c r="D83" s="7">
        <v>100</v>
      </c>
      <c r="E83" s="8" t="s">
        <v>99</v>
      </c>
      <c r="F83" s="7"/>
      <c r="G83" s="8"/>
    </row>
    <row r="84" ht="21" customHeight="1" spans="1:9" x14ac:dyDescent="0.25">
      <c r="A84" s="6" t="s">
        <v>100</v>
      </c>
      <c r="B84" s="7">
        <v>490</v>
      </c>
      <c r="C84" s="8" t="s">
        <v>9</v>
      </c>
      <c r="D84" s="7"/>
      <c r="E84" s="9"/>
      <c r="F84" s="7"/>
      <c r="G84" s="9"/>
    </row>
    <row r="85" ht="21" customHeight="1" spans="1:9" x14ac:dyDescent="0.25">
      <c r="A85" s="6" t="s">
        <v>101</v>
      </c>
      <c r="B85" s="7">
        <v>3800</v>
      </c>
      <c r="C85" s="8" t="s">
        <v>9</v>
      </c>
      <c r="D85" s="7"/>
      <c r="E85" s="8"/>
      <c r="F85" s="7"/>
      <c r="G85" s="8"/>
    </row>
    <row r="86" ht="21" customHeight="1" spans="1:9" x14ac:dyDescent="0.25">
      <c r="A86" s="6" t="s">
        <v>102</v>
      </c>
      <c r="B86" s="7">
        <v>180</v>
      </c>
      <c r="C86" s="8" t="s">
        <v>9</v>
      </c>
      <c r="D86" s="7"/>
      <c r="E86" s="8"/>
      <c r="F86" s="7"/>
      <c r="G86" s="8"/>
    </row>
    <row r="87" ht="21" customHeight="1" spans="1:9" x14ac:dyDescent="0.25">
      <c r="A87" s="6" t="s">
        <v>103</v>
      </c>
      <c r="B87" s="7">
        <v>200</v>
      </c>
      <c r="C87" s="8"/>
      <c r="D87" s="7"/>
      <c r="E87" s="8"/>
      <c r="F87" s="7"/>
      <c r="G87" s="8"/>
    </row>
    <row r="88" ht="21" customHeight="1" spans="1:9" x14ac:dyDescent="0.25">
      <c r="A88" s="6" t="s">
        <v>104</v>
      </c>
      <c r="B88" s="7">
        <v>580</v>
      </c>
      <c r="C88" s="8" t="s">
        <v>9</v>
      </c>
      <c r="D88" s="7"/>
      <c r="E88" s="8"/>
      <c r="F88" s="7"/>
      <c r="G88" s="8"/>
    </row>
    <row r="89" ht="21" customHeight="1" spans="1:9" x14ac:dyDescent="0.25">
      <c r="A89" s="6" t="s">
        <v>105</v>
      </c>
      <c r="B89" s="7">
        <v>4800</v>
      </c>
      <c r="C89" s="8"/>
      <c r="D89" s="7"/>
      <c r="E89" s="8"/>
      <c r="F89" s="7"/>
      <c r="G89" s="8"/>
    </row>
    <row r="90" ht="21" customHeight="1" spans="1:9" x14ac:dyDescent="0.25">
      <c r="A90" s="6" t="s">
        <v>106</v>
      </c>
      <c r="B90" s="7">
        <v>3250</v>
      </c>
      <c r="C90" s="8"/>
      <c r="D90" s="7"/>
      <c r="E90" s="8"/>
      <c r="F90" s="7"/>
      <c r="G90" s="8"/>
    </row>
    <row r="91" ht="21" customHeight="1" spans="1:9" x14ac:dyDescent="0.25">
      <c r="A91" s="6" t="s">
        <v>107</v>
      </c>
      <c r="B91" s="7" t="s">
        <v>8</v>
      </c>
      <c r="C91" s="8"/>
      <c r="D91" s="7"/>
      <c r="E91" s="8"/>
      <c r="F91" s="7"/>
      <c r="G91" s="8"/>
    </row>
    <row r="92" ht="21" customHeight="1" spans="1:9" x14ac:dyDescent="0.25">
      <c r="A92" s="6" t="s">
        <v>108</v>
      </c>
      <c r="B92" s="7">
        <v>3700</v>
      </c>
      <c r="C92" s="8"/>
      <c r="D92" s="7"/>
      <c r="E92" s="8"/>
      <c r="F92" s="7"/>
      <c r="G92" s="8"/>
    </row>
    <row r="93" ht="21" customHeight="1" spans="1:9" x14ac:dyDescent="0.25">
      <c r="A93" s="6" t="s">
        <v>109</v>
      </c>
      <c r="B93" s="7">
        <v>350</v>
      </c>
      <c r="C93" s="8"/>
      <c r="D93" s="7"/>
      <c r="E93" s="8"/>
      <c r="F93" s="7"/>
      <c r="G93" s="8"/>
    </row>
    <row r="94" ht="21" customHeight="1" spans="1:9" x14ac:dyDescent="0.25">
      <c r="A94" s="6" t="s">
        <v>110</v>
      </c>
      <c r="B94" s="7">
        <v>800</v>
      </c>
      <c r="C94" s="8"/>
      <c r="D94" s="7"/>
      <c r="E94" s="8"/>
      <c r="F94" s="7"/>
      <c r="G94" s="8"/>
    </row>
    <row r="95" ht="21" customHeight="1" spans="1:9" x14ac:dyDescent="0.25">
      <c r="A95" s="6" t="s">
        <v>111</v>
      </c>
      <c r="B95" s="7">
        <v>1850</v>
      </c>
      <c r="C95" s="8"/>
      <c r="D95" s="7"/>
      <c r="E95" s="8"/>
      <c r="F95" s="7"/>
      <c r="G95" s="8"/>
    </row>
    <row r="96" ht="21" customHeight="1" spans="1:9" x14ac:dyDescent="0.25">
      <c r="A96" s="6" t="s">
        <v>112</v>
      </c>
      <c r="B96" s="7">
        <v>1800</v>
      </c>
      <c r="C96" s="8"/>
      <c r="D96" s="7"/>
      <c r="E96" s="8"/>
      <c r="F96" s="7"/>
      <c r="G96" s="8"/>
    </row>
    <row r="97" ht="21" customHeight="1" spans="1:9" x14ac:dyDescent="0.25">
      <c r="A97" s="6" t="s">
        <v>113</v>
      </c>
      <c r="B97" s="7">
        <v>1590</v>
      </c>
      <c r="C97" s="8"/>
      <c r="D97" s="7"/>
      <c r="E97" s="8"/>
      <c r="F97" s="7"/>
      <c r="G97" s="8"/>
    </row>
    <row r="98" ht="21" customHeight="1" spans="1:9" x14ac:dyDescent="0.25">
      <c r="A98" s="6" t="s">
        <v>114</v>
      </c>
      <c r="B98" s="7">
        <v>1590</v>
      </c>
      <c r="C98" s="8"/>
      <c r="D98" s="7"/>
      <c r="E98" s="8"/>
      <c r="F98" s="7"/>
      <c r="G98" s="8"/>
    </row>
    <row r="99" ht="21" customHeight="1" spans="1:9" x14ac:dyDescent="0.25">
      <c r="A99" s="6" t="s">
        <v>115</v>
      </c>
      <c r="B99" s="7">
        <v>710</v>
      </c>
      <c r="C99" s="8" t="s">
        <v>9</v>
      </c>
      <c r="D99" s="7"/>
      <c r="E99" s="8"/>
      <c r="F99" s="7"/>
      <c r="G99" s="8"/>
    </row>
    <row r="100" ht="21" customHeight="1" spans="1:9" x14ac:dyDescent="0.25">
      <c r="A100" s="6" t="s">
        <v>116</v>
      </c>
      <c r="B100" s="7">
        <v>1800</v>
      </c>
      <c r="C100" s="8"/>
      <c r="D100" s="7"/>
      <c r="E100" s="8"/>
      <c r="F100" s="7"/>
      <c r="G100" s="8"/>
    </row>
    <row r="101" ht="21" customHeight="1" spans="1:9" x14ac:dyDescent="0.25">
      <c r="A101" s="6" t="s">
        <v>117</v>
      </c>
      <c r="B101" s="7">
        <v>3800</v>
      </c>
      <c r="C101" s="8"/>
      <c r="D101" s="7"/>
      <c r="E101" s="8"/>
      <c r="F101" s="7"/>
      <c r="G101" s="8"/>
    </row>
    <row r="102" ht="21" customHeight="1" spans="1:9" x14ac:dyDescent="0.25">
      <c r="A102" s="6" t="s">
        <v>118</v>
      </c>
      <c r="B102" s="7">
        <v>1300</v>
      </c>
      <c r="C102" s="8"/>
      <c r="D102" s="7"/>
      <c r="E102" s="8"/>
      <c r="F102" s="7"/>
      <c r="G102" s="8"/>
    </row>
    <row r="103" ht="21" customHeight="1" spans="1:9" x14ac:dyDescent="0.25">
      <c r="A103" s="6" t="s">
        <v>119</v>
      </c>
      <c r="B103" s="7">
        <v>900</v>
      </c>
      <c r="C103" s="8" t="s">
        <v>120</v>
      </c>
      <c r="D103" s="7"/>
      <c r="E103" s="8"/>
      <c r="F103" s="7"/>
      <c r="G103" s="8"/>
    </row>
    <row r="104" ht="21" customHeight="1" spans="1:9" x14ac:dyDescent="0.25">
      <c r="A104" s="6" t="s">
        <v>121</v>
      </c>
      <c r="B104" s="7">
        <v>700</v>
      </c>
      <c r="C104" s="8" t="s">
        <v>9</v>
      </c>
      <c r="D104" s="7"/>
      <c r="E104" s="8"/>
      <c r="F104" s="7"/>
      <c r="G104" s="8"/>
    </row>
    <row r="105" ht="21" customHeight="1" spans="1:9" x14ac:dyDescent="0.25">
      <c r="A105" s="6" t="s">
        <v>122</v>
      </c>
      <c r="B105" s="7">
        <v>1100</v>
      </c>
      <c r="C105" s="8" t="s">
        <v>9</v>
      </c>
      <c r="D105" s="7"/>
      <c r="E105" s="8"/>
      <c r="F105" s="7"/>
      <c r="G105" s="8"/>
    </row>
    <row r="106" ht="21" customHeight="1" spans="1:9" x14ac:dyDescent="0.25">
      <c r="A106" s="6" t="s">
        <v>123</v>
      </c>
      <c r="B106" s="7">
        <v>430</v>
      </c>
      <c r="C106" s="8" t="s">
        <v>124</v>
      </c>
      <c r="D106" s="7"/>
      <c r="E106" s="8"/>
      <c r="F106" s="7"/>
      <c r="G106" s="8"/>
    </row>
    <row r="107" ht="21" customHeight="1" spans="1:9" x14ac:dyDescent="0.25">
      <c r="A107" s="6" t="s">
        <v>125</v>
      </c>
      <c r="B107" s="7">
        <v>350</v>
      </c>
      <c r="C107" s="8" t="s">
        <v>124</v>
      </c>
      <c r="D107" s="7"/>
      <c r="E107" s="8"/>
      <c r="F107" s="7"/>
      <c r="G107" s="8"/>
    </row>
    <row r="108" ht="21" customHeight="1" spans="1:9" x14ac:dyDescent="0.25">
      <c r="A108" s="6" t="s">
        <v>126</v>
      </c>
      <c r="B108" s="7">
        <v>330</v>
      </c>
      <c r="C108" s="8" t="s">
        <v>9</v>
      </c>
      <c r="D108" s="7"/>
      <c r="E108" s="8"/>
      <c r="F108" s="7"/>
      <c r="G108" s="8"/>
    </row>
    <row r="109" ht="21" customHeight="1" spans="1:9" x14ac:dyDescent="0.25">
      <c r="A109" s="6" t="s">
        <v>127</v>
      </c>
      <c r="B109" s="7">
        <v>350</v>
      </c>
      <c r="C109" s="8" t="s">
        <v>9</v>
      </c>
      <c r="D109" s="7"/>
      <c r="E109" s="8"/>
      <c r="F109" s="7"/>
      <c r="G109" s="8"/>
    </row>
    <row r="110" ht="21" customHeight="1" spans="1:9" x14ac:dyDescent="0.25">
      <c r="A110" s="6" t="s">
        <v>128</v>
      </c>
      <c r="B110" s="7">
        <v>350</v>
      </c>
      <c r="C110" s="8" t="s">
        <v>9</v>
      </c>
      <c r="D110" s="7"/>
      <c r="E110" s="8"/>
      <c r="F110" s="7"/>
      <c r="G110" s="8"/>
    </row>
    <row r="111" ht="21" customHeight="1" spans="1:9" x14ac:dyDescent="0.25">
      <c r="A111" s="6" t="s">
        <v>129</v>
      </c>
      <c r="B111" s="7">
        <v>330</v>
      </c>
      <c r="C111" s="8" t="s">
        <v>9</v>
      </c>
      <c r="D111" s="7"/>
      <c r="E111" s="8"/>
      <c r="F111" s="7"/>
      <c r="G111" s="8"/>
    </row>
    <row r="112" ht="21" customHeight="1" spans="1:9" x14ac:dyDescent="0.25">
      <c r="A112" s="6" t="s">
        <v>130</v>
      </c>
      <c r="B112" s="7" t="s">
        <v>8</v>
      </c>
      <c r="C112" s="8" t="s">
        <v>9</v>
      </c>
      <c r="D112" s="7"/>
      <c r="E112" s="8"/>
      <c r="F112" s="7"/>
      <c r="G112" s="8"/>
    </row>
    <row r="113" ht="21" customHeight="1" spans="1:9" x14ac:dyDescent="0.25">
      <c r="A113" s="6" t="s">
        <v>131</v>
      </c>
      <c r="B113" s="7">
        <v>150</v>
      </c>
      <c r="C113" s="8" t="s">
        <v>132</v>
      </c>
      <c r="D113" s="7"/>
      <c r="E113" s="8"/>
      <c r="F113" s="7"/>
      <c r="G113" s="8"/>
    </row>
    <row r="114" ht="21" customHeight="1" spans="1:9" x14ac:dyDescent="0.25">
      <c r="A114" s="6" t="s">
        <v>133</v>
      </c>
      <c r="B114" s="7">
        <v>240</v>
      </c>
      <c r="C114" s="8" t="s">
        <v>9</v>
      </c>
      <c r="D114" s="7"/>
      <c r="E114" s="8"/>
      <c r="F114" s="7"/>
      <c r="G114" s="8"/>
    </row>
    <row r="115" ht="21" customHeight="1" spans="1:9" x14ac:dyDescent="0.25">
      <c r="A115" s="6" t="s">
        <v>134</v>
      </c>
      <c r="B115" s="7">
        <v>600</v>
      </c>
      <c r="C115" s="8"/>
      <c r="D115" s="7"/>
      <c r="E115" s="8"/>
      <c r="F115" s="7"/>
      <c r="G115" s="8"/>
    </row>
    <row r="116" ht="21" customHeight="1" spans="1:9" x14ac:dyDescent="0.25">
      <c r="A116" s="6" t="s">
        <v>135</v>
      </c>
      <c r="B116" s="7">
        <v>700</v>
      </c>
      <c r="C116" s="8" t="s">
        <v>9</v>
      </c>
      <c r="D116" s="7"/>
      <c r="E116" s="8"/>
      <c r="F116" s="7"/>
      <c r="G116" s="8"/>
    </row>
    <row r="117" ht="21" customHeight="1" spans="1:9" x14ac:dyDescent="0.25">
      <c r="A117" s="6" t="s">
        <v>136</v>
      </c>
      <c r="B117" s="7">
        <v>480</v>
      </c>
      <c r="C117" s="8" t="s">
        <v>9</v>
      </c>
      <c r="D117" s="7"/>
      <c r="E117" s="8"/>
      <c r="F117" s="7"/>
      <c r="G117" s="8"/>
    </row>
    <row r="118" ht="21" customHeight="1" spans="1:9" x14ac:dyDescent="0.25">
      <c r="A118" s="6" t="s">
        <v>137</v>
      </c>
      <c r="B118" s="7">
        <v>1900</v>
      </c>
      <c r="C118" s="8" t="s">
        <v>9</v>
      </c>
      <c r="D118" s="7"/>
      <c r="E118" s="8"/>
      <c r="F118" s="7"/>
      <c r="G118" s="8"/>
    </row>
    <row r="119" ht="21" customHeight="1" spans="1:9" x14ac:dyDescent="0.25">
      <c r="A119" s="6" t="s">
        <v>138</v>
      </c>
      <c r="B119" s="7" t="s">
        <v>8</v>
      </c>
      <c r="C119" s="8" t="s">
        <v>9</v>
      </c>
      <c r="D119" s="7"/>
      <c r="E119" s="8"/>
      <c r="F119" s="7"/>
      <c r="G119" s="8"/>
    </row>
    <row r="120" ht="21" customHeight="1" spans="1:9" x14ac:dyDescent="0.25">
      <c r="A120" s="6" t="s">
        <v>139</v>
      </c>
      <c r="B120" s="7">
        <v>850</v>
      </c>
      <c r="C120" s="8" t="s">
        <v>9</v>
      </c>
      <c r="D120" s="7"/>
      <c r="E120" s="8"/>
      <c r="F120" s="7"/>
      <c r="G120" s="8"/>
    </row>
    <row r="121" ht="21" customHeight="1" spans="1:9" x14ac:dyDescent="0.25">
      <c r="A121" s="6" t="s">
        <v>140</v>
      </c>
      <c r="B121" s="7">
        <v>120</v>
      </c>
      <c r="C121" s="8"/>
      <c r="D121" s="7"/>
      <c r="E121" s="8"/>
      <c r="F121" s="7"/>
      <c r="G121" s="8"/>
    </row>
    <row r="122" ht="21" customHeight="1" spans="1:9" x14ac:dyDescent="0.25">
      <c r="A122" s="6" t="s">
        <v>141</v>
      </c>
      <c r="B122" s="7">
        <v>950</v>
      </c>
      <c r="C122" s="8"/>
      <c r="D122" s="7"/>
      <c r="E122" s="8"/>
      <c r="F122" s="7"/>
      <c r="G122" s="8"/>
    </row>
    <row r="123" ht="21" customHeight="1" spans="1:9" x14ac:dyDescent="0.25">
      <c r="A123" s="6" t="s">
        <v>142</v>
      </c>
      <c r="B123" s="7" t="s">
        <v>8</v>
      </c>
      <c r="C123" s="8" t="s">
        <v>9</v>
      </c>
      <c r="D123" s="7"/>
      <c r="E123" s="8"/>
      <c r="F123" s="7"/>
      <c r="G123" s="8"/>
    </row>
    <row r="124" ht="21" customHeight="1" spans="1:9" x14ac:dyDescent="0.25">
      <c r="A124" s="6" t="s">
        <v>143</v>
      </c>
      <c r="B124" s="7">
        <v>740</v>
      </c>
      <c r="C124" s="8" t="s">
        <v>9</v>
      </c>
      <c r="D124" s="7"/>
      <c r="E124" s="8"/>
      <c r="F124" s="7"/>
      <c r="G124" s="8"/>
    </row>
    <row r="125" ht="21" customHeight="1" spans="1:9" x14ac:dyDescent="0.25">
      <c r="A125" s="6" t="s">
        <v>144</v>
      </c>
      <c r="B125" s="7">
        <v>490</v>
      </c>
      <c r="C125" s="8" t="s">
        <v>9</v>
      </c>
      <c r="D125" s="7"/>
      <c r="E125" s="8"/>
      <c r="F125" s="7"/>
      <c r="G125" s="8"/>
    </row>
    <row r="126" ht="21" customHeight="1" spans="1:9" x14ac:dyDescent="0.25">
      <c r="A126" s="6" t="s">
        <v>145</v>
      </c>
      <c r="B126" s="7">
        <v>800</v>
      </c>
      <c r="C126" s="8" t="s">
        <v>146</v>
      </c>
      <c r="D126" s="7"/>
      <c r="E126" s="8"/>
      <c r="F126" s="7"/>
      <c r="G126" s="8"/>
    </row>
    <row r="127" ht="21" customHeight="1" spans="1:9" x14ac:dyDescent="0.25">
      <c r="A127" s="6" t="s">
        <v>147</v>
      </c>
      <c r="B127" s="7">
        <v>555</v>
      </c>
      <c r="C127" s="8" t="s">
        <v>11</v>
      </c>
      <c r="D127" s="7">
        <v>1100</v>
      </c>
      <c r="E127" s="9" t="s">
        <v>12</v>
      </c>
      <c r="F127" s="7"/>
      <c r="G127" s="9"/>
    </row>
    <row r="128" ht="21" customHeight="1" spans="1:9" x14ac:dyDescent="0.25">
      <c r="A128" s="6" t="s">
        <v>148</v>
      </c>
      <c r="B128" s="7">
        <v>300</v>
      </c>
      <c r="C128" s="8" t="s">
        <v>149</v>
      </c>
      <c r="D128" s="7">
        <v>590</v>
      </c>
      <c r="E128" s="9" t="s">
        <v>150</v>
      </c>
      <c r="F128" s="7"/>
      <c r="G128" s="9"/>
    </row>
    <row r="129" ht="21" customHeight="1" spans="1:9" x14ac:dyDescent="0.25">
      <c r="A129" s="6" t="s">
        <v>151</v>
      </c>
      <c r="B129" s="7">
        <v>190</v>
      </c>
      <c r="C129" s="8" t="s">
        <v>149</v>
      </c>
      <c r="D129" s="7">
        <v>370</v>
      </c>
      <c r="E129" s="9" t="s">
        <v>150</v>
      </c>
      <c r="F129" s="7"/>
      <c r="G129" s="9"/>
    </row>
    <row r="130" ht="21" customHeight="1" spans="1:9" x14ac:dyDescent="0.25">
      <c r="A130" s="6" t="s">
        <v>152</v>
      </c>
      <c r="B130" s="7">
        <v>3750</v>
      </c>
      <c r="C130" s="8" t="s">
        <v>11</v>
      </c>
      <c r="D130" s="7">
        <v>7500</v>
      </c>
      <c r="E130" s="9" t="s">
        <v>12</v>
      </c>
      <c r="F130" s="7"/>
      <c r="G130" s="9"/>
    </row>
    <row r="131" ht="21" customHeight="1" spans="1:9" x14ac:dyDescent="0.25">
      <c r="A131" s="6" t="s">
        <v>153</v>
      </c>
      <c r="B131" s="7">
        <v>2250</v>
      </c>
      <c r="C131" s="8" t="s">
        <v>11</v>
      </c>
      <c r="D131" s="7">
        <v>4500</v>
      </c>
      <c r="E131" s="9" t="s">
        <v>12</v>
      </c>
      <c r="F131" s="7"/>
      <c r="G131" s="9"/>
    </row>
    <row r="132" ht="21" customHeight="1" spans="1:9" x14ac:dyDescent="0.25">
      <c r="A132" s="6" t="s">
        <v>154</v>
      </c>
      <c r="B132" s="7">
        <v>80</v>
      </c>
      <c r="C132" s="8" t="s">
        <v>149</v>
      </c>
      <c r="D132" s="7">
        <v>150</v>
      </c>
      <c r="E132" s="9" t="s">
        <v>150</v>
      </c>
      <c r="F132" s="7"/>
      <c r="G132" s="9"/>
    </row>
    <row r="133" ht="21" customHeight="1" spans="1:9" x14ac:dyDescent="0.25">
      <c r="A133" s="6" t="s">
        <v>155</v>
      </c>
      <c r="B133" s="7">
        <v>480</v>
      </c>
      <c r="C133" s="8" t="s">
        <v>11</v>
      </c>
      <c r="D133" s="7">
        <v>950</v>
      </c>
      <c r="E133" s="9" t="s">
        <v>12</v>
      </c>
      <c r="F133" s="7"/>
      <c r="G133" s="9"/>
    </row>
    <row r="134" ht="21" customHeight="1" spans="1:9" x14ac:dyDescent="0.25">
      <c r="A134" s="6" t="s">
        <v>156</v>
      </c>
      <c r="B134" s="7">
        <v>65</v>
      </c>
      <c r="C134" s="8" t="s">
        <v>149</v>
      </c>
      <c r="D134" s="7">
        <v>120</v>
      </c>
      <c r="E134" s="9" t="s">
        <v>150</v>
      </c>
      <c r="F134" s="7"/>
      <c r="G134" s="9"/>
    </row>
    <row r="135" ht="21" customHeight="1" spans="1:9" x14ac:dyDescent="0.25">
      <c r="A135" s="6" t="s">
        <v>157</v>
      </c>
      <c r="B135" s="7">
        <v>80</v>
      </c>
      <c r="C135" s="8" t="s">
        <v>149</v>
      </c>
      <c r="D135" s="7">
        <v>150</v>
      </c>
      <c r="E135" s="9" t="s">
        <v>150</v>
      </c>
      <c r="F135" s="7"/>
      <c r="G135" s="9"/>
    </row>
    <row r="136" ht="21" customHeight="1" spans="1:9" x14ac:dyDescent="0.25">
      <c r="A136" s="6" t="s">
        <v>158</v>
      </c>
      <c r="B136" s="7">
        <v>80</v>
      </c>
      <c r="C136" s="8" t="s">
        <v>149</v>
      </c>
      <c r="D136" s="7">
        <v>150</v>
      </c>
      <c r="E136" s="9" t="s">
        <v>150</v>
      </c>
      <c r="F136" s="7"/>
      <c r="G136" s="9"/>
    </row>
    <row r="137" ht="21" customHeight="1" spans="1:9" x14ac:dyDescent="0.25">
      <c r="A137" s="6" t="s">
        <v>159</v>
      </c>
      <c r="B137" s="7">
        <v>80</v>
      </c>
      <c r="C137" s="8" t="s">
        <v>149</v>
      </c>
      <c r="D137" s="7">
        <v>150</v>
      </c>
      <c r="E137" s="9" t="s">
        <v>150</v>
      </c>
      <c r="F137" s="7"/>
      <c r="G137" s="9"/>
    </row>
    <row r="138" ht="21" customHeight="1" spans="1:9" x14ac:dyDescent="0.25">
      <c r="A138" s="6" t="s">
        <v>160</v>
      </c>
      <c r="B138" s="7">
        <v>100</v>
      </c>
      <c r="C138" s="8" t="s">
        <v>149</v>
      </c>
      <c r="D138" s="7">
        <v>190</v>
      </c>
      <c r="E138" s="9" t="s">
        <v>150</v>
      </c>
      <c r="F138" s="7"/>
      <c r="G138" s="9"/>
    </row>
    <row r="139" ht="21" customHeight="1" spans="1:9" x14ac:dyDescent="0.25">
      <c r="A139" s="6" t="s">
        <v>161</v>
      </c>
      <c r="B139" s="7">
        <v>100</v>
      </c>
      <c r="C139" s="8" t="s">
        <v>149</v>
      </c>
      <c r="D139" s="7">
        <v>195</v>
      </c>
      <c r="E139" s="9" t="s">
        <v>150</v>
      </c>
      <c r="F139" s="7"/>
      <c r="G139" s="9"/>
    </row>
    <row r="140" ht="21" customHeight="1" spans="1:9" x14ac:dyDescent="0.25">
      <c r="A140" s="6" t="s">
        <v>162</v>
      </c>
      <c r="B140" s="7">
        <v>95</v>
      </c>
      <c r="C140" s="8" t="s">
        <v>149</v>
      </c>
      <c r="D140" s="7">
        <v>180</v>
      </c>
      <c r="E140" s="9" t="s">
        <v>150</v>
      </c>
      <c r="F140" s="7"/>
      <c r="G140" s="9"/>
    </row>
    <row r="141" ht="21" customHeight="1" spans="1:9" x14ac:dyDescent="0.25">
      <c r="A141" s="6" t="s">
        <v>163</v>
      </c>
      <c r="B141" s="7">
        <v>1300</v>
      </c>
      <c r="C141" s="8" t="s">
        <v>11</v>
      </c>
      <c r="D141" s="7">
        <v>2600</v>
      </c>
      <c r="E141" s="9" t="s">
        <v>12</v>
      </c>
      <c r="F141" s="7"/>
      <c r="G141" s="9"/>
      <c r="H141">
        <v>350</v>
      </c>
      <c r="I141" t="s">
        <v>9</v>
      </c>
    </row>
    <row r="142" ht="21" customHeight="1" spans="1:9" x14ac:dyDescent="0.25">
      <c r="A142" s="6" t="s">
        <v>164</v>
      </c>
      <c r="B142" s="7">
        <v>1550</v>
      </c>
      <c r="C142" s="8" t="s">
        <v>11</v>
      </c>
      <c r="D142" s="7">
        <v>3100</v>
      </c>
      <c r="E142" s="9" t="s">
        <v>12</v>
      </c>
      <c r="F142" s="7"/>
      <c r="G142" s="9"/>
    </row>
    <row r="143" ht="21" customHeight="1" spans="1:9" x14ac:dyDescent="0.25">
      <c r="A143" s="6" t="s">
        <v>164</v>
      </c>
      <c r="B143" s="7">
        <v>100</v>
      </c>
      <c r="C143" s="8" t="s">
        <v>149</v>
      </c>
      <c r="D143" s="7">
        <v>195</v>
      </c>
      <c r="E143" s="9" t="s">
        <v>150</v>
      </c>
      <c r="F143" s="7"/>
      <c r="G143" s="9"/>
    </row>
    <row r="144" ht="21" customHeight="1" spans="1:9" x14ac:dyDescent="0.25">
      <c r="A144" s="6" t="s">
        <v>165</v>
      </c>
      <c r="B144" s="7">
        <v>135</v>
      </c>
      <c r="C144" s="8" t="s">
        <v>149</v>
      </c>
      <c r="D144" s="7">
        <v>260</v>
      </c>
      <c r="E144" s="9" t="s">
        <v>150</v>
      </c>
      <c r="F144" s="7"/>
      <c r="G144" s="9"/>
    </row>
    <row r="145" ht="21" customHeight="1" spans="1:9" x14ac:dyDescent="0.25">
      <c r="A145" s="6" t="s">
        <v>166</v>
      </c>
      <c r="B145" s="7">
        <v>65</v>
      </c>
      <c r="C145" s="8" t="s">
        <v>149</v>
      </c>
      <c r="D145" s="7">
        <v>120</v>
      </c>
      <c r="E145" s="9" t="s">
        <v>150</v>
      </c>
      <c r="F145" s="7"/>
      <c r="G145" s="9"/>
    </row>
    <row r="146" ht="21" customHeight="1" spans="1:9" x14ac:dyDescent="0.25">
      <c r="A146" s="6" t="s">
        <v>167</v>
      </c>
      <c r="B146" s="7">
        <v>65</v>
      </c>
      <c r="C146" s="8" t="s">
        <v>149</v>
      </c>
      <c r="D146" s="7">
        <v>120</v>
      </c>
      <c r="E146" s="9" t="s">
        <v>150</v>
      </c>
      <c r="F146" s="7"/>
      <c r="G146" s="9"/>
    </row>
    <row r="147" ht="21" customHeight="1" spans="1:9" x14ac:dyDescent="0.25">
      <c r="A147" s="6" t="s">
        <v>168</v>
      </c>
      <c r="B147" s="7">
        <v>350</v>
      </c>
      <c r="C147" s="8"/>
      <c r="D147" s="7"/>
      <c r="E147" s="8"/>
      <c r="F147" s="7"/>
      <c r="G147" s="8"/>
    </row>
    <row r="148" ht="21" customHeight="1" spans="1:9" x14ac:dyDescent="0.25">
      <c r="A148" s="6" t="s">
        <v>169</v>
      </c>
      <c r="B148" s="7">
        <v>90</v>
      </c>
      <c r="C148" s="8" t="s">
        <v>149</v>
      </c>
      <c r="D148" s="7">
        <v>170</v>
      </c>
      <c r="E148" s="9" t="s">
        <v>150</v>
      </c>
      <c r="F148" s="7"/>
      <c r="G148" s="9"/>
    </row>
    <row r="149" ht="21" customHeight="1" spans="1:9" x14ac:dyDescent="0.25">
      <c r="A149" s="6" t="s">
        <v>170</v>
      </c>
      <c r="B149" s="7">
        <v>100</v>
      </c>
      <c r="C149" s="8" t="s">
        <v>149</v>
      </c>
      <c r="D149" s="7">
        <v>190</v>
      </c>
      <c r="E149" s="9" t="s">
        <v>150</v>
      </c>
      <c r="F149" s="7"/>
      <c r="G149" s="9"/>
    </row>
    <row r="150" ht="21" customHeight="1" spans="1:9" x14ac:dyDescent="0.25">
      <c r="A150" s="6" t="s">
        <v>171</v>
      </c>
      <c r="B150" s="7">
        <v>65</v>
      </c>
      <c r="C150" s="8" t="s">
        <v>149</v>
      </c>
      <c r="D150" s="7">
        <v>120</v>
      </c>
      <c r="E150" s="9" t="s">
        <v>150</v>
      </c>
      <c r="F150" s="7"/>
      <c r="G150" s="9"/>
    </row>
    <row r="151" ht="21" customHeight="1" spans="1:9" x14ac:dyDescent="0.25">
      <c r="A151" s="6" t="s">
        <v>172</v>
      </c>
      <c r="B151" s="7">
        <v>115</v>
      </c>
      <c r="C151" s="8" t="s">
        <v>149</v>
      </c>
      <c r="D151" s="7">
        <v>220</v>
      </c>
      <c r="E151" s="9" t="s">
        <v>150</v>
      </c>
      <c r="F151" s="7"/>
      <c r="G151" s="9"/>
    </row>
    <row r="152" ht="21" customHeight="1" spans="1:9" x14ac:dyDescent="0.25">
      <c r="A152" s="6" t="s">
        <v>173</v>
      </c>
      <c r="B152" s="7">
        <v>135</v>
      </c>
      <c r="C152" s="8" t="s">
        <v>149</v>
      </c>
      <c r="D152" s="7">
        <v>260</v>
      </c>
      <c r="E152" s="9" t="s">
        <v>150</v>
      </c>
      <c r="F152" s="7"/>
      <c r="G152" s="9"/>
    </row>
    <row r="153" ht="21" customHeight="1" spans="1:9" x14ac:dyDescent="0.25">
      <c r="A153" s="6" t="s">
        <v>174</v>
      </c>
      <c r="B153" s="7">
        <v>115</v>
      </c>
      <c r="C153" s="8" t="s">
        <v>149</v>
      </c>
      <c r="D153" s="7">
        <v>220</v>
      </c>
      <c r="E153" s="9" t="s">
        <v>150</v>
      </c>
      <c r="F153" s="7"/>
      <c r="G153" s="9"/>
    </row>
    <row r="154" ht="21" customHeight="1" spans="1:9" x14ac:dyDescent="0.25">
      <c r="A154" s="6" t="s">
        <v>175</v>
      </c>
      <c r="B154" s="7">
        <v>100</v>
      </c>
      <c r="C154" s="8" t="s">
        <v>149</v>
      </c>
      <c r="D154" s="7">
        <v>195</v>
      </c>
      <c r="E154" s="9" t="s">
        <v>150</v>
      </c>
      <c r="F154" s="7"/>
      <c r="G154" s="9"/>
    </row>
    <row r="155" ht="21" customHeight="1" spans="1:9" x14ac:dyDescent="0.25">
      <c r="A155" s="6" t="s">
        <v>176</v>
      </c>
      <c r="B155" s="7">
        <v>95</v>
      </c>
      <c r="C155" s="8" t="s">
        <v>149</v>
      </c>
      <c r="D155" s="7">
        <v>185</v>
      </c>
      <c r="E155" s="9" t="s">
        <v>150</v>
      </c>
      <c r="F155" s="7"/>
      <c r="G155" s="9"/>
    </row>
    <row r="156" ht="21" customHeight="1" spans="1:9" x14ac:dyDescent="0.25">
      <c r="A156" s="6" t="s">
        <v>177</v>
      </c>
      <c r="B156" s="7">
        <v>115</v>
      </c>
      <c r="C156" s="8" t="s">
        <v>149</v>
      </c>
      <c r="D156" s="7">
        <v>220</v>
      </c>
      <c r="E156" s="9" t="s">
        <v>150</v>
      </c>
      <c r="F156" s="7"/>
      <c r="G156" s="9"/>
    </row>
    <row r="157" ht="21" customHeight="1" spans="1:9" x14ac:dyDescent="0.25">
      <c r="A157" s="6" t="s">
        <v>178</v>
      </c>
      <c r="B157" s="7">
        <v>500</v>
      </c>
      <c r="C157" s="8" t="s">
        <v>11</v>
      </c>
      <c r="D157" s="7">
        <v>1000</v>
      </c>
      <c r="E157" s="9" t="s">
        <v>12</v>
      </c>
      <c r="F157" s="7"/>
      <c r="G157" s="9"/>
    </row>
    <row r="158" ht="21" customHeight="1" spans="1:9" x14ac:dyDescent="0.25">
      <c r="A158" s="6" t="s">
        <v>178</v>
      </c>
      <c r="B158" s="7">
        <v>100</v>
      </c>
      <c r="C158" s="8" t="s">
        <v>149</v>
      </c>
      <c r="D158" s="7">
        <v>195</v>
      </c>
      <c r="E158" s="9" t="s">
        <v>150</v>
      </c>
      <c r="F158" s="7"/>
      <c r="G158" s="9"/>
    </row>
    <row r="159" ht="21" customHeight="1" spans="1:9" x14ac:dyDescent="0.25">
      <c r="A159" s="6" t="s">
        <v>179</v>
      </c>
      <c r="B159" s="7">
        <v>65</v>
      </c>
      <c r="C159" s="8" t="s">
        <v>149</v>
      </c>
      <c r="D159" s="7">
        <v>120</v>
      </c>
      <c r="E159" s="9" t="s">
        <v>150</v>
      </c>
      <c r="F159" s="7"/>
      <c r="G159" s="9"/>
    </row>
    <row r="160" ht="21" customHeight="1" spans="1:9" x14ac:dyDescent="0.25">
      <c r="A160" s="6" t="s">
        <v>180</v>
      </c>
      <c r="B160" s="7">
        <v>65</v>
      </c>
      <c r="C160" s="8" t="s">
        <v>149</v>
      </c>
      <c r="D160" s="7">
        <v>120</v>
      </c>
      <c r="E160" s="9" t="s">
        <v>150</v>
      </c>
      <c r="F160" s="7"/>
      <c r="G160" s="9"/>
    </row>
    <row r="161" ht="21" customHeight="1" spans="1:9" x14ac:dyDescent="0.25">
      <c r="A161" s="6" t="s">
        <v>181</v>
      </c>
      <c r="B161" s="7">
        <v>150</v>
      </c>
      <c r="C161" s="8" t="s">
        <v>149</v>
      </c>
      <c r="D161" s="7">
        <v>295</v>
      </c>
      <c r="E161" s="9" t="s">
        <v>150</v>
      </c>
      <c r="F161" s="7"/>
      <c r="G161" s="9"/>
    </row>
    <row r="162" ht="21" customHeight="1" spans="1:9" x14ac:dyDescent="0.25">
      <c r="A162" s="6" t="s">
        <v>182</v>
      </c>
      <c r="B162" s="7">
        <v>655</v>
      </c>
      <c r="C162" s="8" t="s">
        <v>11</v>
      </c>
      <c r="D162" s="7">
        <v>1300</v>
      </c>
      <c r="E162" s="9" t="s">
        <v>12</v>
      </c>
      <c r="F162" s="7"/>
      <c r="G162" s="9"/>
    </row>
    <row r="163" ht="21" customHeight="1" spans="1:9" x14ac:dyDescent="0.25">
      <c r="A163" s="6" t="s">
        <v>183</v>
      </c>
      <c r="B163" s="7" t="s">
        <v>8</v>
      </c>
      <c r="C163" s="8" t="s">
        <v>149</v>
      </c>
      <c r="D163" s="7">
        <v>70</v>
      </c>
      <c r="E163" s="9" t="s">
        <v>150</v>
      </c>
      <c r="F163" s="7"/>
      <c r="G163" s="9"/>
    </row>
    <row r="164" ht="21" customHeight="1" spans="1:9" x14ac:dyDescent="0.25">
      <c r="A164" s="6" t="s">
        <v>184</v>
      </c>
      <c r="B164" s="7">
        <v>90</v>
      </c>
      <c r="C164" s="8" t="s">
        <v>149</v>
      </c>
      <c r="D164" s="7">
        <v>170</v>
      </c>
      <c r="E164" s="9" t="s">
        <v>150</v>
      </c>
      <c r="F164" s="7"/>
      <c r="G164" s="9"/>
    </row>
    <row r="165" ht="21" customHeight="1" spans="1:9" x14ac:dyDescent="0.25">
      <c r="A165" s="6" t="s">
        <v>185</v>
      </c>
      <c r="B165" s="7">
        <v>130</v>
      </c>
      <c r="C165" s="8" t="s">
        <v>149</v>
      </c>
      <c r="D165" s="7">
        <v>255</v>
      </c>
      <c r="E165" s="9" t="s">
        <v>150</v>
      </c>
      <c r="F165" s="7"/>
      <c r="G165" s="9"/>
    </row>
    <row r="166" ht="21" customHeight="1" spans="1:9" x14ac:dyDescent="0.25">
      <c r="A166" s="6" t="s">
        <v>186</v>
      </c>
      <c r="B166" s="7">
        <v>1760</v>
      </c>
      <c r="C166" s="8" t="s">
        <v>11</v>
      </c>
      <c r="D166" s="7">
        <v>3500</v>
      </c>
      <c r="E166" s="9" t="s">
        <v>12</v>
      </c>
      <c r="F166" s="7"/>
      <c r="G166" s="9"/>
    </row>
    <row r="167" ht="21" customHeight="1" spans="1:9" x14ac:dyDescent="0.25">
      <c r="A167" s="6" t="s">
        <v>187</v>
      </c>
      <c r="B167" s="7">
        <v>65</v>
      </c>
      <c r="C167" s="8" t="s">
        <v>149</v>
      </c>
      <c r="D167" s="7">
        <v>120</v>
      </c>
      <c r="E167" s="9" t="s">
        <v>150</v>
      </c>
      <c r="F167" s="7"/>
      <c r="G167" s="9"/>
    </row>
    <row r="168" ht="21" customHeight="1" spans="1:9" x14ac:dyDescent="0.25">
      <c r="A168" s="6" t="s">
        <v>188</v>
      </c>
      <c r="B168" s="7">
        <v>90</v>
      </c>
      <c r="C168" s="8" t="s">
        <v>149</v>
      </c>
      <c r="D168" s="7">
        <v>170</v>
      </c>
      <c r="E168" s="9" t="s">
        <v>150</v>
      </c>
      <c r="F168" s="7"/>
      <c r="G168" s="9"/>
    </row>
    <row r="169" ht="21" customHeight="1" spans="1:9" x14ac:dyDescent="0.25">
      <c r="A169" s="6" t="s">
        <v>189</v>
      </c>
      <c r="B169" s="7">
        <v>65</v>
      </c>
      <c r="C169" s="8" t="s">
        <v>149</v>
      </c>
      <c r="D169" s="7">
        <v>120</v>
      </c>
      <c r="E169" s="9" t="s">
        <v>150</v>
      </c>
      <c r="F169" s="7"/>
      <c r="G169" s="9"/>
    </row>
    <row r="170" ht="21" customHeight="1" spans="1:9" x14ac:dyDescent="0.25">
      <c r="A170" s="6" t="s">
        <v>190</v>
      </c>
      <c r="B170" s="7">
        <v>145</v>
      </c>
      <c r="C170" s="8" t="s">
        <v>191</v>
      </c>
      <c r="D170" s="7">
        <v>1500</v>
      </c>
      <c r="E170" s="9" t="s">
        <v>9</v>
      </c>
      <c r="F170" s="7"/>
      <c r="G170" s="9"/>
    </row>
    <row r="171" ht="21" customHeight="1" spans="1:9" x14ac:dyDescent="0.25">
      <c r="A171" s="6" t="s">
        <v>192</v>
      </c>
      <c r="B171" s="7">
        <v>120</v>
      </c>
      <c r="C171" s="8" t="s">
        <v>149</v>
      </c>
      <c r="D171" s="7" t="s">
        <v>8</v>
      </c>
      <c r="E171" s="9" t="s">
        <v>150</v>
      </c>
      <c r="F171" s="7"/>
      <c r="G171" s="9"/>
    </row>
    <row r="172" ht="21" customHeight="1" spans="1:9" x14ac:dyDescent="0.25">
      <c r="A172" s="6" t="s">
        <v>193</v>
      </c>
      <c r="B172" s="7">
        <v>1475</v>
      </c>
      <c r="C172" s="8" t="s">
        <v>11</v>
      </c>
      <c r="D172" s="7">
        <v>2950</v>
      </c>
      <c r="E172" s="9" t="s">
        <v>12</v>
      </c>
      <c r="F172" s="7"/>
      <c r="G172" s="9"/>
    </row>
    <row r="173" ht="21" customHeight="1" spans="1:9" x14ac:dyDescent="0.25">
      <c r="A173" s="6" t="s">
        <v>193</v>
      </c>
      <c r="B173" s="7">
        <v>100</v>
      </c>
      <c r="C173" s="8" t="s">
        <v>149</v>
      </c>
      <c r="D173" s="7">
        <v>195</v>
      </c>
      <c r="E173" s="9" t="s">
        <v>150</v>
      </c>
      <c r="F173" s="7"/>
      <c r="G173" s="9"/>
    </row>
    <row r="174" ht="21" customHeight="1" spans="1:9" x14ac:dyDescent="0.25">
      <c r="A174" s="6" t="s">
        <v>194</v>
      </c>
      <c r="B174" s="7">
        <v>100</v>
      </c>
      <c r="C174" s="8" t="s">
        <v>149</v>
      </c>
      <c r="D174" s="7">
        <v>195</v>
      </c>
      <c r="E174" s="9" t="s">
        <v>150</v>
      </c>
      <c r="F174" s="7"/>
      <c r="G174" s="9"/>
    </row>
    <row r="175" ht="21" customHeight="1" spans="1:9" x14ac:dyDescent="0.25">
      <c r="A175" s="6" t="s">
        <v>195</v>
      </c>
      <c r="B175" s="7">
        <v>90</v>
      </c>
      <c r="C175" s="8" t="s">
        <v>149</v>
      </c>
      <c r="D175" s="7">
        <v>170</v>
      </c>
      <c r="E175" s="9" t="s">
        <v>150</v>
      </c>
      <c r="F175" s="7"/>
      <c r="G175" s="9"/>
    </row>
    <row r="176" ht="21" customHeight="1" spans="1:9" x14ac:dyDescent="0.25">
      <c r="A176" s="6" t="s">
        <v>196</v>
      </c>
      <c r="B176" s="7">
        <v>500</v>
      </c>
      <c r="C176" s="8" t="s">
        <v>11</v>
      </c>
      <c r="D176" s="7">
        <v>1000</v>
      </c>
      <c r="E176" s="9" t="s">
        <v>12</v>
      </c>
      <c r="F176" s="7"/>
      <c r="G176" s="9"/>
    </row>
    <row r="177" ht="21" customHeight="1" spans="1:9" x14ac:dyDescent="0.25">
      <c r="A177" s="6" t="s">
        <v>196</v>
      </c>
      <c r="B177" s="7">
        <v>65</v>
      </c>
      <c r="C177" s="8" t="s">
        <v>149</v>
      </c>
      <c r="D177" s="7">
        <v>120</v>
      </c>
      <c r="E177" s="9" t="s">
        <v>150</v>
      </c>
      <c r="F177" s="7"/>
      <c r="G177" s="9"/>
    </row>
    <row r="178" ht="21" customHeight="1" spans="1:9" x14ac:dyDescent="0.25">
      <c r="A178" s="6" t="s">
        <v>197</v>
      </c>
      <c r="B178" s="7">
        <v>480</v>
      </c>
      <c r="C178" s="8" t="s">
        <v>11</v>
      </c>
      <c r="D178" s="7">
        <v>950</v>
      </c>
      <c r="E178" s="9" t="s">
        <v>12</v>
      </c>
      <c r="F178" s="7"/>
      <c r="G178" s="9"/>
    </row>
    <row r="179" ht="21" customHeight="1" spans="1:9" x14ac:dyDescent="0.25">
      <c r="A179" s="6" t="s">
        <v>198</v>
      </c>
      <c r="B179" s="7">
        <v>655</v>
      </c>
      <c r="C179" s="8" t="s">
        <v>11</v>
      </c>
      <c r="D179" s="7">
        <v>1300</v>
      </c>
      <c r="E179" s="9" t="s">
        <v>12</v>
      </c>
      <c r="F179" s="7"/>
      <c r="G179" s="9"/>
    </row>
    <row r="180" ht="21" customHeight="1" spans="1:9" x14ac:dyDescent="0.25">
      <c r="A180" s="6" t="s">
        <v>199</v>
      </c>
      <c r="B180" s="7" t="s">
        <v>8</v>
      </c>
      <c r="C180" s="8" t="s">
        <v>9</v>
      </c>
      <c r="D180" s="7" t="s">
        <v>8</v>
      </c>
      <c r="E180" s="8" t="s">
        <v>9</v>
      </c>
      <c r="F180" s="7"/>
      <c r="G180" s="8"/>
    </row>
    <row r="181" ht="21" customHeight="1" spans="1:9" x14ac:dyDescent="0.25">
      <c r="A181" s="6" t="s">
        <v>200</v>
      </c>
      <c r="B181" s="7">
        <v>45</v>
      </c>
      <c r="C181" s="8" t="s">
        <v>149</v>
      </c>
      <c r="D181" s="7">
        <v>80</v>
      </c>
      <c r="E181" s="9" t="s">
        <v>150</v>
      </c>
      <c r="F181" s="7"/>
      <c r="G181" s="9"/>
    </row>
    <row r="182" ht="21" customHeight="1" spans="1:9" x14ac:dyDescent="0.25">
      <c r="A182" s="6" t="s">
        <v>201</v>
      </c>
      <c r="B182" s="7">
        <v>85</v>
      </c>
      <c r="C182" s="8" t="s">
        <v>149</v>
      </c>
      <c r="D182" s="7">
        <v>160</v>
      </c>
      <c r="E182" s="9" t="s">
        <v>150</v>
      </c>
      <c r="F182" s="7"/>
      <c r="G182" s="9"/>
    </row>
    <row r="183" ht="21" customHeight="1" spans="1:9" x14ac:dyDescent="0.25">
      <c r="A183" s="6" t="s">
        <v>202</v>
      </c>
      <c r="B183" s="7">
        <v>125</v>
      </c>
      <c r="C183" s="8" t="s">
        <v>149</v>
      </c>
      <c r="D183" s="7">
        <v>245</v>
      </c>
      <c r="E183" s="9" t="s">
        <v>150</v>
      </c>
      <c r="F183" s="7"/>
      <c r="G183" s="9"/>
    </row>
    <row r="184" ht="21" customHeight="1" spans="1:9" x14ac:dyDescent="0.25">
      <c r="A184" s="6" t="s">
        <v>203</v>
      </c>
      <c r="B184" s="7">
        <v>90</v>
      </c>
      <c r="C184" s="8" t="s">
        <v>149</v>
      </c>
      <c r="D184" s="7">
        <v>170</v>
      </c>
      <c r="E184" s="9" t="s">
        <v>150</v>
      </c>
      <c r="F184" s="7"/>
      <c r="G184" s="9"/>
    </row>
    <row r="185" ht="21" customHeight="1" spans="1:9" x14ac:dyDescent="0.25">
      <c r="A185" s="6" t="s">
        <v>204</v>
      </c>
      <c r="B185" s="7">
        <v>90</v>
      </c>
      <c r="C185" s="8" t="s">
        <v>149</v>
      </c>
      <c r="D185" s="7">
        <v>170</v>
      </c>
      <c r="E185" s="9" t="s">
        <v>150</v>
      </c>
      <c r="F185" s="7"/>
      <c r="G185" s="9"/>
    </row>
    <row r="186" ht="21" customHeight="1" spans="1:9" x14ac:dyDescent="0.25">
      <c r="A186" s="6" t="s">
        <v>205</v>
      </c>
      <c r="B186" s="7">
        <v>115</v>
      </c>
      <c r="C186" s="8" t="s">
        <v>149</v>
      </c>
      <c r="D186" s="7">
        <v>220</v>
      </c>
      <c r="E186" s="9" t="s">
        <v>150</v>
      </c>
      <c r="F186" s="7"/>
      <c r="G186" s="9"/>
    </row>
    <row r="187" ht="21" customHeight="1" spans="1:9" x14ac:dyDescent="0.25">
      <c r="A187" s="6" t="s">
        <v>206</v>
      </c>
      <c r="B187" s="7">
        <v>90</v>
      </c>
      <c r="C187" s="8" t="s">
        <v>149</v>
      </c>
      <c r="D187" s="7">
        <v>170</v>
      </c>
      <c r="E187" s="9" t="s">
        <v>150</v>
      </c>
      <c r="F187" s="7"/>
      <c r="G187" s="9"/>
    </row>
    <row r="188" ht="21" customHeight="1" spans="1:9" x14ac:dyDescent="0.25">
      <c r="A188" s="6" t="s">
        <v>207</v>
      </c>
      <c r="B188" s="7">
        <v>75</v>
      </c>
      <c r="C188" s="8" t="s">
        <v>149</v>
      </c>
      <c r="D188" s="7">
        <v>140</v>
      </c>
      <c r="E188" s="9" t="s">
        <v>150</v>
      </c>
      <c r="F188" s="7"/>
      <c r="G188" s="9"/>
    </row>
    <row r="189" ht="21" customHeight="1" spans="1:9" x14ac:dyDescent="0.25">
      <c r="A189" s="6" t="s">
        <v>208</v>
      </c>
      <c r="B189" s="7">
        <v>90</v>
      </c>
      <c r="C189" s="8" t="s">
        <v>149</v>
      </c>
      <c r="D189" s="7">
        <v>170</v>
      </c>
      <c r="E189" s="9" t="s">
        <v>150</v>
      </c>
      <c r="F189" s="7"/>
      <c r="G189" s="9"/>
    </row>
    <row r="190" ht="21" customHeight="1" spans="1:9" x14ac:dyDescent="0.25">
      <c r="A190" s="6" t="s">
        <v>209</v>
      </c>
      <c r="B190" s="7">
        <v>100</v>
      </c>
      <c r="C190" s="8" t="s">
        <v>149</v>
      </c>
      <c r="D190" s="7">
        <v>190</v>
      </c>
      <c r="E190" s="9" t="s">
        <v>150</v>
      </c>
      <c r="F190" s="7"/>
      <c r="G190" s="9"/>
    </row>
    <row r="191" ht="21" customHeight="1" spans="1:9" x14ac:dyDescent="0.25">
      <c r="A191" s="6" t="s">
        <v>210</v>
      </c>
      <c r="B191" s="7">
        <v>90</v>
      </c>
      <c r="C191" s="8" t="s">
        <v>149</v>
      </c>
      <c r="D191" s="7">
        <v>170</v>
      </c>
      <c r="E191" s="9" t="s">
        <v>150</v>
      </c>
      <c r="F191" s="7"/>
      <c r="G191" s="9"/>
    </row>
    <row r="192" ht="21" customHeight="1" spans="1:9" x14ac:dyDescent="0.25">
      <c r="A192" s="6" t="s">
        <v>211</v>
      </c>
      <c r="B192" s="7">
        <v>125</v>
      </c>
      <c r="C192" s="8" t="s">
        <v>149</v>
      </c>
      <c r="D192" s="7">
        <v>245</v>
      </c>
      <c r="E192" s="9" t="s">
        <v>150</v>
      </c>
      <c r="F192" s="7"/>
      <c r="G192" s="9"/>
    </row>
    <row r="193" ht="21" customHeight="1" spans="1:9" x14ac:dyDescent="0.25">
      <c r="A193" s="6" t="s">
        <v>212</v>
      </c>
      <c r="B193" s="7">
        <v>90</v>
      </c>
      <c r="C193" s="8" t="s">
        <v>149</v>
      </c>
      <c r="D193" s="7">
        <v>170</v>
      </c>
      <c r="E193" s="9" t="s">
        <v>150</v>
      </c>
      <c r="F193" s="7"/>
      <c r="G193" s="9"/>
    </row>
    <row r="194" ht="21" customHeight="1" spans="1:9" x14ac:dyDescent="0.25">
      <c r="A194" s="6" t="s">
        <v>213</v>
      </c>
      <c r="B194" s="7">
        <v>1100</v>
      </c>
      <c r="C194" s="8" t="s">
        <v>11</v>
      </c>
      <c r="D194" s="7">
        <v>2200</v>
      </c>
      <c r="E194" s="9" t="s">
        <v>12</v>
      </c>
      <c r="F194" s="7"/>
      <c r="G194" s="9"/>
    </row>
    <row r="195" ht="21" customHeight="1" spans="1:9" x14ac:dyDescent="0.25">
      <c r="A195" s="6" t="s">
        <v>213</v>
      </c>
      <c r="B195" s="7">
        <v>90</v>
      </c>
      <c r="C195" s="8" t="s">
        <v>149</v>
      </c>
      <c r="D195" s="7">
        <v>170</v>
      </c>
      <c r="E195" s="9" t="s">
        <v>150</v>
      </c>
      <c r="F195" s="7"/>
      <c r="G195" s="9"/>
    </row>
    <row r="196" ht="21" customHeight="1" spans="1:9" x14ac:dyDescent="0.25">
      <c r="A196" s="6" t="s">
        <v>214</v>
      </c>
      <c r="B196" s="7">
        <v>65</v>
      </c>
      <c r="C196" s="8" t="s">
        <v>149</v>
      </c>
      <c r="D196" s="7">
        <v>120</v>
      </c>
      <c r="E196" s="9" t="s">
        <v>150</v>
      </c>
      <c r="F196" s="7"/>
      <c r="G196" s="9"/>
    </row>
    <row r="197" ht="21" customHeight="1" spans="1:9" x14ac:dyDescent="0.25">
      <c r="A197" s="6" t="s">
        <v>215</v>
      </c>
      <c r="B197" s="7">
        <v>65</v>
      </c>
      <c r="C197" s="8" t="s">
        <v>216</v>
      </c>
      <c r="D197" s="7" t="s">
        <v>8</v>
      </c>
      <c r="E197" s="9" t="s">
        <v>150</v>
      </c>
      <c r="F197" s="7"/>
      <c r="G197" s="9"/>
    </row>
    <row r="198" ht="21" customHeight="1" spans="1:9" x14ac:dyDescent="0.25">
      <c r="A198" s="6" t="s">
        <v>217</v>
      </c>
      <c r="B198" s="7">
        <v>21</v>
      </c>
      <c r="C198" s="8" t="s">
        <v>218</v>
      </c>
      <c r="D198" s="7"/>
      <c r="E198" s="8"/>
      <c r="F198" s="7"/>
      <c r="G198" s="8"/>
    </row>
    <row r="199" ht="21" customHeight="1" spans="1:9" x14ac:dyDescent="0.25">
      <c r="A199" s="6" t="s">
        <v>219</v>
      </c>
      <c r="B199" s="7">
        <v>1211</v>
      </c>
      <c r="C199" s="8" t="s">
        <v>218</v>
      </c>
      <c r="D199" s="7"/>
      <c r="E199" s="8"/>
      <c r="F199" s="7"/>
      <c r="G199" s="8"/>
    </row>
    <row r="200" ht="21" customHeight="1" spans="1:9" x14ac:dyDescent="0.25">
      <c r="A200" s="6" t="s">
        <v>220</v>
      </c>
      <c r="B200" s="7">
        <v>11000</v>
      </c>
      <c r="C200" s="8" t="s">
        <v>218</v>
      </c>
      <c r="D200" s="7">
        <v>325</v>
      </c>
      <c r="E200" s="8" t="s">
        <v>221</v>
      </c>
      <c r="F200" s="7"/>
      <c r="G200" s="8"/>
      <c r="H200">
        <v>45000</v>
      </c>
      <c r="I200" t="s">
        <v>222</v>
      </c>
    </row>
    <row r="201" ht="21" customHeight="1" spans="1:9" x14ac:dyDescent="0.25">
      <c r="A201" s="6" t="s">
        <v>223</v>
      </c>
      <c r="B201" s="7">
        <v>500</v>
      </c>
      <c r="C201" s="8" t="s">
        <v>9</v>
      </c>
      <c r="D201" s="7"/>
      <c r="E201" s="8"/>
      <c r="F201" s="7"/>
      <c r="G201" s="8"/>
    </row>
    <row r="202" ht="21" customHeight="1" spans="1:9" x14ac:dyDescent="0.25">
      <c r="A202" s="6" t="s">
        <v>224</v>
      </c>
      <c r="B202" s="7">
        <v>800</v>
      </c>
      <c r="C202" s="8" t="s">
        <v>9</v>
      </c>
      <c r="D202" s="7"/>
      <c r="E202" s="8"/>
      <c r="F202" s="7"/>
      <c r="G202" s="8"/>
    </row>
    <row r="203" ht="21" customHeight="1" spans="1:9" x14ac:dyDescent="0.25">
      <c r="A203" s="6" t="s">
        <v>225</v>
      </c>
      <c r="B203" s="7" t="s">
        <v>8</v>
      </c>
      <c r="C203" s="8" t="s">
        <v>9</v>
      </c>
      <c r="D203" s="7"/>
      <c r="E203" s="8"/>
      <c r="F203" s="7"/>
      <c r="G203" s="8"/>
    </row>
    <row r="204" ht="21" customHeight="1" spans="1:9" x14ac:dyDescent="0.25">
      <c r="A204" s="6" t="s">
        <v>226</v>
      </c>
      <c r="B204" s="7" t="s">
        <v>8</v>
      </c>
      <c r="C204" s="8" t="s">
        <v>9</v>
      </c>
      <c r="D204" s="7"/>
      <c r="E204" s="8"/>
      <c r="F204" s="7"/>
      <c r="G204" s="8"/>
    </row>
    <row r="205" ht="21" customHeight="1" spans="1:9" x14ac:dyDescent="0.25">
      <c r="A205" s="6" t="s">
        <v>227</v>
      </c>
      <c r="B205" s="7" t="s">
        <v>8</v>
      </c>
      <c r="C205" s="8" t="s">
        <v>9</v>
      </c>
      <c r="D205" s="7"/>
      <c r="E205" s="8"/>
      <c r="F205" s="7"/>
      <c r="G205" s="8"/>
    </row>
    <row r="206" ht="21" customHeight="1" spans="1:9" x14ac:dyDescent="0.25">
      <c r="A206" s="6" t="s">
        <v>228</v>
      </c>
      <c r="B206" s="7" t="s">
        <v>8</v>
      </c>
      <c r="C206" s="8" t="s">
        <v>9</v>
      </c>
      <c r="D206" s="7"/>
      <c r="E206" s="8"/>
      <c r="F206" s="7"/>
      <c r="G206" s="8"/>
    </row>
    <row r="207" ht="21" customHeight="1" spans="1:9" x14ac:dyDescent="0.25">
      <c r="A207" s="6" t="s">
        <v>229</v>
      </c>
      <c r="B207" s="7">
        <v>1200</v>
      </c>
      <c r="C207" s="8" t="s">
        <v>9</v>
      </c>
      <c r="D207" s="7"/>
      <c r="E207" s="8"/>
      <c r="F207" s="7"/>
      <c r="G207" s="8"/>
    </row>
    <row r="208" ht="21" customHeight="1" spans="1:9" x14ac:dyDescent="0.25">
      <c r="A208" s="6" t="s">
        <v>230</v>
      </c>
      <c r="B208" s="7">
        <v>500</v>
      </c>
      <c r="C208" s="8" t="s">
        <v>9</v>
      </c>
      <c r="D208" s="7"/>
      <c r="E208" s="8"/>
      <c r="F208" s="7"/>
      <c r="G208" s="8"/>
    </row>
    <row r="209" ht="21" customHeight="1" spans="1:9" x14ac:dyDescent="0.25">
      <c r="A209" s="6" t="s">
        <v>231</v>
      </c>
      <c r="B209" s="7">
        <v>1340</v>
      </c>
      <c r="C209" s="8" t="s">
        <v>9</v>
      </c>
      <c r="D209" s="7"/>
      <c r="E209" s="8"/>
      <c r="F209" s="7"/>
      <c r="G209" s="8"/>
    </row>
    <row r="210" ht="21" customHeight="1" spans="1:9" x14ac:dyDescent="0.25">
      <c r="A210" s="6" t="s">
        <v>232</v>
      </c>
      <c r="B210" s="7">
        <v>3100</v>
      </c>
      <c r="C210" s="8" t="s">
        <v>9</v>
      </c>
      <c r="D210" s="7"/>
      <c r="E210" s="9"/>
      <c r="F210" s="7"/>
      <c r="G210" s="9"/>
    </row>
    <row r="211" ht="21" customHeight="1" spans="1:9" x14ac:dyDescent="0.25">
      <c r="A211" s="6" t="s">
        <v>233</v>
      </c>
      <c r="B211" s="7">
        <v>910</v>
      </c>
      <c r="C211" s="8" t="s">
        <v>9</v>
      </c>
      <c r="D211" s="7"/>
      <c r="E211" s="9"/>
      <c r="F211" s="7"/>
      <c r="G211" s="9"/>
    </row>
    <row r="212" ht="21" customHeight="1" spans="1:9" x14ac:dyDescent="0.25">
      <c r="A212" s="6" t="s">
        <v>234</v>
      </c>
      <c r="B212" s="7">
        <v>500</v>
      </c>
      <c r="C212" s="8" t="s">
        <v>9</v>
      </c>
      <c r="D212" s="7"/>
      <c r="E212" s="8"/>
      <c r="F212" s="7"/>
      <c r="G212" s="8"/>
    </row>
    <row r="213" ht="21" customHeight="1" spans="1:9" x14ac:dyDescent="0.25">
      <c r="A213" s="6" t="s">
        <v>235</v>
      </c>
      <c r="B213" s="7">
        <v>135</v>
      </c>
      <c r="C213" s="8" t="s">
        <v>236</v>
      </c>
      <c r="D213" s="7">
        <v>260</v>
      </c>
      <c r="E213" s="8" t="s">
        <v>237</v>
      </c>
      <c r="F213" s="7"/>
      <c r="G213" s="8"/>
    </row>
    <row r="214" ht="21" customHeight="1" spans="1:9" x14ac:dyDescent="0.25">
      <c r="A214" s="6" t="s">
        <v>238</v>
      </c>
      <c r="B214" s="7">
        <v>130</v>
      </c>
      <c r="C214" s="8" t="s">
        <v>236</v>
      </c>
      <c r="D214" s="7">
        <v>250</v>
      </c>
      <c r="E214" s="8" t="s">
        <v>237</v>
      </c>
      <c r="F214" s="7"/>
      <c r="G214" s="8"/>
    </row>
    <row r="215" ht="21" customHeight="1" spans="1:9" x14ac:dyDescent="0.25">
      <c r="A215" s="6" t="s">
        <v>239</v>
      </c>
      <c r="B215" s="7">
        <v>80</v>
      </c>
      <c r="C215" s="8" t="s">
        <v>9</v>
      </c>
      <c r="D215" s="7"/>
      <c r="E215" s="8"/>
      <c r="F215" s="7"/>
      <c r="G215" s="8"/>
    </row>
    <row r="216" ht="21" customHeight="1" spans="1:9" x14ac:dyDescent="0.25">
      <c r="A216" s="6" t="s">
        <v>240</v>
      </c>
      <c r="B216" s="7">
        <v>3000</v>
      </c>
      <c r="C216" s="8" t="s">
        <v>9</v>
      </c>
      <c r="D216" s="7"/>
      <c r="E216" s="8"/>
      <c r="F216" s="7"/>
      <c r="G216" s="8"/>
    </row>
    <row r="217" ht="21" customHeight="1" spans="1:9" x14ac:dyDescent="0.25">
      <c r="A217" s="6" t="s">
        <v>241</v>
      </c>
      <c r="B217" s="7">
        <v>2400</v>
      </c>
      <c r="C217" s="8" t="s">
        <v>9</v>
      </c>
      <c r="D217" s="7"/>
      <c r="E217" s="8"/>
      <c r="F217" s="7"/>
      <c r="G217" s="8"/>
    </row>
    <row r="218" ht="21" customHeight="1" spans="1:9" x14ac:dyDescent="0.25">
      <c r="A218" s="6" t="s">
        <v>242</v>
      </c>
      <c r="B218" s="7">
        <v>4000</v>
      </c>
      <c r="C218" s="8"/>
      <c r="D218" s="7"/>
      <c r="E218" s="8"/>
      <c r="F218" s="7"/>
      <c r="G218" s="8"/>
    </row>
    <row r="219" ht="21" customHeight="1" spans="1:9" x14ac:dyDescent="0.25">
      <c r="A219" s="6" t="s">
        <v>243</v>
      </c>
      <c r="B219" s="7">
        <v>2150</v>
      </c>
      <c r="C219" s="8" t="s">
        <v>9</v>
      </c>
      <c r="D219" s="7"/>
      <c r="E219" s="8"/>
      <c r="F219" s="7"/>
      <c r="G219" s="8"/>
    </row>
    <row r="220" ht="21" customHeight="1" spans="1:9" x14ac:dyDescent="0.25">
      <c r="A220" s="6" t="s">
        <v>244</v>
      </c>
      <c r="B220" s="7">
        <v>900</v>
      </c>
      <c r="C220" s="8" t="s">
        <v>9</v>
      </c>
      <c r="D220" s="7"/>
      <c r="E220" s="8"/>
      <c r="F220" s="7"/>
      <c r="G220" s="8"/>
    </row>
    <row r="221" ht="21" customHeight="1" spans="1:9" x14ac:dyDescent="0.25">
      <c r="A221" s="6" t="s">
        <v>245</v>
      </c>
      <c r="B221" s="7">
        <v>180</v>
      </c>
      <c r="C221" s="8" t="s">
        <v>9</v>
      </c>
      <c r="D221" s="7"/>
      <c r="E221" s="8"/>
      <c r="F221" s="7"/>
      <c r="G221" s="8"/>
    </row>
    <row r="222" ht="21" customHeight="1" spans="1:9" x14ac:dyDescent="0.25">
      <c r="A222" s="6" t="s">
        <v>246</v>
      </c>
      <c r="B222" s="7">
        <v>3400</v>
      </c>
      <c r="C222" s="8" t="s">
        <v>9</v>
      </c>
      <c r="D222" s="7"/>
      <c r="E222" s="8"/>
      <c r="F222" s="7"/>
      <c r="G222" s="8"/>
    </row>
    <row r="223" ht="21" customHeight="1" spans="1:9" x14ac:dyDescent="0.25">
      <c r="A223" s="6" t="s">
        <v>247</v>
      </c>
      <c r="B223" s="7">
        <v>500</v>
      </c>
      <c r="C223" s="8" t="s">
        <v>9</v>
      </c>
      <c r="D223" s="7"/>
      <c r="E223" s="8"/>
      <c r="F223" s="7"/>
      <c r="G223" s="8"/>
    </row>
    <row r="224" ht="21" customHeight="1" spans="1:9" x14ac:dyDescent="0.25">
      <c r="A224" s="6" t="s">
        <v>248</v>
      </c>
      <c r="B224" s="7">
        <v>650</v>
      </c>
      <c r="C224" s="8" t="s">
        <v>9</v>
      </c>
      <c r="D224" s="7"/>
      <c r="E224" s="8"/>
      <c r="F224" s="7"/>
      <c r="G224" s="8"/>
    </row>
    <row r="225" ht="21" customHeight="1" spans="1:9" x14ac:dyDescent="0.25">
      <c r="A225" s="6" t="s">
        <v>249</v>
      </c>
      <c r="B225" s="7">
        <v>500</v>
      </c>
      <c r="C225" s="8" t="s">
        <v>9</v>
      </c>
      <c r="D225" s="7"/>
      <c r="E225" s="8"/>
      <c r="F225" s="7"/>
      <c r="G225" s="8"/>
    </row>
    <row r="226" ht="21" customHeight="1" spans="1:9" x14ac:dyDescent="0.25">
      <c r="A226" s="6" t="s">
        <v>250</v>
      </c>
      <c r="B226" s="7">
        <v>500</v>
      </c>
      <c r="C226" s="8" t="s">
        <v>9</v>
      </c>
      <c r="D226" s="7"/>
      <c r="E226" s="8"/>
      <c r="F226" s="7"/>
      <c r="G226" s="8"/>
    </row>
    <row r="227" ht="21" customHeight="1" spans="1:9" x14ac:dyDescent="0.25">
      <c r="A227" s="6" t="s">
        <v>251</v>
      </c>
      <c r="B227" s="7">
        <v>450</v>
      </c>
      <c r="C227" s="8" t="s">
        <v>9</v>
      </c>
      <c r="D227" s="7"/>
      <c r="E227" s="8"/>
      <c r="F227" s="7"/>
      <c r="G227" s="8"/>
    </row>
    <row r="228" ht="21" customHeight="1" spans="1:9" x14ac:dyDescent="0.25">
      <c r="A228" s="6" t="s">
        <v>252</v>
      </c>
      <c r="B228" s="7">
        <v>380</v>
      </c>
      <c r="C228" s="8" t="s">
        <v>9</v>
      </c>
      <c r="D228" s="7"/>
      <c r="E228" s="8"/>
      <c r="F228" s="7"/>
      <c r="G228" s="8"/>
    </row>
    <row r="229" ht="21" customHeight="1" spans="1:9" x14ac:dyDescent="0.25">
      <c r="A229" s="6" t="s">
        <v>253</v>
      </c>
      <c r="B229" s="7">
        <v>450</v>
      </c>
      <c r="C229" s="8" t="s">
        <v>9</v>
      </c>
      <c r="D229" s="7"/>
      <c r="E229" s="8"/>
      <c r="F229" s="7"/>
      <c r="G229" s="8"/>
    </row>
    <row r="230" ht="21" customHeight="1" spans="1:9" x14ac:dyDescent="0.25">
      <c r="A230" s="6" t="s">
        <v>254</v>
      </c>
      <c r="B230" s="7">
        <v>1300</v>
      </c>
      <c r="C230" s="8" t="s">
        <v>9</v>
      </c>
      <c r="D230" s="7"/>
      <c r="E230" s="8"/>
      <c r="F230" s="7"/>
      <c r="G230" s="8"/>
    </row>
    <row r="231" ht="21" customHeight="1" spans="1:9" x14ac:dyDescent="0.25">
      <c r="A231" s="6" t="s">
        <v>255</v>
      </c>
      <c r="B231" s="7">
        <v>800</v>
      </c>
      <c r="C231" s="8" t="s">
        <v>9</v>
      </c>
      <c r="D231" s="7"/>
      <c r="E231" s="8"/>
      <c r="F231" s="7"/>
      <c r="G231" s="8"/>
    </row>
    <row r="232" ht="21" customHeight="1" spans="1:9" x14ac:dyDescent="0.25">
      <c r="A232" s="6" t="s">
        <v>256</v>
      </c>
      <c r="B232" s="7">
        <v>1100</v>
      </c>
      <c r="C232" s="8" t="s">
        <v>9</v>
      </c>
      <c r="D232" s="7"/>
      <c r="E232" s="9"/>
      <c r="F232" s="7"/>
      <c r="G232" s="9"/>
    </row>
    <row r="233" ht="21" customHeight="1" spans="1:9" x14ac:dyDescent="0.25">
      <c r="A233" s="6" t="s">
        <v>257</v>
      </c>
      <c r="B233" s="7" t="s">
        <v>8</v>
      </c>
      <c r="C233" s="8" t="s">
        <v>9</v>
      </c>
      <c r="D233" s="7"/>
      <c r="E233" s="9"/>
      <c r="F233" s="7"/>
      <c r="G233" s="9"/>
    </row>
    <row r="234" ht="21" customHeight="1" spans="1:9" x14ac:dyDescent="0.25">
      <c r="A234" s="6" t="s">
        <v>258</v>
      </c>
      <c r="B234" s="7" t="s">
        <v>8</v>
      </c>
      <c r="C234" s="8"/>
      <c r="D234" s="7"/>
      <c r="E234" s="8"/>
      <c r="F234" s="7"/>
      <c r="G234" s="8"/>
    </row>
    <row r="235" ht="21" customHeight="1" spans="1:9" x14ac:dyDescent="0.25">
      <c r="A235" s="6" t="s">
        <v>259</v>
      </c>
      <c r="B235" s="7">
        <v>250</v>
      </c>
      <c r="C235" s="8" t="s">
        <v>11</v>
      </c>
      <c r="D235" s="7">
        <v>500</v>
      </c>
      <c r="E235" s="8" t="s">
        <v>12</v>
      </c>
      <c r="F235" s="7"/>
      <c r="G235" s="8"/>
    </row>
    <row r="236" ht="21" customHeight="1" spans="1:9" x14ac:dyDescent="0.25">
      <c r="A236" s="6" t="s">
        <v>260</v>
      </c>
      <c r="B236" s="7">
        <v>155</v>
      </c>
      <c r="C236" s="8" t="s">
        <v>11</v>
      </c>
      <c r="D236" s="7">
        <v>295</v>
      </c>
      <c r="E236" s="8" t="s">
        <v>12</v>
      </c>
      <c r="F236" s="7"/>
      <c r="G236" s="8"/>
    </row>
    <row r="237" ht="21" customHeight="1" spans="1:9" x14ac:dyDescent="0.25">
      <c r="A237" s="6" t="s">
        <v>261</v>
      </c>
      <c r="B237" s="7" t="s">
        <v>8</v>
      </c>
      <c r="C237" s="8" t="s">
        <v>9</v>
      </c>
      <c r="D237" s="7"/>
      <c r="E237" s="8"/>
      <c r="F237" s="7"/>
      <c r="G237" s="8"/>
    </row>
    <row r="238" ht="21" customHeight="1" spans="1:9" x14ac:dyDescent="0.25">
      <c r="A238" s="6" t="s">
        <v>262</v>
      </c>
      <c r="B238" s="7">
        <v>190</v>
      </c>
      <c r="C238" s="8" t="s">
        <v>9</v>
      </c>
      <c r="D238" s="7"/>
      <c r="E238" s="8"/>
      <c r="F238" s="7"/>
      <c r="G238" s="8"/>
    </row>
    <row r="239" ht="21" customHeight="1" spans="1:9" x14ac:dyDescent="0.25">
      <c r="A239" s="6" t="s">
        <v>263</v>
      </c>
      <c r="B239" s="7">
        <v>700</v>
      </c>
      <c r="C239" s="8" t="s">
        <v>9</v>
      </c>
      <c r="D239" s="7"/>
      <c r="E239" s="8"/>
      <c r="F239" s="7"/>
      <c r="G239" s="8"/>
    </row>
    <row r="240" ht="21" customHeight="1" spans="1:9" x14ac:dyDescent="0.25">
      <c r="A240" s="6" t="s">
        <v>264</v>
      </c>
      <c r="B240" s="7">
        <v>890</v>
      </c>
      <c r="C240" s="8" t="s">
        <v>9</v>
      </c>
      <c r="D240" s="7"/>
      <c r="E240" s="8"/>
      <c r="F240" s="7"/>
      <c r="G240" s="8"/>
    </row>
    <row r="241" ht="21" customHeight="1" spans="1:9" x14ac:dyDescent="0.25">
      <c r="A241" s="6" t="s">
        <v>265</v>
      </c>
      <c r="B241" s="7">
        <v>890</v>
      </c>
      <c r="C241" s="8" t="s">
        <v>9</v>
      </c>
      <c r="D241" s="7"/>
      <c r="E241" s="8"/>
      <c r="F241" s="7"/>
      <c r="G241" s="8"/>
    </row>
    <row r="242" ht="21" customHeight="1" spans="1:9" x14ac:dyDescent="0.25">
      <c r="A242" s="6" t="s">
        <v>266</v>
      </c>
      <c r="B242" s="7" t="s">
        <v>8</v>
      </c>
      <c r="C242" s="8" t="s">
        <v>9</v>
      </c>
      <c r="D242" s="7"/>
      <c r="E242" s="8"/>
      <c r="F242" s="7"/>
      <c r="G242" s="8"/>
    </row>
    <row r="243" ht="21" customHeight="1" spans="1:9" x14ac:dyDescent="0.25">
      <c r="A243" s="6" t="s">
        <v>267</v>
      </c>
      <c r="B243" s="7">
        <v>650</v>
      </c>
      <c r="C243" s="8" t="s">
        <v>9</v>
      </c>
      <c r="D243" s="7"/>
      <c r="E243" s="8"/>
      <c r="F243" s="7"/>
      <c r="G243" s="8"/>
    </row>
    <row r="244" ht="21" customHeight="1" spans="1:9" x14ac:dyDescent="0.25">
      <c r="A244" s="6" t="s">
        <v>268</v>
      </c>
      <c r="B244" s="7">
        <v>700</v>
      </c>
      <c r="C244" s="8" t="s">
        <v>9</v>
      </c>
      <c r="D244" s="7"/>
      <c r="E244" s="8"/>
      <c r="F244" s="7"/>
      <c r="G244" s="8"/>
    </row>
    <row r="245" ht="21" customHeight="1" spans="1:9" x14ac:dyDescent="0.25">
      <c r="A245" s="6" t="s">
        <v>269</v>
      </c>
      <c r="B245" s="7">
        <v>950</v>
      </c>
      <c r="C245" s="8" t="s">
        <v>9</v>
      </c>
      <c r="D245" s="7"/>
      <c r="E245" s="8"/>
      <c r="F245" s="7"/>
      <c r="G245" s="8"/>
    </row>
    <row r="246" ht="21" customHeight="1" spans="1:9" x14ac:dyDescent="0.25">
      <c r="A246" s="6" t="s">
        <v>270</v>
      </c>
      <c r="B246" s="7">
        <v>980</v>
      </c>
      <c r="C246" s="8" t="s">
        <v>9</v>
      </c>
      <c r="D246" s="7"/>
      <c r="E246" s="8"/>
      <c r="F246" s="7"/>
      <c r="G246" s="8"/>
    </row>
    <row r="247" ht="21" customHeight="1" spans="1:9" x14ac:dyDescent="0.25">
      <c r="A247" s="6" t="s">
        <v>271</v>
      </c>
      <c r="B247" s="7">
        <v>250</v>
      </c>
      <c r="C247" s="8" t="s">
        <v>272</v>
      </c>
      <c r="D247" s="7"/>
      <c r="E247" s="8"/>
      <c r="F247" s="7"/>
      <c r="G247" s="8"/>
    </row>
    <row r="248" ht="21" customHeight="1" spans="1:9" x14ac:dyDescent="0.25">
      <c r="A248" s="6" t="s">
        <v>273</v>
      </c>
      <c r="B248" s="7">
        <v>250</v>
      </c>
      <c r="C248" s="8" t="s">
        <v>272</v>
      </c>
      <c r="D248" s="7"/>
      <c r="E248" s="8"/>
      <c r="F248" s="7"/>
      <c r="G248" s="8"/>
    </row>
    <row r="249" ht="21" customHeight="1" spans="1:9" x14ac:dyDescent="0.25">
      <c r="A249" s="6" t="s">
        <v>274</v>
      </c>
      <c r="B249" s="7">
        <v>250</v>
      </c>
      <c r="C249" s="8" t="s">
        <v>272</v>
      </c>
      <c r="D249" s="7"/>
      <c r="E249" s="8"/>
      <c r="F249" s="7"/>
      <c r="G249" s="8"/>
    </row>
    <row r="250" ht="21" customHeight="1" spans="1:9" x14ac:dyDescent="0.25">
      <c r="A250" s="6" t="s">
        <v>275</v>
      </c>
      <c r="B250" s="7">
        <v>250</v>
      </c>
      <c r="C250" s="8" t="s">
        <v>272</v>
      </c>
      <c r="D250" s="7"/>
      <c r="E250" s="8"/>
      <c r="F250" s="7"/>
      <c r="G250" s="8"/>
    </row>
    <row r="251" ht="21" customHeight="1" spans="1:9" x14ac:dyDescent="0.25">
      <c r="A251" s="6" t="s">
        <v>276</v>
      </c>
      <c r="B251" s="7">
        <v>250</v>
      </c>
      <c r="C251" s="8" t="s">
        <v>272</v>
      </c>
      <c r="D251" s="7"/>
      <c r="E251" s="8"/>
      <c r="F251" s="7"/>
      <c r="G251" s="8"/>
    </row>
    <row r="252" ht="21" customHeight="1" spans="1:9" x14ac:dyDescent="0.25">
      <c r="A252" s="6" t="s">
        <v>277</v>
      </c>
      <c r="B252" s="7">
        <v>250</v>
      </c>
      <c r="C252" s="8" t="s">
        <v>272</v>
      </c>
      <c r="D252" s="7"/>
      <c r="E252" s="8"/>
      <c r="F252" s="7"/>
      <c r="G252" s="8"/>
    </row>
    <row r="253" ht="21" customHeight="1" spans="1:9" x14ac:dyDescent="0.25">
      <c r="A253" s="6" t="s">
        <v>278</v>
      </c>
      <c r="B253" s="7">
        <v>380</v>
      </c>
      <c r="C253" s="8" t="s">
        <v>272</v>
      </c>
      <c r="D253" s="7">
        <v>760</v>
      </c>
      <c r="E253" s="8" t="s">
        <v>279</v>
      </c>
      <c r="F253" s="7"/>
      <c r="G253" s="8"/>
    </row>
    <row r="254" ht="21" customHeight="1" spans="1:9" x14ac:dyDescent="0.25">
      <c r="A254" s="6" t="s">
        <v>280</v>
      </c>
      <c r="B254" s="7">
        <v>300</v>
      </c>
      <c r="C254" s="8" t="s">
        <v>272</v>
      </c>
      <c r="D254" s="7"/>
      <c r="E254" s="8"/>
      <c r="F254" s="7"/>
      <c r="G254" s="8"/>
    </row>
    <row r="255" ht="21" customHeight="1" spans="1:9" x14ac:dyDescent="0.25">
      <c r="A255" s="6" t="s">
        <v>281</v>
      </c>
      <c r="B255" s="7">
        <v>1800</v>
      </c>
      <c r="C255" s="8" t="s">
        <v>9</v>
      </c>
      <c r="D255" s="7"/>
      <c r="E255" s="8"/>
      <c r="F255" s="7"/>
      <c r="G255" s="8"/>
    </row>
    <row r="256" ht="21" customHeight="1" spans="1:9" x14ac:dyDescent="0.25">
      <c r="A256" s="6" t="s">
        <v>282</v>
      </c>
      <c r="B256" s="7">
        <v>600</v>
      </c>
      <c r="C256" s="8" t="s">
        <v>9</v>
      </c>
      <c r="D256" s="7"/>
      <c r="E256" s="8"/>
      <c r="F256" s="7"/>
      <c r="G256" s="8"/>
    </row>
    <row r="257" ht="21" customHeight="1" spans="1:9" x14ac:dyDescent="0.25">
      <c r="A257" s="6" t="s">
        <v>283</v>
      </c>
      <c r="B257" s="7">
        <v>120</v>
      </c>
      <c r="C257" s="8" t="s">
        <v>9</v>
      </c>
      <c r="D257" s="7"/>
      <c r="E257" s="8"/>
      <c r="F257" s="7"/>
      <c r="G257" s="8"/>
    </row>
    <row r="258" ht="21" customHeight="1" spans="1:9" x14ac:dyDescent="0.25">
      <c r="A258" s="6" t="s">
        <v>284</v>
      </c>
      <c r="B258" s="7">
        <v>240</v>
      </c>
      <c r="C258" s="8" t="s">
        <v>9</v>
      </c>
      <c r="D258" s="7"/>
      <c r="E258" s="8"/>
      <c r="F258" s="7"/>
      <c r="G258" s="8"/>
    </row>
    <row r="259" ht="21" customHeight="1" spans="1:9" x14ac:dyDescent="0.25">
      <c r="A259" s="6" t="s">
        <v>285</v>
      </c>
      <c r="B259" s="7">
        <v>120</v>
      </c>
      <c r="C259" s="8" t="s">
        <v>9</v>
      </c>
      <c r="D259" s="7"/>
      <c r="E259" s="8"/>
      <c r="F259" s="7"/>
      <c r="G259" s="8"/>
    </row>
    <row r="260" ht="21" customHeight="1" spans="1:9" x14ac:dyDescent="0.25">
      <c r="A260" s="6" t="s">
        <v>286</v>
      </c>
      <c r="B260" s="7">
        <v>120</v>
      </c>
      <c r="C260" s="8" t="s">
        <v>9</v>
      </c>
      <c r="D260" s="7"/>
      <c r="E260" s="8"/>
      <c r="F260" s="7"/>
      <c r="G260" s="8"/>
    </row>
    <row r="261" ht="21" customHeight="1" spans="1:9" x14ac:dyDescent="0.25">
      <c r="A261" s="6" t="s">
        <v>287</v>
      </c>
      <c r="B261" s="7">
        <v>120</v>
      </c>
      <c r="C261" s="8" t="s">
        <v>9</v>
      </c>
      <c r="D261" s="7"/>
      <c r="E261" s="8"/>
      <c r="F261" s="7"/>
      <c r="G261" s="8"/>
    </row>
    <row r="262" ht="21" customHeight="1" spans="1:9" x14ac:dyDescent="0.25">
      <c r="A262" s="6" t="s">
        <v>288</v>
      </c>
      <c r="B262" s="7">
        <v>250</v>
      </c>
      <c r="C262" s="8" t="s">
        <v>9</v>
      </c>
      <c r="D262" s="7"/>
      <c r="E262" s="8"/>
      <c r="F262" s="7"/>
      <c r="G262" s="8"/>
    </row>
    <row r="263" ht="21" customHeight="1" spans="1:9" x14ac:dyDescent="0.25">
      <c r="A263" s="6" t="s">
        <v>289</v>
      </c>
      <c r="B263" s="7">
        <v>120</v>
      </c>
      <c r="C263" s="8"/>
      <c r="D263" s="7"/>
      <c r="E263" s="8"/>
      <c r="F263" s="7"/>
      <c r="G263" s="8"/>
    </row>
    <row r="264" ht="21" customHeight="1" spans="1:9" x14ac:dyDescent="0.25">
      <c r="A264" s="6" t="s">
        <v>290</v>
      </c>
      <c r="B264" s="7">
        <v>150</v>
      </c>
      <c r="C264" s="8" t="s">
        <v>9</v>
      </c>
      <c r="D264" s="7"/>
      <c r="E264" s="8"/>
      <c r="F264" s="7"/>
      <c r="G264" s="8"/>
    </row>
    <row r="265" ht="21" customHeight="1" spans="1:9" x14ac:dyDescent="0.25">
      <c r="A265" s="6" t="s">
        <v>291</v>
      </c>
      <c r="B265" s="7">
        <v>120</v>
      </c>
      <c r="C265" s="8" t="s">
        <v>9</v>
      </c>
      <c r="D265" s="7"/>
      <c r="E265" s="8"/>
      <c r="F265" s="7"/>
      <c r="G265" s="8"/>
    </row>
    <row r="266" ht="21" customHeight="1" spans="1:9" x14ac:dyDescent="0.25">
      <c r="A266" s="6" t="s">
        <v>292</v>
      </c>
      <c r="B266" s="7">
        <v>120</v>
      </c>
      <c r="C266" s="8" t="s">
        <v>9</v>
      </c>
      <c r="D266" s="7"/>
      <c r="E266" s="8"/>
      <c r="F266" s="7"/>
      <c r="G266" s="8"/>
    </row>
    <row r="267" ht="21" customHeight="1" spans="1:9" x14ac:dyDescent="0.25">
      <c r="A267" s="6" t="s">
        <v>293</v>
      </c>
      <c r="B267" s="7">
        <v>120</v>
      </c>
      <c r="C267" s="8" t="s">
        <v>9</v>
      </c>
      <c r="D267" s="7"/>
      <c r="E267" s="8"/>
      <c r="F267" s="7"/>
      <c r="G267" s="8"/>
    </row>
    <row r="268" ht="21" customHeight="1" spans="1:9" x14ac:dyDescent="0.25">
      <c r="A268" s="6" t="s">
        <v>294</v>
      </c>
      <c r="B268" s="7">
        <v>100</v>
      </c>
      <c r="C268" s="8" t="s">
        <v>9</v>
      </c>
      <c r="D268" s="7"/>
      <c r="E268" s="8"/>
      <c r="F268" s="7"/>
      <c r="G268" s="8"/>
    </row>
    <row r="269" ht="21" customHeight="1" spans="1:9" x14ac:dyDescent="0.25">
      <c r="A269" s="6" t="s">
        <v>295</v>
      </c>
      <c r="B269" s="7">
        <v>120</v>
      </c>
      <c r="C269" s="8" t="s">
        <v>9</v>
      </c>
      <c r="D269" s="7"/>
      <c r="E269" s="8"/>
      <c r="F269" s="7"/>
      <c r="G269" s="8"/>
    </row>
    <row r="270" ht="21" customHeight="1" spans="1:9" x14ac:dyDescent="0.25">
      <c r="A270" s="6" t="s">
        <v>296</v>
      </c>
      <c r="B270" s="7">
        <v>250</v>
      </c>
      <c r="C270" s="8" t="s">
        <v>9</v>
      </c>
      <c r="D270" s="7"/>
      <c r="E270" s="8"/>
      <c r="F270" s="7"/>
      <c r="G270" s="8"/>
    </row>
    <row r="271" ht="21" customHeight="1" spans="1:9" x14ac:dyDescent="0.25">
      <c r="A271" s="6" t="s">
        <v>297</v>
      </c>
      <c r="B271" s="7">
        <v>120</v>
      </c>
      <c r="C271" s="8" t="s">
        <v>9</v>
      </c>
      <c r="D271" s="7"/>
      <c r="E271" s="8"/>
      <c r="F271" s="7"/>
      <c r="G271" s="8"/>
    </row>
    <row r="272" ht="21" customHeight="1" spans="1:9" x14ac:dyDescent="0.25">
      <c r="A272" s="6" t="s">
        <v>298</v>
      </c>
      <c r="B272" s="7">
        <v>220</v>
      </c>
      <c r="C272" s="8" t="s">
        <v>9</v>
      </c>
      <c r="D272" s="7"/>
      <c r="E272" s="9"/>
      <c r="F272" s="7"/>
      <c r="G272" s="9"/>
    </row>
    <row r="273" ht="21" customHeight="1" spans="1:9" x14ac:dyDescent="0.25">
      <c r="A273" s="6" t="s">
        <v>299</v>
      </c>
      <c r="B273" s="7">
        <v>900</v>
      </c>
      <c r="C273" s="8" t="s">
        <v>9</v>
      </c>
      <c r="D273" s="7"/>
      <c r="E273" s="9"/>
      <c r="F273" s="7"/>
      <c r="G273" s="9"/>
    </row>
    <row r="274" ht="21" customHeight="1" spans="1:9" x14ac:dyDescent="0.25">
      <c r="A274" s="6" t="s">
        <v>300</v>
      </c>
      <c r="B274" s="7">
        <v>30</v>
      </c>
      <c r="C274" s="8" t="s">
        <v>9</v>
      </c>
      <c r="D274" s="7"/>
      <c r="E274" s="9"/>
      <c r="F274" s="7"/>
      <c r="G274" s="9"/>
    </row>
    <row r="275" ht="21" customHeight="1" spans="1:9" x14ac:dyDescent="0.25">
      <c r="A275" s="6" t="s">
        <v>301</v>
      </c>
      <c r="B275" s="7">
        <v>70</v>
      </c>
      <c r="C275" s="8" t="s">
        <v>302</v>
      </c>
      <c r="D275" s="7">
        <v>60</v>
      </c>
      <c r="E275" s="9" t="s">
        <v>303</v>
      </c>
      <c r="F275" s="7"/>
      <c r="G275" s="9"/>
    </row>
    <row r="276" ht="21" customHeight="1" spans="1:9" x14ac:dyDescent="0.25">
      <c r="A276" s="6" t="s">
        <v>304</v>
      </c>
      <c r="B276" s="7">
        <v>18</v>
      </c>
      <c r="C276" s="8" t="s">
        <v>11</v>
      </c>
      <c r="D276" s="7">
        <v>30</v>
      </c>
      <c r="E276" s="9" t="s">
        <v>305</v>
      </c>
      <c r="F276" s="7"/>
      <c r="G276" s="9"/>
    </row>
    <row r="277" ht="21" customHeight="1" spans="1:9" x14ac:dyDescent="0.25">
      <c r="A277" s="6" t="s">
        <v>306</v>
      </c>
      <c r="B277" s="7">
        <v>18</v>
      </c>
      <c r="C277" s="8" t="s">
        <v>11</v>
      </c>
      <c r="D277" s="7">
        <v>23</v>
      </c>
      <c r="E277" s="9" t="s">
        <v>305</v>
      </c>
      <c r="F277" s="7"/>
      <c r="G277" s="9"/>
    </row>
    <row r="278" ht="21" customHeight="1" spans="1:9" x14ac:dyDescent="0.25">
      <c r="A278" s="6" t="s">
        <v>307</v>
      </c>
      <c r="B278" s="7">
        <v>32</v>
      </c>
      <c r="C278" s="8" t="s">
        <v>308</v>
      </c>
      <c r="D278" s="7">
        <v>35</v>
      </c>
      <c r="E278" s="8" t="s">
        <v>309</v>
      </c>
      <c r="F278" s="7"/>
      <c r="G278" s="8"/>
    </row>
    <row r="279" ht="21" customHeight="1" spans="1:9" x14ac:dyDescent="0.25">
      <c r="A279" s="6" t="s">
        <v>310</v>
      </c>
      <c r="B279" s="7">
        <v>15</v>
      </c>
      <c r="C279" s="8" t="s">
        <v>311</v>
      </c>
      <c r="D279" s="7">
        <v>25</v>
      </c>
      <c r="E279" s="9" t="s">
        <v>312</v>
      </c>
      <c r="F279" s="7"/>
      <c r="G279" s="9"/>
    </row>
    <row r="280" ht="21" customHeight="1" spans="1:9" x14ac:dyDescent="0.25">
      <c r="A280" s="6" t="s">
        <v>313</v>
      </c>
      <c r="B280" s="7">
        <v>12</v>
      </c>
      <c r="C280" s="8" t="s">
        <v>216</v>
      </c>
      <c r="D280" s="7">
        <v>20</v>
      </c>
      <c r="E280" s="9" t="s">
        <v>314</v>
      </c>
      <c r="F280" s="7"/>
      <c r="G280" s="9"/>
    </row>
    <row r="281" ht="21" customHeight="1" spans="1:9" x14ac:dyDescent="0.25">
      <c r="A281" s="6" t="s">
        <v>315</v>
      </c>
      <c r="B281" s="7">
        <v>50</v>
      </c>
      <c r="C281" s="8" t="s">
        <v>9</v>
      </c>
      <c r="D281" s="7"/>
      <c r="E281" s="9"/>
      <c r="F281" s="7"/>
      <c r="G281" s="9"/>
    </row>
    <row r="282" ht="21" customHeight="1" spans="1:9" x14ac:dyDescent="0.25">
      <c r="A282" s="6" t="s">
        <v>316</v>
      </c>
      <c r="B282" s="7">
        <v>22</v>
      </c>
      <c r="C282" s="8" t="s">
        <v>132</v>
      </c>
      <c r="D282" s="7">
        <v>25</v>
      </c>
      <c r="E282" s="9" t="s">
        <v>317</v>
      </c>
      <c r="F282" s="7"/>
      <c r="G282" s="9"/>
    </row>
    <row r="283" ht="21" customHeight="1" spans="1:9" x14ac:dyDescent="0.25">
      <c r="A283" s="6" t="s">
        <v>318</v>
      </c>
      <c r="B283" s="7">
        <v>40</v>
      </c>
      <c r="C283" s="8" t="s">
        <v>311</v>
      </c>
      <c r="D283" s="7">
        <v>50</v>
      </c>
      <c r="E283" s="9" t="s">
        <v>303</v>
      </c>
      <c r="F283" s="7"/>
      <c r="G283" s="9"/>
    </row>
    <row r="284" ht="21" customHeight="1" spans="1:9" x14ac:dyDescent="0.25">
      <c r="A284" s="6" t="s">
        <v>319</v>
      </c>
      <c r="B284" s="7">
        <v>65</v>
      </c>
      <c r="C284" s="8" t="s">
        <v>149</v>
      </c>
      <c r="D284" s="7">
        <v>120</v>
      </c>
      <c r="E284" s="9" t="s">
        <v>150</v>
      </c>
      <c r="F284" s="7"/>
      <c r="G284" s="9"/>
    </row>
    <row r="285" ht="21" customHeight="1" spans="1:9" x14ac:dyDescent="0.25">
      <c r="A285" s="6" t="s">
        <v>320</v>
      </c>
      <c r="B285" s="7">
        <v>100</v>
      </c>
      <c r="C285" s="8" t="s">
        <v>11</v>
      </c>
      <c r="D285" s="7">
        <v>190</v>
      </c>
      <c r="E285" s="9" t="s">
        <v>305</v>
      </c>
      <c r="F285" s="7"/>
      <c r="G285" s="9"/>
    </row>
    <row r="286" ht="21" customHeight="1" spans="1:9" x14ac:dyDescent="0.25">
      <c r="A286" s="6" t="s">
        <v>321</v>
      </c>
      <c r="B286" s="7">
        <v>65</v>
      </c>
      <c r="C286" s="8" t="s">
        <v>11</v>
      </c>
      <c r="D286" s="7">
        <v>120</v>
      </c>
      <c r="E286" s="9" t="s">
        <v>305</v>
      </c>
      <c r="F286" s="7"/>
      <c r="G286" s="9"/>
    </row>
    <row r="287" ht="21" customHeight="1" spans="1:9" x14ac:dyDescent="0.25">
      <c r="A287" s="6" t="s">
        <v>322</v>
      </c>
      <c r="B287" s="7">
        <v>140</v>
      </c>
      <c r="C287" s="8" t="s">
        <v>11</v>
      </c>
      <c r="D287" s="7">
        <v>270</v>
      </c>
      <c r="E287" s="9" t="s">
        <v>305</v>
      </c>
      <c r="F287" s="7"/>
      <c r="G287" s="9"/>
    </row>
    <row r="288" ht="21" customHeight="1" spans="1:9" x14ac:dyDescent="0.25">
      <c r="A288" s="6" t="s">
        <v>323</v>
      </c>
      <c r="B288" s="7">
        <v>95</v>
      </c>
      <c r="C288" s="8" t="s">
        <v>11</v>
      </c>
      <c r="D288" s="7">
        <v>180</v>
      </c>
      <c r="E288" s="9" t="s">
        <v>305</v>
      </c>
      <c r="F288" s="7"/>
      <c r="G288" s="9"/>
    </row>
    <row r="289" ht="21" customHeight="1" spans="1:9" x14ac:dyDescent="0.25">
      <c r="A289" s="6" t="s">
        <v>324</v>
      </c>
      <c r="B289" s="7">
        <v>70</v>
      </c>
      <c r="C289" s="8" t="s">
        <v>11</v>
      </c>
      <c r="D289" s="7">
        <v>130</v>
      </c>
      <c r="E289" s="9" t="s">
        <v>305</v>
      </c>
      <c r="F289" s="7"/>
      <c r="G289" s="9"/>
    </row>
    <row r="290" ht="21" customHeight="1" spans="1:9" x14ac:dyDescent="0.25">
      <c r="A290" s="6" t="s">
        <v>325</v>
      </c>
      <c r="B290" s="7">
        <v>140</v>
      </c>
      <c r="C290" s="8" t="s">
        <v>11</v>
      </c>
      <c r="D290" s="7">
        <v>270</v>
      </c>
      <c r="E290" s="9" t="s">
        <v>305</v>
      </c>
      <c r="F290" s="7"/>
      <c r="G290" s="9"/>
    </row>
    <row r="291" ht="21" customHeight="1" spans="1:9" x14ac:dyDescent="0.25">
      <c r="A291" s="6" t="s">
        <v>326</v>
      </c>
      <c r="B291" s="7">
        <v>115</v>
      </c>
      <c r="C291" s="8" t="s">
        <v>11</v>
      </c>
      <c r="D291" s="7">
        <v>220</v>
      </c>
      <c r="E291" s="9" t="s">
        <v>305</v>
      </c>
      <c r="F291" s="7"/>
      <c r="G291" s="9"/>
    </row>
    <row r="292" ht="21" customHeight="1" spans="1:9" x14ac:dyDescent="0.25">
      <c r="A292" s="6" t="s">
        <v>327</v>
      </c>
      <c r="B292" s="7">
        <v>80</v>
      </c>
      <c r="C292" s="8" t="s">
        <v>11</v>
      </c>
      <c r="D292" s="7">
        <v>150</v>
      </c>
      <c r="E292" s="9" t="s">
        <v>305</v>
      </c>
      <c r="F292" s="7"/>
      <c r="G292" s="9"/>
    </row>
    <row r="293" ht="21" customHeight="1" spans="1:9" x14ac:dyDescent="0.25">
      <c r="A293" s="6" t="s">
        <v>328</v>
      </c>
      <c r="B293" s="7">
        <v>70</v>
      </c>
      <c r="C293" s="8" t="s">
        <v>11</v>
      </c>
      <c r="D293" s="7">
        <v>130</v>
      </c>
      <c r="E293" s="9" t="s">
        <v>305</v>
      </c>
      <c r="F293" s="7"/>
      <c r="G293" s="9"/>
    </row>
    <row r="294" ht="21" customHeight="1" spans="1:9" x14ac:dyDescent="0.25">
      <c r="A294" s="6" t="s">
        <v>329</v>
      </c>
      <c r="B294" s="7">
        <v>70</v>
      </c>
      <c r="C294" s="8" t="s">
        <v>11</v>
      </c>
      <c r="D294" s="7">
        <v>130</v>
      </c>
      <c r="E294" s="9" t="s">
        <v>305</v>
      </c>
      <c r="F294" s="7"/>
      <c r="G294" s="9"/>
    </row>
    <row r="295" ht="21" customHeight="1" spans="1:9" x14ac:dyDescent="0.25">
      <c r="A295" s="6" t="s">
        <v>330</v>
      </c>
      <c r="B295" s="7">
        <v>80</v>
      </c>
      <c r="C295" s="8" t="s">
        <v>11</v>
      </c>
      <c r="D295" s="7">
        <v>150</v>
      </c>
      <c r="E295" s="9" t="s">
        <v>305</v>
      </c>
      <c r="F295" s="7"/>
      <c r="G295" s="9"/>
    </row>
    <row r="296" ht="21" customHeight="1" spans="1:9" x14ac:dyDescent="0.25">
      <c r="A296" s="6" t="s">
        <v>331</v>
      </c>
      <c r="B296" s="7">
        <v>120</v>
      </c>
      <c r="C296" s="8" t="s">
        <v>11</v>
      </c>
      <c r="D296" s="7">
        <v>240</v>
      </c>
      <c r="E296" s="8" t="s">
        <v>305</v>
      </c>
      <c r="F296" s="7"/>
      <c r="G296" s="8"/>
    </row>
    <row r="297" ht="21" customHeight="1" spans="1:9" x14ac:dyDescent="0.25">
      <c r="A297" s="6" t="s">
        <v>332</v>
      </c>
      <c r="B297" s="7">
        <v>90</v>
      </c>
      <c r="C297" s="8" t="s">
        <v>11</v>
      </c>
      <c r="D297" s="7">
        <v>170</v>
      </c>
      <c r="E297" s="9" t="s">
        <v>305</v>
      </c>
      <c r="F297" s="7"/>
      <c r="G297" s="9"/>
    </row>
    <row r="298" ht="21" customHeight="1" spans="1:9" x14ac:dyDescent="0.25">
      <c r="A298" s="6" t="s">
        <v>333</v>
      </c>
      <c r="B298" s="7">
        <v>95</v>
      </c>
      <c r="C298" s="8" t="s">
        <v>11</v>
      </c>
      <c r="D298" s="7">
        <v>180</v>
      </c>
      <c r="E298" s="9" t="s">
        <v>305</v>
      </c>
      <c r="F298" s="7"/>
      <c r="G298" s="9"/>
    </row>
    <row r="299" ht="21" customHeight="1" spans="1:9" x14ac:dyDescent="0.25">
      <c r="A299" s="6" t="s">
        <v>334</v>
      </c>
      <c r="B299" s="7">
        <v>105</v>
      </c>
      <c r="C299" s="8" t="s">
        <v>335</v>
      </c>
      <c r="D299" s="7"/>
      <c r="E299" s="9"/>
      <c r="F299" s="7"/>
      <c r="G299" s="9"/>
    </row>
    <row r="300" ht="21" customHeight="1" spans="1:9" x14ac:dyDescent="0.25">
      <c r="A300" s="6" t="s">
        <v>336</v>
      </c>
      <c r="B300" s="7">
        <v>80</v>
      </c>
      <c r="C300" s="8" t="s">
        <v>11</v>
      </c>
      <c r="D300" s="7">
        <v>150</v>
      </c>
      <c r="E300" s="9" t="s">
        <v>305</v>
      </c>
      <c r="F300" s="7"/>
      <c r="G300" s="9"/>
    </row>
    <row r="301" ht="21" customHeight="1" spans="1:9" x14ac:dyDescent="0.25">
      <c r="A301" s="6" t="s">
        <v>337</v>
      </c>
      <c r="B301" s="7">
        <v>80</v>
      </c>
      <c r="C301" s="8" t="s">
        <v>11</v>
      </c>
      <c r="D301" s="7">
        <v>150</v>
      </c>
      <c r="E301" s="9" t="s">
        <v>305</v>
      </c>
      <c r="F301" s="7"/>
      <c r="G301" s="9"/>
    </row>
    <row r="302" ht="21" customHeight="1" spans="1:9" x14ac:dyDescent="0.25">
      <c r="A302" s="6" t="s">
        <v>338</v>
      </c>
      <c r="B302" s="7">
        <v>105</v>
      </c>
      <c r="C302" s="8" t="s">
        <v>11</v>
      </c>
      <c r="D302" s="7">
        <v>200</v>
      </c>
      <c r="E302" s="9" t="s">
        <v>305</v>
      </c>
      <c r="F302" s="7"/>
      <c r="G302" s="9"/>
    </row>
    <row r="303" ht="21" customHeight="1" spans="1:9" x14ac:dyDescent="0.25">
      <c r="A303" s="6" t="s">
        <v>339</v>
      </c>
      <c r="B303" s="7">
        <v>80</v>
      </c>
      <c r="C303" s="8" t="s">
        <v>11</v>
      </c>
      <c r="D303" s="7">
        <v>150</v>
      </c>
      <c r="E303" s="9" t="s">
        <v>305</v>
      </c>
      <c r="F303" s="7"/>
      <c r="G303" s="9"/>
    </row>
    <row r="304" ht="21" customHeight="1" spans="1:9" x14ac:dyDescent="0.25">
      <c r="A304" s="6" t="s">
        <v>340</v>
      </c>
      <c r="B304" s="7">
        <v>70</v>
      </c>
      <c r="C304" s="8" t="s">
        <v>11</v>
      </c>
      <c r="D304" s="7">
        <v>130</v>
      </c>
      <c r="E304" s="9" t="s">
        <v>305</v>
      </c>
      <c r="F304" s="7"/>
      <c r="G304" s="9"/>
    </row>
    <row r="305" ht="21" customHeight="1" spans="1:9" x14ac:dyDescent="0.25">
      <c r="A305" s="6" t="s">
        <v>341</v>
      </c>
      <c r="B305" s="7">
        <v>70</v>
      </c>
      <c r="C305" s="8" t="s">
        <v>11</v>
      </c>
      <c r="D305" s="7">
        <v>130</v>
      </c>
      <c r="E305" s="9" t="s">
        <v>305</v>
      </c>
      <c r="F305" s="7"/>
      <c r="G305" s="9"/>
    </row>
    <row r="306" ht="21" customHeight="1" spans="1:9" x14ac:dyDescent="0.25">
      <c r="A306" s="6" t="s">
        <v>342</v>
      </c>
      <c r="B306" s="7">
        <v>80</v>
      </c>
      <c r="C306" s="8" t="s">
        <v>11</v>
      </c>
      <c r="D306" s="7">
        <v>150</v>
      </c>
      <c r="E306" s="9" t="s">
        <v>305</v>
      </c>
      <c r="F306" s="7"/>
      <c r="G306" s="9"/>
    </row>
    <row r="307" ht="21" customHeight="1" spans="1:9" x14ac:dyDescent="0.25">
      <c r="A307" s="6" t="s">
        <v>343</v>
      </c>
      <c r="B307" s="7">
        <v>70</v>
      </c>
      <c r="C307" s="8" t="s">
        <v>11</v>
      </c>
      <c r="D307" s="7">
        <v>130</v>
      </c>
      <c r="E307" s="9" t="s">
        <v>305</v>
      </c>
      <c r="F307" s="7"/>
      <c r="G307" s="9"/>
    </row>
    <row r="308" ht="21" customHeight="1" spans="1:9" x14ac:dyDescent="0.25">
      <c r="A308" s="6" t="s">
        <v>344</v>
      </c>
      <c r="B308" s="7">
        <v>80</v>
      </c>
      <c r="C308" s="8" t="s">
        <v>11</v>
      </c>
      <c r="D308" s="7">
        <v>150</v>
      </c>
      <c r="E308" s="9" t="s">
        <v>305</v>
      </c>
      <c r="F308" s="7"/>
      <c r="G308" s="9"/>
    </row>
    <row r="309" ht="21" customHeight="1" spans="1:9" x14ac:dyDescent="0.25">
      <c r="A309" s="6" t="s">
        <v>345</v>
      </c>
      <c r="B309" s="7" t="s">
        <v>8</v>
      </c>
      <c r="C309" s="8" t="s">
        <v>11</v>
      </c>
      <c r="D309" s="7" t="s">
        <v>8</v>
      </c>
      <c r="E309" s="9" t="s">
        <v>305</v>
      </c>
      <c r="F309" s="7"/>
      <c r="G309" s="9"/>
    </row>
    <row r="310" ht="21" customHeight="1" spans="1:9" x14ac:dyDescent="0.25">
      <c r="A310" s="6" t="s">
        <v>346</v>
      </c>
      <c r="B310" s="7">
        <v>195</v>
      </c>
      <c r="C310" s="8" t="s">
        <v>11</v>
      </c>
      <c r="D310" s="7">
        <v>380</v>
      </c>
      <c r="E310" s="9" t="s">
        <v>305</v>
      </c>
      <c r="F310" s="7"/>
      <c r="G310" s="9"/>
    </row>
    <row r="311" ht="21" customHeight="1" spans="1:9" x14ac:dyDescent="0.25">
      <c r="A311" s="6" t="s">
        <v>347</v>
      </c>
      <c r="B311" s="7" t="s">
        <v>8</v>
      </c>
      <c r="C311" s="8" t="s">
        <v>11</v>
      </c>
      <c r="D311" s="7" t="s">
        <v>8</v>
      </c>
      <c r="E311" s="9" t="s">
        <v>305</v>
      </c>
      <c r="F311" s="7"/>
      <c r="G311" s="9"/>
    </row>
    <row r="312" ht="21" customHeight="1" spans="1:9" x14ac:dyDescent="0.25">
      <c r="A312" s="6" t="s">
        <v>348</v>
      </c>
      <c r="B312" s="7">
        <v>90</v>
      </c>
      <c r="C312" s="8" t="s">
        <v>11</v>
      </c>
      <c r="D312" s="7">
        <v>170</v>
      </c>
      <c r="E312" s="9" t="s">
        <v>305</v>
      </c>
      <c r="F312" s="7"/>
      <c r="G312" s="9"/>
    </row>
    <row r="313" ht="21" customHeight="1" spans="1:9" x14ac:dyDescent="0.25">
      <c r="A313" s="6" t="s">
        <v>349</v>
      </c>
      <c r="B313" s="7">
        <v>120</v>
      </c>
      <c r="C313" s="8" t="s">
        <v>11</v>
      </c>
      <c r="D313" s="7">
        <v>240</v>
      </c>
      <c r="E313" s="9" t="s">
        <v>305</v>
      </c>
      <c r="F313" s="7"/>
      <c r="G313" s="9"/>
    </row>
    <row r="314" ht="21" customHeight="1" spans="1:9" x14ac:dyDescent="0.25">
      <c r="A314" s="6" t="s">
        <v>350</v>
      </c>
      <c r="B314" s="7">
        <v>95</v>
      </c>
      <c r="C314" s="8" t="s">
        <v>11</v>
      </c>
      <c r="D314" s="7">
        <v>180</v>
      </c>
      <c r="E314" s="9" t="s">
        <v>305</v>
      </c>
      <c r="F314" s="7"/>
      <c r="G314" s="9"/>
    </row>
    <row r="315" ht="21" customHeight="1" spans="1:9" x14ac:dyDescent="0.25">
      <c r="A315" s="6" t="s">
        <v>351</v>
      </c>
      <c r="B315" s="7">
        <v>80</v>
      </c>
      <c r="C315" s="8" t="s">
        <v>11</v>
      </c>
      <c r="D315" s="7">
        <v>150</v>
      </c>
      <c r="E315" s="9" t="s">
        <v>305</v>
      </c>
      <c r="F315" s="7"/>
      <c r="G315" s="9"/>
    </row>
    <row r="316" ht="21" customHeight="1" spans="1:9" x14ac:dyDescent="0.25">
      <c r="A316" s="6" t="s">
        <v>352</v>
      </c>
      <c r="B316" s="7">
        <v>75</v>
      </c>
      <c r="C316" s="8" t="s">
        <v>11</v>
      </c>
      <c r="D316" s="7">
        <v>140</v>
      </c>
      <c r="E316" s="9" t="s">
        <v>305</v>
      </c>
      <c r="F316" s="7"/>
      <c r="G316" s="9"/>
    </row>
    <row r="317" ht="21" customHeight="1" spans="1:9" x14ac:dyDescent="0.25">
      <c r="A317" s="6" t="s">
        <v>353</v>
      </c>
      <c r="B317" s="7">
        <v>230</v>
      </c>
      <c r="C317" s="8" t="s">
        <v>11</v>
      </c>
      <c r="D317" s="7">
        <v>450</v>
      </c>
      <c r="E317" s="8" t="s">
        <v>305</v>
      </c>
      <c r="F317" s="7"/>
      <c r="G317" s="8"/>
    </row>
    <row r="318" ht="21" customHeight="1" spans="1:9" x14ac:dyDescent="0.25">
      <c r="A318" s="6" t="s">
        <v>354</v>
      </c>
      <c r="B318" s="7">
        <v>80</v>
      </c>
      <c r="C318" s="8" t="s">
        <v>11</v>
      </c>
      <c r="D318" s="7">
        <v>150</v>
      </c>
      <c r="E318" s="8" t="s">
        <v>305</v>
      </c>
      <c r="F318" s="7"/>
      <c r="G318" s="8"/>
    </row>
    <row r="319" ht="21" customHeight="1" spans="1:9" x14ac:dyDescent="0.25">
      <c r="A319" s="6" t="s">
        <v>355</v>
      </c>
      <c r="B319" s="7">
        <v>1200</v>
      </c>
      <c r="C319" s="8" t="s">
        <v>356</v>
      </c>
      <c r="D319" s="7">
        <v>1300</v>
      </c>
      <c r="E319" s="8" t="s">
        <v>357</v>
      </c>
      <c r="F319" s="7"/>
      <c r="G319" s="8"/>
    </row>
    <row r="320" ht="21" customHeight="1" spans="1:9" x14ac:dyDescent="0.25">
      <c r="A320" s="6" t="s">
        <v>358</v>
      </c>
      <c r="B320" s="7" t="s">
        <v>8</v>
      </c>
      <c r="C320" s="8" t="s">
        <v>9</v>
      </c>
      <c r="D320" s="7"/>
      <c r="E320" s="8"/>
      <c r="F320" s="7"/>
      <c r="G320" s="8"/>
    </row>
    <row r="321" ht="21" customHeight="1" spans="1:9" x14ac:dyDescent="0.25">
      <c r="A321" s="6" t="s">
        <v>359</v>
      </c>
      <c r="B321" s="7" t="s">
        <v>8</v>
      </c>
      <c r="C321" s="8" t="s">
        <v>9</v>
      </c>
      <c r="D321" s="7"/>
      <c r="E321" s="8"/>
      <c r="F321" s="7"/>
      <c r="G321" s="8"/>
    </row>
    <row r="322" ht="21" customHeight="1" spans="1:9" x14ac:dyDescent="0.25">
      <c r="A322" s="6" t="s">
        <v>360</v>
      </c>
      <c r="B322" s="7" t="s">
        <v>8</v>
      </c>
      <c r="C322" s="8" t="s">
        <v>9</v>
      </c>
      <c r="D322" s="7"/>
      <c r="E322" s="9"/>
      <c r="F322" s="7"/>
      <c r="G322" s="9"/>
    </row>
    <row r="323" ht="21" customHeight="1" spans="1:9" x14ac:dyDescent="0.25">
      <c r="A323" s="6" t="s">
        <v>361</v>
      </c>
      <c r="B323" s="7">
        <v>700</v>
      </c>
      <c r="C323" s="8" t="s">
        <v>9</v>
      </c>
      <c r="D323" s="7"/>
      <c r="E323" s="9"/>
      <c r="F323" s="7"/>
      <c r="G323" s="9"/>
    </row>
    <row r="324" ht="21" customHeight="1" spans="1:9" x14ac:dyDescent="0.25">
      <c r="A324" s="6" t="s">
        <v>362</v>
      </c>
      <c r="B324" s="7" t="s">
        <v>8</v>
      </c>
      <c r="C324" s="8" t="s">
        <v>9</v>
      </c>
      <c r="D324" s="7"/>
      <c r="E324" s="8"/>
      <c r="F324" s="7"/>
      <c r="G324" s="8"/>
    </row>
    <row r="325" ht="21" customHeight="1" spans="1:9" x14ac:dyDescent="0.25">
      <c r="A325" s="6" t="s">
        <v>363</v>
      </c>
      <c r="B325" s="7">
        <v>250</v>
      </c>
      <c r="C325" s="8" t="s">
        <v>364</v>
      </c>
      <c r="D325" s="7">
        <v>280</v>
      </c>
      <c r="E325" s="8" t="s">
        <v>365</v>
      </c>
      <c r="F325" s="7"/>
      <c r="G325" s="8"/>
    </row>
    <row r="326" ht="21" customHeight="1" spans="1:9" x14ac:dyDescent="0.25">
      <c r="A326" s="6" t="s">
        <v>366</v>
      </c>
      <c r="B326" s="7">
        <v>410</v>
      </c>
      <c r="C326" s="8" t="s">
        <v>9</v>
      </c>
      <c r="D326" s="7">
        <v>150</v>
      </c>
      <c r="E326" s="8" t="s">
        <v>91</v>
      </c>
      <c r="F326" s="7"/>
      <c r="G326" s="8"/>
    </row>
    <row r="327" ht="21" customHeight="1" spans="1:9" x14ac:dyDescent="0.25">
      <c r="A327" s="6" t="s">
        <v>367</v>
      </c>
      <c r="B327" s="7">
        <v>30</v>
      </c>
      <c r="C327" s="8" t="s">
        <v>368</v>
      </c>
      <c r="D327" s="7"/>
      <c r="E327" s="8"/>
      <c r="F327" s="7"/>
      <c r="G327" s="8"/>
    </row>
    <row r="328" ht="21" customHeight="1" spans="1:9" x14ac:dyDescent="0.25">
      <c r="A328" s="6" t="s">
        <v>369</v>
      </c>
      <c r="B328" s="7">
        <v>1500</v>
      </c>
      <c r="C328" s="8" t="s">
        <v>9</v>
      </c>
      <c r="D328" s="7"/>
      <c r="E328" s="8"/>
      <c r="F328" s="7"/>
      <c r="G328" s="8"/>
    </row>
    <row r="329" ht="21" customHeight="1" spans="1:9" x14ac:dyDescent="0.25">
      <c r="A329" s="6" t="s">
        <v>370</v>
      </c>
      <c r="B329" s="7">
        <v>850</v>
      </c>
      <c r="C329" s="8" t="s">
        <v>9</v>
      </c>
      <c r="D329" s="7"/>
      <c r="E329" s="8"/>
      <c r="F329" s="7"/>
      <c r="G329" s="8"/>
    </row>
    <row r="330" ht="21" customHeight="1" spans="1:9" x14ac:dyDescent="0.25">
      <c r="A330" s="6" t="s">
        <v>371</v>
      </c>
      <c r="B330" s="7">
        <v>2300</v>
      </c>
      <c r="C330" s="8" t="s">
        <v>9</v>
      </c>
      <c r="D330" s="7"/>
      <c r="E330" s="8"/>
      <c r="F330" s="7"/>
      <c r="G330" s="8"/>
    </row>
    <row r="331" ht="21" customHeight="1" spans="1:9" x14ac:dyDescent="0.25">
      <c r="A331" s="6" t="s">
        <v>372</v>
      </c>
      <c r="B331" s="7">
        <v>600</v>
      </c>
      <c r="C331" s="8" t="s">
        <v>9</v>
      </c>
      <c r="D331" s="7"/>
      <c r="E331" s="8"/>
      <c r="F331" s="7"/>
      <c r="G331" s="8"/>
    </row>
    <row r="332" ht="21" customHeight="1" spans="1:9" x14ac:dyDescent="0.25">
      <c r="A332" s="6" t="s">
        <v>373</v>
      </c>
      <c r="B332" s="7">
        <v>900</v>
      </c>
      <c r="C332" s="8" t="s">
        <v>9</v>
      </c>
      <c r="D332" s="7"/>
      <c r="E332" s="8"/>
      <c r="F332" s="7"/>
      <c r="G332" s="8"/>
    </row>
    <row r="333" ht="21" customHeight="1" spans="1:9" x14ac:dyDescent="0.25">
      <c r="A333" s="6" t="s">
        <v>374</v>
      </c>
      <c r="B333" s="7">
        <v>700</v>
      </c>
      <c r="C333" s="8" t="s">
        <v>9</v>
      </c>
      <c r="D333" s="7"/>
      <c r="E333" s="9"/>
      <c r="F333" s="7"/>
      <c r="G333" s="9"/>
    </row>
    <row r="334" ht="21" customHeight="1" spans="1:9" x14ac:dyDescent="0.25">
      <c r="A334" s="6" t="s">
        <v>375</v>
      </c>
      <c r="B334" s="7">
        <v>500</v>
      </c>
      <c r="C334" s="8" t="s">
        <v>9</v>
      </c>
      <c r="D334" s="7"/>
      <c r="E334" s="9"/>
      <c r="F334" s="7"/>
      <c r="G334" s="9"/>
    </row>
    <row r="335" ht="21" customHeight="1" spans="1:9" x14ac:dyDescent="0.25">
      <c r="A335" s="6" t="s">
        <v>376</v>
      </c>
      <c r="B335" s="7">
        <v>250</v>
      </c>
      <c r="C335" s="8" t="s">
        <v>9</v>
      </c>
      <c r="D335" s="7"/>
      <c r="E335" s="8"/>
      <c r="F335" s="7"/>
      <c r="G335" s="8"/>
    </row>
    <row r="336" ht="21" customHeight="1" spans="1:9" x14ac:dyDescent="0.25">
      <c r="A336" s="6" t="s">
        <v>377</v>
      </c>
      <c r="B336" s="7">
        <v>2750</v>
      </c>
      <c r="C336" s="8" t="s">
        <v>9</v>
      </c>
      <c r="D336" s="7">
        <v>225</v>
      </c>
      <c r="E336" s="8" t="s">
        <v>378</v>
      </c>
      <c r="F336" s="7"/>
      <c r="G336" s="8"/>
    </row>
    <row r="337" ht="21" customHeight="1" spans="1:9" x14ac:dyDescent="0.25">
      <c r="A337" s="6" t="s">
        <v>379</v>
      </c>
      <c r="B337" s="7">
        <v>2750</v>
      </c>
      <c r="C337" s="8" t="s">
        <v>9</v>
      </c>
      <c r="D337" s="7">
        <v>225</v>
      </c>
      <c r="E337" s="8" t="s">
        <v>378</v>
      </c>
      <c r="F337" s="7"/>
      <c r="G337" s="8"/>
    </row>
    <row r="338" ht="21" customHeight="1" spans="1:9" x14ac:dyDescent="0.25">
      <c r="A338" s="6" t="s">
        <v>380</v>
      </c>
      <c r="B338" s="7">
        <v>4900</v>
      </c>
      <c r="C338" s="8" t="s">
        <v>9</v>
      </c>
      <c r="D338" s="7"/>
      <c r="E338" s="8"/>
      <c r="F338" s="7"/>
      <c r="G338" s="8"/>
    </row>
    <row r="339" ht="21" customHeight="1" spans="1:9" x14ac:dyDescent="0.25">
      <c r="A339" s="6" t="s">
        <v>381</v>
      </c>
      <c r="B339" s="7">
        <v>3000</v>
      </c>
      <c r="C339" s="8" t="s">
        <v>9</v>
      </c>
      <c r="D339" s="7"/>
      <c r="E339" s="8"/>
      <c r="F339" s="7"/>
      <c r="G339" s="8"/>
    </row>
    <row r="340" ht="21" customHeight="1" spans="1:9" x14ac:dyDescent="0.25">
      <c r="A340" s="6" t="s">
        <v>382</v>
      </c>
      <c r="B340" s="7">
        <v>50</v>
      </c>
      <c r="C340" s="8" t="s">
        <v>383</v>
      </c>
      <c r="D340" s="7"/>
      <c r="E340" s="8"/>
      <c r="F340" s="7"/>
      <c r="G340" s="8"/>
    </row>
    <row r="341" ht="21" customHeight="1" spans="1:9" x14ac:dyDescent="0.25">
      <c r="A341" s="6" t="s">
        <v>384</v>
      </c>
      <c r="B341" s="7">
        <v>900</v>
      </c>
      <c r="C341" s="8" t="s">
        <v>9</v>
      </c>
      <c r="D341" s="7"/>
      <c r="E341" s="9"/>
      <c r="F341" s="7"/>
      <c r="G341" s="9"/>
    </row>
    <row r="342" ht="21" customHeight="1" spans="1:9" x14ac:dyDescent="0.25">
      <c r="A342" s="6" t="s">
        <v>385</v>
      </c>
      <c r="B342" s="7">
        <v>1100</v>
      </c>
      <c r="C342" s="8" t="s">
        <v>9</v>
      </c>
      <c r="D342" s="7"/>
      <c r="E342" s="8"/>
      <c r="F342" s="7"/>
      <c r="G342" s="8"/>
    </row>
    <row r="343" ht="21" customHeight="1" spans="1:9" x14ac:dyDescent="0.25">
      <c r="A343" s="6" t="s">
        <v>386</v>
      </c>
      <c r="B343" s="7">
        <v>1300</v>
      </c>
      <c r="C343" s="8" t="s">
        <v>387</v>
      </c>
      <c r="D343" s="7">
        <v>290</v>
      </c>
      <c r="E343" s="8"/>
      <c r="F343" s="7"/>
      <c r="G343" s="8"/>
    </row>
    <row r="344" ht="21" customHeight="1" spans="1:9" x14ac:dyDescent="0.25">
      <c r="A344" s="6" t="s">
        <v>388</v>
      </c>
      <c r="B344" s="7">
        <v>480</v>
      </c>
      <c r="C344" s="8" t="s">
        <v>389</v>
      </c>
      <c r="D344" s="7">
        <v>2250</v>
      </c>
      <c r="E344" s="8" t="s">
        <v>9</v>
      </c>
      <c r="F344" s="7"/>
      <c r="G344" s="8"/>
    </row>
    <row r="345" ht="21" customHeight="1" spans="1:9" x14ac:dyDescent="0.25">
      <c r="A345" s="6" t="s">
        <v>390</v>
      </c>
      <c r="B345" s="7">
        <v>690</v>
      </c>
      <c r="C345" s="8" t="s">
        <v>9</v>
      </c>
      <c r="D345" s="7"/>
      <c r="E345" s="9"/>
      <c r="F345" s="7"/>
      <c r="G345" s="9"/>
    </row>
    <row r="346" ht="21" customHeight="1" spans="1:9" x14ac:dyDescent="0.25">
      <c r="A346" s="6" t="s">
        <v>391</v>
      </c>
      <c r="B346" s="7">
        <v>900</v>
      </c>
      <c r="C346" s="8" t="s">
        <v>9</v>
      </c>
      <c r="D346" s="7"/>
      <c r="E346" s="8"/>
      <c r="F346" s="7"/>
      <c r="G346" s="8"/>
    </row>
    <row r="347" ht="21" customHeight="1" spans="1:9" x14ac:dyDescent="0.25">
      <c r="A347" s="6" t="s">
        <v>392</v>
      </c>
      <c r="B347" s="7" t="s">
        <v>8</v>
      </c>
      <c r="C347" s="8" t="s">
        <v>9</v>
      </c>
      <c r="D347" s="7"/>
      <c r="E347" s="8"/>
      <c r="F347" s="7"/>
      <c r="G347" s="8"/>
    </row>
    <row r="348" ht="21" customHeight="1" spans="1:9" x14ac:dyDescent="0.25">
      <c r="A348" s="6" t="s">
        <v>393</v>
      </c>
      <c r="B348" s="7">
        <v>810</v>
      </c>
      <c r="C348" s="8" t="s">
        <v>394</v>
      </c>
      <c r="D348" s="7">
        <v>4500</v>
      </c>
      <c r="E348" s="8" t="s">
        <v>9</v>
      </c>
      <c r="F348" s="7"/>
      <c r="G348" s="8"/>
    </row>
    <row r="349" ht="21" customHeight="1" spans="1:9" x14ac:dyDescent="0.25">
      <c r="A349" s="6" t="s">
        <v>395</v>
      </c>
      <c r="B349" s="7">
        <v>500</v>
      </c>
      <c r="C349" s="8" t="s">
        <v>396</v>
      </c>
      <c r="D349" s="7"/>
      <c r="E349" s="9"/>
      <c r="F349" s="7"/>
      <c r="G349" s="9"/>
    </row>
    <row r="350" ht="21" customHeight="1" spans="1:9" x14ac:dyDescent="0.25">
      <c r="A350" s="6" t="s">
        <v>397</v>
      </c>
      <c r="B350" s="7">
        <v>500</v>
      </c>
      <c r="C350" s="8" t="s">
        <v>396</v>
      </c>
      <c r="D350" s="7"/>
      <c r="E350" s="8"/>
      <c r="F350" s="7"/>
      <c r="G350" s="8"/>
    </row>
    <row r="351" ht="21" customHeight="1" spans="1:9" x14ac:dyDescent="0.25">
      <c r="A351" s="6" t="s">
        <v>398</v>
      </c>
      <c r="B351" s="7" t="s">
        <v>8</v>
      </c>
      <c r="C351" s="8" t="s">
        <v>9</v>
      </c>
      <c r="D351" s="7"/>
      <c r="E351" s="8"/>
      <c r="F351" s="7"/>
      <c r="G351" s="8"/>
    </row>
    <row r="352" ht="21" customHeight="1" spans="1:9" x14ac:dyDescent="0.25">
      <c r="A352" s="6" t="s">
        <v>399</v>
      </c>
      <c r="B352" s="7">
        <v>350</v>
      </c>
      <c r="C352" s="8" t="s">
        <v>396</v>
      </c>
      <c r="D352" s="7">
        <v>460</v>
      </c>
      <c r="E352" s="8" t="s">
        <v>400</v>
      </c>
      <c r="F352" s="7"/>
      <c r="G352" s="8"/>
    </row>
    <row r="353" ht="21" customHeight="1" spans="1:9" x14ac:dyDescent="0.25">
      <c r="A353" s="6" t="s">
        <v>401</v>
      </c>
      <c r="B353" s="7">
        <v>800</v>
      </c>
      <c r="C353" s="8" t="s">
        <v>9</v>
      </c>
      <c r="D353" s="7"/>
      <c r="E353" s="8"/>
      <c r="F353" s="7"/>
      <c r="G353" s="8"/>
    </row>
    <row r="354" ht="21" customHeight="1" spans="1:9" x14ac:dyDescent="0.25">
      <c r="A354" s="6" t="s">
        <v>402</v>
      </c>
      <c r="B354" s="7">
        <v>700</v>
      </c>
      <c r="C354" s="8" t="s">
        <v>9</v>
      </c>
      <c r="D354" s="7"/>
      <c r="E354" s="8"/>
      <c r="F354" s="7"/>
      <c r="G354" s="8"/>
    </row>
    <row r="355" ht="21" customHeight="1" spans="1:9" x14ac:dyDescent="0.25">
      <c r="A355" s="6" t="s">
        <v>403</v>
      </c>
      <c r="B355" s="7">
        <v>350</v>
      </c>
      <c r="C355" s="8" t="s">
        <v>9</v>
      </c>
      <c r="D355" s="7"/>
      <c r="E355" s="8"/>
      <c r="F355" s="7"/>
      <c r="G355" s="8"/>
    </row>
    <row r="356" ht="21" customHeight="1" spans="1:9" x14ac:dyDescent="0.25">
      <c r="A356" s="6" t="s">
        <v>404</v>
      </c>
      <c r="B356" s="7">
        <v>500</v>
      </c>
      <c r="C356" s="8" t="s">
        <v>9</v>
      </c>
      <c r="D356" s="7"/>
      <c r="E356" s="8"/>
      <c r="F356" s="7"/>
      <c r="G356" s="8"/>
    </row>
    <row r="357" ht="21" customHeight="1" spans="1:9" x14ac:dyDescent="0.25">
      <c r="A357" s="6" t="s">
        <v>405</v>
      </c>
      <c r="B357" s="7">
        <v>25</v>
      </c>
      <c r="C357" s="8" t="s">
        <v>406</v>
      </c>
      <c r="D357" s="7"/>
      <c r="E357" s="8"/>
      <c r="F357" s="7"/>
      <c r="G357" s="8"/>
    </row>
    <row r="358" ht="21" customHeight="1" spans="1:9" x14ac:dyDescent="0.25">
      <c r="A358" s="6" t="s">
        <v>407</v>
      </c>
      <c r="B358" s="7" t="s">
        <v>8</v>
      </c>
      <c r="C358" s="8" t="s">
        <v>9</v>
      </c>
      <c r="D358" s="7"/>
      <c r="E358" s="8"/>
      <c r="F358" s="7"/>
      <c r="G358" s="8"/>
    </row>
    <row r="359" ht="21" customHeight="1" spans="1:9" x14ac:dyDescent="0.25">
      <c r="A359" s="6" t="s">
        <v>408</v>
      </c>
      <c r="B359" s="7" t="s">
        <v>8</v>
      </c>
      <c r="C359" s="8" t="s">
        <v>9</v>
      </c>
      <c r="D359" s="7"/>
      <c r="E359" s="8"/>
      <c r="F359" s="7"/>
      <c r="G359" s="8"/>
    </row>
    <row r="360" ht="21" customHeight="1" spans="1:9" x14ac:dyDescent="0.25">
      <c r="A360" s="6" t="s">
        <v>409</v>
      </c>
      <c r="B360" s="7">
        <v>700</v>
      </c>
      <c r="C360" s="8" t="s">
        <v>9</v>
      </c>
      <c r="D360" s="7"/>
      <c r="E360" s="8"/>
      <c r="F360" s="7"/>
      <c r="G360" s="8"/>
    </row>
    <row r="361" ht="21" customHeight="1" spans="1:9" x14ac:dyDescent="0.25">
      <c r="A361" s="6" t="s">
        <v>410</v>
      </c>
      <c r="B361" s="7">
        <v>600</v>
      </c>
      <c r="C361" s="8" t="s">
        <v>9</v>
      </c>
      <c r="D361" s="7"/>
      <c r="E361" s="8"/>
      <c r="F361" s="7"/>
      <c r="G361" s="8"/>
    </row>
    <row r="362" ht="21" customHeight="1" spans="1:9" x14ac:dyDescent="0.25">
      <c r="A362" s="6" t="s">
        <v>411</v>
      </c>
      <c r="B362" s="7">
        <v>680</v>
      </c>
      <c r="C362" s="8" t="s">
        <v>9</v>
      </c>
      <c r="D362" s="7"/>
      <c r="E362" s="8"/>
      <c r="F362" s="7"/>
      <c r="G362" s="8"/>
    </row>
    <row r="363" ht="21" customHeight="1" spans="1:9" x14ac:dyDescent="0.25">
      <c r="A363" s="6" t="s">
        <v>412</v>
      </c>
      <c r="B363" s="7">
        <v>5100</v>
      </c>
      <c r="C363" s="8" t="s">
        <v>9</v>
      </c>
      <c r="D363" s="7"/>
      <c r="E363" s="8"/>
      <c r="F363" s="7"/>
      <c r="G363" s="8"/>
    </row>
    <row r="364" ht="21" customHeight="1" spans="1:9" x14ac:dyDescent="0.25">
      <c r="A364" s="6" t="s">
        <v>413</v>
      </c>
      <c r="B364" s="7">
        <v>600</v>
      </c>
      <c r="C364" s="8" t="s">
        <v>9</v>
      </c>
      <c r="D364" s="7"/>
      <c r="E364" s="8"/>
      <c r="F364" s="7"/>
      <c r="G364" s="8"/>
    </row>
    <row r="365" ht="21" customHeight="1" spans="1:9" x14ac:dyDescent="0.25">
      <c r="A365" s="6" t="s">
        <v>414</v>
      </c>
      <c r="B365" s="7">
        <v>1200</v>
      </c>
      <c r="C365" s="8" t="s">
        <v>9</v>
      </c>
      <c r="D365" s="7"/>
      <c r="E365" s="8"/>
      <c r="F365" s="7"/>
      <c r="G365" s="8"/>
    </row>
    <row r="366" ht="21" customHeight="1" spans="1:9" x14ac:dyDescent="0.25">
      <c r="A366" s="6" t="s">
        <v>415</v>
      </c>
      <c r="B366" s="7">
        <v>450</v>
      </c>
      <c r="C366" s="8" t="s">
        <v>9</v>
      </c>
      <c r="D366" s="7"/>
      <c r="E366" s="8"/>
      <c r="F366" s="7"/>
      <c r="G366" s="8"/>
    </row>
    <row r="367" ht="21" customHeight="1" spans="1:9" x14ac:dyDescent="0.25">
      <c r="A367" s="6" t="s">
        <v>416</v>
      </c>
      <c r="B367" s="7">
        <v>450</v>
      </c>
      <c r="C367" s="8" t="s">
        <v>9</v>
      </c>
      <c r="D367" s="7"/>
      <c r="E367" s="8"/>
      <c r="F367" s="7"/>
      <c r="G367" s="8"/>
    </row>
    <row r="368" ht="21" customHeight="1" spans="1:9" x14ac:dyDescent="0.25">
      <c r="A368" s="6" t="s">
        <v>417</v>
      </c>
      <c r="B368" s="7">
        <v>1100</v>
      </c>
      <c r="C368" s="8" t="s">
        <v>9</v>
      </c>
      <c r="D368" s="7"/>
      <c r="E368" s="8"/>
      <c r="F368" s="7"/>
      <c r="G368" s="8"/>
    </row>
    <row r="369" ht="21" customHeight="1" spans="1:9" x14ac:dyDescent="0.25">
      <c r="A369" s="6" t="s">
        <v>418</v>
      </c>
      <c r="B369" s="7">
        <v>3200</v>
      </c>
      <c r="C369" s="8" t="s">
        <v>9</v>
      </c>
      <c r="D369" s="7"/>
      <c r="E369" s="8"/>
      <c r="F369" s="7"/>
      <c r="G369" s="8"/>
    </row>
    <row r="370" ht="21" customHeight="1" spans="1:9" x14ac:dyDescent="0.25">
      <c r="A370" s="6" t="s">
        <v>419</v>
      </c>
      <c r="B370" s="7">
        <v>5000</v>
      </c>
      <c r="C370" s="8" t="s">
        <v>9</v>
      </c>
      <c r="D370" s="7"/>
      <c r="E370" s="8"/>
      <c r="F370" s="7"/>
      <c r="G370" s="8"/>
    </row>
    <row r="371" ht="21" customHeight="1" spans="1:9" x14ac:dyDescent="0.25">
      <c r="A371" s="6" t="s">
        <v>420</v>
      </c>
      <c r="B371" s="7">
        <v>5200</v>
      </c>
      <c r="C371" s="8" t="s">
        <v>9</v>
      </c>
      <c r="D371" s="7"/>
      <c r="E371" s="8"/>
      <c r="F371" s="7"/>
      <c r="G371" s="8"/>
    </row>
    <row r="372" ht="21" customHeight="1" spans="1:9" x14ac:dyDescent="0.25">
      <c r="A372" s="6" t="s">
        <v>421</v>
      </c>
      <c r="B372" s="7">
        <v>3900</v>
      </c>
      <c r="C372" s="8" t="s">
        <v>9</v>
      </c>
      <c r="D372" s="7"/>
      <c r="E372" s="8"/>
      <c r="F372" s="7"/>
      <c r="G372" s="8"/>
    </row>
    <row r="373" ht="21" customHeight="1" spans="1:9" x14ac:dyDescent="0.25">
      <c r="A373" s="6" t="s">
        <v>422</v>
      </c>
      <c r="B373" s="7">
        <v>100</v>
      </c>
      <c r="C373" s="8" t="s">
        <v>9</v>
      </c>
      <c r="D373" s="7"/>
      <c r="E373" s="8"/>
      <c r="F373" s="7"/>
      <c r="G373" s="8"/>
    </row>
    <row r="374" ht="21" customHeight="1" spans="1:9" x14ac:dyDescent="0.25">
      <c r="A374" s="6" t="s">
        <v>423</v>
      </c>
      <c r="B374" s="7">
        <v>790</v>
      </c>
      <c r="C374" s="8" t="s">
        <v>9</v>
      </c>
      <c r="D374" s="7"/>
      <c r="E374" s="8"/>
      <c r="F374" s="7"/>
      <c r="G374" s="8"/>
    </row>
    <row r="375" ht="21" customHeight="1" spans="1:9" x14ac:dyDescent="0.25">
      <c r="A375" s="6" t="s">
        <v>424</v>
      </c>
      <c r="B375" s="7" t="s">
        <v>8</v>
      </c>
      <c r="C375" s="8" t="s">
        <v>9</v>
      </c>
      <c r="D375" s="7"/>
      <c r="E375" s="8"/>
      <c r="F375" s="7"/>
      <c r="G375" s="8"/>
    </row>
    <row r="376" ht="21" customHeight="1" spans="1:9" x14ac:dyDescent="0.25">
      <c r="A376" s="6" t="s">
        <v>425</v>
      </c>
      <c r="B376" s="7" t="s">
        <v>8</v>
      </c>
      <c r="C376" s="8" t="s">
        <v>9</v>
      </c>
      <c r="D376" s="7"/>
      <c r="E376" s="8"/>
      <c r="F376" s="7"/>
      <c r="G376" s="8"/>
    </row>
    <row r="377" ht="21" customHeight="1" spans="1:9" x14ac:dyDescent="0.25">
      <c r="A377" s="6" t="s">
        <v>426</v>
      </c>
      <c r="B377" s="7">
        <v>1800</v>
      </c>
      <c r="C377" s="8" t="s">
        <v>9</v>
      </c>
      <c r="D377" s="7"/>
      <c r="E377" s="8"/>
      <c r="F377" s="7"/>
      <c r="G377" s="8"/>
    </row>
    <row r="378" ht="21" customHeight="1" spans="1:9" x14ac:dyDescent="0.25">
      <c r="A378" s="6" t="s">
        <v>427</v>
      </c>
      <c r="B378" s="7">
        <v>1950</v>
      </c>
      <c r="C378" s="8" t="s">
        <v>9</v>
      </c>
      <c r="D378" s="7"/>
      <c r="E378" s="8"/>
      <c r="F378" s="7"/>
      <c r="G378" s="8"/>
    </row>
    <row r="379" ht="21" customHeight="1" spans="1:9" x14ac:dyDescent="0.25">
      <c r="A379" s="6" t="s">
        <v>428</v>
      </c>
      <c r="B379" s="7">
        <v>1500</v>
      </c>
      <c r="C379" s="8" t="s">
        <v>218</v>
      </c>
      <c r="D379" s="7"/>
      <c r="E379" s="8"/>
      <c r="F379" s="7"/>
      <c r="G379" s="8"/>
    </row>
    <row r="380" ht="21" customHeight="1" spans="1:9" x14ac:dyDescent="0.25">
      <c r="A380" s="6" t="s">
        <v>429</v>
      </c>
      <c r="B380" s="7">
        <v>1500</v>
      </c>
      <c r="C380" s="8" t="s">
        <v>218</v>
      </c>
      <c r="D380" s="7"/>
      <c r="E380" s="8"/>
      <c r="F380" s="7"/>
      <c r="G380" s="8"/>
    </row>
    <row r="381" ht="21" customHeight="1" spans="1:9" x14ac:dyDescent="0.25">
      <c r="A381" s="6" t="s">
        <v>430</v>
      </c>
      <c r="B381" s="7">
        <v>850</v>
      </c>
      <c r="C381" s="8" t="s">
        <v>9</v>
      </c>
      <c r="D381" s="7"/>
      <c r="E381" s="8"/>
      <c r="F381" s="7"/>
      <c r="G381" s="8"/>
    </row>
    <row r="382" ht="21" customHeight="1" spans="1:9" x14ac:dyDescent="0.25">
      <c r="A382" s="6" t="s">
        <v>431</v>
      </c>
      <c r="B382" s="7" t="s">
        <v>8</v>
      </c>
      <c r="C382" s="8" t="s">
        <v>9</v>
      </c>
      <c r="D382" s="7"/>
      <c r="E382" s="8"/>
      <c r="F382" s="7"/>
      <c r="G382" s="8"/>
    </row>
    <row r="383" ht="21" customHeight="1" spans="1:9" x14ac:dyDescent="0.25">
      <c r="A383" s="6" t="s">
        <v>432</v>
      </c>
      <c r="B383" s="7">
        <v>3500</v>
      </c>
      <c r="C383" s="8" t="s">
        <v>9</v>
      </c>
      <c r="D383" s="7"/>
      <c r="E383" s="8"/>
      <c r="F383" s="7"/>
      <c r="G383" s="8"/>
    </row>
    <row r="384" ht="21" customHeight="1" spans="1:9" x14ac:dyDescent="0.25">
      <c r="A384" s="6" t="s">
        <v>433</v>
      </c>
      <c r="B384" s="7">
        <v>3300</v>
      </c>
      <c r="C384" s="8" t="s">
        <v>9</v>
      </c>
      <c r="D384" s="7"/>
      <c r="E384" s="8"/>
      <c r="F384" s="7"/>
      <c r="G384" s="8"/>
    </row>
    <row r="385" ht="21" customHeight="1" spans="1:9" x14ac:dyDescent="0.25">
      <c r="A385" s="6" t="s">
        <v>434</v>
      </c>
      <c r="B385" s="7">
        <v>1750</v>
      </c>
      <c r="C385" s="8" t="s">
        <v>9</v>
      </c>
      <c r="D385" s="7"/>
      <c r="E385" s="8"/>
      <c r="F385" s="7"/>
      <c r="G385" s="8"/>
    </row>
    <row r="386" ht="21" customHeight="1" spans="1:9" x14ac:dyDescent="0.25">
      <c r="A386" s="6" t="s">
        <v>435</v>
      </c>
      <c r="B386" s="7">
        <v>250</v>
      </c>
      <c r="C386" s="8" t="s">
        <v>47</v>
      </c>
      <c r="D386" s="7"/>
      <c r="E386" s="8"/>
      <c r="F386" s="7"/>
      <c r="G386" s="8"/>
    </row>
    <row r="387" ht="21" customHeight="1" spans="1:9" x14ac:dyDescent="0.25">
      <c r="A387" s="6" t="s">
        <v>436</v>
      </c>
      <c r="B387" s="7">
        <v>270</v>
      </c>
      <c r="C387" s="8" t="s">
        <v>9</v>
      </c>
      <c r="D387" s="7"/>
      <c r="E387" s="8"/>
      <c r="F387" s="7"/>
      <c r="G387" s="8"/>
    </row>
    <row r="388" ht="21" customHeight="1" spans="1:9" x14ac:dyDescent="0.25">
      <c r="A388" s="6" t="s">
        <v>437</v>
      </c>
      <c r="B388" s="7">
        <v>250</v>
      </c>
      <c r="C388" s="8" t="s">
        <v>9</v>
      </c>
      <c r="D388" s="7">
        <v>1500</v>
      </c>
      <c r="E388" s="8" t="s">
        <v>47</v>
      </c>
      <c r="F388" s="7"/>
      <c r="G388" s="8"/>
      <c r="H388">
        <v>260</v>
      </c>
      <c r="I388" t="s">
        <v>438</v>
      </c>
    </row>
    <row r="389" ht="21" customHeight="1" spans="1:9" x14ac:dyDescent="0.25">
      <c r="A389" s="6" t="s">
        <v>439</v>
      </c>
      <c r="B389" s="7">
        <v>750</v>
      </c>
      <c r="C389" s="8" t="s">
        <v>9</v>
      </c>
      <c r="D389" s="7"/>
      <c r="E389" s="8"/>
      <c r="F389" s="7"/>
      <c r="G389" s="8"/>
    </row>
    <row r="390" ht="21" customHeight="1" spans="1:9" x14ac:dyDescent="0.25">
      <c r="A390" s="6" t="s">
        <v>440</v>
      </c>
      <c r="B390" s="7">
        <v>120</v>
      </c>
      <c r="C390" s="8" t="s">
        <v>378</v>
      </c>
      <c r="D390" s="7"/>
      <c r="E390" s="8"/>
      <c r="F390" s="7"/>
      <c r="G390" s="8"/>
    </row>
    <row r="391" ht="21" customHeight="1" spans="1:9" x14ac:dyDescent="0.25">
      <c r="A391" s="6" t="s">
        <v>441</v>
      </c>
      <c r="B391" s="7">
        <v>220</v>
      </c>
      <c r="C391" s="8" t="s">
        <v>9</v>
      </c>
      <c r="D391" s="7"/>
      <c r="E391" s="8"/>
      <c r="F391" s="7"/>
      <c r="G391" s="8"/>
    </row>
    <row r="392" ht="21" customHeight="1" spans="1:9" x14ac:dyDescent="0.25">
      <c r="A392" s="6" t="s">
        <v>442</v>
      </c>
      <c r="B392" s="7">
        <v>100</v>
      </c>
      <c r="C392" s="8" t="s">
        <v>378</v>
      </c>
      <c r="D392" s="7"/>
      <c r="E392" s="8"/>
      <c r="F392" s="7"/>
      <c r="G392" s="8"/>
    </row>
    <row r="393" ht="21" customHeight="1" spans="1:9" x14ac:dyDescent="0.25">
      <c r="A393" s="6" t="s">
        <v>443</v>
      </c>
      <c r="B393" s="7">
        <v>150</v>
      </c>
      <c r="C393" s="8" t="s">
        <v>9</v>
      </c>
      <c r="D393" s="7"/>
      <c r="E393" s="8"/>
      <c r="F393" s="7"/>
      <c r="G393" s="8"/>
    </row>
    <row r="394" ht="21" customHeight="1" spans="1:9" x14ac:dyDescent="0.25">
      <c r="A394" s="6" t="s">
        <v>444</v>
      </c>
      <c r="B394" s="7">
        <v>120</v>
      </c>
      <c r="C394" s="8" t="s">
        <v>9</v>
      </c>
      <c r="D394" s="7"/>
      <c r="E394" s="9"/>
      <c r="F394" s="7"/>
      <c r="G394" s="9"/>
    </row>
    <row r="395" ht="21" customHeight="1" spans="1:9" x14ac:dyDescent="0.25">
      <c r="A395" s="6" t="s">
        <v>445</v>
      </c>
      <c r="B395" s="7">
        <v>120</v>
      </c>
      <c r="C395" s="8"/>
      <c r="D395" s="7"/>
      <c r="E395" s="8"/>
      <c r="F395" s="7"/>
      <c r="G395" s="8"/>
    </row>
    <row r="396" ht="21" customHeight="1" spans="1:9" x14ac:dyDescent="0.25">
      <c r="A396" s="6" t="s">
        <v>446</v>
      </c>
      <c r="B396" s="7">
        <v>150</v>
      </c>
      <c r="C396" s="8" t="s">
        <v>9</v>
      </c>
      <c r="D396" s="7"/>
      <c r="E396" s="8"/>
      <c r="F396" s="7"/>
      <c r="G396" s="8"/>
    </row>
    <row r="397" ht="21" customHeight="1" spans="1:9" x14ac:dyDescent="0.25">
      <c r="A397" s="6" t="s">
        <v>447</v>
      </c>
      <c r="B397" s="7">
        <v>50</v>
      </c>
      <c r="C397" s="8" t="s">
        <v>9</v>
      </c>
      <c r="D397" s="7"/>
      <c r="E397" s="8"/>
      <c r="F397" s="7"/>
      <c r="G397" s="8"/>
    </row>
    <row r="398" ht="21" customHeight="1" spans="1:9" x14ac:dyDescent="0.25">
      <c r="A398" s="6" t="s">
        <v>448</v>
      </c>
      <c r="B398" s="7" t="s">
        <v>8</v>
      </c>
      <c r="C398" s="8" t="s">
        <v>9</v>
      </c>
      <c r="D398" s="7"/>
      <c r="E398" s="8"/>
      <c r="F398" s="7"/>
      <c r="G398" s="8"/>
    </row>
    <row r="399" ht="21" customHeight="1" spans="1:9" x14ac:dyDescent="0.25">
      <c r="A399" s="6" t="s">
        <v>449</v>
      </c>
      <c r="B399" s="7">
        <v>1500</v>
      </c>
      <c r="C399" s="8" t="s">
        <v>47</v>
      </c>
      <c r="D399" s="7">
        <v>260</v>
      </c>
      <c r="E399" s="8" t="s">
        <v>438</v>
      </c>
      <c r="F399" s="7"/>
      <c r="G399" s="8"/>
    </row>
    <row r="400" ht="21" customHeight="1" spans="1:9" x14ac:dyDescent="0.25">
      <c r="A400" s="6" t="s">
        <v>450</v>
      </c>
      <c r="B400" s="7">
        <v>120</v>
      </c>
      <c r="C400" s="8" t="s">
        <v>236</v>
      </c>
      <c r="D400" s="7"/>
      <c r="E400" s="8"/>
      <c r="F400" s="7"/>
      <c r="G400" s="8"/>
    </row>
    <row r="401" ht="21" customHeight="1" spans="1:9" x14ac:dyDescent="0.25">
      <c r="A401" s="6" t="s">
        <v>451</v>
      </c>
      <c r="B401" s="7">
        <v>180</v>
      </c>
      <c r="C401" s="8" t="s">
        <v>452</v>
      </c>
      <c r="D401" s="7"/>
      <c r="E401" s="8"/>
      <c r="F401" s="7"/>
      <c r="G401" s="8"/>
    </row>
    <row r="402" ht="21" customHeight="1" spans="1:9" x14ac:dyDescent="0.25">
      <c r="A402" s="6" t="s">
        <v>453</v>
      </c>
      <c r="B402" s="7">
        <v>950</v>
      </c>
      <c r="C402" s="8" t="s">
        <v>9</v>
      </c>
      <c r="D402" s="7"/>
      <c r="E402" s="8"/>
      <c r="F402" s="7"/>
      <c r="G402" s="8"/>
    </row>
    <row r="403" ht="21" customHeight="1" spans="1:9" x14ac:dyDescent="0.25">
      <c r="A403" s="6" t="s">
        <v>454</v>
      </c>
      <c r="B403" s="7">
        <v>3500</v>
      </c>
      <c r="C403" s="8" t="s">
        <v>9</v>
      </c>
      <c r="D403" s="7"/>
      <c r="E403" s="8"/>
      <c r="F403" s="7"/>
      <c r="G403" s="8"/>
    </row>
    <row r="404" ht="21" customHeight="1" spans="1:9" x14ac:dyDescent="0.25">
      <c r="A404" s="6" t="s">
        <v>455</v>
      </c>
      <c r="B404" s="7">
        <v>12000</v>
      </c>
      <c r="C404" s="8" t="s">
        <v>9</v>
      </c>
      <c r="D404" s="7"/>
      <c r="E404" s="8"/>
      <c r="F404" s="7"/>
      <c r="G404" s="8"/>
    </row>
    <row r="405" ht="21" customHeight="1" spans="1:9" x14ac:dyDescent="0.25">
      <c r="A405" s="6" t="s">
        <v>456</v>
      </c>
      <c r="B405" s="7">
        <v>12000</v>
      </c>
      <c r="C405" s="8" t="s">
        <v>9</v>
      </c>
      <c r="D405" s="7"/>
      <c r="E405" s="8"/>
      <c r="F405" s="7"/>
      <c r="G405" s="8"/>
    </row>
    <row r="406" ht="21" customHeight="1" spans="1:9" x14ac:dyDescent="0.25">
      <c r="A406" s="6" t="s">
        <v>457</v>
      </c>
      <c r="B406" s="7">
        <v>1500</v>
      </c>
      <c r="C406" s="8" t="s">
        <v>9</v>
      </c>
      <c r="D406" s="7"/>
      <c r="E406" s="8"/>
      <c r="F406" s="7"/>
      <c r="G406" s="8"/>
    </row>
    <row r="407" ht="21" customHeight="1" spans="1:9" x14ac:dyDescent="0.25">
      <c r="A407" s="6"/>
      <c r="B407" s="7"/>
      <c r="C407" s="8"/>
      <c r="D407" s="7"/>
      <c r="E407" s="8"/>
      <c r="F407" s="10"/>
      <c r="G407" s="10"/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50"/>
  <sheetViews>
    <sheetView workbookViewId="0" zoomScale="100" zoomScaleNormal="100">
      <selection activeCell="A543" sqref="A543"/>
    </sheetView>
  </sheetViews>
  <sheetFormatPr defaultRowHeight="13.8" outlineLevelRow="0" outlineLevelCol="0" x14ac:dyDescent="0" customHeight="1"/>
  <cols>
    <col min="1" max="1" width="14" customWidth="1"/>
    <col min="2" max="2" width="30" customWidth="1"/>
    <col min="3" max="3" width="24" customWidth="1"/>
    <col min="4" max="4" width="18" customWidth="1"/>
    <col min="5" max="5" width="14" customWidth="1"/>
    <col min="6" max="6" width="12" customWidth="1"/>
    <col min="7" max="8" width="18" customWidth="1"/>
    <col min="9" max="9" width="10" customWidth="1"/>
    <col min="10" max="10" width="16" customWidth="1"/>
    <col min="11" max="11" width="20" customWidth="1"/>
    <col min="12" max="12" width="2" hidden="1" customWidth="1"/>
    <col min="13" max="13" width="14" customWidth="1"/>
    <col min="14" max="14" width="30" customWidth="1"/>
    <col min="15" max="15" width="24" customWidth="1"/>
    <col min="16" max="16" width="14" customWidth="1"/>
    <col min="17" max="17" width="18" customWidth="1"/>
    <col min="18" max="18" width="16" customWidth="1"/>
    <col min="19" max="19" width="10" customWidth="1"/>
    <col min="27" max="27" width="3" customWidth="1"/>
  </cols>
  <sheetData>
    <row r="1" ht="16.8" customHeight="1" spans="1:30" x14ac:dyDescent="0.25">
      <c r="A1" s="11" t="s">
        <v>458</v>
      </c>
      <c r="B1" s="11" t="s">
        <v>459</v>
      </c>
      <c r="C1" s="11" t="s">
        <v>460</v>
      </c>
      <c r="D1" s="11" t="s">
        <v>461</v>
      </c>
      <c r="E1" s="11" t="s">
        <v>462</v>
      </c>
      <c r="F1" s="11" t="s">
        <v>463</v>
      </c>
      <c r="G1" s="11" t="s">
        <v>464</v>
      </c>
      <c r="H1" s="12" t="s">
        <v>465</v>
      </c>
      <c r="I1" s="12" t="s">
        <v>466</v>
      </c>
      <c r="J1" s="12" t="s">
        <v>467</v>
      </c>
      <c r="K1" s="12" t="s">
        <v>468</v>
      </c>
      <c r="L1" s="11" t="s">
        <v>469</v>
      </c>
      <c r="M1" s="11" t="s">
        <v>470</v>
      </c>
      <c r="N1" s="11" t="s">
        <v>471</v>
      </c>
      <c r="O1" s="13" t="s">
        <v>472</v>
      </c>
      <c r="P1" s="14" t="s">
        <v>473</v>
      </c>
      <c r="Q1"/>
      <c r="R1"/>
      <c r="S1"/>
      <c r="T1"/>
      <c r="U1"/>
      <c r="V1"/>
      <c r="AD1" s="15">
        <v>0</v>
      </c>
    </row>
    <row r="2" ht="14.4" customHeight="1" spans="1:30" x14ac:dyDescent="0.25">
      <c r="A2" s="16" t="s">
        <v>474</v>
      </c>
      <c r="B2" s="16" t="s">
        <v>37</v>
      </c>
      <c r="C2" s="16" t="s">
        <v>475</v>
      </c>
      <c r="D2" s="16" t="s">
        <v>476</v>
      </c>
      <c r="E2" s="16" t="s">
        <v>9</v>
      </c>
      <c r="F2" s="16" t="s">
        <v>9</v>
      </c>
      <c r="G2" s="17">
        <f t="shared" ref="G2:G65" si="0">H2</f>
        <v>295000</v>
      </c>
      <c r="H2" s="18">
        <v>295000</v>
      </c>
      <c r="I2" s="19">
        <v>2</v>
      </c>
      <c r="J2" s="18">
        <f t="shared" ref="J2:J33" si="1">IF(OR(H2="",H2="؟",H2="نامشخص"),"",CEILING(H2*(1+I2/100),10000))</f>
        <v>310000</v>
      </c>
      <c r="K2" s="18" t="s">
        <v>477</v>
      </c>
      <c r="L2" s="16" t="str">
        <f t="shared" ref="L2:L33" si="2">IF(OR($H2="",$H2="؟",$H2="نامشخص"),"نیاز به استعلام","فعال")</f>
        <v>فعال</v>
      </c>
      <c r="M2" s="16">
        <v>29</v>
      </c>
      <c r="N2" s="16" t="s">
        <v>474</v>
      </c>
      <c r="O2" t="s">
        <v>478</v>
      </c>
      <c r="P2" t="s">
        <v>479</v>
      </c>
      <c r="Q2" s="20"/>
      <c r="R2"/>
      <c r="S2"/>
      <c r="T2"/>
      <c r="U2"/>
      <c r="V2"/>
      <c r="AD2">
        <f>IF(AND(LEN($Q$2)&gt;=3,ISNUMBER(SEARCH($Q$2,$B2))),MAX($AD$1:AD1)+1,"")</f>
      </c>
    </row>
    <row r="3" ht="14.4" customHeight="1" spans="1:30" x14ac:dyDescent="0.25">
      <c r="A3" s="16" t="s">
        <v>480</v>
      </c>
      <c r="B3" s="16" t="s">
        <v>38</v>
      </c>
      <c r="C3" s="16" t="s">
        <v>481</v>
      </c>
      <c r="D3" s="16" t="s">
        <v>476</v>
      </c>
      <c r="E3" s="16" t="s">
        <v>9</v>
      </c>
      <c r="F3" s="16" t="s">
        <v>9</v>
      </c>
      <c r="G3" s="17">
        <f t="shared" si="0"/>
        <v>270000</v>
      </c>
      <c r="H3" s="18">
        <v>270000</v>
      </c>
      <c r="I3" s="19">
        <v>3</v>
      </c>
      <c r="J3" s="18">
        <f t="shared" si="1"/>
        <v>280000</v>
      </c>
      <c r="K3" s="18" t="s">
        <v>477</v>
      </c>
      <c r="L3" s="16" t="str">
        <f t="shared" si="2"/>
        <v>فعال</v>
      </c>
      <c r="M3" s="16">
        <v>30</v>
      </c>
      <c r="N3" s="16" t="s">
        <v>480</v>
      </c>
      <c r="O3" t="s">
        <v>482</v>
      </c>
      <c r="AD3">
        <f>IF(AND(LEN($Q$2)&gt;=3,ISNUMBER(SEARCH($Q$2,$B3))),MAX($AD$1:AD2)+1,"")</f>
      </c>
    </row>
    <row r="4" ht="14.4" customHeight="1" spans="1:30" x14ac:dyDescent="0.25">
      <c r="A4" s="16" t="s">
        <v>483</v>
      </c>
      <c r="B4" s="16" t="s">
        <v>39</v>
      </c>
      <c r="C4" s="16" t="s">
        <v>484</v>
      </c>
      <c r="D4" s="16" t="s">
        <v>476</v>
      </c>
      <c r="E4" s="16" t="s">
        <v>9</v>
      </c>
      <c r="F4" s="16" t="s">
        <v>9</v>
      </c>
      <c r="G4" s="17">
        <f t="shared" si="0"/>
        <v>390000</v>
      </c>
      <c r="H4" s="18">
        <v>390000</v>
      </c>
      <c r="I4" s="19">
        <v>2</v>
      </c>
      <c r="J4" s="18">
        <f t="shared" si="1"/>
        <v>400000</v>
      </c>
      <c r="K4" s="18" t="s">
        <v>477</v>
      </c>
      <c r="L4" s="16" t="str">
        <f t="shared" si="2"/>
        <v>فعال</v>
      </c>
      <c r="M4" s="16">
        <v>31</v>
      </c>
      <c r="N4" s="16" t="s">
        <v>483</v>
      </c>
      <c r="O4" t="s">
        <v>485</v>
      </c>
      <c r="P4" s="21" t="s">
        <v>458</v>
      </c>
      <c r="Q4" s="21" t="s">
        <v>459</v>
      </c>
      <c r="R4" s="21" t="s">
        <v>460</v>
      </c>
      <c r="S4" s="21" t="s">
        <v>462</v>
      </c>
      <c r="T4" s="21" t="s">
        <v>465</v>
      </c>
      <c r="U4" s="21" t="s">
        <v>469</v>
      </c>
      <c r="V4" s="21" t="s">
        <v>470</v>
      </c>
      <c r="AD4">
        <f>IF(AND(LEN($Q$2)&gt;=3,ISNUMBER(SEARCH($Q$2,$B4))),MAX($AD$1:AD3)+1,"")</f>
      </c>
    </row>
    <row r="5" ht="14.4" customHeight="1" spans="1:30" x14ac:dyDescent="0.25">
      <c r="A5" s="16" t="s">
        <v>486</v>
      </c>
      <c r="B5" s="16" t="s">
        <v>61</v>
      </c>
      <c r="C5" s="16" t="s">
        <v>487</v>
      </c>
      <c r="D5" s="16" t="s">
        <v>476</v>
      </c>
      <c r="E5" s="16" t="s">
        <v>9</v>
      </c>
      <c r="F5" s="16" t="s">
        <v>9</v>
      </c>
      <c r="G5" s="17">
        <f t="shared" si="0"/>
        <v>610000</v>
      </c>
      <c r="H5" s="18">
        <v>610000</v>
      </c>
      <c r="I5" s="19">
        <v>1</v>
      </c>
      <c r="J5" s="18">
        <f t="shared" si="1"/>
        <v>620000</v>
      </c>
      <c r="K5" s="18" t="s">
        <v>477</v>
      </c>
      <c r="L5" s="16" t="str">
        <f t="shared" si="2"/>
        <v>فعال</v>
      </c>
      <c r="M5" s="16">
        <v>52</v>
      </c>
      <c r="N5" s="16" t="s">
        <v>486</v>
      </c>
      <c r="O5" t="s">
        <v>488</v>
      </c>
      <c r="P5">
        <f>IFERROR(INDEX($A$2:$A$542,MATCH(ROWS($P$5:P5),$AD$2:$AD$542,0)),"")</f>
      </c>
      <c r="Q5">
        <f>IF($P5="","",INDEX($B$2:$B$542,MATCH(ROWS($P$5:P5),$AD$2:$AD$542,0)))</f>
      </c>
      <c r="R5">
        <f>IF($P5="","",INDEX($C$2:$C$542,MATCH(ROWS($P$5:P5),$AD$2:$AD$542,0)))</f>
      </c>
      <c r="S5">
        <f>IF($P5="","",INDEX($E$2:$E$542,MATCH(ROWS($P$5:P5),$AD$2:$AD$542,0)))</f>
      </c>
      <c r="T5" s="22">
        <f>IF($P5="","",IFERROR(IF(OR(INDEX($H$2:$H$542,MATCH(ROWS($P$5:P5),$AD$2:$AD$542,0))="",INDEX($H$2:$H$542,MATCH(ROWS($P$5:P5),$AD$2:$AD$542,0))="؟",INDEX($H$2:$H$542,MATCH(ROWS($P$5:P5),$AD$2:$AD$542,0))="نامشخص"),"",INDEX($H$2:$H$542,MATCH(ROWS($P$5:P5),$AD$2:$AD$542,0))),""))</f>
      </c>
      <c r="U5">
        <f>IF($P5="","",INDEX($L$2:$L$542,MATCH(ROWS($P$5:P5),$AD$2:$AD$542,0)))</f>
      </c>
      <c r="V5">
        <f>IF($P5="","",INDEX($M$2:$M$542,MATCH(ROWS($P$5:P5),$AD$2:$AD$542,0)))</f>
      </c>
      <c r="AD5">
        <f>IF(AND(LEN($Q$2)&gt;=3,ISNUMBER(SEARCH($Q$2,$B5))),MAX($AD$1:AD4)+1,"")</f>
      </c>
    </row>
    <row r="6" ht="14.4" customHeight="1" spans="1:30" x14ac:dyDescent="0.25">
      <c r="A6" s="16" t="s">
        <v>489</v>
      </c>
      <c r="B6" s="16" t="s">
        <v>436</v>
      </c>
      <c r="C6" s="16" t="s">
        <v>490</v>
      </c>
      <c r="D6" s="16" t="s">
        <v>476</v>
      </c>
      <c r="E6" s="16" t="s">
        <v>9</v>
      </c>
      <c r="F6" s="16" t="s">
        <v>9</v>
      </c>
      <c r="G6" s="17">
        <f t="shared" si="0"/>
        <v>270000</v>
      </c>
      <c r="H6" s="18">
        <v>270000</v>
      </c>
      <c r="I6" s="19">
        <v>2</v>
      </c>
      <c r="J6" s="18">
        <f t="shared" si="1"/>
        <v>280000</v>
      </c>
      <c r="K6" s="18" t="s">
        <v>477</v>
      </c>
      <c r="L6" s="16" t="str">
        <f t="shared" si="2"/>
        <v>فعال</v>
      </c>
      <c r="M6" s="16">
        <v>387</v>
      </c>
      <c r="N6" s="16" t="s">
        <v>489</v>
      </c>
      <c r="O6" t="s">
        <v>491</v>
      </c>
      <c r="P6">
        <f>IFERROR(INDEX($A$2:$A$542,MATCH(ROWS($P$5:P6),$AD$2:$AD$542,0)),"")</f>
      </c>
      <c r="Q6">
        <f>IF($P6="","",INDEX($B$2:$B$542,MATCH(ROWS($P$5:P6),$AD$2:$AD$542,0)))</f>
      </c>
      <c r="R6">
        <f>IF($P6="","",INDEX($C$2:$C$542,MATCH(ROWS($P$5:P6),$AD$2:$AD$542,0)))</f>
      </c>
      <c r="S6">
        <f>IF($P6="","",INDEX($E$2:$E$542,MATCH(ROWS($P$5:P6),$AD$2:$AD$542,0)))</f>
      </c>
      <c r="T6" s="22">
        <f>IF($P6="","",IFERROR(IF(OR(INDEX($H$2:$H$542,MATCH(ROWS($P$5:P6),$AD$2:$AD$542,0))="",INDEX($H$2:$H$542,MATCH(ROWS($P$5:P6),$AD$2:$AD$542,0))="؟",INDEX($H$2:$H$542,MATCH(ROWS($P$5:P6),$AD$2:$AD$542,0))="نامشخص"),"",INDEX($H$2:$H$542,MATCH(ROWS($P$5:P6),$AD$2:$AD$542,0))),""))</f>
      </c>
      <c r="U6">
        <f>IF($P6="","",INDEX($L$2:$L$542,MATCH(ROWS($P$5:P6),$AD$2:$AD$542,0)))</f>
      </c>
      <c r="V6">
        <f>IF($P6="","",INDEX($M$2:$M$542,MATCH(ROWS($P$5:P6),$AD$2:$AD$542,0)))</f>
      </c>
      <c r="AD6">
        <f>IF(AND(LEN($Q$2)&gt;=3,ISNUMBER(SEARCH($Q$2,$B6))),MAX($AD$1:AD5)+1,"")</f>
      </c>
    </row>
    <row r="7" ht="14.4" customHeight="1" spans="1:30" x14ac:dyDescent="0.25">
      <c r="A7" s="16" t="s">
        <v>492</v>
      </c>
      <c r="B7" s="16" t="s">
        <v>493</v>
      </c>
      <c r="C7" s="16" t="s">
        <v>494</v>
      </c>
      <c r="D7" s="16" t="s">
        <v>476</v>
      </c>
      <c r="E7" s="16" t="s">
        <v>9</v>
      </c>
      <c r="F7" s="16" t="s">
        <v>9</v>
      </c>
      <c r="G7" s="17">
        <f t="shared" si="0"/>
        <v>250000</v>
      </c>
      <c r="H7" s="18">
        <v>250000</v>
      </c>
      <c r="I7" s="19">
        <v>3</v>
      </c>
      <c r="J7" s="18">
        <f t="shared" si="1"/>
        <v>260000</v>
      </c>
      <c r="K7" s="18" t="s">
        <v>477</v>
      </c>
      <c r="L7" s="16" t="str">
        <f t="shared" si="2"/>
        <v>فعال</v>
      </c>
      <c r="M7" s="16">
        <v>388</v>
      </c>
      <c r="N7" s="16" t="s">
        <v>492</v>
      </c>
      <c r="O7" t="s">
        <v>495</v>
      </c>
      <c r="P7">
        <f>IFERROR(INDEX($A$2:$A$542,MATCH(ROWS($P$5:P7),$AD$2:$AD$542,0)),"")</f>
      </c>
      <c r="Q7">
        <f>IF($P7="","",INDEX($B$2:$B$542,MATCH(ROWS($P$5:P7),$AD$2:$AD$542,0)))</f>
      </c>
      <c r="R7">
        <f>IF($P7="","",INDEX($C$2:$C$542,MATCH(ROWS($P$5:P7),$AD$2:$AD$542,0)))</f>
      </c>
      <c r="S7">
        <f>IF($P7="","",INDEX($E$2:$E$542,MATCH(ROWS($P$5:P7),$AD$2:$AD$542,0)))</f>
      </c>
      <c r="T7" s="22">
        <f>IF($P7="","",IFERROR(IF(OR(INDEX($H$2:$H$542,MATCH(ROWS($P$5:P7),$AD$2:$AD$542,0))="",INDEX($H$2:$H$542,MATCH(ROWS($P$5:P7),$AD$2:$AD$542,0))="؟",INDEX($H$2:$H$542,MATCH(ROWS($P$5:P7),$AD$2:$AD$542,0))="نامشخص"),"",INDEX($H$2:$H$542,MATCH(ROWS($P$5:P7),$AD$2:$AD$542,0))),""))</f>
      </c>
      <c r="U7">
        <f>IF($P7="","",INDEX($L$2:$L$542,MATCH(ROWS($P$5:P7),$AD$2:$AD$542,0)))</f>
      </c>
      <c r="V7">
        <f>IF($P7="","",INDEX($M$2:$M$542,MATCH(ROWS($P$5:P7),$AD$2:$AD$542,0)))</f>
      </c>
      <c r="AD7">
        <f>IF(AND(LEN($Q$2)&gt;=3,ISNUMBER(SEARCH($Q$2,$B7))),MAX($AD$1:AD6)+1,"")</f>
      </c>
    </row>
    <row r="8" ht="14.4" customHeight="1" spans="1:30" x14ac:dyDescent="0.25">
      <c r="A8" s="16" t="s">
        <v>496</v>
      </c>
      <c r="B8" s="16" t="s">
        <v>233</v>
      </c>
      <c r="C8" s="16" t="s">
        <v>497</v>
      </c>
      <c r="D8" s="16" t="s">
        <v>476</v>
      </c>
      <c r="E8" s="16" t="s">
        <v>9</v>
      </c>
      <c r="F8" s="16" t="s">
        <v>9</v>
      </c>
      <c r="G8" s="17">
        <f t="shared" si="0"/>
        <v>910000</v>
      </c>
      <c r="H8" s="18">
        <v>910000</v>
      </c>
      <c r="I8" s="19">
        <v>3</v>
      </c>
      <c r="J8" s="18">
        <f t="shared" si="1"/>
        <v>940000</v>
      </c>
      <c r="K8" s="18" t="s">
        <v>477</v>
      </c>
      <c r="L8" s="16" t="str">
        <f t="shared" si="2"/>
        <v>فعال</v>
      </c>
      <c r="M8" s="16">
        <v>211</v>
      </c>
      <c r="N8" s="16" t="s">
        <v>496</v>
      </c>
      <c r="O8" t="s">
        <v>498</v>
      </c>
      <c r="P8">
        <f>IFERROR(INDEX($A$2:$A$542,MATCH(ROWS($P$5:P8),$AD$2:$AD$542,0)),"")</f>
      </c>
      <c r="Q8">
        <f>IF($P8="","",INDEX($B$2:$B$542,MATCH(ROWS($P$5:P8),$AD$2:$AD$542,0)))</f>
      </c>
      <c r="R8">
        <f>IF($P8="","",INDEX($C$2:$C$542,MATCH(ROWS($P$5:P8),$AD$2:$AD$542,0)))</f>
      </c>
      <c r="S8">
        <f>IF($P8="","",INDEX($E$2:$E$542,MATCH(ROWS($P$5:P8),$AD$2:$AD$542,0)))</f>
      </c>
      <c r="T8" s="22">
        <f>IF($P8="","",IFERROR(IF(OR(INDEX($H$2:$H$542,MATCH(ROWS($P$5:P8),$AD$2:$AD$542,0))="",INDEX($H$2:$H$542,MATCH(ROWS($P$5:P8),$AD$2:$AD$542,0))="؟",INDEX($H$2:$H$542,MATCH(ROWS($P$5:P8),$AD$2:$AD$542,0))="نامشخص"),"",INDEX($H$2:$H$542,MATCH(ROWS($P$5:P8),$AD$2:$AD$542,0))),""))</f>
      </c>
      <c r="U8">
        <f>IF($P8="","",INDEX($L$2:$L$542,MATCH(ROWS($P$5:P8),$AD$2:$AD$542,0)))</f>
      </c>
      <c r="V8">
        <f>IF($P8="","",INDEX($M$2:$M$542,MATCH(ROWS($P$5:P8),$AD$2:$AD$542,0)))</f>
      </c>
      <c r="AD8">
        <f>IF(AND(LEN($Q$2)&gt;=3,ISNUMBER(SEARCH($Q$2,$B8))),MAX($AD$1:AD7)+1,"")</f>
      </c>
    </row>
    <row r="9" ht="14.4" customHeight="1" spans="1:30" x14ac:dyDescent="0.25">
      <c r="A9" s="16" t="s">
        <v>499</v>
      </c>
      <c r="B9" s="16" t="s">
        <v>13</v>
      </c>
      <c r="C9" s="16" t="s">
        <v>500</v>
      </c>
      <c r="D9" s="16" t="s">
        <v>501</v>
      </c>
      <c r="E9" s="16" t="s">
        <v>9</v>
      </c>
      <c r="F9" s="16" t="s">
        <v>9</v>
      </c>
      <c r="G9" s="17">
        <f t="shared" si="0"/>
        <v>600000</v>
      </c>
      <c r="H9" s="18">
        <v>600000</v>
      </c>
      <c r="I9" s="19">
        <v>2</v>
      </c>
      <c r="J9" s="18">
        <f t="shared" si="1"/>
        <v>620000</v>
      </c>
      <c r="K9" s="18" t="s">
        <v>477</v>
      </c>
      <c r="L9" s="16" t="str">
        <f t="shared" si="2"/>
        <v>فعال</v>
      </c>
      <c r="M9" s="16">
        <v>5</v>
      </c>
      <c r="N9" s="16" t="s">
        <v>499</v>
      </c>
      <c r="O9" t="s">
        <v>502</v>
      </c>
      <c r="P9">
        <f>IFERROR(INDEX($A$2:$A$542,MATCH(ROWS($P$5:P9),$AD$2:$AD$542,0)),"")</f>
      </c>
      <c r="Q9">
        <f>IF($P9="","",INDEX($B$2:$B$542,MATCH(ROWS($P$5:P9),$AD$2:$AD$542,0)))</f>
      </c>
      <c r="R9">
        <f>IF($P9="","",INDEX($C$2:$C$542,MATCH(ROWS($P$5:P9),$AD$2:$AD$542,0)))</f>
      </c>
      <c r="S9">
        <f>IF($P9="","",INDEX($E$2:$E$542,MATCH(ROWS($P$5:P9),$AD$2:$AD$542,0)))</f>
      </c>
      <c r="T9" s="22">
        <f>IF($P9="","",IFERROR(IF(OR(INDEX($H$2:$H$542,MATCH(ROWS($P$5:P9),$AD$2:$AD$542,0))="",INDEX($H$2:$H$542,MATCH(ROWS($P$5:P9),$AD$2:$AD$542,0))="؟",INDEX($H$2:$H$542,MATCH(ROWS($P$5:P9),$AD$2:$AD$542,0))="نامشخص"),"",INDEX($H$2:$H$542,MATCH(ROWS($P$5:P9),$AD$2:$AD$542,0))),""))</f>
      </c>
      <c r="U9">
        <f>IF($P9="","",INDEX($L$2:$L$542,MATCH(ROWS($P$5:P9),$AD$2:$AD$542,0)))</f>
      </c>
      <c r="V9">
        <f>IF($P9="","",INDEX($M$2:$M$542,MATCH(ROWS($P$5:P9),$AD$2:$AD$542,0)))</f>
      </c>
      <c r="AD9">
        <f>IF(AND(LEN($Q$2)&gt;=3,ISNUMBER(SEARCH($Q$2,$B9))),MAX($AD$1:AD8)+1,"")</f>
      </c>
    </row>
    <row r="10" ht="14.4" customHeight="1" spans="1:30" x14ac:dyDescent="0.25">
      <c r="A10" s="16" t="s">
        <v>503</v>
      </c>
      <c r="B10" s="16" t="s">
        <v>14</v>
      </c>
      <c r="C10" s="16" t="s">
        <v>504</v>
      </c>
      <c r="D10" s="16" t="s">
        <v>501</v>
      </c>
      <c r="E10" s="16" t="s">
        <v>9</v>
      </c>
      <c r="F10" s="16" t="s">
        <v>9</v>
      </c>
      <c r="G10" s="17">
        <f t="shared" si="0"/>
        <v>1150000</v>
      </c>
      <c r="H10" s="18">
        <v>1150000</v>
      </c>
      <c r="I10" s="19">
        <v>2</v>
      </c>
      <c r="J10" s="18">
        <f t="shared" si="1"/>
        <v>1180000</v>
      </c>
      <c r="K10" s="18" t="s">
        <v>477</v>
      </c>
      <c r="L10" s="16" t="str">
        <f t="shared" si="2"/>
        <v>فعال</v>
      </c>
      <c r="M10" s="16">
        <v>6</v>
      </c>
      <c r="N10" s="16" t="s">
        <v>503</v>
      </c>
      <c r="O10" t="s">
        <v>505</v>
      </c>
      <c r="P10">
        <f>IFERROR(INDEX($A$2:$A$542,MATCH(ROWS($P$5:P10),$AD$2:$AD$542,0)),"")</f>
      </c>
      <c r="Q10">
        <f>IF($P10="","",INDEX($B$2:$B$542,MATCH(ROWS($P$5:P10),$AD$2:$AD$542,0)))</f>
      </c>
      <c r="R10">
        <f>IF($P10="","",INDEX($C$2:$C$542,MATCH(ROWS($P$5:P10),$AD$2:$AD$542,0)))</f>
      </c>
      <c r="S10">
        <f>IF($P10="","",INDEX($E$2:$E$542,MATCH(ROWS($P$5:P10),$AD$2:$AD$542,0)))</f>
      </c>
      <c r="T10" s="22">
        <f>IF($P10="","",IFERROR(IF(OR(INDEX($H$2:$H$542,MATCH(ROWS($P$5:P10),$AD$2:$AD$542,0))="",INDEX($H$2:$H$542,MATCH(ROWS($P$5:P10),$AD$2:$AD$542,0))="؟",INDEX($H$2:$H$542,MATCH(ROWS($P$5:P10),$AD$2:$AD$542,0))="نامشخص"),"",INDEX($H$2:$H$542,MATCH(ROWS($P$5:P10),$AD$2:$AD$542,0))),""))</f>
      </c>
      <c r="U10">
        <f>IF($P10="","",INDEX($L$2:$L$542,MATCH(ROWS($P$5:P10),$AD$2:$AD$542,0)))</f>
      </c>
      <c r="V10">
        <f>IF($P10="","",INDEX($M$2:$M$542,MATCH(ROWS($P$5:P10),$AD$2:$AD$542,0)))</f>
      </c>
      <c r="AD10">
        <f>IF(AND(LEN($Q$2)&gt;=3,ISNUMBER(SEARCH($Q$2,$B10))),MAX($AD$1:AD9)+1,"")</f>
      </c>
    </row>
    <row r="11" ht="14.4" customHeight="1" spans="1:30" x14ac:dyDescent="0.25">
      <c r="A11" s="16" t="s">
        <v>506</v>
      </c>
      <c r="B11" s="16" t="s">
        <v>15</v>
      </c>
      <c r="C11" s="16" t="s">
        <v>507</v>
      </c>
      <c r="D11" s="16" t="s">
        <v>501</v>
      </c>
      <c r="E11" s="16" t="s">
        <v>9</v>
      </c>
      <c r="F11" s="16" t="s">
        <v>9</v>
      </c>
      <c r="G11" s="17">
        <f t="shared" si="0"/>
        <v>700000</v>
      </c>
      <c r="H11" s="18">
        <v>700000</v>
      </c>
      <c r="I11" s="19">
        <v>2</v>
      </c>
      <c r="J11" s="18">
        <f t="shared" si="1"/>
        <v>720000</v>
      </c>
      <c r="K11" s="18" t="s">
        <v>477</v>
      </c>
      <c r="L11" s="16" t="str">
        <f t="shared" si="2"/>
        <v>فعال</v>
      </c>
      <c r="M11" s="16">
        <v>7</v>
      </c>
      <c r="N11" s="16" t="s">
        <v>506</v>
      </c>
      <c r="O11" t="s">
        <v>508</v>
      </c>
      <c r="P11">
        <f>IFERROR(INDEX($A$2:$A$542,MATCH(ROWS($P$5:P11),$AD$2:$AD$542,0)),"")</f>
      </c>
      <c r="Q11">
        <f>IF($P11="","",INDEX($B$2:$B$542,MATCH(ROWS($P$5:P11),$AD$2:$AD$542,0)))</f>
      </c>
      <c r="R11">
        <f>IF($P11="","",INDEX($C$2:$C$542,MATCH(ROWS($P$5:P11),$AD$2:$AD$542,0)))</f>
      </c>
      <c r="S11">
        <f>IF($P11="","",INDEX($E$2:$E$542,MATCH(ROWS($P$5:P11),$AD$2:$AD$542,0)))</f>
      </c>
      <c r="T11" s="22">
        <f>IF($P11="","",IFERROR(IF(OR(INDEX($H$2:$H$542,MATCH(ROWS($P$5:P11),$AD$2:$AD$542,0))="",INDEX($H$2:$H$542,MATCH(ROWS($P$5:P11),$AD$2:$AD$542,0))="؟",INDEX($H$2:$H$542,MATCH(ROWS($P$5:P11),$AD$2:$AD$542,0))="نامشخص"),"",INDEX($H$2:$H$542,MATCH(ROWS($P$5:P11),$AD$2:$AD$542,0))),""))</f>
      </c>
      <c r="U11">
        <f>IF($P11="","",INDEX($L$2:$L$542,MATCH(ROWS($P$5:P11),$AD$2:$AD$542,0)))</f>
      </c>
      <c r="V11">
        <f>IF($P11="","",INDEX($M$2:$M$542,MATCH(ROWS($P$5:P11),$AD$2:$AD$542,0)))</f>
      </c>
      <c r="AD11">
        <f>IF(AND(LEN($Q$2)&gt;=3,ISNUMBER(SEARCH($Q$2,$B11))),MAX($AD$1:AD10)+1,"")</f>
      </c>
    </row>
    <row r="12" ht="14.4" customHeight="1" spans="1:30" x14ac:dyDescent="0.25">
      <c r="A12" s="16" t="s">
        <v>509</v>
      </c>
      <c r="B12" s="16" t="s">
        <v>19</v>
      </c>
      <c r="C12" s="16" t="s">
        <v>510</v>
      </c>
      <c r="D12" s="16" t="s">
        <v>501</v>
      </c>
      <c r="E12" s="16" t="s">
        <v>9</v>
      </c>
      <c r="F12" s="16" t="s">
        <v>9</v>
      </c>
      <c r="G12" s="17">
        <f t="shared" si="0"/>
        <v>850000</v>
      </c>
      <c r="H12" s="18">
        <v>850000</v>
      </c>
      <c r="I12" s="19">
        <v>1</v>
      </c>
      <c r="J12" s="18">
        <f t="shared" si="1"/>
        <v>860000</v>
      </c>
      <c r="K12" s="18" t="s">
        <v>477</v>
      </c>
      <c r="L12" s="16" t="str">
        <f t="shared" si="2"/>
        <v>فعال</v>
      </c>
      <c r="M12" s="16">
        <v>11</v>
      </c>
      <c r="N12" s="16" t="s">
        <v>509</v>
      </c>
      <c r="O12" t="s">
        <v>511</v>
      </c>
      <c r="P12">
        <f>IFERROR(INDEX($A$2:$A$542,MATCH(ROWS($P$5:P12),$AD$2:$AD$542,0)),"")</f>
      </c>
      <c r="Q12">
        <f>IF($P12="","",INDEX($B$2:$B$542,MATCH(ROWS($P$5:P12),$AD$2:$AD$542,0)))</f>
      </c>
      <c r="R12">
        <f>IF($P12="","",INDEX($C$2:$C$542,MATCH(ROWS($P$5:P12),$AD$2:$AD$542,0)))</f>
      </c>
      <c r="S12">
        <f>IF($P12="","",INDEX($E$2:$E$542,MATCH(ROWS($P$5:P12),$AD$2:$AD$542,0)))</f>
      </c>
      <c r="T12" s="22">
        <f>IF($P12="","",IFERROR(IF(OR(INDEX($H$2:$H$542,MATCH(ROWS($P$5:P12),$AD$2:$AD$542,0))="",INDEX($H$2:$H$542,MATCH(ROWS($P$5:P12),$AD$2:$AD$542,0))="؟",INDEX($H$2:$H$542,MATCH(ROWS($P$5:P12),$AD$2:$AD$542,0))="نامشخص"),"",INDEX($H$2:$H$542,MATCH(ROWS($P$5:P12),$AD$2:$AD$542,0))),""))</f>
      </c>
      <c r="U12">
        <f>IF($P12="","",INDEX($L$2:$L$542,MATCH(ROWS($P$5:P12),$AD$2:$AD$542,0)))</f>
      </c>
      <c r="V12">
        <f>IF($P12="","",INDEX($M$2:$M$542,MATCH(ROWS($P$5:P12),$AD$2:$AD$542,0)))</f>
      </c>
      <c r="AD12">
        <f>IF(AND(LEN($Q$2)&gt;=3,ISNUMBER(SEARCH($Q$2,$B12))),MAX($AD$1:AD11)+1,"")</f>
      </c>
    </row>
    <row r="13" ht="14.4" customHeight="1" spans="1:30" x14ac:dyDescent="0.25">
      <c r="A13" s="16" t="s">
        <v>512</v>
      </c>
      <c r="B13" s="16" t="s">
        <v>20</v>
      </c>
      <c r="C13" s="16" t="s">
        <v>513</v>
      </c>
      <c r="D13" s="16" t="s">
        <v>501</v>
      </c>
      <c r="E13" s="16" t="s">
        <v>9</v>
      </c>
      <c r="F13" s="16" t="s">
        <v>9</v>
      </c>
      <c r="G13" s="17">
        <f t="shared" si="0"/>
        <v>750000</v>
      </c>
      <c r="H13" s="18">
        <v>750000</v>
      </c>
      <c r="I13" s="19">
        <v>3</v>
      </c>
      <c r="J13" s="18">
        <f t="shared" si="1"/>
        <v>780000</v>
      </c>
      <c r="K13" s="18" t="s">
        <v>477</v>
      </c>
      <c r="L13" s="16" t="str">
        <f t="shared" si="2"/>
        <v>فعال</v>
      </c>
      <c r="M13" s="16">
        <v>12</v>
      </c>
      <c r="N13" s="16" t="s">
        <v>512</v>
      </c>
      <c r="O13" t="s">
        <v>514</v>
      </c>
      <c r="P13">
        <f>IFERROR(INDEX($A$2:$A$542,MATCH(ROWS($P$5:P13),$AD$2:$AD$542,0)),"")</f>
      </c>
      <c r="Q13">
        <f>IF($P13="","",INDEX($B$2:$B$542,MATCH(ROWS($P$5:P13),$AD$2:$AD$542,0)))</f>
      </c>
      <c r="R13">
        <f>IF($P13="","",INDEX($C$2:$C$542,MATCH(ROWS($P$5:P13),$AD$2:$AD$542,0)))</f>
      </c>
      <c r="S13">
        <f>IF($P13="","",INDEX($E$2:$E$542,MATCH(ROWS($P$5:P13),$AD$2:$AD$542,0)))</f>
      </c>
      <c r="T13" s="22">
        <f>IF($P13="","",IFERROR(IF(OR(INDEX($H$2:$H$542,MATCH(ROWS($P$5:P13),$AD$2:$AD$542,0))="",INDEX($H$2:$H$542,MATCH(ROWS($P$5:P13),$AD$2:$AD$542,0))="؟",INDEX($H$2:$H$542,MATCH(ROWS($P$5:P13),$AD$2:$AD$542,0))="نامشخص"),"",INDEX($H$2:$H$542,MATCH(ROWS($P$5:P13),$AD$2:$AD$542,0))),""))</f>
      </c>
      <c r="U13">
        <f>IF($P13="","",INDEX($L$2:$L$542,MATCH(ROWS($P$5:P13),$AD$2:$AD$542,0)))</f>
      </c>
      <c r="V13">
        <f>IF($P13="","",INDEX($M$2:$M$542,MATCH(ROWS($P$5:P13),$AD$2:$AD$542,0)))</f>
      </c>
      <c r="AD13">
        <f>IF(AND(LEN($Q$2)&gt;=3,ISNUMBER(SEARCH($Q$2,$B13))),MAX($AD$1:AD12)+1,"")</f>
      </c>
    </row>
    <row r="14" ht="14.4" customHeight="1" spans="1:30" x14ac:dyDescent="0.25">
      <c r="A14" s="16" t="s">
        <v>515</v>
      </c>
      <c r="B14" s="16" t="s">
        <v>22</v>
      </c>
      <c r="C14" s="16" t="s">
        <v>516</v>
      </c>
      <c r="D14" s="16" t="s">
        <v>501</v>
      </c>
      <c r="E14" s="16" t="s">
        <v>9</v>
      </c>
      <c r="F14" s="16" t="s">
        <v>9</v>
      </c>
      <c r="G14" s="17">
        <f t="shared" si="0"/>
        <v>1100000</v>
      </c>
      <c r="H14" s="18">
        <v>1100000</v>
      </c>
      <c r="I14" s="19">
        <v>3</v>
      </c>
      <c r="J14" s="18">
        <f t="shared" si="1"/>
        <v>1140000</v>
      </c>
      <c r="K14" s="18" t="s">
        <v>477</v>
      </c>
      <c r="L14" s="16" t="str">
        <f t="shared" si="2"/>
        <v>فعال</v>
      </c>
      <c r="M14" s="16">
        <v>14</v>
      </c>
      <c r="N14" s="16" t="s">
        <v>515</v>
      </c>
      <c r="O14" t="s">
        <v>517</v>
      </c>
      <c r="P14">
        <f>IFERROR(INDEX($A$2:$A$542,MATCH(ROWS($P$5:P14),$AD$2:$AD$542,0)),"")</f>
      </c>
      <c r="Q14">
        <f>IF($P14="","",INDEX($B$2:$B$542,MATCH(ROWS($P$5:P14),$AD$2:$AD$542,0)))</f>
      </c>
      <c r="R14">
        <f>IF($P14="","",INDEX($C$2:$C$542,MATCH(ROWS($P$5:P14),$AD$2:$AD$542,0)))</f>
      </c>
      <c r="S14">
        <f>IF($P14="","",INDEX($E$2:$E$542,MATCH(ROWS($P$5:P14),$AD$2:$AD$542,0)))</f>
      </c>
      <c r="T14" s="22">
        <f>IF($P14="","",IFERROR(IF(OR(INDEX($H$2:$H$542,MATCH(ROWS($P$5:P14),$AD$2:$AD$542,0))="",INDEX($H$2:$H$542,MATCH(ROWS($P$5:P14),$AD$2:$AD$542,0))="؟",INDEX($H$2:$H$542,MATCH(ROWS($P$5:P14),$AD$2:$AD$542,0))="نامشخص"),"",INDEX($H$2:$H$542,MATCH(ROWS($P$5:P14),$AD$2:$AD$542,0))),""))</f>
      </c>
      <c r="U14">
        <f>IF($P14="","",INDEX($L$2:$L$542,MATCH(ROWS($P$5:P14),$AD$2:$AD$542,0)))</f>
      </c>
      <c r="V14">
        <f>IF($P14="","",INDEX($M$2:$M$542,MATCH(ROWS($P$5:P14),$AD$2:$AD$542,0)))</f>
      </c>
      <c r="AD14">
        <f>IF(AND(LEN($Q$2)&gt;=3,ISNUMBER(SEARCH($Q$2,$B14))),MAX($AD$1:AD13)+1,"")</f>
      </c>
    </row>
    <row r="15" ht="14.4" customHeight="1" spans="1:30" x14ac:dyDescent="0.25">
      <c r="A15" s="16" t="s">
        <v>518</v>
      </c>
      <c r="B15" s="16" t="s">
        <v>23</v>
      </c>
      <c r="C15" s="16" t="s">
        <v>519</v>
      </c>
      <c r="D15" s="16" t="s">
        <v>501</v>
      </c>
      <c r="E15" s="16" t="s">
        <v>9</v>
      </c>
      <c r="F15" s="16" t="s">
        <v>9</v>
      </c>
      <c r="G15" s="17">
        <f t="shared" si="0"/>
        <v>800000</v>
      </c>
      <c r="H15" s="18">
        <v>800000</v>
      </c>
      <c r="I15" s="19">
        <v>3</v>
      </c>
      <c r="J15" s="18">
        <f t="shared" si="1"/>
        <v>830000</v>
      </c>
      <c r="K15" s="18" t="s">
        <v>477</v>
      </c>
      <c r="L15" s="16" t="str">
        <f t="shared" si="2"/>
        <v>فعال</v>
      </c>
      <c r="M15" s="16">
        <v>15</v>
      </c>
      <c r="N15" s="16" t="s">
        <v>518</v>
      </c>
      <c r="O15" t="s">
        <v>520</v>
      </c>
      <c r="P15">
        <f>IFERROR(INDEX($A$2:$A$542,MATCH(ROWS($P$5:P15),$AD$2:$AD$542,0)),"")</f>
      </c>
      <c r="Q15">
        <f>IF($P15="","",INDEX($B$2:$B$542,MATCH(ROWS($P$5:P15),$AD$2:$AD$542,0)))</f>
      </c>
      <c r="R15">
        <f>IF($P15="","",INDEX($C$2:$C$542,MATCH(ROWS($P$5:P15),$AD$2:$AD$542,0)))</f>
      </c>
      <c r="S15">
        <f>IF($P15="","",INDEX($E$2:$E$542,MATCH(ROWS($P$5:P15),$AD$2:$AD$542,0)))</f>
      </c>
      <c r="T15" s="22">
        <f>IF($P15="","",IFERROR(IF(OR(INDEX($H$2:$H$542,MATCH(ROWS($P$5:P15),$AD$2:$AD$542,0))="",INDEX($H$2:$H$542,MATCH(ROWS($P$5:P15),$AD$2:$AD$542,0))="؟",INDEX($H$2:$H$542,MATCH(ROWS($P$5:P15),$AD$2:$AD$542,0))="نامشخص"),"",INDEX($H$2:$H$542,MATCH(ROWS($P$5:P15),$AD$2:$AD$542,0))),""))</f>
      </c>
      <c r="U15">
        <f>IF($P15="","",INDEX($L$2:$L$542,MATCH(ROWS($P$5:P15),$AD$2:$AD$542,0)))</f>
      </c>
      <c r="V15">
        <f>IF($P15="","",INDEX($M$2:$M$542,MATCH(ROWS($P$5:P15),$AD$2:$AD$542,0)))</f>
      </c>
      <c r="AD15">
        <f>IF(AND(LEN($Q$2)&gt;=3,ISNUMBER(SEARCH($Q$2,$B15))),MAX($AD$1:AD14)+1,"")</f>
      </c>
    </row>
    <row r="16" ht="14.4" customHeight="1" spans="1:30" x14ac:dyDescent="0.25">
      <c r="A16" s="16" t="s">
        <v>521</v>
      </c>
      <c r="B16" s="16" t="s">
        <v>24</v>
      </c>
      <c r="C16" s="16" t="s">
        <v>522</v>
      </c>
      <c r="D16" s="16" t="s">
        <v>501</v>
      </c>
      <c r="E16" s="16" t="s">
        <v>9</v>
      </c>
      <c r="F16" s="16" t="s">
        <v>9</v>
      </c>
      <c r="G16" s="17">
        <f t="shared" si="0"/>
        <v>850000</v>
      </c>
      <c r="H16" s="18">
        <v>850000</v>
      </c>
      <c r="I16" s="19">
        <v>2</v>
      </c>
      <c r="J16" s="18">
        <f t="shared" si="1"/>
        <v>870000</v>
      </c>
      <c r="K16" s="18" t="s">
        <v>477</v>
      </c>
      <c r="L16" s="16" t="str">
        <f t="shared" si="2"/>
        <v>فعال</v>
      </c>
      <c r="M16" s="16">
        <v>16</v>
      </c>
      <c r="N16" s="16" t="s">
        <v>521</v>
      </c>
      <c r="O16" t="s">
        <v>523</v>
      </c>
      <c r="P16">
        <f>IFERROR(INDEX($A$2:$A$542,MATCH(ROWS($P$5:P16),$AD$2:$AD$542,0)),"")</f>
      </c>
      <c r="Q16">
        <f>IF($P16="","",INDEX($B$2:$B$542,MATCH(ROWS($P$5:P16),$AD$2:$AD$542,0)))</f>
      </c>
      <c r="R16">
        <f>IF($P16="","",INDEX($C$2:$C$542,MATCH(ROWS($P$5:P16),$AD$2:$AD$542,0)))</f>
      </c>
      <c r="S16">
        <f>IF($P16="","",INDEX($E$2:$E$542,MATCH(ROWS($P$5:P16),$AD$2:$AD$542,0)))</f>
      </c>
      <c r="T16" s="22">
        <f>IF($P16="","",IFERROR(IF(OR(INDEX($H$2:$H$542,MATCH(ROWS($P$5:P16),$AD$2:$AD$542,0))="",INDEX($H$2:$H$542,MATCH(ROWS($P$5:P16),$AD$2:$AD$542,0))="؟",INDEX($H$2:$H$542,MATCH(ROWS($P$5:P16),$AD$2:$AD$542,0))="نامشخص"),"",INDEX($H$2:$H$542,MATCH(ROWS($P$5:P16),$AD$2:$AD$542,0))),""))</f>
      </c>
      <c r="U16">
        <f>IF($P16="","",INDEX($L$2:$L$542,MATCH(ROWS($P$5:P16),$AD$2:$AD$542,0)))</f>
      </c>
      <c r="V16">
        <f>IF($P16="","",INDEX($M$2:$M$542,MATCH(ROWS($P$5:P16),$AD$2:$AD$542,0)))</f>
      </c>
      <c r="AD16">
        <f>IF(AND(LEN($Q$2)&gt;=3,ISNUMBER(SEARCH($Q$2,$B16))),MAX($AD$1:AD15)+1,"")</f>
      </c>
    </row>
    <row r="17" ht="14.4" customHeight="1" spans="1:30" x14ac:dyDescent="0.25">
      <c r="A17" s="16" t="s">
        <v>524</v>
      </c>
      <c r="B17" s="16" t="s">
        <v>25</v>
      </c>
      <c r="C17" s="16" t="s">
        <v>525</v>
      </c>
      <c r="D17" s="16" t="s">
        <v>501</v>
      </c>
      <c r="E17" s="16" t="s">
        <v>9</v>
      </c>
      <c r="F17" s="16" t="s">
        <v>9</v>
      </c>
      <c r="G17" s="17">
        <f t="shared" si="0"/>
        <v>1100000</v>
      </c>
      <c r="H17" s="18">
        <v>1100000</v>
      </c>
      <c r="I17" s="19">
        <v>3</v>
      </c>
      <c r="J17" s="18">
        <f t="shared" si="1"/>
        <v>1140000</v>
      </c>
      <c r="K17" s="18" t="s">
        <v>477</v>
      </c>
      <c r="L17" s="16" t="str">
        <f t="shared" si="2"/>
        <v>فعال</v>
      </c>
      <c r="M17" s="16">
        <v>17</v>
      </c>
      <c r="N17" s="16" t="s">
        <v>524</v>
      </c>
      <c r="O17" t="s">
        <v>526</v>
      </c>
      <c r="P17">
        <f>IFERROR(INDEX($A$2:$A$542,MATCH(ROWS($P$5:P17),$AD$2:$AD$542,0)),"")</f>
      </c>
      <c r="Q17">
        <f>IF($P17="","",INDEX($B$2:$B$542,MATCH(ROWS($P$5:P17),$AD$2:$AD$542,0)))</f>
      </c>
      <c r="R17">
        <f>IF($P17="","",INDEX($C$2:$C$542,MATCH(ROWS($P$5:P17),$AD$2:$AD$542,0)))</f>
      </c>
      <c r="S17">
        <f>IF($P17="","",INDEX($E$2:$E$542,MATCH(ROWS($P$5:P17),$AD$2:$AD$542,0)))</f>
      </c>
      <c r="T17" s="22">
        <f>IF($P17="","",IFERROR(IF(OR(INDEX($H$2:$H$542,MATCH(ROWS($P$5:P17),$AD$2:$AD$542,0))="",INDEX($H$2:$H$542,MATCH(ROWS($P$5:P17),$AD$2:$AD$542,0))="؟",INDEX($H$2:$H$542,MATCH(ROWS($P$5:P17),$AD$2:$AD$542,0))="نامشخص"),"",INDEX($H$2:$H$542,MATCH(ROWS($P$5:P17),$AD$2:$AD$542,0))),""))</f>
      </c>
      <c r="U17">
        <f>IF($P17="","",INDEX($L$2:$L$542,MATCH(ROWS($P$5:P17),$AD$2:$AD$542,0)))</f>
      </c>
      <c r="V17">
        <f>IF($P17="","",INDEX($M$2:$M$542,MATCH(ROWS($P$5:P17),$AD$2:$AD$542,0)))</f>
      </c>
      <c r="AD17">
        <f>IF(AND(LEN($Q$2)&gt;=3,ISNUMBER(SEARCH($Q$2,$B17))),MAX($AD$1:AD16)+1,"")</f>
      </c>
    </row>
    <row r="18" ht="14.4" customHeight="1" spans="1:30" x14ac:dyDescent="0.25">
      <c r="A18" s="16" t="s">
        <v>527</v>
      </c>
      <c r="B18" s="16" t="s">
        <v>26</v>
      </c>
      <c r="C18" s="16" t="s">
        <v>528</v>
      </c>
      <c r="D18" s="16" t="s">
        <v>501</v>
      </c>
      <c r="E18" s="16" t="s">
        <v>9</v>
      </c>
      <c r="F18" s="16" t="s">
        <v>9</v>
      </c>
      <c r="G18" s="17">
        <f t="shared" si="0"/>
        <v>800000</v>
      </c>
      <c r="H18" s="18">
        <v>800000</v>
      </c>
      <c r="I18" s="19">
        <v>1</v>
      </c>
      <c r="J18" s="18">
        <f t="shared" si="1"/>
        <v>810000</v>
      </c>
      <c r="K18" s="18" t="s">
        <v>477</v>
      </c>
      <c r="L18" s="16" t="str">
        <f t="shared" si="2"/>
        <v>فعال</v>
      </c>
      <c r="M18" s="16">
        <v>18</v>
      </c>
      <c r="N18" s="16" t="s">
        <v>527</v>
      </c>
      <c r="O18" t="s">
        <v>529</v>
      </c>
      <c r="P18">
        <f>IFERROR(INDEX($A$2:$A$542,MATCH(ROWS($P$5:P18),$AD$2:$AD$542,0)),"")</f>
      </c>
      <c r="Q18">
        <f>IF($P18="","",INDEX($B$2:$B$542,MATCH(ROWS($P$5:P18),$AD$2:$AD$542,0)))</f>
      </c>
      <c r="R18">
        <f>IF($P18="","",INDEX($C$2:$C$542,MATCH(ROWS($P$5:P18),$AD$2:$AD$542,0)))</f>
      </c>
      <c r="S18">
        <f>IF($P18="","",INDEX($E$2:$E$542,MATCH(ROWS($P$5:P18),$AD$2:$AD$542,0)))</f>
      </c>
      <c r="T18" s="22">
        <f>IF($P18="","",IFERROR(IF(OR(INDEX($H$2:$H$542,MATCH(ROWS($P$5:P18),$AD$2:$AD$542,0))="",INDEX($H$2:$H$542,MATCH(ROWS($P$5:P18),$AD$2:$AD$542,0))="؟",INDEX($H$2:$H$542,MATCH(ROWS($P$5:P18),$AD$2:$AD$542,0))="نامشخص"),"",INDEX($H$2:$H$542,MATCH(ROWS($P$5:P18),$AD$2:$AD$542,0))),""))</f>
      </c>
      <c r="U18">
        <f>IF($P18="","",INDEX($L$2:$L$542,MATCH(ROWS($P$5:P18),$AD$2:$AD$542,0)))</f>
      </c>
      <c r="V18">
        <f>IF($P18="","",INDEX($M$2:$M$542,MATCH(ROWS($P$5:P18),$AD$2:$AD$542,0)))</f>
      </c>
      <c r="AD18">
        <f>IF(AND(LEN($Q$2)&gt;=3,ISNUMBER(SEARCH($Q$2,$B18))),MAX($AD$1:AD17)+1,"")</f>
      </c>
    </row>
    <row r="19" ht="14.4" customHeight="1" spans="1:30" x14ac:dyDescent="0.25">
      <c r="A19" s="16" t="s">
        <v>530</v>
      </c>
      <c r="B19" s="16" t="s">
        <v>27</v>
      </c>
      <c r="C19" s="16" t="s">
        <v>531</v>
      </c>
      <c r="D19" s="16" t="s">
        <v>501</v>
      </c>
      <c r="E19" s="16" t="s">
        <v>9</v>
      </c>
      <c r="F19" s="16" t="s">
        <v>9</v>
      </c>
      <c r="G19" s="17">
        <f t="shared" si="0"/>
        <v>190000</v>
      </c>
      <c r="H19" s="18">
        <v>190000</v>
      </c>
      <c r="I19" s="19">
        <v>1</v>
      </c>
      <c r="J19" s="18">
        <f t="shared" si="1"/>
        <v>200000</v>
      </c>
      <c r="K19" s="18" t="s">
        <v>477</v>
      </c>
      <c r="L19" s="16" t="str">
        <f t="shared" si="2"/>
        <v>فعال</v>
      </c>
      <c r="M19" s="16">
        <v>19</v>
      </c>
      <c r="N19" s="16" t="s">
        <v>530</v>
      </c>
      <c r="O19" t="s">
        <v>532</v>
      </c>
      <c r="P19">
        <f>IFERROR(INDEX($A$2:$A$542,MATCH(ROWS($P$5:P19),$AD$2:$AD$542,0)),"")</f>
      </c>
      <c r="Q19">
        <f>IF($P19="","",INDEX($B$2:$B$542,MATCH(ROWS($P$5:P19),$AD$2:$AD$542,0)))</f>
      </c>
      <c r="R19">
        <f>IF($P19="","",INDEX($C$2:$C$542,MATCH(ROWS($P$5:P19),$AD$2:$AD$542,0)))</f>
      </c>
      <c r="S19">
        <f>IF($P19="","",INDEX($E$2:$E$542,MATCH(ROWS($P$5:P19),$AD$2:$AD$542,0)))</f>
      </c>
      <c r="T19" s="22">
        <f>IF($P19="","",IFERROR(IF(OR(INDEX($H$2:$H$542,MATCH(ROWS($P$5:P19),$AD$2:$AD$542,0))="",INDEX($H$2:$H$542,MATCH(ROWS($P$5:P19),$AD$2:$AD$542,0))="؟",INDEX($H$2:$H$542,MATCH(ROWS($P$5:P19),$AD$2:$AD$542,0))="نامشخص"),"",INDEX($H$2:$H$542,MATCH(ROWS($P$5:P19),$AD$2:$AD$542,0))),""))</f>
      </c>
      <c r="U19">
        <f>IF($P19="","",INDEX($L$2:$L$542,MATCH(ROWS($P$5:P19),$AD$2:$AD$542,0)))</f>
      </c>
      <c r="V19">
        <f>IF($P19="","",INDEX($M$2:$M$542,MATCH(ROWS($P$5:P19),$AD$2:$AD$542,0)))</f>
      </c>
      <c r="AD19">
        <f>IF(AND(LEN($Q$2)&gt;=3,ISNUMBER(SEARCH($Q$2,$B19))),MAX($AD$1:AD18)+1,"")</f>
      </c>
    </row>
    <row r="20" ht="14.4" customHeight="1" spans="1:30" x14ac:dyDescent="0.25">
      <c r="A20" s="16" t="s">
        <v>533</v>
      </c>
      <c r="B20" s="16" t="s">
        <v>28</v>
      </c>
      <c r="C20" s="16" t="s">
        <v>534</v>
      </c>
      <c r="D20" s="16" t="s">
        <v>501</v>
      </c>
      <c r="E20" s="16" t="s">
        <v>9</v>
      </c>
      <c r="F20" s="16" t="s">
        <v>9</v>
      </c>
      <c r="G20" s="17">
        <f t="shared" si="0"/>
        <v>900000</v>
      </c>
      <c r="H20" s="18">
        <v>900000</v>
      </c>
      <c r="I20" s="19">
        <v>2</v>
      </c>
      <c r="J20" s="18">
        <f t="shared" si="1"/>
        <v>920000</v>
      </c>
      <c r="K20" s="18" t="s">
        <v>477</v>
      </c>
      <c r="L20" s="16" t="str">
        <f t="shared" si="2"/>
        <v>فعال</v>
      </c>
      <c r="M20" s="16">
        <v>20</v>
      </c>
      <c r="N20" s="16" t="s">
        <v>533</v>
      </c>
      <c r="O20" t="s">
        <v>535</v>
      </c>
      <c r="P20">
        <f>IFERROR(INDEX($A$2:$A$542,MATCH(ROWS($P$5:P20),$AD$2:$AD$542,0)),"")</f>
      </c>
      <c r="Q20">
        <f>IF($P20="","",INDEX($B$2:$B$542,MATCH(ROWS($P$5:P20),$AD$2:$AD$542,0)))</f>
      </c>
      <c r="R20">
        <f>IF($P20="","",INDEX($C$2:$C$542,MATCH(ROWS($P$5:P20),$AD$2:$AD$542,0)))</f>
      </c>
      <c r="S20">
        <f>IF($P20="","",INDEX($E$2:$E$542,MATCH(ROWS($P$5:P20),$AD$2:$AD$542,0)))</f>
      </c>
      <c r="T20" s="22">
        <f>IF($P20="","",IFERROR(IF(OR(INDEX($H$2:$H$542,MATCH(ROWS($P$5:P20),$AD$2:$AD$542,0))="",INDEX($H$2:$H$542,MATCH(ROWS($P$5:P20),$AD$2:$AD$542,0))="؟",INDEX($H$2:$H$542,MATCH(ROWS($P$5:P20),$AD$2:$AD$542,0))="نامشخص"),"",INDEX($H$2:$H$542,MATCH(ROWS($P$5:P20),$AD$2:$AD$542,0))),""))</f>
      </c>
      <c r="U20">
        <f>IF($P20="","",INDEX($L$2:$L$542,MATCH(ROWS($P$5:P20),$AD$2:$AD$542,0)))</f>
      </c>
      <c r="V20">
        <f>IF($P20="","",INDEX($M$2:$M$542,MATCH(ROWS($P$5:P20),$AD$2:$AD$542,0)))</f>
      </c>
      <c r="AD20">
        <f>IF(AND(LEN($Q$2)&gt;=3,ISNUMBER(SEARCH($Q$2,$B20))),MAX($AD$1:AD19)+1,"")</f>
      </c>
    </row>
    <row r="21" ht="14.4" customHeight="1" spans="1:30" x14ac:dyDescent="0.25">
      <c r="A21" s="16" t="s">
        <v>536</v>
      </c>
      <c r="B21" s="16" t="s">
        <v>29</v>
      </c>
      <c r="C21" s="16" t="s">
        <v>537</v>
      </c>
      <c r="D21" s="16" t="s">
        <v>501</v>
      </c>
      <c r="E21" s="16" t="s">
        <v>9</v>
      </c>
      <c r="F21" s="16" t="s">
        <v>9</v>
      </c>
      <c r="G21" s="17">
        <f t="shared" si="0"/>
        <v>950000</v>
      </c>
      <c r="H21" s="18">
        <v>950000</v>
      </c>
      <c r="I21" s="19">
        <v>2</v>
      </c>
      <c r="J21" s="18">
        <f t="shared" si="1"/>
        <v>970000</v>
      </c>
      <c r="K21" s="18" t="s">
        <v>477</v>
      </c>
      <c r="L21" s="16" t="str">
        <f t="shared" si="2"/>
        <v>فعال</v>
      </c>
      <c r="M21" s="16">
        <v>21</v>
      </c>
      <c r="N21" s="16" t="s">
        <v>536</v>
      </c>
      <c r="O21" t="s">
        <v>538</v>
      </c>
      <c r="P21">
        <f>IFERROR(INDEX($A$2:$A$542,MATCH(ROWS($P$5:P21),$AD$2:$AD$542,0)),"")</f>
      </c>
      <c r="Q21">
        <f>IF($P21="","",INDEX($B$2:$B$542,MATCH(ROWS($P$5:P21),$AD$2:$AD$542,0)))</f>
      </c>
      <c r="R21">
        <f>IF($P21="","",INDEX($C$2:$C$542,MATCH(ROWS($P$5:P21),$AD$2:$AD$542,0)))</f>
      </c>
      <c r="S21">
        <f>IF($P21="","",INDEX($E$2:$E$542,MATCH(ROWS($P$5:P21),$AD$2:$AD$542,0)))</f>
      </c>
      <c r="T21" s="22">
        <f>IF($P21="","",IFERROR(IF(OR(INDEX($H$2:$H$542,MATCH(ROWS($P$5:P21),$AD$2:$AD$542,0))="",INDEX($H$2:$H$542,MATCH(ROWS($P$5:P21),$AD$2:$AD$542,0))="؟",INDEX($H$2:$H$542,MATCH(ROWS($P$5:P21),$AD$2:$AD$542,0))="نامشخص"),"",INDEX($H$2:$H$542,MATCH(ROWS($P$5:P21),$AD$2:$AD$542,0))),""))</f>
      </c>
      <c r="U21">
        <f>IF($P21="","",INDEX($L$2:$L$542,MATCH(ROWS($P$5:P21),$AD$2:$AD$542,0)))</f>
      </c>
      <c r="V21">
        <f>IF($P21="","",INDEX($M$2:$M$542,MATCH(ROWS($P$5:P21),$AD$2:$AD$542,0)))</f>
      </c>
      <c r="AD21">
        <f>IF(AND(LEN($Q$2)&gt;=3,ISNUMBER(SEARCH($Q$2,$B21))),MAX($AD$1:AD20)+1,"")</f>
      </c>
    </row>
    <row r="22" ht="14.4" customHeight="1" spans="1:30" x14ac:dyDescent="0.25">
      <c r="A22" s="16" t="s">
        <v>539</v>
      </c>
      <c r="B22" s="16" t="s">
        <v>34</v>
      </c>
      <c r="C22" s="16" t="s">
        <v>540</v>
      </c>
      <c r="D22" s="16" t="s">
        <v>501</v>
      </c>
      <c r="E22" s="16" t="s">
        <v>9</v>
      </c>
      <c r="F22" s="16" t="s">
        <v>9</v>
      </c>
      <c r="G22" s="17">
        <f t="shared" si="0"/>
        <v>800000</v>
      </c>
      <c r="H22" s="18">
        <v>800000</v>
      </c>
      <c r="I22" s="19">
        <v>1</v>
      </c>
      <c r="J22" s="18">
        <f t="shared" si="1"/>
        <v>810000</v>
      </c>
      <c r="K22" s="18" t="s">
        <v>477</v>
      </c>
      <c r="L22" s="16" t="str">
        <f t="shared" si="2"/>
        <v>فعال</v>
      </c>
      <c r="M22" s="16">
        <v>26</v>
      </c>
      <c r="N22" s="16" t="s">
        <v>539</v>
      </c>
      <c r="O22" t="s">
        <v>541</v>
      </c>
      <c r="P22">
        <f>IFERROR(INDEX($A$2:$A$542,MATCH(ROWS($P$5:P22),$AD$2:$AD$542,0)),"")</f>
      </c>
      <c r="Q22">
        <f>IF($P22="","",INDEX($B$2:$B$542,MATCH(ROWS($P$5:P22),$AD$2:$AD$542,0)))</f>
      </c>
      <c r="R22">
        <f>IF($P22="","",INDEX($C$2:$C$542,MATCH(ROWS($P$5:P22),$AD$2:$AD$542,0)))</f>
      </c>
      <c r="S22">
        <f>IF($P22="","",INDEX($E$2:$E$542,MATCH(ROWS($P$5:P22),$AD$2:$AD$542,0)))</f>
      </c>
      <c r="T22" s="22">
        <f>IF($P22="","",IFERROR(IF(OR(INDEX($H$2:$H$542,MATCH(ROWS($P$5:P22),$AD$2:$AD$542,0))="",INDEX($H$2:$H$542,MATCH(ROWS($P$5:P22),$AD$2:$AD$542,0))="؟",INDEX($H$2:$H$542,MATCH(ROWS($P$5:P22),$AD$2:$AD$542,0))="نامشخص"),"",INDEX($H$2:$H$542,MATCH(ROWS($P$5:P22),$AD$2:$AD$542,0))),""))</f>
      </c>
      <c r="U22">
        <f>IF($P22="","",INDEX($L$2:$L$542,MATCH(ROWS($P$5:P22),$AD$2:$AD$542,0)))</f>
      </c>
      <c r="V22">
        <f>IF($P22="","",INDEX($M$2:$M$542,MATCH(ROWS($P$5:P22),$AD$2:$AD$542,0)))</f>
      </c>
      <c r="AD22">
        <f>IF(AND(LEN($Q$2)&gt;=3,ISNUMBER(SEARCH($Q$2,$B22))),MAX($AD$1:AD21)+1,"")</f>
      </c>
    </row>
    <row r="23" ht="14.4" customHeight="1" spans="1:30" x14ac:dyDescent="0.25">
      <c r="A23" s="16" t="s">
        <v>542</v>
      </c>
      <c r="B23" s="16" t="s">
        <v>35</v>
      </c>
      <c r="C23" s="16" t="s">
        <v>543</v>
      </c>
      <c r="D23" s="16" t="s">
        <v>501</v>
      </c>
      <c r="E23" s="16" t="s">
        <v>9</v>
      </c>
      <c r="F23" s="16" t="s">
        <v>9</v>
      </c>
      <c r="G23" s="17">
        <f t="shared" si="0"/>
        <v>900000</v>
      </c>
      <c r="H23" s="18">
        <v>900000</v>
      </c>
      <c r="I23" s="19">
        <v>2</v>
      </c>
      <c r="J23" s="18">
        <f t="shared" si="1"/>
        <v>920000</v>
      </c>
      <c r="K23" s="18" t="s">
        <v>477</v>
      </c>
      <c r="L23" s="16" t="str">
        <f t="shared" si="2"/>
        <v>فعال</v>
      </c>
      <c r="M23" s="16">
        <v>27</v>
      </c>
      <c r="N23" s="16" t="s">
        <v>542</v>
      </c>
      <c r="O23" t="s">
        <v>544</v>
      </c>
      <c r="P23">
        <f>IFERROR(INDEX($A$2:$A$542,MATCH(ROWS($P$5:P23),$AD$2:$AD$542,0)),"")</f>
      </c>
      <c r="Q23">
        <f>IF($P23="","",INDEX($B$2:$B$542,MATCH(ROWS($P$5:P23),$AD$2:$AD$542,0)))</f>
      </c>
      <c r="R23">
        <f>IF($P23="","",INDEX($C$2:$C$542,MATCH(ROWS($P$5:P23),$AD$2:$AD$542,0)))</f>
      </c>
      <c r="S23">
        <f>IF($P23="","",INDEX($E$2:$E$542,MATCH(ROWS($P$5:P23),$AD$2:$AD$542,0)))</f>
      </c>
      <c r="T23" s="22">
        <f>IF($P23="","",IFERROR(IF(OR(INDEX($H$2:$H$542,MATCH(ROWS($P$5:P23),$AD$2:$AD$542,0))="",INDEX($H$2:$H$542,MATCH(ROWS($P$5:P23),$AD$2:$AD$542,0))="؟",INDEX($H$2:$H$542,MATCH(ROWS($P$5:P23),$AD$2:$AD$542,0))="نامشخص"),"",INDEX($H$2:$H$542,MATCH(ROWS($P$5:P23),$AD$2:$AD$542,0))),""))</f>
      </c>
      <c r="U23">
        <f>IF($P23="","",INDEX($L$2:$L$542,MATCH(ROWS($P$5:P23),$AD$2:$AD$542,0)))</f>
      </c>
      <c r="V23">
        <f>IF($P23="","",INDEX($M$2:$M$542,MATCH(ROWS($P$5:P23),$AD$2:$AD$542,0)))</f>
      </c>
      <c r="AD23">
        <f>IF(AND(LEN($Q$2)&gt;=3,ISNUMBER(SEARCH($Q$2,$B23))),MAX($AD$1:AD22)+1,"")</f>
      </c>
    </row>
    <row r="24" ht="14.4" customHeight="1" spans="1:30" x14ac:dyDescent="0.25">
      <c r="A24" s="16" t="s">
        <v>545</v>
      </c>
      <c r="B24" s="16" t="s">
        <v>36</v>
      </c>
      <c r="C24" s="16" t="s">
        <v>546</v>
      </c>
      <c r="D24" s="16" t="s">
        <v>501</v>
      </c>
      <c r="E24" s="16" t="s">
        <v>9</v>
      </c>
      <c r="F24" s="16" t="s">
        <v>9</v>
      </c>
      <c r="G24" s="17">
        <f t="shared" si="0"/>
        <v>950000</v>
      </c>
      <c r="H24" s="18">
        <v>950000</v>
      </c>
      <c r="I24" s="19">
        <v>2</v>
      </c>
      <c r="J24" s="18">
        <f t="shared" si="1"/>
        <v>970000</v>
      </c>
      <c r="K24" s="18" t="s">
        <v>477</v>
      </c>
      <c r="L24" s="16" t="str">
        <f t="shared" si="2"/>
        <v>فعال</v>
      </c>
      <c r="M24" s="16">
        <v>28</v>
      </c>
      <c r="N24" s="16" t="s">
        <v>545</v>
      </c>
      <c r="O24" t="s">
        <v>547</v>
      </c>
      <c r="P24">
        <f>IFERROR(INDEX($A$2:$A$542,MATCH(ROWS($P$5:P24),$AD$2:$AD$542,0)),"")</f>
      </c>
      <c r="Q24">
        <f>IF($P24="","",INDEX($B$2:$B$542,MATCH(ROWS($P$5:P24),$AD$2:$AD$542,0)))</f>
      </c>
      <c r="R24">
        <f>IF($P24="","",INDEX($C$2:$C$542,MATCH(ROWS($P$5:P24),$AD$2:$AD$542,0)))</f>
      </c>
      <c r="S24">
        <f>IF($P24="","",INDEX($E$2:$E$542,MATCH(ROWS($P$5:P24),$AD$2:$AD$542,0)))</f>
      </c>
      <c r="T24" s="22">
        <f>IF($P24="","",IFERROR(IF(OR(INDEX($H$2:$H$542,MATCH(ROWS($P$5:P24),$AD$2:$AD$542,0))="",INDEX($H$2:$H$542,MATCH(ROWS($P$5:P24),$AD$2:$AD$542,0))="؟",INDEX($H$2:$H$542,MATCH(ROWS($P$5:P24),$AD$2:$AD$542,0))="نامشخص"),"",INDEX($H$2:$H$542,MATCH(ROWS($P$5:P24),$AD$2:$AD$542,0))),""))</f>
      </c>
      <c r="U24">
        <f>IF($P24="","",INDEX($L$2:$L$542,MATCH(ROWS($P$5:P24),$AD$2:$AD$542,0)))</f>
      </c>
      <c r="V24">
        <f>IF($P24="","",INDEX($M$2:$M$542,MATCH(ROWS($P$5:P24),$AD$2:$AD$542,0)))</f>
      </c>
      <c r="AD24">
        <f>IF(AND(LEN($Q$2)&gt;=3,ISNUMBER(SEARCH($Q$2,$B24))),MAX($AD$1:AD23)+1,"")</f>
      </c>
    </row>
    <row r="25" ht="14.4" customHeight="1" spans="1:30" x14ac:dyDescent="0.25">
      <c r="A25" s="16" t="s">
        <v>548</v>
      </c>
      <c r="B25" s="16" t="s">
        <v>16</v>
      </c>
      <c r="C25" s="16" t="s">
        <v>549</v>
      </c>
      <c r="D25" s="16" t="s">
        <v>501</v>
      </c>
      <c r="E25" s="16" t="s">
        <v>9</v>
      </c>
      <c r="F25" s="16" t="s">
        <v>9</v>
      </c>
      <c r="G25" s="17">
        <f t="shared" si="0"/>
        <v>700000</v>
      </c>
      <c r="H25" s="18">
        <v>700000</v>
      </c>
      <c r="I25" s="19">
        <v>1</v>
      </c>
      <c r="J25" s="18">
        <f t="shared" si="1"/>
        <v>710000</v>
      </c>
      <c r="K25" s="18" t="s">
        <v>477</v>
      </c>
      <c r="L25" s="16" t="str">
        <f t="shared" si="2"/>
        <v>فعال</v>
      </c>
      <c r="M25" s="16">
        <v>8</v>
      </c>
      <c r="N25" s="16" t="s">
        <v>548</v>
      </c>
      <c r="O25" t="s">
        <v>550</v>
      </c>
      <c r="P25">
        <f>IFERROR(INDEX($A$2:$A$542,MATCH(ROWS($P$5:P25),$AD$2:$AD$542,0)),"")</f>
      </c>
      <c r="Q25">
        <f>IF($P25="","",INDEX($B$2:$B$542,MATCH(ROWS($P$5:P25),$AD$2:$AD$542,0)))</f>
      </c>
      <c r="R25">
        <f>IF($P25="","",INDEX($C$2:$C$542,MATCH(ROWS($P$5:P25),$AD$2:$AD$542,0)))</f>
      </c>
      <c r="S25">
        <f>IF($P25="","",INDEX($E$2:$E$542,MATCH(ROWS($P$5:P25),$AD$2:$AD$542,0)))</f>
      </c>
      <c r="T25" s="22">
        <f>IF($P25="","",IFERROR(IF(OR(INDEX($H$2:$H$542,MATCH(ROWS($P$5:P25),$AD$2:$AD$542,0))="",INDEX($H$2:$H$542,MATCH(ROWS($P$5:P25),$AD$2:$AD$542,0))="؟",INDEX($H$2:$H$542,MATCH(ROWS($P$5:P25),$AD$2:$AD$542,0))="نامشخص"),"",INDEX($H$2:$H$542,MATCH(ROWS($P$5:P25),$AD$2:$AD$542,0))),""))</f>
      </c>
      <c r="U25">
        <f>IF($P25="","",INDEX($L$2:$L$542,MATCH(ROWS($P$5:P25),$AD$2:$AD$542,0)))</f>
      </c>
      <c r="V25">
        <f>IF($P25="","",INDEX($M$2:$M$542,MATCH(ROWS($P$5:P25),$AD$2:$AD$542,0)))</f>
      </c>
      <c r="AD25">
        <f>IF(AND(LEN($Q$2)&gt;=3,ISNUMBER(SEARCH($Q$2,$B25))),MAX($AD$1:AD24)+1,"")</f>
      </c>
    </row>
    <row r="26" ht="14.4" customHeight="1" spans="1:30" x14ac:dyDescent="0.25">
      <c r="A26" s="16" t="s">
        <v>551</v>
      </c>
      <c r="B26" s="16" t="s">
        <v>17</v>
      </c>
      <c r="C26" s="16" t="s">
        <v>552</v>
      </c>
      <c r="D26" s="16" t="s">
        <v>501</v>
      </c>
      <c r="E26" s="16" t="s">
        <v>9</v>
      </c>
      <c r="F26" s="16" t="s">
        <v>9</v>
      </c>
      <c r="G26" s="17">
        <f t="shared" si="0"/>
        <v>1100000</v>
      </c>
      <c r="H26" s="18">
        <v>1100000</v>
      </c>
      <c r="I26" s="19">
        <v>3</v>
      </c>
      <c r="J26" s="18">
        <f t="shared" si="1"/>
        <v>1140000</v>
      </c>
      <c r="K26" s="18" t="s">
        <v>477</v>
      </c>
      <c r="L26" s="16" t="str">
        <f t="shared" si="2"/>
        <v>فعال</v>
      </c>
      <c r="M26" s="16">
        <v>9</v>
      </c>
      <c r="N26" s="16" t="s">
        <v>551</v>
      </c>
      <c r="O26" t="s">
        <v>553</v>
      </c>
      <c r="P26">
        <f>IFERROR(INDEX($A$2:$A$542,MATCH(ROWS($P$5:P26),$AD$2:$AD$542,0)),"")</f>
      </c>
      <c r="Q26">
        <f>IF($P26="","",INDEX($B$2:$B$542,MATCH(ROWS($P$5:P26),$AD$2:$AD$542,0)))</f>
      </c>
      <c r="R26">
        <f>IF($P26="","",INDEX($C$2:$C$542,MATCH(ROWS($P$5:P26),$AD$2:$AD$542,0)))</f>
      </c>
      <c r="S26">
        <f>IF($P26="","",INDEX($E$2:$E$542,MATCH(ROWS($P$5:P26),$AD$2:$AD$542,0)))</f>
      </c>
      <c r="T26" s="22">
        <f>IF($P26="","",IFERROR(IF(OR(INDEX($H$2:$H$542,MATCH(ROWS($P$5:P26),$AD$2:$AD$542,0))="",INDEX($H$2:$H$542,MATCH(ROWS($P$5:P26),$AD$2:$AD$542,0))="؟",INDEX($H$2:$H$542,MATCH(ROWS($P$5:P26),$AD$2:$AD$542,0))="نامشخص"),"",INDEX($H$2:$H$542,MATCH(ROWS($P$5:P26),$AD$2:$AD$542,0))),""))</f>
      </c>
      <c r="U26">
        <f>IF($P26="","",INDEX($L$2:$L$542,MATCH(ROWS($P$5:P26),$AD$2:$AD$542,0)))</f>
      </c>
      <c r="V26">
        <f>IF($P26="","",INDEX($M$2:$M$542,MATCH(ROWS($P$5:P26),$AD$2:$AD$542,0)))</f>
      </c>
      <c r="AD26">
        <f>IF(AND(LEN($Q$2)&gt;=3,ISNUMBER(SEARCH($Q$2,$B26))),MAX($AD$1:AD25)+1,"")</f>
      </c>
    </row>
    <row r="27" ht="14.4" customHeight="1" spans="1:30" x14ac:dyDescent="0.25">
      <c r="A27" s="16" t="s">
        <v>554</v>
      </c>
      <c r="B27" s="16" t="s">
        <v>18</v>
      </c>
      <c r="C27" s="16" t="s">
        <v>555</v>
      </c>
      <c r="D27" s="16" t="s">
        <v>501</v>
      </c>
      <c r="E27" s="16" t="s">
        <v>9</v>
      </c>
      <c r="F27" s="16" t="s">
        <v>9</v>
      </c>
      <c r="G27" s="17">
        <f t="shared" si="0"/>
        <v>800000</v>
      </c>
      <c r="H27" s="18">
        <v>800000</v>
      </c>
      <c r="I27" s="19">
        <v>2</v>
      </c>
      <c r="J27" s="18">
        <f t="shared" si="1"/>
        <v>820000</v>
      </c>
      <c r="K27" s="18" t="s">
        <v>477</v>
      </c>
      <c r="L27" s="16" t="str">
        <f t="shared" si="2"/>
        <v>فعال</v>
      </c>
      <c r="M27" s="16">
        <v>10</v>
      </c>
      <c r="N27" s="16" t="s">
        <v>554</v>
      </c>
      <c r="O27" t="s">
        <v>556</v>
      </c>
      <c r="P27">
        <f>IFERROR(INDEX($A$2:$A$542,MATCH(ROWS($P$5:P27),$AD$2:$AD$542,0)),"")</f>
      </c>
      <c r="Q27">
        <f>IF($P27="","",INDEX($B$2:$B$542,MATCH(ROWS($P$5:P27),$AD$2:$AD$542,0)))</f>
      </c>
      <c r="R27">
        <f>IF($P27="","",INDEX($C$2:$C$542,MATCH(ROWS($P$5:P27),$AD$2:$AD$542,0)))</f>
      </c>
      <c r="S27">
        <f>IF($P27="","",INDEX($E$2:$E$542,MATCH(ROWS($P$5:P27),$AD$2:$AD$542,0)))</f>
      </c>
      <c r="T27" s="22">
        <f>IF($P27="","",IFERROR(IF(OR(INDEX($H$2:$H$542,MATCH(ROWS($P$5:P27),$AD$2:$AD$542,0))="",INDEX($H$2:$H$542,MATCH(ROWS($P$5:P27),$AD$2:$AD$542,0))="؟",INDEX($H$2:$H$542,MATCH(ROWS($P$5:P27),$AD$2:$AD$542,0))="نامشخص"),"",INDEX($H$2:$H$542,MATCH(ROWS($P$5:P27),$AD$2:$AD$542,0))),""))</f>
      </c>
      <c r="U27">
        <f>IF($P27="","",INDEX($L$2:$L$542,MATCH(ROWS($P$5:P27),$AD$2:$AD$542,0)))</f>
      </c>
      <c r="V27">
        <f>IF($P27="","",INDEX($M$2:$M$542,MATCH(ROWS($P$5:P27),$AD$2:$AD$542,0)))</f>
      </c>
      <c r="AD27">
        <f>IF(AND(LEN($Q$2)&gt;=3,ISNUMBER(SEARCH($Q$2,$B27))),MAX($AD$1:AD26)+1,"")</f>
      </c>
    </row>
    <row r="28" ht="14.4" customHeight="1" spans="1:30" x14ac:dyDescent="0.25">
      <c r="A28" s="16" t="s">
        <v>557</v>
      </c>
      <c r="B28" s="16" t="s">
        <v>21</v>
      </c>
      <c r="C28" s="16" t="s">
        <v>558</v>
      </c>
      <c r="D28" s="16" t="s">
        <v>501</v>
      </c>
      <c r="E28" s="16" t="s">
        <v>9</v>
      </c>
      <c r="F28" s="16" t="s">
        <v>9</v>
      </c>
      <c r="G28" s="17">
        <f t="shared" si="0"/>
        <v>800000</v>
      </c>
      <c r="H28" s="18">
        <v>800000</v>
      </c>
      <c r="I28" s="19">
        <v>2</v>
      </c>
      <c r="J28" s="18">
        <f t="shared" si="1"/>
        <v>820000</v>
      </c>
      <c r="K28" s="18" t="s">
        <v>477</v>
      </c>
      <c r="L28" s="16" t="str">
        <f t="shared" si="2"/>
        <v>فعال</v>
      </c>
      <c r="M28" s="16">
        <v>13</v>
      </c>
      <c r="N28" s="16" t="s">
        <v>557</v>
      </c>
      <c r="O28" t="s">
        <v>559</v>
      </c>
      <c r="P28">
        <f>IFERROR(INDEX($A$2:$A$542,MATCH(ROWS($P$5:P28),$AD$2:$AD$542,0)),"")</f>
      </c>
      <c r="Q28">
        <f>IF($P28="","",INDEX($B$2:$B$542,MATCH(ROWS($P$5:P28),$AD$2:$AD$542,0)))</f>
      </c>
      <c r="R28">
        <f>IF($P28="","",INDEX($C$2:$C$542,MATCH(ROWS($P$5:P28),$AD$2:$AD$542,0)))</f>
      </c>
      <c r="S28">
        <f>IF($P28="","",INDEX($E$2:$E$542,MATCH(ROWS($P$5:P28),$AD$2:$AD$542,0)))</f>
      </c>
      <c r="T28" s="22">
        <f>IF($P28="","",IFERROR(IF(OR(INDEX($H$2:$H$542,MATCH(ROWS($P$5:P28),$AD$2:$AD$542,0))="",INDEX($H$2:$H$542,MATCH(ROWS($P$5:P28),$AD$2:$AD$542,0))="؟",INDEX($H$2:$H$542,MATCH(ROWS($P$5:P28),$AD$2:$AD$542,0))="نامشخص"),"",INDEX($H$2:$H$542,MATCH(ROWS($P$5:P28),$AD$2:$AD$542,0))),""))</f>
      </c>
      <c r="U28">
        <f>IF($P28="","",INDEX($L$2:$L$542,MATCH(ROWS($P$5:P28),$AD$2:$AD$542,0)))</f>
      </c>
      <c r="V28">
        <f>IF($P28="","",INDEX($M$2:$M$542,MATCH(ROWS($P$5:P28),$AD$2:$AD$542,0)))</f>
      </c>
      <c r="AD28">
        <f>IF(AND(LEN($Q$2)&gt;=3,ISNUMBER(SEARCH($Q$2,$B28))),MAX($AD$1:AD27)+1,"")</f>
      </c>
    </row>
    <row r="29" ht="14.4" customHeight="1" spans="1:30" x14ac:dyDescent="0.25">
      <c r="A29" s="16" t="s">
        <v>560</v>
      </c>
      <c r="B29" s="16" t="s">
        <v>31</v>
      </c>
      <c r="C29" s="16" t="s">
        <v>561</v>
      </c>
      <c r="D29" s="16" t="s">
        <v>501</v>
      </c>
      <c r="E29" s="16" t="s">
        <v>9</v>
      </c>
      <c r="F29" s="16" t="s">
        <v>9</v>
      </c>
      <c r="G29" s="17">
        <f t="shared" si="0"/>
        <v>850000</v>
      </c>
      <c r="H29" s="18">
        <v>850000</v>
      </c>
      <c r="I29" s="19">
        <v>2</v>
      </c>
      <c r="J29" s="18">
        <f t="shared" si="1"/>
        <v>870000</v>
      </c>
      <c r="K29" s="18" t="s">
        <v>477</v>
      </c>
      <c r="L29" s="16" t="str">
        <f t="shared" si="2"/>
        <v>فعال</v>
      </c>
      <c r="M29" s="16">
        <v>23</v>
      </c>
      <c r="N29" s="16" t="s">
        <v>560</v>
      </c>
      <c r="O29" t="s">
        <v>562</v>
      </c>
      <c r="P29">
        <f>IFERROR(INDEX($A$2:$A$542,MATCH(ROWS($P$5:P29),$AD$2:$AD$542,0)),"")</f>
      </c>
      <c r="Q29">
        <f>IF($P29="","",INDEX($B$2:$B$542,MATCH(ROWS($P$5:P29),$AD$2:$AD$542,0)))</f>
      </c>
      <c r="R29">
        <f>IF($P29="","",INDEX($C$2:$C$542,MATCH(ROWS($P$5:P29),$AD$2:$AD$542,0)))</f>
      </c>
      <c r="S29">
        <f>IF($P29="","",INDEX($E$2:$E$542,MATCH(ROWS($P$5:P29),$AD$2:$AD$542,0)))</f>
      </c>
      <c r="T29" s="22">
        <f>IF($P29="","",IFERROR(IF(OR(INDEX($H$2:$H$542,MATCH(ROWS($P$5:P29),$AD$2:$AD$542,0))="",INDEX($H$2:$H$542,MATCH(ROWS($P$5:P29),$AD$2:$AD$542,0))="؟",INDEX($H$2:$H$542,MATCH(ROWS($P$5:P29),$AD$2:$AD$542,0))="نامشخص"),"",INDEX($H$2:$H$542,MATCH(ROWS($P$5:P29),$AD$2:$AD$542,0))),""))</f>
      </c>
      <c r="U29">
        <f>IF($P29="","",INDEX($L$2:$L$542,MATCH(ROWS($P$5:P29),$AD$2:$AD$542,0)))</f>
      </c>
      <c r="V29">
        <f>IF($P29="","",INDEX($M$2:$M$542,MATCH(ROWS($P$5:P29),$AD$2:$AD$542,0)))</f>
      </c>
      <c r="AD29">
        <f>IF(AND(LEN($Q$2)&gt;=3,ISNUMBER(SEARCH($Q$2,$B29))),MAX($AD$1:AD28)+1,"")</f>
      </c>
    </row>
    <row r="30" ht="14.4" customHeight="1" spans="1:30" x14ac:dyDescent="0.25">
      <c r="A30" s="16" t="s">
        <v>563</v>
      </c>
      <c r="B30" s="16" t="s">
        <v>30</v>
      </c>
      <c r="C30" s="16" t="s">
        <v>564</v>
      </c>
      <c r="D30" s="16" t="s">
        <v>501</v>
      </c>
      <c r="E30" s="16" t="s">
        <v>9</v>
      </c>
      <c r="F30" s="16" t="s">
        <v>9</v>
      </c>
      <c r="G30" s="17">
        <f t="shared" si="0"/>
        <v>700000</v>
      </c>
      <c r="H30" s="18">
        <v>700000</v>
      </c>
      <c r="I30" s="19">
        <v>1</v>
      </c>
      <c r="J30" s="18">
        <f t="shared" si="1"/>
        <v>710000</v>
      </c>
      <c r="K30" s="18" t="s">
        <v>477</v>
      </c>
      <c r="L30" s="16" t="str">
        <f t="shared" si="2"/>
        <v>فعال</v>
      </c>
      <c r="M30" s="16">
        <v>22</v>
      </c>
      <c r="N30" s="16" t="s">
        <v>563</v>
      </c>
      <c r="O30" t="s">
        <v>565</v>
      </c>
      <c r="P30">
        <f>IFERROR(INDEX($A$2:$A$542,MATCH(ROWS($P$5:P30),$AD$2:$AD$542,0)),"")</f>
      </c>
      <c r="Q30">
        <f>IF($P30="","",INDEX($B$2:$B$542,MATCH(ROWS($P$5:P30),$AD$2:$AD$542,0)))</f>
      </c>
      <c r="R30">
        <f>IF($P30="","",INDEX($C$2:$C$542,MATCH(ROWS($P$5:P30),$AD$2:$AD$542,0)))</f>
      </c>
      <c r="S30">
        <f>IF($P30="","",INDEX($E$2:$E$542,MATCH(ROWS($P$5:P30),$AD$2:$AD$542,0)))</f>
      </c>
      <c r="T30" s="22">
        <f>IF($P30="","",IFERROR(IF(OR(INDEX($H$2:$H$542,MATCH(ROWS($P$5:P30),$AD$2:$AD$542,0))="",INDEX($H$2:$H$542,MATCH(ROWS($P$5:P30),$AD$2:$AD$542,0))="؟",INDEX($H$2:$H$542,MATCH(ROWS($P$5:P30),$AD$2:$AD$542,0))="نامشخص"),"",INDEX($H$2:$H$542,MATCH(ROWS($P$5:P30),$AD$2:$AD$542,0))),""))</f>
      </c>
      <c r="U30">
        <f>IF($P30="","",INDEX($L$2:$L$542,MATCH(ROWS($P$5:P30),$AD$2:$AD$542,0)))</f>
      </c>
      <c r="V30">
        <f>IF($P30="","",INDEX($M$2:$M$542,MATCH(ROWS($P$5:P30),$AD$2:$AD$542,0)))</f>
      </c>
      <c r="AD30">
        <f>IF(AND(LEN($Q$2)&gt;=3,ISNUMBER(SEARCH($Q$2,$B30))),MAX($AD$1:AD29)+1,"")</f>
      </c>
    </row>
    <row r="31" ht="14.4" customHeight="1" spans="1:30" x14ac:dyDescent="0.25">
      <c r="A31" s="16" t="s">
        <v>566</v>
      </c>
      <c r="B31" s="16" t="s">
        <v>32</v>
      </c>
      <c r="C31" s="16" t="s">
        <v>567</v>
      </c>
      <c r="D31" s="16" t="s">
        <v>501</v>
      </c>
      <c r="E31" s="16" t="s">
        <v>9</v>
      </c>
      <c r="F31" s="16" t="s">
        <v>9</v>
      </c>
      <c r="G31" s="17">
        <f t="shared" si="0"/>
        <v>1100000</v>
      </c>
      <c r="H31" s="18">
        <v>1100000</v>
      </c>
      <c r="I31" s="19">
        <v>3</v>
      </c>
      <c r="J31" s="18">
        <f t="shared" si="1"/>
        <v>1140000</v>
      </c>
      <c r="K31" s="18" t="s">
        <v>477</v>
      </c>
      <c r="L31" s="16" t="str">
        <f t="shared" si="2"/>
        <v>فعال</v>
      </c>
      <c r="M31" s="16">
        <v>24</v>
      </c>
      <c r="N31" s="16" t="s">
        <v>566</v>
      </c>
      <c r="O31" t="s">
        <v>568</v>
      </c>
      <c r="P31">
        <f>IFERROR(INDEX($A$2:$A$542,MATCH(ROWS($P$5:P31),$AD$2:$AD$542,0)),"")</f>
      </c>
      <c r="Q31">
        <f>IF($P31="","",INDEX($B$2:$B$542,MATCH(ROWS($P$5:P31),$AD$2:$AD$542,0)))</f>
      </c>
      <c r="R31">
        <f>IF($P31="","",INDEX($C$2:$C$542,MATCH(ROWS($P$5:P31),$AD$2:$AD$542,0)))</f>
      </c>
      <c r="S31">
        <f>IF($P31="","",INDEX($E$2:$E$542,MATCH(ROWS($P$5:P31),$AD$2:$AD$542,0)))</f>
      </c>
      <c r="T31" s="22">
        <f>IF($P31="","",IFERROR(IF(OR(INDEX($H$2:$H$542,MATCH(ROWS($P$5:P31),$AD$2:$AD$542,0))="",INDEX($H$2:$H$542,MATCH(ROWS($P$5:P31),$AD$2:$AD$542,0))="؟",INDEX($H$2:$H$542,MATCH(ROWS($P$5:P31),$AD$2:$AD$542,0))="نامشخص"),"",INDEX($H$2:$H$542,MATCH(ROWS($P$5:P31),$AD$2:$AD$542,0))),""))</f>
      </c>
      <c r="U31">
        <f>IF($P31="","",INDEX($L$2:$L$542,MATCH(ROWS($P$5:P31),$AD$2:$AD$542,0)))</f>
      </c>
      <c r="V31">
        <f>IF($P31="","",INDEX($M$2:$M$542,MATCH(ROWS($P$5:P31),$AD$2:$AD$542,0)))</f>
      </c>
      <c r="AD31">
        <f>IF(AND(LEN($Q$2)&gt;=3,ISNUMBER(SEARCH($Q$2,$B31))),MAX($AD$1:AD30)+1,"")</f>
      </c>
    </row>
    <row r="32" ht="14.4" customHeight="1" spans="1:30" x14ac:dyDescent="0.25">
      <c r="A32" s="16" t="s">
        <v>569</v>
      </c>
      <c r="B32" s="16" t="s">
        <v>138</v>
      </c>
      <c r="C32" s="16" t="s">
        <v>570</v>
      </c>
      <c r="D32" s="16" t="s">
        <v>501</v>
      </c>
      <c r="E32" s="16" t="s">
        <v>9</v>
      </c>
      <c r="F32" s="16" t="s">
        <v>9</v>
      </c>
      <c r="G32" s="17" t="str">
        <f t="shared" si="0"/>
        <v>؟</v>
      </c>
      <c r="H32" s="18" t="s">
        <v>8</v>
      </c>
      <c r="I32" s="19">
        <v>3</v>
      </c>
      <c r="J32" s="18">
        <f t="shared" si="1"/>
      </c>
      <c r="K32" s="18" t="s">
        <v>477</v>
      </c>
      <c r="L32" s="16" t="str">
        <f t="shared" si="2"/>
        <v>نیاز به استعلام</v>
      </c>
      <c r="M32" s="16">
        <v>119</v>
      </c>
      <c r="N32" s="16" t="s">
        <v>569</v>
      </c>
      <c r="O32" t="s">
        <v>571</v>
      </c>
      <c r="P32">
        <f>IFERROR(INDEX($A$2:$A$542,MATCH(ROWS($P$5:P32),$AD$2:$AD$542,0)),"")</f>
      </c>
      <c r="Q32">
        <f>IF($P32="","",INDEX($B$2:$B$542,MATCH(ROWS($P$5:P32),$AD$2:$AD$542,0)))</f>
      </c>
      <c r="R32">
        <f>IF($P32="","",INDEX($C$2:$C$542,MATCH(ROWS($P$5:P32),$AD$2:$AD$542,0)))</f>
      </c>
      <c r="S32">
        <f>IF($P32="","",INDEX($E$2:$E$542,MATCH(ROWS($P$5:P32),$AD$2:$AD$542,0)))</f>
      </c>
      <c r="T32" s="22">
        <f>IF($P32="","",IFERROR(IF(OR(INDEX($H$2:$H$542,MATCH(ROWS($P$5:P32),$AD$2:$AD$542,0))="",INDEX($H$2:$H$542,MATCH(ROWS($P$5:P32),$AD$2:$AD$542,0))="؟",INDEX($H$2:$H$542,MATCH(ROWS($P$5:P32),$AD$2:$AD$542,0))="نامشخص"),"",INDEX($H$2:$H$542,MATCH(ROWS($P$5:P32),$AD$2:$AD$542,0))),""))</f>
      </c>
      <c r="U32">
        <f>IF($P32="","",INDEX($L$2:$L$542,MATCH(ROWS($P$5:P32),$AD$2:$AD$542,0)))</f>
      </c>
      <c r="V32">
        <f>IF($P32="","",INDEX($M$2:$M$542,MATCH(ROWS($P$5:P32),$AD$2:$AD$542,0)))</f>
      </c>
      <c r="AD32">
        <f>IF(AND(LEN($Q$2)&gt;=3,ISNUMBER(SEARCH($Q$2,$B32))),MAX($AD$1:AD31)+1,"")</f>
      </c>
    </row>
    <row r="33" ht="14.4" customHeight="1" spans="1:30" x14ac:dyDescent="0.25">
      <c r="A33" s="16" t="s">
        <v>572</v>
      </c>
      <c r="B33" s="16" t="s">
        <v>137</v>
      </c>
      <c r="C33" s="16" t="s">
        <v>573</v>
      </c>
      <c r="D33" s="16" t="s">
        <v>501</v>
      </c>
      <c r="E33" s="16" t="s">
        <v>9</v>
      </c>
      <c r="F33" s="16" t="s">
        <v>9</v>
      </c>
      <c r="G33" s="17">
        <f t="shared" si="0"/>
        <v>1900000</v>
      </c>
      <c r="H33" s="18">
        <v>1900000</v>
      </c>
      <c r="I33" s="19">
        <v>2</v>
      </c>
      <c r="J33" s="18">
        <f t="shared" si="1"/>
        <v>1940000</v>
      </c>
      <c r="K33" s="18" t="s">
        <v>477</v>
      </c>
      <c r="L33" s="16" t="str">
        <f t="shared" si="2"/>
        <v>فعال</v>
      </c>
      <c r="M33" s="16">
        <v>118</v>
      </c>
      <c r="N33" s="16" t="s">
        <v>572</v>
      </c>
      <c r="O33" t="s">
        <v>574</v>
      </c>
      <c r="P33">
        <f>IFERROR(INDEX($A$2:$A$542,MATCH(ROWS($P$5:P33),$AD$2:$AD$542,0)),"")</f>
      </c>
      <c r="Q33">
        <f>IF($P33="","",INDEX($B$2:$B$542,MATCH(ROWS($P$5:P33),$AD$2:$AD$542,0)))</f>
      </c>
      <c r="R33">
        <f>IF($P33="","",INDEX($C$2:$C$542,MATCH(ROWS($P$5:P33),$AD$2:$AD$542,0)))</f>
      </c>
      <c r="S33">
        <f>IF($P33="","",INDEX($E$2:$E$542,MATCH(ROWS($P$5:P33),$AD$2:$AD$542,0)))</f>
      </c>
      <c r="T33" s="22">
        <f>IF($P33="","",IFERROR(IF(OR(INDEX($H$2:$H$542,MATCH(ROWS($P$5:P33),$AD$2:$AD$542,0))="",INDEX($H$2:$H$542,MATCH(ROWS($P$5:P33),$AD$2:$AD$542,0))="؟",INDEX($H$2:$H$542,MATCH(ROWS($P$5:P33),$AD$2:$AD$542,0))="نامشخص"),"",INDEX($H$2:$H$542,MATCH(ROWS($P$5:P33),$AD$2:$AD$542,0))),""))</f>
      </c>
      <c r="U33">
        <f>IF($P33="","",INDEX($L$2:$L$542,MATCH(ROWS($P$5:P33),$AD$2:$AD$542,0)))</f>
      </c>
      <c r="V33">
        <f>IF($P33="","",INDEX($M$2:$M$542,MATCH(ROWS($P$5:P33),$AD$2:$AD$542,0)))</f>
      </c>
      <c r="AD33">
        <f>IF(AND(LEN($Q$2)&gt;=3,ISNUMBER(SEARCH($Q$2,$B33))),MAX($AD$1:AD32)+1,"")</f>
      </c>
    </row>
    <row r="34" ht="14.4" customHeight="1" spans="1:30" x14ac:dyDescent="0.25">
      <c r="A34" s="16" t="s">
        <v>575</v>
      </c>
      <c r="B34" s="16" t="s">
        <v>139</v>
      </c>
      <c r="C34" s="16" t="s">
        <v>576</v>
      </c>
      <c r="D34" s="16" t="s">
        <v>501</v>
      </c>
      <c r="E34" s="16" t="s">
        <v>9</v>
      </c>
      <c r="F34" s="16" t="s">
        <v>9</v>
      </c>
      <c r="G34" s="17">
        <f t="shared" si="0"/>
        <v>850000</v>
      </c>
      <c r="H34" s="18">
        <v>850000</v>
      </c>
      <c r="I34" s="19">
        <v>2</v>
      </c>
      <c r="J34" s="18">
        <f t="shared" ref="J34:J65" si="3">IF(OR(H34="",H34="؟",H34="نامشخص"),"",CEILING(H34*(1+I34/100),10000))</f>
        <v>870000</v>
      </c>
      <c r="K34" s="18" t="s">
        <v>477</v>
      </c>
      <c r="L34" s="16" t="str">
        <f t="shared" ref="L34:L65" si="4">IF(OR($H34="",$H34="؟",$H34="نامشخص"),"نیاز به استعلام","فعال")</f>
        <v>فعال</v>
      </c>
      <c r="M34" s="16">
        <v>120</v>
      </c>
      <c r="N34" s="16" t="s">
        <v>575</v>
      </c>
      <c r="O34" t="s">
        <v>577</v>
      </c>
      <c r="P34">
        <f>IFERROR(INDEX($A$2:$A$542,MATCH(ROWS($P$5:P34),$AD$2:$AD$542,0)),"")</f>
      </c>
      <c r="Q34">
        <f>IF($P34="","",INDEX($B$2:$B$542,MATCH(ROWS($P$5:P34),$AD$2:$AD$542,0)))</f>
      </c>
      <c r="R34">
        <f>IF($P34="","",INDEX($C$2:$C$542,MATCH(ROWS($P$5:P34),$AD$2:$AD$542,0)))</f>
      </c>
      <c r="S34">
        <f>IF($P34="","",INDEX($E$2:$E$542,MATCH(ROWS($P$5:P34),$AD$2:$AD$542,0)))</f>
      </c>
      <c r="T34" s="22">
        <f>IF($P34="","",IFERROR(IF(OR(INDEX($H$2:$H$542,MATCH(ROWS($P$5:P34),$AD$2:$AD$542,0))="",INDEX($H$2:$H$542,MATCH(ROWS($P$5:P34),$AD$2:$AD$542,0))="؟",INDEX($H$2:$H$542,MATCH(ROWS($P$5:P34),$AD$2:$AD$542,0))="نامشخص"),"",INDEX($H$2:$H$542,MATCH(ROWS($P$5:P34),$AD$2:$AD$542,0))),""))</f>
      </c>
      <c r="U34">
        <f>IF($P34="","",INDEX($L$2:$L$542,MATCH(ROWS($P$5:P34),$AD$2:$AD$542,0)))</f>
      </c>
      <c r="V34">
        <f>IF($P34="","",INDEX($M$2:$M$542,MATCH(ROWS($P$5:P34),$AD$2:$AD$542,0)))</f>
      </c>
      <c r="AD34">
        <f>IF(AND(LEN($Q$2)&gt;=3,ISNUMBER(SEARCH($Q$2,$B34))),MAX($AD$1:AD33)+1,"")</f>
      </c>
    </row>
    <row r="35" ht="14.4" customHeight="1" spans="1:30" x14ac:dyDescent="0.25">
      <c r="A35" s="16" t="s">
        <v>578</v>
      </c>
      <c r="B35" s="16" t="s">
        <v>143</v>
      </c>
      <c r="C35" s="16" t="s">
        <v>579</v>
      </c>
      <c r="D35" s="16" t="s">
        <v>501</v>
      </c>
      <c r="E35" s="16" t="s">
        <v>9</v>
      </c>
      <c r="F35" s="16" t="s">
        <v>9</v>
      </c>
      <c r="G35" s="17">
        <f t="shared" si="0"/>
        <v>740000</v>
      </c>
      <c r="H35" s="18">
        <v>740000</v>
      </c>
      <c r="I35" s="19">
        <v>1</v>
      </c>
      <c r="J35" s="18">
        <f t="shared" si="3"/>
        <v>750000</v>
      </c>
      <c r="K35" s="18" t="s">
        <v>477</v>
      </c>
      <c r="L35" s="16" t="str">
        <f t="shared" si="4"/>
        <v>فعال</v>
      </c>
      <c r="M35" s="16">
        <v>124</v>
      </c>
      <c r="N35" s="16" t="s">
        <v>578</v>
      </c>
      <c r="O35" t="s">
        <v>580</v>
      </c>
      <c r="P35">
        <f>IFERROR(INDEX($A$2:$A$542,MATCH(ROWS($P$5:P35),$AD$2:$AD$542,0)),"")</f>
      </c>
      <c r="Q35">
        <f>IF($P35="","",INDEX($B$2:$B$542,MATCH(ROWS($P$5:P35),$AD$2:$AD$542,0)))</f>
      </c>
      <c r="R35">
        <f>IF($P35="","",INDEX($C$2:$C$542,MATCH(ROWS($P$5:P35),$AD$2:$AD$542,0)))</f>
      </c>
      <c r="S35">
        <f>IF($P35="","",INDEX($E$2:$E$542,MATCH(ROWS($P$5:P35),$AD$2:$AD$542,0)))</f>
      </c>
      <c r="T35" s="22">
        <f>IF($P35="","",IFERROR(IF(OR(INDEX($H$2:$H$542,MATCH(ROWS($P$5:P35),$AD$2:$AD$542,0))="",INDEX($H$2:$H$542,MATCH(ROWS($P$5:P35),$AD$2:$AD$542,0))="؟",INDEX($H$2:$H$542,MATCH(ROWS($P$5:P35),$AD$2:$AD$542,0))="نامشخص"),"",INDEX($H$2:$H$542,MATCH(ROWS($P$5:P35),$AD$2:$AD$542,0))),""))</f>
      </c>
      <c r="U35">
        <f>IF($P35="","",INDEX($L$2:$L$542,MATCH(ROWS($P$5:P35),$AD$2:$AD$542,0)))</f>
      </c>
      <c r="V35">
        <f>IF($P35="","",INDEX($M$2:$M$542,MATCH(ROWS($P$5:P35),$AD$2:$AD$542,0)))</f>
      </c>
      <c r="AD35">
        <f>IF(AND(LEN($Q$2)&gt;=3,ISNUMBER(SEARCH($Q$2,$B35))),MAX($AD$1:AD34)+1,"")</f>
      </c>
    </row>
    <row r="36" ht="14.4" customHeight="1" spans="1:30" x14ac:dyDescent="0.25">
      <c r="A36" s="16" t="s">
        <v>581</v>
      </c>
      <c r="B36" s="16" t="s">
        <v>225</v>
      </c>
      <c r="C36" s="16" t="s">
        <v>582</v>
      </c>
      <c r="D36" s="16" t="s">
        <v>501</v>
      </c>
      <c r="E36" s="16" t="s">
        <v>9</v>
      </c>
      <c r="F36" s="16" t="s">
        <v>9</v>
      </c>
      <c r="G36" s="17" t="str">
        <f t="shared" si="0"/>
        <v>؟</v>
      </c>
      <c r="H36" s="18" t="s">
        <v>8</v>
      </c>
      <c r="I36" s="19">
        <v>1</v>
      </c>
      <c r="J36" s="18">
        <f t="shared" si="3"/>
      </c>
      <c r="K36" s="18" t="s">
        <v>477</v>
      </c>
      <c r="L36" s="16" t="str">
        <f t="shared" si="4"/>
        <v>نیاز به استعلام</v>
      </c>
      <c r="M36" s="16">
        <v>203</v>
      </c>
      <c r="N36" s="16" t="s">
        <v>581</v>
      </c>
      <c r="O36" t="s">
        <v>583</v>
      </c>
      <c r="P36">
        <f>IFERROR(INDEX($A$2:$A$542,MATCH(ROWS($P$5:P36),$AD$2:$AD$542,0)),"")</f>
      </c>
      <c r="Q36">
        <f>IF($P36="","",INDEX($B$2:$B$542,MATCH(ROWS($P$5:P36),$AD$2:$AD$542,0)))</f>
      </c>
      <c r="R36">
        <f>IF($P36="","",INDEX($C$2:$C$542,MATCH(ROWS($P$5:P36),$AD$2:$AD$542,0)))</f>
      </c>
      <c r="S36">
        <f>IF($P36="","",INDEX($E$2:$E$542,MATCH(ROWS($P$5:P36),$AD$2:$AD$542,0)))</f>
      </c>
      <c r="T36" s="22">
        <f>IF($P36="","",IFERROR(IF(OR(INDEX($H$2:$H$542,MATCH(ROWS($P$5:P36),$AD$2:$AD$542,0))="",INDEX($H$2:$H$542,MATCH(ROWS($P$5:P36),$AD$2:$AD$542,0))="؟",INDEX($H$2:$H$542,MATCH(ROWS($P$5:P36),$AD$2:$AD$542,0))="نامشخص"),"",INDEX($H$2:$H$542,MATCH(ROWS($P$5:P36),$AD$2:$AD$542,0))),""))</f>
      </c>
      <c r="U36">
        <f>IF($P36="","",INDEX($L$2:$L$542,MATCH(ROWS($P$5:P36),$AD$2:$AD$542,0)))</f>
      </c>
      <c r="V36">
        <f>IF($P36="","",INDEX($M$2:$M$542,MATCH(ROWS($P$5:P36),$AD$2:$AD$542,0)))</f>
      </c>
      <c r="AD36">
        <f>IF(AND(LEN($Q$2)&gt;=3,ISNUMBER(SEARCH($Q$2,$B36))),MAX($AD$1:AD35)+1,"")</f>
      </c>
    </row>
    <row r="37" ht="14.4" customHeight="1" spans="1:30" x14ac:dyDescent="0.25">
      <c r="A37" s="16" t="s">
        <v>584</v>
      </c>
      <c r="B37" s="16" t="s">
        <v>224</v>
      </c>
      <c r="C37" s="16" t="s">
        <v>585</v>
      </c>
      <c r="D37" s="16" t="s">
        <v>501</v>
      </c>
      <c r="E37" s="16" t="s">
        <v>9</v>
      </c>
      <c r="F37" s="16" t="s">
        <v>9</v>
      </c>
      <c r="G37" s="17">
        <f t="shared" si="0"/>
        <v>800000</v>
      </c>
      <c r="H37" s="18">
        <v>800000</v>
      </c>
      <c r="I37" s="19">
        <v>2</v>
      </c>
      <c r="J37" s="18">
        <f t="shared" si="3"/>
        <v>820000</v>
      </c>
      <c r="K37" s="18" t="s">
        <v>477</v>
      </c>
      <c r="L37" s="16" t="str">
        <f t="shared" si="4"/>
        <v>فعال</v>
      </c>
      <c r="M37" s="16">
        <v>202</v>
      </c>
      <c r="N37" s="16" t="s">
        <v>584</v>
      </c>
      <c r="O37" t="s">
        <v>586</v>
      </c>
      <c r="P37">
        <f>IFERROR(INDEX($A$2:$A$542,MATCH(ROWS($P$5:P37),$AD$2:$AD$542,0)),"")</f>
      </c>
      <c r="Q37">
        <f>IF($P37="","",INDEX($B$2:$B$542,MATCH(ROWS($P$5:P37),$AD$2:$AD$542,0)))</f>
      </c>
      <c r="R37">
        <f>IF($P37="","",INDEX($C$2:$C$542,MATCH(ROWS($P$5:P37),$AD$2:$AD$542,0)))</f>
      </c>
      <c r="S37">
        <f>IF($P37="","",INDEX($E$2:$E$542,MATCH(ROWS($P$5:P37),$AD$2:$AD$542,0)))</f>
      </c>
      <c r="T37" s="22">
        <f>IF($P37="","",IFERROR(IF(OR(INDEX($H$2:$H$542,MATCH(ROWS($P$5:P37),$AD$2:$AD$542,0))="",INDEX($H$2:$H$542,MATCH(ROWS($P$5:P37),$AD$2:$AD$542,0))="؟",INDEX($H$2:$H$542,MATCH(ROWS($P$5:P37),$AD$2:$AD$542,0))="نامشخص"),"",INDEX($H$2:$H$542,MATCH(ROWS($P$5:P37),$AD$2:$AD$542,0))),""))</f>
      </c>
      <c r="U37">
        <f>IF($P37="","",INDEX($L$2:$L$542,MATCH(ROWS($P$5:P37),$AD$2:$AD$542,0)))</f>
      </c>
      <c r="V37">
        <f>IF($P37="","",INDEX($M$2:$M$542,MATCH(ROWS($P$5:P37),$AD$2:$AD$542,0)))</f>
      </c>
      <c r="AD37">
        <f>IF(AND(LEN($Q$2)&gt;=3,ISNUMBER(SEARCH($Q$2,$B37))),MAX($AD$1:AD36)+1,"")</f>
      </c>
    </row>
    <row r="38" ht="14.4" customHeight="1" spans="1:30" x14ac:dyDescent="0.25">
      <c r="A38" s="16" t="s">
        <v>587</v>
      </c>
      <c r="B38" s="16" t="s">
        <v>228</v>
      </c>
      <c r="C38" s="16" t="s">
        <v>588</v>
      </c>
      <c r="D38" s="16" t="s">
        <v>501</v>
      </c>
      <c r="E38" s="16" t="s">
        <v>9</v>
      </c>
      <c r="F38" s="16" t="s">
        <v>9</v>
      </c>
      <c r="G38" s="17" t="str">
        <f t="shared" si="0"/>
        <v>؟</v>
      </c>
      <c r="H38" s="18" t="s">
        <v>8</v>
      </c>
      <c r="I38" s="19">
        <v>3</v>
      </c>
      <c r="J38" s="18">
        <f t="shared" si="3"/>
      </c>
      <c r="K38" s="18" t="s">
        <v>477</v>
      </c>
      <c r="L38" s="16" t="str">
        <f t="shared" si="4"/>
        <v>نیاز به استعلام</v>
      </c>
      <c r="M38" s="16">
        <v>206</v>
      </c>
      <c r="N38" s="16" t="s">
        <v>587</v>
      </c>
      <c r="O38" t="s">
        <v>589</v>
      </c>
      <c r="P38">
        <f>IFERROR(INDEX($A$2:$A$542,MATCH(ROWS($P$5:P38),$AD$2:$AD$542,0)),"")</f>
      </c>
      <c r="Q38">
        <f>IF($P38="","",INDEX($B$2:$B$542,MATCH(ROWS($P$5:P38),$AD$2:$AD$542,0)))</f>
      </c>
      <c r="R38">
        <f>IF($P38="","",INDEX($C$2:$C$542,MATCH(ROWS($P$5:P38),$AD$2:$AD$542,0)))</f>
      </c>
      <c r="S38">
        <f>IF($P38="","",INDEX($E$2:$E$542,MATCH(ROWS($P$5:P38),$AD$2:$AD$542,0)))</f>
      </c>
      <c r="T38" s="22">
        <f>IF($P38="","",IFERROR(IF(OR(INDEX($H$2:$H$542,MATCH(ROWS($P$5:P38),$AD$2:$AD$542,0))="",INDEX($H$2:$H$542,MATCH(ROWS($P$5:P38),$AD$2:$AD$542,0))="؟",INDEX($H$2:$H$542,MATCH(ROWS($P$5:P38),$AD$2:$AD$542,0))="نامشخص"),"",INDEX($H$2:$H$542,MATCH(ROWS($P$5:P38),$AD$2:$AD$542,0))),""))</f>
      </c>
      <c r="U38">
        <f>IF($P38="","",INDEX($L$2:$L$542,MATCH(ROWS($P$5:P38),$AD$2:$AD$542,0)))</f>
      </c>
      <c r="V38">
        <f>IF($P38="","",INDEX($M$2:$M$542,MATCH(ROWS($P$5:P38),$AD$2:$AD$542,0)))</f>
      </c>
      <c r="AD38">
        <f>IF(AND(LEN($Q$2)&gt;=3,ISNUMBER(SEARCH($Q$2,$B38))),MAX($AD$1:AD37)+1,"")</f>
      </c>
    </row>
    <row r="39" ht="14.4" customHeight="1" spans="1:30" x14ac:dyDescent="0.25">
      <c r="A39" s="16" t="s">
        <v>590</v>
      </c>
      <c r="B39" s="16" t="s">
        <v>229</v>
      </c>
      <c r="C39" s="16" t="s">
        <v>591</v>
      </c>
      <c r="D39" s="16" t="s">
        <v>501</v>
      </c>
      <c r="E39" s="16" t="s">
        <v>9</v>
      </c>
      <c r="F39" s="16" t="s">
        <v>9</v>
      </c>
      <c r="G39" s="17">
        <f t="shared" si="0"/>
        <v>1200000</v>
      </c>
      <c r="H39" s="18">
        <v>1200000</v>
      </c>
      <c r="I39" s="19">
        <v>2</v>
      </c>
      <c r="J39" s="18">
        <f t="shared" si="3"/>
        <v>1230000</v>
      </c>
      <c r="K39" s="18" t="s">
        <v>477</v>
      </c>
      <c r="L39" s="16" t="str">
        <f t="shared" si="4"/>
        <v>فعال</v>
      </c>
      <c r="M39" s="16">
        <v>207</v>
      </c>
      <c r="N39" s="16" t="s">
        <v>590</v>
      </c>
      <c r="O39" t="s">
        <v>592</v>
      </c>
      <c r="P39">
        <f>IFERROR(INDEX($A$2:$A$542,MATCH(ROWS($P$5:P39),$AD$2:$AD$542,0)),"")</f>
      </c>
      <c r="Q39">
        <f>IF($P39="","",INDEX($B$2:$B$542,MATCH(ROWS($P$5:P39),$AD$2:$AD$542,0)))</f>
      </c>
      <c r="R39">
        <f>IF($P39="","",INDEX($C$2:$C$542,MATCH(ROWS($P$5:P39),$AD$2:$AD$542,0)))</f>
      </c>
      <c r="S39">
        <f>IF($P39="","",INDEX($E$2:$E$542,MATCH(ROWS($P$5:P39),$AD$2:$AD$542,0)))</f>
      </c>
      <c r="T39" s="22">
        <f>IF($P39="","",IFERROR(IF(OR(INDEX($H$2:$H$542,MATCH(ROWS($P$5:P39),$AD$2:$AD$542,0))="",INDEX($H$2:$H$542,MATCH(ROWS($P$5:P39),$AD$2:$AD$542,0))="؟",INDEX($H$2:$H$542,MATCH(ROWS($P$5:P39),$AD$2:$AD$542,0))="نامشخص"),"",INDEX($H$2:$H$542,MATCH(ROWS($P$5:P39),$AD$2:$AD$542,0))),""))</f>
      </c>
      <c r="U39">
        <f>IF($P39="","",INDEX($L$2:$L$542,MATCH(ROWS($P$5:P39),$AD$2:$AD$542,0)))</f>
      </c>
      <c r="V39">
        <f>IF($P39="","",INDEX($M$2:$M$542,MATCH(ROWS($P$5:P39),$AD$2:$AD$542,0)))</f>
      </c>
      <c r="AD39">
        <f>IF(AND(LEN($Q$2)&gt;=3,ISNUMBER(SEARCH($Q$2,$B39))),MAX($AD$1:AD38)+1,"")</f>
      </c>
    </row>
    <row r="40" ht="14.4" customHeight="1" spans="1:30" x14ac:dyDescent="0.25">
      <c r="A40" s="16" t="s">
        <v>593</v>
      </c>
      <c r="B40" s="16" t="s">
        <v>231</v>
      </c>
      <c r="C40" s="16" t="s">
        <v>594</v>
      </c>
      <c r="D40" s="16" t="s">
        <v>501</v>
      </c>
      <c r="E40" s="16" t="s">
        <v>9</v>
      </c>
      <c r="F40" s="16" t="s">
        <v>9</v>
      </c>
      <c r="G40" s="17">
        <f t="shared" si="0"/>
        <v>1340000</v>
      </c>
      <c r="H40" s="18">
        <v>1340000</v>
      </c>
      <c r="I40" s="19">
        <v>2</v>
      </c>
      <c r="J40" s="18">
        <f t="shared" si="3"/>
        <v>1370000</v>
      </c>
      <c r="K40" s="18" t="s">
        <v>477</v>
      </c>
      <c r="L40" s="16" t="str">
        <f t="shared" si="4"/>
        <v>فعال</v>
      </c>
      <c r="M40" s="16">
        <v>209</v>
      </c>
      <c r="N40" s="16" t="s">
        <v>593</v>
      </c>
      <c r="O40" t="s">
        <v>595</v>
      </c>
      <c r="P40">
        <f>IFERROR(INDEX($A$2:$A$542,MATCH(ROWS($P$5:P40),$AD$2:$AD$542,0)),"")</f>
      </c>
      <c r="Q40">
        <f>IF($P40="","",INDEX($B$2:$B$542,MATCH(ROWS($P$5:P40),$AD$2:$AD$542,0)))</f>
      </c>
      <c r="R40">
        <f>IF($P40="","",INDEX($C$2:$C$542,MATCH(ROWS($P$5:P40),$AD$2:$AD$542,0)))</f>
      </c>
      <c r="S40">
        <f>IF($P40="","",INDEX($E$2:$E$542,MATCH(ROWS($P$5:P40),$AD$2:$AD$542,0)))</f>
      </c>
      <c r="T40" s="22">
        <f>IF($P40="","",IFERROR(IF(OR(INDEX($H$2:$H$542,MATCH(ROWS($P$5:P40),$AD$2:$AD$542,0))="",INDEX($H$2:$H$542,MATCH(ROWS($P$5:P40),$AD$2:$AD$542,0))="؟",INDEX($H$2:$H$542,MATCH(ROWS($P$5:P40),$AD$2:$AD$542,0))="نامشخص"),"",INDEX($H$2:$H$542,MATCH(ROWS($P$5:P40),$AD$2:$AD$542,0))),""))</f>
      </c>
      <c r="U40">
        <f>IF($P40="","",INDEX($L$2:$L$542,MATCH(ROWS($P$5:P40),$AD$2:$AD$542,0)))</f>
      </c>
      <c r="V40">
        <f>IF($P40="","",INDEX($M$2:$M$542,MATCH(ROWS($P$5:P40),$AD$2:$AD$542,0)))</f>
      </c>
      <c r="AD40">
        <f>IF(AND(LEN($Q$2)&gt;=3,ISNUMBER(SEARCH($Q$2,$B40))),MAX($AD$1:AD39)+1,"")</f>
      </c>
    </row>
    <row r="41" ht="14.4" customHeight="1" spans="1:30" x14ac:dyDescent="0.25">
      <c r="A41" s="16" t="s">
        <v>596</v>
      </c>
      <c r="B41" s="16" t="s">
        <v>232</v>
      </c>
      <c r="C41" s="16" t="s">
        <v>597</v>
      </c>
      <c r="D41" s="16" t="s">
        <v>501</v>
      </c>
      <c r="E41" s="16" t="s">
        <v>9</v>
      </c>
      <c r="F41" s="16" t="s">
        <v>9</v>
      </c>
      <c r="G41" s="17">
        <f t="shared" si="0"/>
        <v>3100000</v>
      </c>
      <c r="H41" s="18">
        <v>3100000</v>
      </c>
      <c r="I41" s="19">
        <v>3</v>
      </c>
      <c r="J41" s="18">
        <f t="shared" si="3"/>
        <v>3200000</v>
      </c>
      <c r="K41" s="18" t="s">
        <v>477</v>
      </c>
      <c r="L41" s="16" t="str">
        <f t="shared" si="4"/>
        <v>فعال</v>
      </c>
      <c r="M41" s="16">
        <v>210</v>
      </c>
      <c r="N41" s="16" t="s">
        <v>596</v>
      </c>
      <c r="O41" t="s">
        <v>598</v>
      </c>
      <c r="P41">
        <f>IFERROR(INDEX($A$2:$A$542,MATCH(ROWS($P$5:P41),$AD$2:$AD$542,0)),"")</f>
      </c>
      <c r="Q41">
        <f>IF($P41="","",INDEX($B$2:$B$542,MATCH(ROWS($P$5:P41),$AD$2:$AD$542,0)))</f>
      </c>
      <c r="R41">
        <f>IF($P41="","",INDEX($C$2:$C$542,MATCH(ROWS($P$5:P41),$AD$2:$AD$542,0)))</f>
      </c>
      <c r="S41">
        <f>IF($P41="","",INDEX($E$2:$E$542,MATCH(ROWS($P$5:P41),$AD$2:$AD$542,0)))</f>
      </c>
      <c r="T41" s="22">
        <f>IF($P41="","",IFERROR(IF(OR(INDEX($H$2:$H$542,MATCH(ROWS($P$5:P41),$AD$2:$AD$542,0))="",INDEX($H$2:$H$542,MATCH(ROWS($P$5:P41),$AD$2:$AD$542,0))="؟",INDEX($H$2:$H$542,MATCH(ROWS($P$5:P41),$AD$2:$AD$542,0))="نامشخص"),"",INDEX($H$2:$H$542,MATCH(ROWS($P$5:P41),$AD$2:$AD$542,0))),""))</f>
      </c>
      <c r="U41">
        <f>IF($P41="","",INDEX($L$2:$L$542,MATCH(ROWS($P$5:P41),$AD$2:$AD$542,0)))</f>
      </c>
      <c r="V41">
        <f>IF($P41="","",INDEX($M$2:$M$542,MATCH(ROWS($P$5:P41),$AD$2:$AD$542,0)))</f>
      </c>
      <c r="AD41">
        <f>IF(AND(LEN($Q$2)&gt;=3,ISNUMBER(SEARCH($Q$2,$B41))),MAX($AD$1:AD40)+1,"")</f>
      </c>
    </row>
    <row r="42" ht="14.4" customHeight="1" spans="1:30" x14ac:dyDescent="0.25">
      <c r="A42" s="16" t="s">
        <v>599</v>
      </c>
      <c r="B42" s="16" t="s">
        <v>240</v>
      </c>
      <c r="C42" s="16" t="s">
        <v>600</v>
      </c>
      <c r="D42" s="16" t="s">
        <v>501</v>
      </c>
      <c r="E42" s="16" t="s">
        <v>9</v>
      </c>
      <c r="F42" s="16" t="s">
        <v>9</v>
      </c>
      <c r="G42" s="17">
        <f t="shared" si="0"/>
        <v>3000000</v>
      </c>
      <c r="H42" s="18">
        <v>3000000</v>
      </c>
      <c r="I42" s="19">
        <v>3</v>
      </c>
      <c r="J42" s="18">
        <f t="shared" si="3"/>
        <v>3090000</v>
      </c>
      <c r="K42" s="18" t="s">
        <v>477</v>
      </c>
      <c r="L42" s="16" t="str">
        <f t="shared" si="4"/>
        <v>فعال</v>
      </c>
      <c r="M42" s="16">
        <v>216</v>
      </c>
      <c r="N42" s="16" t="s">
        <v>599</v>
      </c>
      <c r="O42" t="s">
        <v>601</v>
      </c>
      <c r="P42">
        <f>IFERROR(INDEX($A$2:$A$542,MATCH(ROWS($P$5:P42),$AD$2:$AD$542,0)),"")</f>
      </c>
      <c r="Q42">
        <f>IF($P42="","",INDEX($B$2:$B$542,MATCH(ROWS($P$5:P42),$AD$2:$AD$542,0)))</f>
      </c>
      <c r="R42">
        <f>IF($P42="","",INDEX($C$2:$C$542,MATCH(ROWS($P$5:P42),$AD$2:$AD$542,0)))</f>
      </c>
      <c r="S42">
        <f>IF($P42="","",INDEX($E$2:$E$542,MATCH(ROWS($P$5:P42),$AD$2:$AD$542,0)))</f>
      </c>
      <c r="T42" s="22">
        <f>IF($P42="","",IFERROR(IF(OR(INDEX($H$2:$H$542,MATCH(ROWS($P$5:P42),$AD$2:$AD$542,0))="",INDEX($H$2:$H$542,MATCH(ROWS($P$5:P42),$AD$2:$AD$542,0))="؟",INDEX($H$2:$H$542,MATCH(ROWS($P$5:P42),$AD$2:$AD$542,0))="نامشخص"),"",INDEX($H$2:$H$542,MATCH(ROWS($P$5:P42),$AD$2:$AD$542,0))),""))</f>
      </c>
      <c r="U42">
        <f>IF($P42="","",INDEX($L$2:$L$542,MATCH(ROWS($P$5:P42),$AD$2:$AD$542,0)))</f>
      </c>
      <c r="V42">
        <f>IF($P42="","",INDEX($M$2:$M$542,MATCH(ROWS($P$5:P42),$AD$2:$AD$542,0)))</f>
      </c>
      <c r="AD42">
        <f>IF(AND(LEN($Q$2)&gt;=3,ISNUMBER(SEARCH($Q$2,$B42))),MAX($AD$1:AD41)+1,"")</f>
      </c>
    </row>
    <row r="43" ht="14.4" customHeight="1" spans="1:30" x14ac:dyDescent="0.25">
      <c r="A43" s="16" t="s">
        <v>602</v>
      </c>
      <c r="B43" s="16" t="s">
        <v>241</v>
      </c>
      <c r="C43" s="16" t="s">
        <v>603</v>
      </c>
      <c r="D43" s="16" t="s">
        <v>501</v>
      </c>
      <c r="E43" s="16" t="s">
        <v>9</v>
      </c>
      <c r="F43" s="16" t="s">
        <v>9</v>
      </c>
      <c r="G43" s="17">
        <f t="shared" si="0"/>
        <v>2400000</v>
      </c>
      <c r="H43" s="18">
        <v>2400000</v>
      </c>
      <c r="I43" s="19">
        <v>1</v>
      </c>
      <c r="J43" s="18">
        <f t="shared" si="3"/>
        <v>2430000</v>
      </c>
      <c r="K43" s="18" t="s">
        <v>477</v>
      </c>
      <c r="L43" s="16" t="str">
        <f t="shared" si="4"/>
        <v>فعال</v>
      </c>
      <c r="M43" s="16">
        <v>217</v>
      </c>
      <c r="N43" s="16" t="s">
        <v>602</v>
      </c>
      <c r="O43" t="s">
        <v>604</v>
      </c>
      <c r="P43">
        <f>IFERROR(INDEX($A$2:$A$542,MATCH(ROWS($P$5:P43),$AD$2:$AD$542,0)),"")</f>
      </c>
      <c r="Q43">
        <f>IF($P43="","",INDEX($B$2:$B$542,MATCH(ROWS($P$5:P43),$AD$2:$AD$542,0)))</f>
      </c>
      <c r="R43">
        <f>IF($P43="","",INDEX($C$2:$C$542,MATCH(ROWS($P$5:P43),$AD$2:$AD$542,0)))</f>
      </c>
      <c r="S43">
        <f>IF($P43="","",INDEX($E$2:$E$542,MATCH(ROWS($P$5:P43),$AD$2:$AD$542,0)))</f>
      </c>
      <c r="T43" s="22">
        <f>IF($P43="","",IFERROR(IF(OR(INDEX($H$2:$H$542,MATCH(ROWS($P$5:P43),$AD$2:$AD$542,0))="",INDEX($H$2:$H$542,MATCH(ROWS($P$5:P43),$AD$2:$AD$542,0))="؟",INDEX($H$2:$H$542,MATCH(ROWS($P$5:P43),$AD$2:$AD$542,0))="نامشخص"),"",INDEX($H$2:$H$542,MATCH(ROWS($P$5:P43),$AD$2:$AD$542,0))),""))</f>
      </c>
      <c r="U43">
        <f>IF($P43="","",INDEX($L$2:$L$542,MATCH(ROWS($P$5:P43),$AD$2:$AD$542,0)))</f>
      </c>
      <c r="V43">
        <f>IF($P43="","",INDEX($M$2:$M$542,MATCH(ROWS($P$5:P43),$AD$2:$AD$542,0)))</f>
      </c>
      <c r="AD43">
        <f>IF(AND(LEN($Q$2)&gt;=3,ISNUMBER(SEARCH($Q$2,$B43))),MAX($AD$1:AD42)+1,"")</f>
      </c>
    </row>
    <row r="44" ht="14.4" customHeight="1" spans="1:30" x14ac:dyDescent="0.25">
      <c r="A44" s="16" t="s">
        <v>605</v>
      </c>
      <c r="B44" s="16" t="s">
        <v>243</v>
      </c>
      <c r="C44" s="16" t="s">
        <v>606</v>
      </c>
      <c r="D44" s="16" t="s">
        <v>501</v>
      </c>
      <c r="E44" s="16" t="s">
        <v>9</v>
      </c>
      <c r="F44" s="16" t="s">
        <v>9</v>
      </c>
      <c r="G44" s="17">
        <f t="shared" si="0"/>
        <v>2150000</v>
      </c>
      <c r="H44" s="18">
        <v>2150000</v>
      </c>
      <c r="I44" s="19">
        <v>2</v>
      </c>
      <c r="J44" s="18">
        <f t="shared" si="3"/>
        <v>2200000</v>
      </c>
      <c r="K44" s="18" t="s">
        <v>477</v>
      </c>
      <c r="L44" s="16" t="str">
        <f t="shared" si="4"/>
        <v>فعال</v>
      </c>
      <c r="M44" s="16">
        <v>219</v>
      </c>
      <c r="N44" s="16" t="s">
        <v>605</v>
      </c>
      <c r="O44" t="s">
        <v>607</v>
      </c>
      <c r="P44">
        <f>IFERROR(INDEX($A$2:$A$542,MATCH(ROWS($P$5:P44),$AD$2:$AD$542,0)),"")</f>
      </c>
      <c r="Q44">
        <f>IF($P44="","",INDEX($B$2:$B$542,MATCH(ROWS($P$5:P44),$AD$2:$AD$542,0)))</f>
      </c>
      <c r="R44">
        <f>IF($P44="","",INDEX($C$2:$C$542,MATCH(ROWS($P$5:P44),$AD$2:$AD$542,0)))</f>
      </c>
      <c r="S44">
        <f>IF($P44="","",INDEX($E$2:$E$542,MATCH(ROWS($P$5:P44),$AD$2:$AD$542,0)))</f>
      </c>
      <c r="T44" s="22">
        <f>IF($P44="","",IFERROR(IF(OR(INDEX($H$2:$H$542,MATCH(ROWS($P$5:P44),$AD$2:$AD$542,0))="",INDEX($H$2:$H$542,MATCH(ROWS($P$5:P44),$AD$2:$AD$542,0))="؟",INDEX($H$2:$H$542,MATCH(ROWS($P$5:P44),$AD$2:$AD$542,0))="نامشخص"),"",INDEX($H$2:$H$542,MATCH(ROWS($P$5:P44),$AD$2:$AD$542,0))),""))</f>
      </c>
      <c r="U44">
        <f>IF($P44="","",INDEX($L$2:$L$542,MATCH(ROWS($P$5:P44),$AD$2:$AD$542,0)))</f>
      </c>
      <c r="V44">
        <f>IF($P44="","",INDEX($M$2:$M$542,MATCH(ROWS($P$5:P44),$AD$2:$AD$542,0)))</f>
      </c>
      <c r="AD44">
        <f>IF(AND(LEN($Q$2)&gt;=3,ISNUMBER(SEARCH($Q$2,$B44))),MAX($AD$1:AD43)+1,"")</f>
      </c>
    </row>
    <row r="45" ht="14.4" customHeight="1" spans="1:30" x14ac:dyDescent="0.25">
      <c r="A45" s="16" t="s">
        <v>608</v>
      </c>
      <c r="B45" s="16" t="s">
        <v>244</v>
      </c>
      <c r="C45" s="16" t="s">
        <v>609</v>
      </c>
      <c r="D45" s="16" t="s">
        <v>501</v>
      </c>
      <c r="E45" s="16" t="s">
        <v>9</v>
      </c>
      <c r="F45" s="16" t="s">
        <v>9</v>
      </c>
      <c r="G45" s="17">
        <f t="shared" si="0"/>
        <v>900000</v>
      </c>
      <c r="H45" s="18">
        <v>900000</v>
      </c>
      <c r="I45" s="19">
        <v>3</v>
      </c>
      <c r="J45" s="18">
        <f t="shared" si="3"/>
        <v>930000</v>
      </c>
      <c r="K45" s="18" t="s">
        <v>477</v>
      </c>
      <c r="L45" s="16" t="str">
        <f t="shared" si="4"/>
        <v>فعال</v>
      </c>
      <c r="M45" s="16">
        <v>220</v>
      </c>
      <c r="N45" s="16" t="s">
        <v>608</v>
      </c>
      <c r="O45" t="s">
        <v>610</v>
      </c>
      <c r="P45">
        <f>IFERROR(INDEX($A$2:$A$542,MATCH(ROWS($P$5:P45),$AD$2:$AD$542,0)),"")</f>
      </c>
      <c r="Q45">
        <f>IF($P45="","",INDEX($B$2:$B$542,MATCH(ROWS($P$5:P45),$AD$2:$AD$542,0)))</f>
      </c>
      <c r="R45">
        <f>IF($P45="","",INDEX($C$2:$C$542,MATCH(ROWS($P$5:P45),$AD$2:$AD$542,0)))</f>
      </c>
      <c r="S45">
        <f>IF($P45="","",INDEX($E$2:$E$542,MATCH(ROWS($P$5:P45),$AD$2:$AD$542,0)))</f>
      </c>
      <c r="T45" s="22">
        <f>IF($P45="","",IFERROR(IF(OR(INDEX($H$2:$H$542,MATCH(ROWS($P$5:P45),$AD$2:$AD$542,0))="",INDEX($H$2:$H$542,MATCH(ROWS($P$5:P45),$AD$2:$AD$542,0))="؟",INDEX($H$2:$H$542,MATCH(ROWS($P$5:P45),$AD$2:$AD$542,0))="نامشخص"),"",INDEX($H$2:$H$542,MATCH(ROWS($P$5:P45),$AD$2:$AD$542,0))),""))</f>
      </c>
      <c r="U45">
        <f>IF($P45="","",INDEX($L$2:$L$542,MATCH(ROWS($P$5:P45),$AD$2:$AD$542,0)))</f>
      </c>
      <c r="V45">
        <f>IF($P45="","",INDEX($M$2:$M$542,MATCH(ROWS($P$5:P45),$AD$2:$AD$542,0)))</f>
      </c>
      <c r="AD45">
        <f>IF(AND(LEN($Q$2)&gt;=3,ISNUMBER(SEARCH($Q$2,$B45))),MAX($AD$1:AD44)+1,"")</f>
      </c>
    </row>
    <row r="46" ht="14.4" customHeight="1" spans="1:30" x14ac:dyDescent="0.25">
      <c r="A46" s="16" t="s">
        <v>611</v>
      </c>
      <c r="B46" s="16" t="s">
        <v>255</v>
      </c>
      <c r="C46" s="16" t="s">
        <v>612</v>
      </c>
      <c r="D46" s="16" t="s">
        <v>501</v>
      </c>
      <c r="E46" s="16" t="s">
        <v>9</v>
      </c>
      <c r="F46" s="16" t="s">
        <v>9</v>
      </c>
      <c r="G46" s="17">
        <f t="shared" si="0"/>
        <v>800000</v>
      </c>
      <c r="H46" s="18">
        <v>800000</v>
      </c>
      <c r="I46" s="19">
        <v>1</v>
      </c>
      <c r="J46" s="18">
        <f t="shared" si="3"/>
        <v>810000</v>
      </c>
      <c r="K46" s="18" t="s">
        <v>477</v>
      </c>
      <c r="L46" s="16" t="str">
        <f t="shared" si="4"/>
        <v>فعال</v>
      </c>
      <c r="M46" s="16">
        <v>231</v>
      </c>
      <c r="N46" s="16" t="s">
        <v>611</v>
      </c>
      <c r="O46" t="s">
        <v>613</v>
      </c>
      <c r="P46">
        <f>IFERROR(INDEX($A$2:$A$542,MATCH(ROWS($P$5:P46),$AD$2:$AD$542,0)),"")</f>
      </c>
      <c r="Q46">
        <f>IF($P46="","",INDEX($B$2:$B$542,MATCH(ROWS($P$5:P46),$AD$2:$AD$542,0)))</f>
      </c>
      <c r="R46">
        <f>IF($P46="","",INDEX($C$2:$C$542,MATCH(ROWS($P$5:P46),$AD$2:$AD$542,0)))</f>
      </c>
      <c r="S46">
        <f>IF($P46="","",INDEX($E$2:$E$542,MATCH(ROWS($P$5:P46),$AD$2:$AD$542,0)))</f>
      </c>
      <c r="T46" s="22">
        <f>IF($P46="","",IFERROR(IF(OR(INDEX($H$2:$H$542,MATCH(ROWS($P$5:P46),$AD$2:$AD$542,0))="",INDEX($H$2:$H$542,MATCH(ROWS($P$5:P46),$AD$2:$AD$542,0))="؟",INDEX($H$2:$H$542,MATCH(ROWS($P$5:P46),$AD$2:$AD$542,0))="نامشخص"),"",INDEX($H$2:$H$542,MATCH(ROWS($P$5:P46),$AD$2:$AD$542,0))),""))</f>
      </c>
      <c r="U46">
        <f>IF($P46="","",INDEX($L$2:$L$542,MATCH(ROWS($P$5:P46),$AD$2:$AD$542,0)))</f>
      </c>
      <c r="V46">
        <f>IF($P46="","",INDEX($M$2:$M$542,MATCH(ROWS($P$5:P46),$AD$2:$AD$542,0)))</f>
      </c>
      <c r="AD46">
        <f>IF(AND(LEN($Q$2)&gt;=3,ISNUMBER(SEARCH($Q$2,$B46))),MAX($AD$1:AD45)+1,"")</f>
      </c>
    </row>
    <row r="47" ht="14.4" customHeight="1" spans="1:30" x14ac:dyDescent="0.25">
      <c r="A47" s="16" t="s">
        <v>614</v>
      </c>
      <c r="B47" s="16" t="s">
        <v>256</v>
      </c>
      <c r="C47" s="16" t="s">
        <v>615</v>
      </c>
      <c r="D47" s="16" t="s">
        <v>501</v>
      </c>
      <c r="E47" s="16" t="s">
        <v>9</v>
      </c>
      <c r="F47" s="16" t="s">
        <v>9</v>
      </c>
      <c r="G47" s="17">
        <f t="shared" si="0"/>
        <v>1100000</v>
      </c>
      <c r="H47" s="18">
        <v>1100000</v>
      </c>
      <c r="I47" s="19">
        <v>2</v>
      </c>
      <c r="J47" s="18">
        <f t="shared" si="3"/>
        <v>1130000</v>
      </c>
      <c r="K47" s="18" t="s">
        <v>477</v>
      </c>
      <c r="L47" s="16" t="str">
        <f t="shared" si="4"/>
        <v>فعال</v>
      </c>
      <c r="M47" s="16">
        <v>232</v>
      </c>
      <c r="N47" s="16" t="s">
        <v>614</v>
      </c>
      <c r="O47" t="s">
        <v>616</v>
      </c>
      <c r="P47">
        <f>IFERROR(INDEX($A$2:$A$542,MATCH(ROWS($P$5:P47),$AD$2:$AD$542,0)),"")</f>
      </c>
      <c r="Q47">
        <f>IF($P47="","",INDEX($B$2:$B$542,MATCH(ROWS($P$5:P47),$AD$2:$AD$542,0)))</f>
      </c>
      <c r="R47">
        <f>IF($P47="","",INDEX($C$2:$C$542,MATCH(ROWS($P$5:P47),$AD$2:$AD$542,0)))</f>
      </c>
      <c r="S47">
        <f>IF($P47="","",INDEX($E$2:$E$542,MATCH(ROWS($P$5:P47),$AD$2:$AD$542,0)))</f>
      </c>
      <c r="T47" s="22">
        <f>IF($P47="","",IFERROR(IF(OR(INDEX($H$2:$H$542,MATCH(ROWS($P$5:P47),$AD$2:$AD$542,0))="",INDEX($H$2:$H$542,MATCH(ROWS($P$5:P47),$AD$2:$AD$542,0))="؟",INDEX($H$2:$H$542,MATCH(ROWS($P$5:P47),$AD$2:$AD$542,0))="نامشخص"),"",INDEX($H$2:$H$542,MATCH(ROWS($P$5:P47),$AD$2:$AD$542,0))),""))</f>
      </c>
      <c r="U47">
        <f>IF($P47="","",INDEX($L$2:$L$542,MATCH(ROWS($P$5:P47),$AD$2:$AD$542,0)))</f>
      </c>
      <c r="V47">
        <f>IF($P47="","",INDEX($M$2:$M$542,MATCH(ROWS($P$5:P47),$AD$2:$AD$542,0)))</f>
      </c>
      <c r="AD47">
        <f>IF(AND(LEN($Q$2)&gt;=3,ISNUMBER(SEARCH($Q$2,$B47))),MAX($AD$1:AD46)+1,"")</f>
      </c>
    </row>
    <row r="48" ht="14.4" customHeight="1" spans="1:30" x14ac:dyDescent="0.25">
      <c r="A48" s="16" t="s">
        <v>617</v>
      </c>
      <c r="B48" s="16" t="s">
        <v>257</v>
      </c>
      <c r="C48" s="16" t="s">
        <v>618</v>
      </c>
      <c r="D48" s="16" t="s">
        <v>501</v>
      </c>
      <c r="E48" s="16" t="s">
        <v>9</v>
      </c>
      <c r="F48" s="16" t="s">
        <v>9</v>
      </c>
      <c r="G48" s="17" t="str">
        <f t="shared" si="0"/>
        <v>؟</v>
      </c>
      <c r="H48" s="18" t="s">
        <v>8</v>
      </c>
      <c r="I48" s="19">
        <v>1</v>
      </c>
      <c r="J48" s="18">
        <f t="shared" si="3"/>
      </c>
      <c r="K48" s="18" t="s">
        <v>477</v>
      </c>
      <c r="L48" s="16" t="str">
        <f t="shared" si="4"/>
        <v>نیاز به استعلام</v>
      </c>
      <c r="M48" s="16">
        <v>233</v>
      </c>
      <c r="N48" s="16" t="s">
        <v>617</v>
      </c>
      <c r="O48" t="s">
        <v>619</v>
      </c>
      <c r="P48">
        <f>IFERROR(INDEX($A$2:$A$542,MATCH(ROWS($P$5:P48),$AD$2:$AD$542,0)),"")</f>
      </c>
      <c r="Q48">
        <f>IF($P48="","",INDEX($B$2:$B$542,MATCH(ROWS($P$5:P48),$AD$2:$AD$542,0)))</f>
      </c>
      <c r="R48">
        <f>IF($P48="","",INDEX($C$2:$C$542,MATCH(ROWS($P$5:P48),$AD$2:$AD$542,0)))</f>
      </c>
      <c r="S48">
        <f>IF($P48="","",INDEX($E$2:$E$542,MATCH(ROWS($P$5:P48),$AD$2:$AD$542,0)))</f>
      </c>
      <c r="T48" s="22">
        <f>IF($P48="","",IFERROR(IF(OR(INDEX($H$2:$H$542,MATCH(ROWS($P$5:P48),$AD$2:$AD$542,0))="",INDEX($H$2:$H$542,MATCH(ROWS($P$5:P48),$AD$2:$AD$542,0))="؟",INDEX($H$2:$H$542,MATCH(ROWS($P$5:P48),$AD$2:$AD$542,0))="نامشخص"),"",INDEX($H$2:$H$542,MATCH(ROWS($P$5:P48),$AD$2:$AD$542,0))),""))</f>
      </c>
      <c r="U48">
        <f>IF($P48="","",INDEX($L$2:$L$542,MATCH(ROWS($P$5:P48),$AD$2:$AD$542,0)))</f>
      </c>
      <c r="V48">
        <f>IF($P48="","",INDEX($M$2:$M$542,MATCH(ROWS($P$5:P48),$AD$2:$AD$542,0)))</f>
      </c>
      <c r="AD48">
        <f>IF(AND(LEN($Q$2)&gt;=3,ISNUMBER(SEARCH($Q$2,$B48))),MAX($AD$1:AD47)+1,"")</f>
      </c>
    </row>
    <row r="49" ht="14.4" customHeight="1" spans="1:30" x14ac:dyDescent="0.25">
      <c r="A49" s="16" t="s">
        <v>620</v>
      </c>
      <c r="B49" s="16" t="s">
        <v>292</v>
      </c>
      <c r="C49" s="16" t="s">
        <v>621</v>
      </c>
      <c r="D49" s="16" t="s">
        <v>501</v>
      </c>
      <c r="E49" s="16" t="s">
        <v>9</v>
      </c>
      <c r="F49" s="16" t="s">
        <v>9</v>
      </c>
      <c r="G49" s="17">
        <f t="shared" si="0"/>
        <v>120000</v>
      </c>
      <c r="H49" s="18">
        <v>120000</v>
      </c>
      <c r="I49" s="19">
        <v>2</v>
      </c>
      <c r="J49" s="18">
        <f t="shared" si="3"/>
        <v>130000</v>
      </c>
      <c r="K49" s="18" t="s">
        <v>477</v>
      </c>
      <c r="L49" s="16" t="str">
        <f t="shared" si="4"/>
        <v>فعال</v>
      </c>
      <c r="M49" s="16">
        <v>266</v>
      </c>
      <c r="N49" s="16" t="s">
        <v>620</v>
      </c>
      <c r="O49" t="s">
        <v>622</v>
      </c>
      <c r="P49">
        <f>IFERROR(INDEX($A$2:$A$542,MATCH(ROWS($P$5:P49),$AD$2:$AD$542,0)),"")</f>
      </c>
      <c r="Q49">
        <f>IF($P49="","",INDEX($B$2:$B$542,MATCH(ROWS($P$5:P49),$AD$2:$AD$542,0)))</f>
      </c>
      <c r="R49">
        <f>IF($P49="","",INDEX($C$2:$C$542,MATCH(ROWS($P$5:P49),$AD$2:$AD$542,0)))</f>
      </c>
      <c r="S49">
        <f>IF($P49="","",INDEX($E$2:$E$542,MATCH(ROWS($P$5:P49),$AD$2:$AD$542,0)))</f>
      </c>
      <c r="T49" s="22">
        <f>IF($P49="","",IFERROR(IF(OR(INDEX($H$2:$H$542,MATCH(ROWS($P$5:P49),$AD$2:$AD$542,0))="",INDEX($H$2:$H$542,MATCH(ROWS($P$5:P49),$AD$2:$AD$542,0))="؟",INDEX($H$2:$H$542,MATCH(ROWS($P$5:P49),$AD$2:$AD$542,0))="نامشخص"),"",INDEX($H$2:$H$542,MATCH(ROWS($P$5:P49),$AD$2:$AD$542,0))),""))</f>
      </c>
      <c r="U49">
        <f>IF($P49="","",INDEX($L$2:$L$542,MATCH(ROWS($P$5:P49),$AD$2:$AD$542,0)))</f>
      </c>
      <c r="V49">
        <f>IF($P49="","",INDEX($M$2:$M$542,MATCH(ROWS($P$5:P49),$AD$2:$AD$542,0)))</f>
      </c>
      <c r="AD49">
        <f>IF(AND(LEN($Q$2)&gt;=3,ISNUMBER(SEARCH($Q$2,$B49))),MAX($AD$1:AD48)+1,"")</f>
      </c>
    </row>
    <row r="50" ht="14.4" customHeight="1" spans="1:30" x14ac:dyDescent="0.25">
      <c r="A50" s="16" t="s">
        <v>623</v>
      </c>
      <c r="B50" s="16" t="s">
        <v>370</v>
      </c>
      <c r="C50" s="16" t="s">
        <v>624</v>
      </c>
      <c r="D50" s="16" t="s">
        <v>501</v>
      </c>
      <c r="E50" s="16" t="s">
        <v>9</v>
      </c>
      <c r="F50" s="16" t="s">
        <v>9</v>
      </c>
      <c r="G50" s="17">
        <f t="shared" si="0"/>
        <v>850000</v>
      </c>
      <c r="H50" s="18">
        <v>850000</v>
      </c>
      <c r="I50" s="19">
        <v>1</v>
      </c>
      <c r="J50" s="18">
        <f t="shared" si="3"/>
        <v>860000</v>
      </c>
      <c r="K50" s="18" t="s">
        <v>477</v>
      </c>
      <c r="L50" s="16" t="str">
        <f t="shared" si="4"/>
        <v>فعال</v>
      </c>
      <c r="M50" s="16">
        <v>329</v>
      </c>
      <c r="N50" s="16" t="s">
        <v>623</v>
      </c>
      <c r="O50" t="s">
        <v>625</v>
      </c>
      <c r="P50">
        <f>IFERROR(INDEX($A$2:$A$542,MATCH(ROWS($P$5:P50),$AD$2:$AD$542,0)),"")</f>
      </c>
      <c r="Q50">
        <f>IF($P50="","",INDEX($B$2:$B$542,MATCH(ROWS($P$5:P50),$AD$2:$AD$542,0)))</f>
      </c>
      <c r="R50">
        <f>IF($P50="","",INDEX($C$2:$C$542,MATCH(ROWS($P$5:P50),$AD$2:$AD$542,0)))</f>
      </c>
      <c r="S50">
        <f>IF($P50="","",INDEX($E$2:$E$542,MATCH(ROWS($P$5:P50),$AD$2:$AD$542,0)))</f>
      </c>
      <c r="T50" s="22">
        <f>IF($P50="","",IFERROR(IF(OR(INDEX($H$2:$H$542,MATCH(ROWS($P$5:P50),$AD$2:$AD$542,0))="",INDEX($H$2:$H$542,MATCH(ROWS($P$5:P50),$AD$2:$AD$542,0))="؟",INDEX($H$2:$H$542,MATCH(ROWS($P$5:P50),$AD$2:$AD$542,0))="نامشخص"),"",INDEX($H$2:$H$542,MATCH(ROWS($P$5:P50),$AD$2:$AD$542,0))),""))</f>
      </c>
      <c r="U50">
        <f>IF($P50="","",INDEX($L$2:$L$542,MATCH(ROWS($P$5:P50),$AD$2:$AD$542,0)))</f>
      </c>
      <c r="V50">
        <f>IF($P50="","",INDEX($M$2:$M$542,MATCH(ROWS($P$5:P50),$AD$2:$AD$542,0)))</f>
      </c>
      <c r="AD50">
        <f>IF(AND(LEN($Q$2)&gt;=3,ISNUMBER(SEARCH($Q$2,$B50))),MAX($AD$1:AD49)+1,"")</f>
      </c>
    </row>
    <row r="51" ht="14.4" customHeight="1" spans="1:30" x14ac:dyDescent="0.25">
      <c r="A51" s="16" t="s">
        <v>626</v>
      </c>
      <c r="B51" s="16" t="s">
        <v>371</v>
      </c>
      <c r="C51" s="16" t="s">
        <v>627</v>
      </c>
      <c r="D51" s="16" t="s">
        <v>501</v>
      </c>
      <c r="E51" s="16" t="s">
        <v>9</v>
      </c>
      <c r="F51" s="16" t="s">
        <v>9</v>
      </c>
      <c r="G51" s="17">
        <f t="shared" si="0"/>
        <v>2300000</v>
      </c>
      <c r="H51" s="18">
        <v>2300000</v>
      </c>
      <c r="I51" s="19">
        <v>2</v>
      </c>
      <c r="J51" s="18">
        <f t="shared" si="3"/>
        <v>2350000</v>
      </c>
      <c r="K51" s="18" t="s">
        <v>477</v>
      </c>
      <c r="L51" s="16" t="str">
        <f t="shared" si="4"/>
        <v>فعال</v>
      </c>
      <c r="M51" s="16">
        <v>330</v>
      </c>
      <c r="N51" s="16" t="s">
        <v>626</v>
      </c>
      <c r="O51" t="s">
        <v>628</v>
      </c>
      <c r="P51">
        <f>IFERROR(INDEX($A$2:$A$542,MATCH(ROWS($P$5:P51),$AD$2:$AD$542,0)),"")</f>
      </c>
      <c r="Q51">
        <f>IF($P51="","",INDEX($B$2:$B$542,MATCH(ROWS($P$5:P51),$AD$2:$AD$542,0)))</f>
      </c>
      <c r="R51">
        <f>IF($P51="","",INDEX($C$2:$C$542,MATCH(ROWS($P$5:P51),$AD$2:$AD$542,0)))</f>
      </c>
      <c r="S51">
        <f>IF($P51="","",INDEX($E$2:$E$542,MATCH(ROWS($P$5:P51),$AD$2:$AD$542,0)))</f>
      </c>
      <c r="T51" s="22">
        <f>IF($P51="","",IFERROR(IF(OR(INDEX($H$2:$H$542,MATCH(ROWS($P$5:P51),$AD$2:$AD$542,0))="",INDEX($H$2:$H$542,MATCH(ROWS($P$5:P51),$AD$2:$AD$542,0))="؟",INDEX($H$2:$H$542,MATCH(ROWS($P$5:P51),$AD$2:$AD$542,0))="نامشخص"),"",INDEX($H$2:$H$542,MATCH(ROWS($P$5:P51),$AD$2:$AD$542,0))),""))</f>
      </c>
      <c r="U51">
        <f>IF($P51="","",INDEX($L$2:$L$542,MATCH(ROWS($P$5:P51),$AD$2:$AD$542,0)))</f>
      </c>
      <c r="V51">
        <f>IF($P51="","",INDEX($M$2:$M$542,MATCH(ROWS($P$5:P51),$AD$2:$AD$542,0)))</f>
      </c>
      <c r="AD51">
        <f>IF(AND(LEN($Q$2)&gt;=3,ISNUMBER(SEARCH($Q$2,$B51))),MAX($AD$1:AD50)+1,"")</f>
      </c>
    </row>
    <row r="52" ht="14.4" customHeight="1" spans="1:30" x14ac:dyDescent="0.25">
      <c r="A52" s="16" t="s">
        <v>629</v>
      </c>
      <c r="B52" s="16" t="s">
        <v>372</v>
      </c>
      <c r="C52" s="16" t="s">
        <v>630</v>
      </c>
      <c r="D52" s="16" t="s">
        <v>501</v>
      </c>
      <c r="E52" s="16" t="s">
        <v>9</v>
      </c>
      <c r="F52" s="16" t="s">
        <v>9</v>
      </c>
      <c r="G52" s="17">
        <f t="shared" si="0"/>
        <v>600000</v>
      </c>
      <c r="H52" s="18">
        <v>600000</v>
      </c>
      <c r="I52" s="19">
        <v>3</v>
      </c>
      <c r="J52" s="18">
        <f t="shared" si="3"/>
        <v>620000</v>
      </c>
      <c r="K52" s="18" t="s">
        <v>477</v>
      </c>
      <c r="L52" s="16" t="str">
        <f t="shared" si="4"/>
        <v>فعال</v>
      </c>
      <c r="M52" s="16">
        <v>331</v>
      </c>
      <c r="N52" s="16" t="s">
        <v>629</v>
      </c>
      <c r="O52" t="s">
        <v>631</v>
      </c>
      <c r="P52">
        <f>IFERROR(INDEX($A$2:$A$542,MATCH(ROWS($P$5:P52),$AD$2:$AD$542,0)),"")</f>
      </c>
      <c r="Q52">
        <f>IF($P52="","",INDEX($B$2:$B$542,MATCH(ROWS($P$5:P52),$AD$2:$AD$542,0)))</f>
      </c>
      <c r="R52">
        <f>IF($P52="","",INDEX($C$2:$C$542,MATCH(ROWS($P$5:P52),$AD$2:$AD$542,0)))</f>
      </c>
      <c r="S52">
        <f>IF($P52="","",INDEX($E$2:$E$542,MATCH(ROWS($P$5:P52),$AD$2:$AD$542,0)))</f>
      </c>
      <c r="T52" s="22">
        <f>IF($P52="","",IFERROR(IF(OR(INDEX($H$2:$H$542,MATCH(ROWS($P$5:P52),$AD$2:$AD$542,0))="",INDEX($H$2:$H$542,MATCH(ROWS($P$5:P52),$AD$2:$AD$542,0))="؟",INDEX($H$2:$H$542,MATCH(ROWS($P$5:P52),$AD$2:$AD$542,0))="نامشخص"),"",INDEX($H$2:$H$542,MATCH(ROWS($P$5:P52),$AD$2:$AD$542,0))),""))</f>
      </c>
      <c r="U52">
        <f>IF($P52="","",INDEX($L$2:$L$542,MATCH(ROWS($P$5:P52),$AD$2:$AD$542,0)))</f>
      </c>
      <c r="V52">
        <f>IF($P52="","",INDEX($M$2:$M$542,MATCH(ROWS($P$5:P52),$AD$2:$AD$542,0)))</f>
      </c>
      <c r="AD52">
        <f>IF(AND(LEN($Q$2)&gt;=3,ISNUMBER(SEARCH($Q$2,$B52))),MAX($AD$1:AD51)+1,"")</f>
      </c>
    </row>
    <row r="53" ht="14.4" customHeight="1" spans="1:30" x14ac:dyDescent="0.25">
      <c r="A53" s="16" t="s">
        <v>632</v>
      </c>
      <c r="B53" s="16" t="s">
        <v>374</v>
      </c>
      <c r="C53" s="16" t="s">
        <v>633</v>
      </c>
      <c r="D53" s="16" t="s">
        <v>501</v>
      </c>
      <c r="E53" s="16" t="s">
        <v>9</v>
      </c>
      <c r="F53" s="16" t="s">
        <v>9</v>
      </c>
      <c r="G53" s="17">
        <f t="shared" si="0"/>
        <v>700000</v>
      </c>
      <c r="H53" s="18">
        <v>700000</v>
      </c>
      <c r="I53" s="19">
        <v>2</v>
      </c>
      <c r="J53" s="18">
        <f t="shared" si="3"/>
        <v>720000</v>
      </c>
      <c r="K53" s="18" t="s">
        <v>477</v>
      </c>
      <c r="L53" s="16" t="str">
        <f t="shared" si="4"/>
        <v>فعال</v>
      </c>
      <c r="M53" s="16">
        <v>333</v>
      </c>
      <c r="N53" s="16" t="s">
        <v>632</v>
      </c>
      <c r="O53" t="s">
        <v>634</v>
      </c>
      <c r="P53">
        <f>IFERROR(INDEX($A$2:$A$542,MATCH(ROWS($P$5:P53),$AD$2:$AD$542,0)),"")</f>
      </c>
      <c r="Q53">
        <f>IF($P53="","",INDEX($B$2:$B$542,MATCH(ROWS($P$5:P53),$AD$2:$AD$542,0)))</f>
      </c>
      <c r="R53">
        <f>IF($P53="","",INDEX($C$2:$C$542,MATCH(ROWS($P$5:P53),$AD$2:$AD$542,0)))</f>
      </c>
      <c r="S53">
        <f>IF($P53="","",INDEX($E$2:$E$542,MATCH(ROWS($P$5:P53),$AD$2:$AD$542,0)))</f>
      </c>
      <c r="T53" s="22">
        <f>IF($P53="","",IFERROR(IF(OR(INDEX($H$2:$H$542,MATCH(ROWS($P$5:P53),$AD$2:$AD$542,0))="",INDEX($H$2:$H$542,MATCH(ROWS($P$5:P53),$AD$2:$AD$542,0))="؟",INDEX($H$2:$H$542,MATCH(ROWS($P$5:P53),$AD$2:$AD$542,0))="نامشخص"),"",INDEX($H$2:$H$542,MATCH(ROWS($P$5:P53),$AD$2:$AD$542,0))),""))</f>
      </c>
      <c r="U53">
        <f>IF($P53="","",INDEX($L$2:$L$542,MATCH(ROWS($P$5:P53),$AD$2:$AD$542,0)))</f>
      </c>
      <c r="V53">
        <f>IF($P53="","",INDEX($M$2:$M$542,MATCH(ROWS($P$5:P53),$AD$2:$AD$542,0)))</f>
      </c>
      <c r="AD53">
        <f>IF(AND(LEN($Q$2)&gt;=3,ISNUMBER(SEARCH($Q$2,$B53))),MAX($AD$1:AD52)+1,"")</f>
      </c>
    </row>
    <row r="54" ht="14.4" customHeight="1" spans="1:30" x14ac:dyDescent="0.25">
      <c r="A54" s="16" t="s">
        <v>635</v>
      </c>
      <c r="B54" s="16" t="s">
        <v>373</v>
      </c>
      <c r="C54" s="16" t="s">
        <v>636</v>
      </c>
      <c r="D54" s="16" t="s">
        <v>501</v>
      </c>
      <c r="E54" s="16" t="s">
        <v>9</v>
      </c>
      <c r="F54" s="16" t="s">
        <v>9</v>
      </c>
      <c r="G54" s="17">
        <f t="shared" si="0"/>
        <v>900000</v>
      </c>
      <c r="H54" s="18">
        <v>900000</v>
      </c>
      <c r="I54" s="19">
        <v>1</v>
      </c>
      <c r="J54" s="18">
        <f t="shared" si="3"/>
        <v>910000</v>
      </c>
      <c r="K54" s="18" t="s">
        <v>477</v>
      </c>
      <c r="L54" s="16" t="str">
        <f t="shared" si="4"/>
        <v>فعال</v>
      </c>
      <c r="M54" s="16">
        <v>332</v>
      </c>
      <c r="N54" s="16" t="s">
        <v>635</v>
      </c>
      <c r="O54" t="s">
        <v>637</v>
      </c>
      <c r="P54">
        <f>IFERROR(INDEX($A$2:$A$542,MATCH(ROWS($P$5:P54),$AD$2:$AD$542,0)),"")</f>
      </c>
      <c r="Q54">
        <f>IF($P54="","",INDEX($B$2:$B$542,MATCH(ROWS($P$5:P54),$AD$2:$AD$542,0)))</f>
      </c>
      <c r="R54">
        <f>IF($P54="","",INDEX($C$2:$C$542,MATCH(ROWS($P$5:P54),$AD$2:$AD$542,0)))</f>
      </c>
      <c r="S54">
        <f>IF($P54="","",INDEX($E$2:$E$542,MATCH(ROWS($P$5:P54),$AD$2:$AD$542,0)))</f>
      </c>
      <c r="T54" s="22">
        <f>IF($P54="","",IFERROR(IF(OR(INDEX($H$2:$H$542,MATCH(ROWS($P$5:P54),$AD$2:$AD$542,0))="",INDEX($H$2:$H$542,MATCH(ROWS($P$5:P54),$AD$2:$AD$542,0))="؟",INDEX($H$2:$H$542,MATCH(ROWS($P$5:P54),$AD$2:$AD$542,0))="نامشخص"),"",INDEX($H$2:$H$542,MATCH(ROWS($P$5:P54),$AD$2:$AD$542,0))),""))</f>
      </c>
      <c r="U54">
        <f>IF($P54="","",INDEX($L$2:$L$542,MATCH(ROWS($P$5:P54),$AD$2:$AD$542,0)))</f>
      </c>
      <c r="V54">
        <f>IF($P54="","",INDEX($M$2:$M$542,MATCH(ROWS($P$5:P54),$AD$2:$AD$542,0)))</f>
      </c>
      <c r="AD54">
        <f>IF(AND(LEN($Q$2)&gt;=3,ISNUMBER(SEARCH($Q$2,$B54))),MAX($AD$1:AD53)+1,"")</f>
      </c>
    </row>
    <row r="55" ht="14.4" customHeight="1" spans="1:30" x14ac:dyDescent="0.25">
      <c r="A55" s="16" t="s">
        <v>638</v>
      </c>
      <c r="B55" s="16" t="s">
        <v>432</v>
      </c>
      <c r="C55" s="16" t="s">
        <v>639</v>
      </c>
      <c r="D55" s="16" t="s">
        <v>501</v>
      </c>
      <c r="E55" s="16" t="s">
        <v>9</v>
      </c>
      <c r="F55" s="16" t="s">
        <v>9</v>
      </c>
      <c r="G55" s="17">
        <f t="shared" si="0"/>
        <v>3500000</v>
      </c>
      <c r="H55" s="18">
        <v>3500000</v>
      </c>
      <c r="I55" s="19">
        <v>2</v>
      </c>
      <c r="J55" s="18">
        <f t="shared" si="3"/>
        <v>3570000</v>
      </c>
      <c r="K55" s="18" t="s">
        <v>477</v>
      </c>
      <c r="L55" s="16" t="str">
        <f t="shared" si="4"/>
        <v>فعال</v>
      </c>
      <c r="M55" s="16">
        <v>383</v>
      </c>
      <c r="N55" s="16" t="s">
        <v>638</v>
      </c>
      <c r="O55" t="s">
        <v>640</v>
      </c>
      <c r="P55">
        <f>IFERROR(INDEX($A$2:$A$542,MATCH(ROWS($P$5:P55),$AD$2:$AD$542,0)),"")</f>
      </c>
      <c r="Q55">
        <f>IF($P55="","",INDEX($B$2:$B$542,MATCH(ROWS($P$5:P55),$AD$2:$AD$542,0)))</f>
      </c>
      <c r="R55">
        <f>IF($P55="","",INDEX($C$2:$C$542,MATCH(ROWS($P$5:P55),$AD$2:$AD$542,0)))</f>
      </c>
      <c r="S55">
        <f>IF($P55="","",INDEX($E$2:$E$542,MATCH(ROWS($P$5:P55),$AD$2:$AD$542,0)))</f>
      </c>
      <c r="T55" s="22">
        <f>IF($P55="","",IFERROR(IF(OR(INDEX($H$2:$H$542,MATCH(ROWS($P$5:P55),$AD$2:$AD$542,0))="",INDEX($H$2:$H$542,MATCH(ROWS($P$5:P55),$AD$2:$AD$542,0))="؟",INDEX($H$2:$H$542,MATCH(ROWS($P$5:P55),$AD$2:$AD$542,0))="نامشخص"),"",INDEX($H$2:$H$542,MATCH(ROWS($P$5:P55),$AD$2:$AD$542,0))),""))</f>
      </c>
      <c r="U55">
        <f>IF($P55="","",INDEX($L$2:$L$542,MATCH(ROWS($P$5:P55),$AD$2:$AD$542,0)))</f>
      </c>
      <c r="V55">
        <f>IF($P55="","",INDEX($M$2:$M$542,MATCH(ROWS($P$5:P55),$AD$2:$AD$542,0)))</f>
      </c>
      <c r="AD55">
        <f>IF(AND(LEN($Q$2)&gt;=3,ISNUMBER(SEARCH($Q$2,$B55))),MAX($AD$1:AD54)+1,"")</f>
      </c>
    </row>
    <row r="56" ht="14.4" customHeight="1" spans="1:30" x14ac:dyDescent="0.25">
      <c r="A56" s="16" t="s">
        <v>641</v>
      </c>
      <c r="B56" s="16" t="s">
        <v>433</v>
      </c>
      <c r="C56" s="16" t="s">
        <v>642</v>
      </c>
      <c r="D56" s="16" t="s">
        <v>501</v>
      </c>
      <c r="E56" s="16" t="s">
        <v>9</v>
      </c>
      <c r="F56" s="16" t="s">
        <v>9</v>
      </c>
      <c r="G56" s="17">
        <f t="shared" si="0"/>
        <v>3300000</v>
      </c>
      <c r="H56" s="18">
        <v>3300000</v>
      </c>
      <c r="I56" s="19">
        <v>1</v>
      </c>
      <c r="J56" s="18">
        <f t="shared" si="3"/>
        <v>3340000</v>
      </c>
      <c r="K56" s="18" t="s">
        <v>477</v>
      </c>
      <c r="L56" s="16" t="str">
        <f t="shared" si="4"/>
        <v>فعال</v>
      </c>
      <c r="M56" s="16">
        <v>384</v>
      </c>
      <c r="N56" s="16" t="s">
        <v>641</v>
      </c>
      <c r="O56" t="s">
        <v>643</v>
      </c>
      <c r="P56">
        <f>IFERROR(INDEX($A$2:$A$542,MATCH(ROWS($P$5:P56),$AD$2:$AD$542,0)),"")</f>
      </c>
      <c r="Q56">
        <f>IF($P56="","",INDEX($B$2:$B$542,MATCH(ROWS($P$5:P56),$AD$2:$AD$542,0)))</f>
      </c>
      <c r="R56">
        <f>IF($P56="","",INDEX($C$2:$C$542,MATCH(ROWS($P$5:P56),$AD$2:$AD$542,0)))</f>
      </c>
      <c r="S56">
        <f>IF($P56="","",INDEX($E$2:$E$542,MATCH(ROWS($P$5:P56),$AD$2:$AD$542,0)))</f>
      </c>
      <c r="T56" s="22">
        <f>IF($P56="","",IFERROR(IF(OR(INDEX($H$2:$H$542,MATCH(ROWS($P$5:P56),$AD$2:$AD$542,0))="",INDEX($H$2:$H$542,MATCH(ROWS($P$5:P56),$AD$2:$AD$542,0))="؟",INDEX($H$2:$H$542,MATCH(ROWS($P$5:P56),$AD$2:$AD$542,0))="نامشخص"),"",INDEX($H$2:$H$542,MATCH(ROWS($P$5:P56),$AD$2:$AD$542,0))),""))</f>
      </c>
      <c r="U56">
        <f>IF($P56="","",INDEX($L$2:$L$542,MATCH(ROWS($P$5:P56),$AD$2:$AD$542,0)))</f>
      </c>
      <c r="V56">
        <f>IF($P56="","",INDEX($M$2:$M$542,MATCH(ROWS($P$5:P56),$AD$2:$AD$542,0)))</f>
      </c>
      <c r="AD56">
        <f>IF(AND(LEN($Q$2)&gt;=3,ISNUMBER(SEARCH($Q$2,$B56))),MAX($AD$1:AD55)+1,"")</f>
      </c>
    </row>
    <row r="57" ht="14.4" customHeight="1" spans="1:30" x14ac:dyDescent="0.25">
      <c r="A57" s="16" t="s">
        <v>644</v>
      </c>
      <c r="B57" s="16" t="s">
        <v>440</v>
      </c>
      <c r="C57" s="16" t="s">
        <v>645</v>
      </c>
      <c r="D57" s="16" t="s">
        <v>501</v>
      </c>
      <c r="E57" s="16" t="s">
        <v>378</v>
      </c>
      <c r="F57" s="16" t="s">
        <v>378</v>
      </c>
      <c r="G57" s="17">
        <f t="shared" si="0"/>
        <v>120000</v>
      </c>
      <c r="H57" s="18">
        <v>120000</v>
      </c>
      <c r="I57" s="19">
        <v>2</v>
      </c>
      <c r="J57" s="18">
        <f t="shared" si="3"/>
        <v>130000</v>
      </c>
      <c r="K57" s="18" t="s">
        <v>477</v>
      </c>
      <c r="L57" s="16" t="str">
        <f t="shared" si="4"/>
        <v>فعال</v>
      </c>
      <c r="M57" s="16">
        <v>390</v>
      </c>
      <c r="N57" s="16" t="s">
        <v>644</v>
      </c>
      <c r="O57" t="s">
        <v>646</v>
      </c>
      <c r="P57">
        <f>IFERROR(INDEX($A$2:$A$542,MATCH(ROWS($P$5:P57),$AD$2:$AD$542,0)),"")</f>
      </c>
      <c r="Q57">
        <f>IF($P57="","",INDEX($B$2:$B$542,MATCH(ROWS($P$5:P57),$AD$2:$AD$542,0)))</f>
      </c>
      <c r="R57">
        <f>IF($P57="","",INDEX($C$2:$C$542,MATCH(ROWS($P$5:P57),$AD$2:$AD$542,0)))</f>
      </c>
      <c r="S57">
        <f>IF($P57="","",INDEX($E$2:$E$542,MATCH(ROWS($P$5:P57),$AD$2:$AD$542,0)))</f>
      </c>
      <c r="T57" s="22">
        <f>IF($P57="","",IFERROR(IF(OR(INDEX($H$2:$H$542,MATCH(ROWS($P$5:P57),$AD$2:$AD$542,0))="",INDEX($H$2:$H$542,MATCH(ROWS($P$5:P57),$AD$2:$AD$542,0))="؟",INDEX($H$2:$H$542,MATCH(ROWS($P$5:P57),$AD$2:$AD$542,0))="نامشخص"),"",INDEX($H$2:$H$542,MATCH(ROWS($P$5:P57),$AD$2:$AD$542,0))),""))</f>
      </c>
      <c r="U57">
        <f>IF($P57="","",INDEX($L$2:$L$542,MATCH(ROWS($P$5:P57),$AD$2:$AD$542,0)))</f>
      </c>
      <c r="V57">
        <f>IF($P57="","",INDEX($M$2:$M$542,MATCH(ROWS($P$5:P57),$AD$2:$AD$542,0)))</f>
      </c>
      <c r="AD57">
        <f>IF(AND(LEN($Q$2)&gt;=3,ISNUMBER(SEARCH($Q$2,$B57))),MAX($AD$1:AD56)+1,"")</f>
      </c>
    </row>
    <row r="58" ht="14.4" customHeight="1" spans="1:30" x14ac:dyDescent="0.25">
      <c r="A58" s="16" t="s">
        <v>647</v>
      </c>
      <c r="B58" s="16" t="s">
        <v>441</v>
      </c>
      <c r="C58" s="16" t="s">
        <v>648</v>
      </c>
      <c r="D58" s="16" t="s">
        <v>501</v>
      </c>
      <c r="E58" s="16" t="s">
        <v>9</v>
      </c>
      <c r="F58" s="16" t="s">
        <v>9</v>
      </c>
      <c r="G58" s="17">
        <f t="shared" si="0"/>
        <v>220000</v>
      </c>
      <c r="H58" s="18">
        <v>220000</v>
      </c>
      <c r="I58" s="19">
        <v>3</v>
      </c>
      <c r="J58" s="18">
        <f t="shared" si="3"/>
        <v>230000</v>
      </c>
      <c r="K58" s="18" t="s">
        <v>477</v>
      </c>
      <c r="L58" s="16" t="str">
        <f t="shared" si="4"/>
        <v>فعال</v>
      </c>
      <c r="M58" s="16">
        <v>391</v>
      </c>
      <c r="N58" s="16" t="s">
        <v>647</v>
      </c>
      <c r="O58" t="s">
        <v>649</v>
      </c>
      <c r="P58">
        <f>IFERROR(INDEX($A$2:$A$542,MATCH(ROWS($P$5:P58),$AD$2:$AD$542,0)),"")</f>
      </c>
      <c r="Q58">
        <f>IF($P58="","",INDEX($B$2:$B$542,MATCH(ROWS($P$5:P58),$AD$2:$AD$542,0)))</f>
      </c>
      <c r="R58">
        <f>IF($P58="","",INDEX($C$2:$C$542,MATCH(ROWS($P$5:P58),$AD$2:$AD$542,0)))</f>
      </c>
      <c r="S58">
        <f>IF($P58="","",INDEX($E$2:$E$542,MATCH(ROWS($P$5:P58),$AD$2:$AD$542,0)))</f>
      </c>
      <c r="T58" s="22">
        <f>IF($P58="","",IFERROR(IF(OR(INDEX($H$2:$H$542,MATCH(ROWS($P$5:P58),$AD$2:$AD$542,0))="",INDEX($H$2:$H$542,MATCH(ROWS($P$5:P58),$AD$2:$AD$542,0))="؟",INDEX($H$2:$H$542,MATCH(ROWS($P$5:P58),$AD$2:$AD$542,0))="نامشخص"),"",INDEX($H$2:$H$542,MATCH(ROWS($P$5:P58),$AD$2:$AD$542,0))),""))</f>
      </c>
      <c r="U58">
        <f>IF($P58="","",INDEX($L$2:$L$542,MATCH(ROWS($P$5:P58),$AD$2:$AD$542,0)))</f>
      </c>
      <c r="V58">
        <f>IF($P58="","",INDEX($M$2:$M$542,MATCH(ROWS($P$5:P58),$AD$2:$AD$542,0)))</f>
      </c>
      <c r="AD58">
        <f>IF(AND(LEN($Q$2)&gt;=3,ISNUMBER(SEARCH($Q$2,$B58))),MAX($AD$1:AD57)+1,"")</f>
      </c>
    </row>
    <row r="59" ht="14.4" customHeight="1" spans="1:30" x14ac:dyDescent="0.25">
      <c r="A59" s="16" t="s">
        <v>650</v>
      </c>
      <c r="B59" s="16" t="s">
        <v>442</v>
      </c>
      <c r="C59" s="16" t="s">
        <v>651</v>
      </c>
      <c r="D59" s="16" t="s">
        <v>501</v>
      </c>
      <c r="E59" s="16" t="s">
        <v>378</v>
      </c>
      <c r="F59" s="16" t="s">
        <v>378</v>
      </c>
      <c r="G59" s="17">
        <f t="shared" si="0"/>
        <v>100000</v>
      </c>
      <c r="H59" s="18">
        <v>100000</v>
      </c>
      <c r="I59" s="19">
        <v>1</v>
      </c>
      <c r="J59" s="18">
        <f t="shared" si="3"/>
        <v>110000</v>
      </c>
      <c r="K59" s="18" t="s">
        <v>477</v>
      </c>
      <c r="L59" s="16" t="str">
        <f t="shared" si="4"/>
        <v>فعال</v>
      </c>
      <c r="M59" s="16">
        <v>392</v>
      </c>
      <c r="N59" s="16" t="s">
        <v>650</v>
      </c>
      <c r="O59" t="s">
        <v>652</v>
      </c>
      <c r="P59">
        <f>IFERROR(INDEX($A$2:$A$542,MATCH(ROWS($P$5:P59),$AD$2:$AD$542,0)),"")</f>
      </c>
      <c r="Q59">
        <f>IF($P59="","",INDEX($B$2:$B$542,MATCH(ROWS($P$5:P59),$AD$2:$AD$542,0)))</f>
      </c>
      <c r="R59">
        <f>IF($P59="","",INDEX($C$2:$C$542,MATCH(ROWS($P$5:P59),$AD$2:$AD$542,0)))</f>
      </c>
      <c r="S59">
        <f>IF($P59="","",INDEX($E$2:$E$542,MATCH(ROWS($P$5:P59),$AD$2:$AD$542,0)))</f>
      </c>
      <c r="T59" s="22">
        <f>IF($P59="","",IFERROR(IF(OR(INDEX($H$2:$H$542,MATCH(ROWS($P$5:P59),$AD$2:$AD$542,0))="",INDEX($H$2:$H$542,MATCH(ROWS($P$5:P59),$AD$2:$AD$542,0))="؟",INDEX($H$2:$H$542,MATCH(ROWS($P$5:P59),$AD$2:$AD$542,0))="نامشخص"),"",INDEX($H$2:$H$542,MATCH(ROWS($P$5:P59),$AD$2:$AD$542,0))),""))</f>
      </c>
      <c r="U59">
        <f>IF($P59="","",INDEX($L$2:$L$542,MATCH(ROWS($P$5:P59),$AD$2:$AD$542,0)))</f>
      </c>
      <c r="V59">
        <f>IF($P59="","",INDEX($M$2:$M$542,MATCH(ROWS($P$5:P59),$AD$2:$AD$542,0)))</f>
      </c>
      <c r="AD59">
        <f>IF(AND(LEN($Q$2)&gt;=3,ISNUMBER(SEARCH($Q$2,$B59))),MAX($AD$1:AD58)+1,"")</f>
      </c>
    </row>
    <row r="60" ht="14.4" customHeight="1" spans="1:30" x14ac:dyDescent="0.25">
      <c r="A60" s="16" t="s">
        <v>653</v>
      </c>
      <c r="B60" s="16" t="s">
        <v>443</v>
      </c>
      <c r="C60" s="16" t="s">
        <v>654</v>
      </c>
      <c r="D60" s="16" t="s">
        <v>501</v>
      </c>
      <c r="E60" s="16" t="s">
        <v>9</v>
      </c>
      <c r="F60" s="16" t="s">
        <v>9</v>
      </c>
      <c r="G60" s="17">
        <f t="shared" si="0"/>
        <v>150000</v>
      </c>
      <c r="H60" s="18">
        <v>150000</v>
      </c>
      <c r="I60" s="19">
        <v>2</v>
      </c>
      <c r="J60" s="18">
        <f t="shared" si="3"/>
        <v>160000</v>
      </c>
      <c r="K60" s="18" t="s">
        <v>477</v>
      </c>
      <c r="L60" s="16" t="str">
        <f t="shared" si="4"/>
        <v>فعال</v>
      </c>
      <c r="M60" s="16">
        <v>393</v>
      </c>
      <c r="N60" s="16" t="s">
        <v>653</v>
      </c>
      <c r="O60" t="s">
        <v>655</v>
      </c>
      <c r="P60">
        <f>IFERROR(INDEX($A$2:$A$542,MATCH(ROWS($P$5:P60),$AD$2:$AD$542,0)),"")</f>
      </c>
      <c r="Q60">
        <f>IF($P60="","",INDEX($B$2:$B$542,MATCH(ROWS($P$5:P60),$AD$2:$AD$542,0)))</f>
      </c>
      <c r="R60">
        <f>IF($P60="","",INDEX($C$2:$C$542,MATCH(ROWS($P$5:P60),$AD$2:$AD$542,0)))</f>
      </c>
      <c r="S60">
        <f>IF($P60="","",INDEX($E$2:$E$542,MATCH(ROWS($P$5:P60),$AD$2:$AD$542,0)))</f>
      </c>
      <c r="T60" s="22">
        <f>IF($P60="","",IFERROR(IF(OR(INDEX($H$2:$H$542,MATCH(ROWS($P$5:P60),$AD$2:$AD$542,0))="",INDEX($H$2:$H$542,MATCH(ROWS($P$5:P60),$AD$2:$AD$542,0))="؟",INDEX($H$2:$H$542,MATCH(ROWS($P$5:P60),$AD$2:$AD$542,0))="نامشخص"),"",INDEX($H$2:$H$542,MATCH(ROWS($P$5:P60),$AD$2:$AD$542,0))),""))</f>
      </c>
      <c r="U60">
        <f>IF($P60="","",INDEX($L$2:$L$542,MATCH(ROWS($P$5:P60),$AD$2:$AD$542,0)))</f>
      </c>
      <c r="V60">
        <f>IF($P60="","",INDEX($M$2:$M$542,MATCH(ROWS($P$5:P60),$AD$2:$AD$542,0)))</f>
      </c>
      <c r="AD60">
        <f>IF(AND(LEN($Q$2)&gt;=3,ISNUMBER(SEARCH($Q$2,$B60))),MAX($AD$1:AD59)+1,"")</f>
      </c>
    </row>
    <row r="61" ht="14.4" customHeight="1" spans="1:30" x14ac:dyDescent="0.25">
      <c r="A61" s="16" t="s">
        <v>656</v>
      </c>
      <c r="B61" s="16" t="s">
        <v>444</v>
      </c>
      <c r="C61" s="16" t="s">
        <v>657</v>
      </c>
      <c r="D61" s="16" t="s">
        <v>501</v>
      </c>
      <c r="E61" s="16" t="s">
        <v>9</v>
      </c>
      <c r="F61" s="16" t="s">
        <v>9</v>
      </c>
      <c r="G61" s="17">
        <f t="shared" si="0"/>
        <v>120000</v>
      </c>
      <c r="H61" s="18">
        <v>120000</v>
      </c>
      <c r="I61" s="19">
        <v>2</v>
      </c>
      <c r="J61" s="18">
        <f t="shared" si="3"/>
        <v>130000</v>
      </c>
      <c r="K61" s="18" t="s">
        <v>477</v>
      </c>
      <c r="L61" s="16" t="str">
        <f t="shared" si="4"/>
        <v>فعال</v>
      </c>
      <c r="M61" s="16">
        <v>394</v>
      </c>
      <c r="N61" s="16" t="s">
        <v>656</v>
      </c>
      <c r="O61" t="s">
        <v>658</v>
      </c>
      <c r="P61">
        <f>IFERROR(INDEX($A$2:$A$542,MATCH(ROWS($P$5:P61),$AD$2:$AD$542,0)),"")</f>
      </c>
      <c r="Q61">
        <f>IF($P61="","",INDEX($B$2:$B$542,MATCH(ROWS($P$5:P61),$AD$2:$AD$542,0)))</f>
      </c>
      <c r="R61">
        <f>IF($P61="","",INDEX($C$2:$C$542,MATCH(ROWS($P$5:P61),$AD$2:$AD$542,0)))</f>
      </c>
      <c r="S61">
        <f>IF($P61="","",INDEX($E$2:$E$542,MATCH(ROWS($P$5:P61),$AD$2:$AD$542,0)))</f>
      </c>
      <c r="T61" s="22">
        <f>IF($P61="","",IFERROR(IF(OR(INDEX($H$2:$H$542,MATCH(ROWS($P$5:P61),$AD$2:$AD$542,0))="",INDEX($H$2:$H$542,MATCH(ROWS($P$5:P61),$AD$2:$AD$542,0))="؟",INDEX($H$2:$H$542,MATCH(ROWS($P$5:P61),$AD$2:$AD$542,0))="نامشخص"),"",INDEX($H$2:$H$542,MATCH(ROWS($P$5:P61),$AD$2:$AD$542,0))),""))</f>
      </c>
      <c r="U61">
        <f>IF($P61="","",INDEX($L$2:$L$542,MATCH(ROWS($P$5:P61),$AD$2:$AD$542,0)))</f>
      </c>
      <c r="V61">
        <f>IF($P61="","",INDEX($M$2:$M$542,MATCH(ROWS($P$5:P61),$AD$2:$AD$542,0)))</f>
      </c>
      <c r="AD61">
        <f>IF(AND(LEN($Q$2)&gt;=3,ISNUMBER(SEARCH($Q$2,$B61))),MAX($AD$1:AD60)+1,"")</f>
      </c>
    </row>
    <row r="62" ht="14.4" customHeight="1" spans="1:30" x14ac:dyDescent="0.25">
      <c r="A62" s="16" t="s">
        <v>659</v>
      </c>
      <c r="B62" s="16" t="s">
        <v>446</v>
      </c>
      <c r="C62" s="16" t="s">
        <v>660</v>
      </c>
      <c r="D62" s="16" t="s">
        <v>501</v>
      </c>
      <c r="E62" s="16" t="s">
        <v>9</v>
      </c>
      <c r="F62" s="16" t="s">
        <v>9</v>
      </c>
      <c r="G62" s="17">
        <f t="shared" si="0"/>
        <v>150000</v>
      </c>
      <c r="H62" s="18">
        <v>150000</v>
      </c>
      <c r="I62" s="19">
        <v>1</v>
      </c>
      <c r="J62" s="18">
        <f t="shared" si="3"/>
        <v>160000</v>
      </c>
      <c r="K62" s="18" t="s">
        <v>477</v>
      </c>
      <c r="L62" s="16" t="str">
        <f t="shared" si="4"/>
        <v>فعال</v>
      </c>
      <c r="M62" s="16">
        <v>396</v>
      </c>
      <c r="N62" s="16" t="s">
        <v>659</v>
      </c>
      <c r="O62" t="s">
        <v>661</v>
      </c>
      <c r="P62">
        <f>IFERROR(INDEX($A$2:$A$542,MATCH(ROWS($P$5:P62),$AD$2:$AD$542,0)),"")</f>
      </c>
      <c r="Q62">
        <f>IF($P62="","",INDEX($B$2:$B$542,MATCH(ROWS($P$5:P62),$AD$2:$AD$542,0)))</f>
      </c>
      <c r="R62">
        <f>IF($P62="","",INDEX($C$2:$C$542,MATCH(ROWS($P$5:P62),$AD$2:$AD$542,0)))</f>
      </c>
      <c r="S62">
        <f>IF($P62="","",INDEX($E$2:$E$542,MATCH(ROWS($P$5:P62),$AD$2:$AD$542,0)))</f>
      </c>
      <c r="T62" s="22">
        <f>IF($P62="","",IFERROR(IF(OR(INDEX($H$2:$H$542,MATCH(ROWS($P$5:P62),$AD$2:$AD$542,0))="",INDEX($H$2:$H$542,MATCH(ROWS($P$5:P62),$AD$2:$AD$542,0))="؟",INDEX($H$2:$H$542,MATCH(ROWS($P$5:P62),$AD$2:$AD$542,0))="نامشخص"),"",INDEX($H$2:$H$542,MATCH(ROWS($P$5:P62),$AD$2:$AD$542,0))),""))</f>
      </c>
      <c r="U62">
        <f>IF($P62="","",INDEX($L$2:$L$542,MATCH(ROWS($P$5:P62),$AD$2:$AD$542,0)))</f>
      </c>
      <c r="V62">
        <f>IF($P62="","",INDEX($M$2:$M$542,MATCH(ROWS($P$5:P62),$AD$2:$AD$542,0)))</f>
      </c>
      <c r="AD62">
        <f>IF(AND(LEN($Q$2)&gt;=3,ISNUMBER(SEARCH($Q$2,$B62))),MAX($AD$1:AD61)+1,"")</f>
      </c>
    </row>
    <row r="63" ht="14.4" customHeight="1" spans="1:30" x14ac:dyDescent="0.25">
      <c r="A63" s="16" t="s">
        <v>662</v>
      </c>
      <c r="B63" s="16" t="s">
        <v>454</v>
      </c>
      <c r="C63" s="16" t="s">
        <v>663</v>
      </c>
      <c r="D63" s="16" t="s">
        <v>501</v>
      </c>
      <c r="E63" s="16" t="s">
        <v>9</v>
      </c>
      <c r="F63" s="16" t="s">
        <v>9</v>
      </c>
      <c r="G63" s="17">
        <f t="shared" si="0"/>
        <v>3500000</v>
      </c>
      <c r="H63" s="18">
        <v>3500000</v>
      </c>
      <c r="I63" s="19">
        <v>3</v>
      </c>
      <c r="J63" s="18">
        <f t="shared" si="3"/>
        <v>3610000</v>
      </c>
      <c r="K63" s="18" t="s">
        <v>477</v>
      </c>
      <c r="L63" s="16" t="str">
        <f t="shared" si="4"/>
        <v>فعال</v>
      </c>
      <c r="M63" s="16">
        <v>403</v>
      </c>
      <c r="N63" s="16" t="s">
        <v>662</v>
      </c>
      <c r="O63" t="s">
        <v>664</v>
      </c>
      <c r="P63">
        <f>IFERROR(INDEX($A$2:$A$542,MATCH(ROWS($P$5:P63),$AD$2:$AD$542,0)),"")</f>
      </c>
      <c r="Q63">
        <f>IF($P63="","",INDEX($B$2:$B$542,MATCH(ROWS($P$5:P63),$AD$2:$AD$542,0)))</f>
      </c>
      <c r="R63">
        <f>IF($P63="","",INDEX($C$2:$C$542,MATCH(ROWS($P$5:P63),$AD$2:$AD$542,0)))</f>
      </c>
      <c r="S63">
        <f>IF($P63="","",INDEX($E$2:$E$542,MATCH(ROWS($P$5:P63),$AD$2:$AD$542,0)))</f>
      </c>
      <c r="T63" s="22">
        <f>IF($P63="","",IFERROR(IF(OR(INDEX($H$2:$H$542,MATCH(ROWS($P$5:P63),$AD$2:$AD$542,0))="",INDEX($H$2:$H$542,MATCH(ROWS($P$5:P63),$AD$2:$AD$542,0))="؟",INDEX($H$2:$H$542,MATCH(ROWS($P$5:P63),$AD$2:$AD$542,0))="نامشخص"),"",INDEX($H$2:$H$542,MATCH(ROWS($P$5:P63),$AD$2:$AD$542,0))),""))</f>
      </c>
      <c r="U63">
        <f>IF($P63="","",INDEX($L$2:$L$542,MATCH(ROWS($P$5:P63),$AD$2:$AD$542,0)))</f>
      </c>
      <c r="V63">
        <f>IF($P63="","",INDEX($M$2:$M$542,MATCH(ROWS($P$5:P63),$AD$2:$AD$542,0)))</f>
      </c>
      <c r="AD63">
        <f>IF(AND(LEN($Q$2)&gt;=3,ISNUMBER(SEARCH($Q$2,$B63))),MAX($AD$1:AD62)+1,"")</f>
      </c>
    </row>
    <row r="64" ht="14.4" customHeight="1" spans="1:30" x14ac:dyDescent="0.25">
      <c r="A64" s="16" t="s">
        <v>665</v>
      </c>
      <c r="B64" s="16" t="s">
        <v>455</v>
      </c>
      <c r="C64" s="16" t="s">
        <v>666</v>
      </c>
      <c r="D64" s="16" t="s">
        <v>501</v>
      </c>
      <c r="E64" s="16" t="s">
        <v>9</v>
      </c>
      <c r="F64" s="16" t="s">
        <v>9</v>
      </c>
      <c r="G64" s="17">
        <f t="shared" si="0"/>
        <v>12000000</v>
      </c>
      <c r="H64" s="18">
        <v>12000000</v>
      </c>
      <c r="I64" s="19">
        <v>2</v>
      </c>
      <c r="J64" s="18">
        <f t="shared" si="3"/>
        <v>12240000</v>
      </c>
      <c r="K64" s="18" t="s">
        <v>477</v>
      </c>
      <c r="L64" s="16" t="str">
        <f t="shared" si="4"/>
        <v>فعال</v>
      </c>
      <c r="M64" s="16">
        <v>404</v>
      </c>
      <c r="N64" s="16" t="s">
        <v>665</v>
      </c>
      <c r="O64" t="s">
        <v>667</v>
      </c>
      <c r="P64">
        <f>IFERROR(INDEX($A$2:$A$542,MATCH(ROWS($P$5:P64),$AD$2:$AD$542,0)),"")</f>
      </c>
      <c r="Q64">
        <f>IF($P64="","",INDEX($B$2:$B$542,MATCH(ROWS($P$5:P64),$AD$2:$AD$542,0)))</f>
      </c>
      <c r="R64">
        <f>IF($P64="","",INDEX($C$2:$C$542,MATCH(ROWS($P$5:P64),$AD$2:$AD$542,0)))</f>
      </c>
      <c r="S64">
        <f>IF($P64="","",INDEX($E$2:$E$542,MATCH(ROWS($P$5:P64),$AD$2:$AD$542,0)))</f>
      </c>
      <c r="T64" s="22">
        <f>IF($P64="","",IFERROR(IF(OR(INDEX($H$2:$H$542,MATCH(ROWS($P$5:P64),$AD$2:$AD$542,0))="",INDEX($H$2:$H$542,MATCH(ROWS($P$5:P64),$AD$2:$AD$542,0))="؟",INDEX($H$2:$H$542,MATCH(ROWS($P$5:P64),$AD$2:$AD$542,0))="نامشخص"),"",INDEX($H$2:$H$542,MATCH(ROWS($P$5:P64),$AD$2:$AD$542,0))),""))</f>
      </c>
      <c r="U64">
        <f>IF($P64="","",INDEX($L$2:$L$542,MATCH(ROWS($P$5:P64),$AD$2:$AD$542,0)))</f>
      </c>
      <c r="V64">
        <f>IF($P64="","",INDEX($M$2:$M$542,MATCH(ROWS($P$5:P64),$AD$2:$AD$542,0)))</f>
      </c>
      <c r="AD64">
        <f>IF(AND(LEN($Q$2)&gt;=3,ISNUMBER(SEARCH($Q$2,$B64))),MAX($AD$1:AD63)+1,"")</f>
      </c>
    </row>
    <row r="65" ht="14.4" customHeight="1" spans="1:30" x14ac:dyDescent="0.25">
      <c r="A65" s="16" t="s">
        <v>668</v>
      </c>
      <c r="B65" s="16" t="s">
        <v>456</v>
      </c>
      <c r="C65" s="16" t="s">
        <v>669</v>
      </c>
      <c r="D65" s="16" t="s">
        <v>501</v>
      </c>
      <c r="E65" s="16" t="s">
        <v>9</v>
      </c>
      <c r="F65" s="16" t="s">
        <v>9</v>
      </c>
      <c r="G65" s="17">
        <f t="shared" si="0"/>
        <v>12000000</v>
      </c>
      <c r="H65" s="18">
        <v>12000000</v>
      </c>
      <c r="I65" s="19">
        <v>2</v>
      </c>
      <c r="J65" s="18">
        <f t="shared" si="3"/>
        <v>12240000</v>
      </c>
      <c r="K65" s="18" t="s">
        <v>477</v>
      </c>
      <c r="L65" s="16" t="str">
        <f t="shared" si="4"/>
        <v>فعال</v>
      </c>
      <c r="M65" s="16">
        <v>405</v>
      </c>
      <c r="N65" s="16" t="s">
        <v>668</v>
      </c>
      <c r="O65" t="s">
        <v>670</v>
      </c>
      <c r="P65">
        <f>IFERROR(INDEX($A$2:$A$542,MATCH(ROWS($P$5:P65),$AD$2:$AD$542,0)),"")</f>
      </c>
      <c r="Q65">
        <f>IF($P65="","",INDEX($B$2:$B$542,MATCH(ROWS($P$5:P65),$AD$2:$AD$542,0)))</f>
      </c>
      <c r="R65">
        <f>IF($P65="","",INDEX($C$2:$C$542,MATCH(ROWS($P$5:P65),$AD$2:$AD$542,0)))</f>
      </c>
      <c r="S65">
        <f>IF($P65="","",INDEX($E$2:$E$542,MATCH(ROWS($P$5:P65),$AD$2:$AD$542,0)))</f>
      </c>
      <c r="T65" s="22">
        <f>IF($P65="","",IFERROR(IF(OR(INDEX($H$2:$H$542,MATCH(ROWS($P$5:P65),$AD$2:$AD$542,0))="",INDEX($H$2:$H$542,MATCH(ROWS($P$5:P65),$AD$2:$AD$542,0))="؟",INDEX($H$2:$H$542,MATCH(ROWS($P$5:P65),$AD$2:$AD$542,0))="نامشخص"),"",INDEX($H$2:$H$542,MATCH(ROWS($P$5:P65),$AD$2:$AD$542,0))),""))</f>
      </c>
      <c r="U65">
        <f>IF($P65="","",INDEX($L$2:$L$542,MATCH(ROWS($P$5:P65),$AD$2:$AD$542,0)))</f>
      </c>
      <c r="V65">
        <f>IF($P65="","",INDEX($M$2:$M$542,MATCH(ROWS($P$5:P65),$AD$2:$AD$542,0)))</f>
      </c>
      <c r="AD65">
        <f>IF(AND(LEN($Q$2)&gt;=3,ISNUMBER(SEARCH($Q$2,$B65))),MAX($AD$1:AD64)+1,"")</f>
      </c>
    </row>
    <row r="66" ht="14.4" customHeight="1" spans="1:30" x14ac:dyDescent="0.25">
      <c r="A66" s="16" t="s">
        <v>671</v>
      </c>
      <c r="B66" s="16" t="s">
        <v>457</v>
      </c>
      <c r="C66" s="16" t="s">
        <v>672</v>
      </c>
      <c r="D66" s="16" t="s">
        <v>501</v>
      </c>
      <c r="E66" s="16" t="s">
        <v>9</v>
      </c>
      <c r="F66" s="16" t="s">
        <v>9</v>
      </c>
      <c r="G66" s="17">
        <f t="shared" ref="G66:G129" si="5">H66</f>
        <v>1500000</v>
      </c>
      <c r="H66" s="18">
        <v>1500000</v>
      </c>
      <c r="I66" s="19">
        <v>3</v>
      </c>
      <c r="J66" s="18">
        <f t="shared" ref="J66:J97" si="6">IF(OR(H66="",H66="؟",H66="نامشخص"),"",CEILING(H66*(1+I66/100),10000))</f>
        <v>1550000</v>
      </c>
      <c r="K66" s="18" t="s">
        <v>477</v>
      </c>
      <c r="L66" s="16" t="str">
        <f t="shared" ref="L66:L97" si="7">IF(OR($H66="",$H66="؟",$H66="نامشخص"),"نیاز به استعلام","فعال")</f>
        <v>فعال</v>
      </c>
      <c r="M66" s="16">
        <v>406</v>
      </c>
      <c r="N66" s="16" t="s">
        <v>671</v>
      </c>
      <c r="O66" t="s">
        <v>673</v>
      </c>
      <c r="P66">
        <f>IFERROR(INDEX($A$2:$A$542,MATCH(ROWS($P$5:P66),$AD$2:$AD$542,0)),"")</f>
      </c>
      <c r="Q66">
        <f>IF($P66="","",INDEX($B$2:$B$542,MATCH(ROWS($P$5:P66),$AD$2:$AD$542,0)))</f>
      </c>
      <c r="R66">
        <f>IF($P66="","",INDEX($C$2:$C$542,MATCH(ROWS($P$5:P66),$AD$2:$AD$542,0)))</f>
      </c>
      <c r="S66">
        <f>IF($P66="","",INDEX($E$2:$E$542,MATCH(ROWS($P$5:P66),$AD$2:$AD$542,0)))</f>
      </c>
      <c r="T66" s="22">
        <f>IF($P66="","",IFERROR(IF(OR(INDEX($H$2:$H$542,MATCH(ROWS($P$5:P66),$AD$2:$AD$542,0))="",INDEX($H$2:$H$542,MATCH(ROWS($P$5:P66),$AD$2:$AD$542,0))="؟",INDEX($H$2:$H$542,MATCH(ROWS($P$5:P66),$AD$2:$AD$542,0))="نامشخص"),"",INDEX($H$2:$H$542,MATCH(ROWS($P$5:P66),$AD$2:$AD$542,0))),""))</f>
      </c>
      <c r="U66">
        <f>IF($P66="","",INDEX($L$2:$L$542,MATCH(ROWS($P$5:P66),$AD$2:$AD$542,0)))</f>
      </c>
      <c r="V66">
        <f>IF($P66="","",INDEX($M$2:$M$542,MATCH(ROWS($P$5:P66),$AD$2:$AD$542,0)))</f>
      </c>
      <c r="AD66">
        <f>IF(AND(LEN($Q$2)&gt;=3,ISNUMBER(SEARCH($Q$2,$B66))),MAX($AD$1:AD65)+1,"")</f>
      </c>
    </row>
    <row r="67" ht="14.4" customHeight="1" spans="1:30" x14ac:dyDescent="0.25">
      <c r="A67" s="16" t="s">
        <v>674</v>
      </c>
      <c r="B67" s="16" t="s">
        <v>64</v>
      </c>
      <c r="C67" s="16" t="s">
        <v>675</v>
      </c>
      <c r="D67" s="16" t="s">
        <v>501</v>
      </c>
      <c r="E67" s="16" t="s">
        <v>9</v>
      </c>
      <c r="F67" s="16" t="s">
        <v>9</v>
      </c>
      <c r="G67" s="17">
        <f t="shared" si="5"/>
        <v>990000</v>
      </c>
      <c r="H67" s="18">
        <v>990000</v>
      </c>
      <c r="I67" s="19">
        <v>2</v>
      </c>
      <c r="J67" s="18">
        <f t="shared" si="6"/>
        <v>1010000</v>
      </c>
      <c r="K67" s="18" t="s">
        <v>477</v>
      </c>
      <c r="L67" s="16" t="str">
        <f t="shared" si="7"/>
        <v>فعال</v>
      </c>
      <c r="M67" s="16">
        <v>55</v>
      </c>
      <c r="N67" s="16" t="s">
        <v>674</v>
      </c>
      <c r="O67" t="s">
        <v>676</v>
      </c>
      <c r="P67">
        <f>IFERROR(INDEX($A$2:$A$542,MATCH(ROWS($P$5:P67),$AD$2:$AD$542,0)),"")</f>
      </c>
      <c r="Q67">
        <f>IF($P67="","",INDEX($B$2:$B$542,MATCH(ROWS($P$5:P67),$AD$2:$AD$542,0)))</f>
      </c>
      <c r="R67">
        <f>IF($P67="","",INDEX($C$2:$C$542,MATCH(ROWS($P$5:P67),$AD$2:$AD$542,0)))</f>
      </c>
      <c r="S67">
        <f>IF($P67="","",INDEX($E$2:$E$542,MATCH(ROWS($P$5:P67),$AD$2:$AD$542,0)))</f>
      </c>
      <c r="T67" s="22">
        <f>IF($P67="","",IFERROR(IF(OR(INDEX($H$2:$H$542,MATCH(ROWS($P$5:P67),$AD$2:$AD$542,0))="",INDEX($H$2:$H$542,MATCH(ROWS($P$5:P67),$AD$2:$AD$542,0))="؟",INDEX($H$2:$H$542,MATCH(ROWS($P$5:P67),$AD$2:$AD$542,0))="نامشخص"),"",INDEX($H$2:$H$542,MATCH(ROWS($P$5:P67),$AD$2:$AD$542,0))),""))</f>
      </c>
      <c r="U67">
        <f>IF($P67="","",INDEX($L$2:$L$542,MATCH(ROWS($P$5:P67),$AD$2:$AD$542,0)))</f>
      </c>
      <c r="V67">
        <f>IF($P67="","",INDEX($M$2:$M$542,MATCH(ROWS($P$5:P67),$AD$2:$AD$542,0)))</f>
      </c>
      <c r="AD67">
        <f>IF(AND(LEN($Q$2)&gt;=3,ISNUMBER(SEARCH($Q$2,$B67))),MAX($AD$1:AD66)+1,"")</f>
      </c>
    </row>
    <row r="68" ht="14.4" customHeight="1" spans="1:30" x14ac:dyDescent="0.25">
      <c r="A68" s="16" t="s">
        <v>677</v>
      </c>
      <c r="B68" s="16" t="s">
        <v>81</v>
      </c>
      <c r="C68" s="16" t="s">
        <v>678</v>
      </c>
      <c r="D68" s="16" t="s">
        <v>501</v>
      </c>
      <c r="E68" s="16" t="s">
        <v>9</v>
      </c>
      <c r="F68" s="16" t="s">
        <v>9</v>
      </c>
      <c r="G68" s="17">
        <f t="shared" si="5"/>
        <v>700000</v>
      </c>
      <c r="H68" s="18">
        <v>700000</v>
      </c>
      <c r="I68" s="19">
        <v>3</v>
      </c>
      <c r="J68" s="18">
        <f t="shared" si="6"/>
        <v>730000</v>
      </c>
      <c r="K68" s="18" t="s">
        <v>477</v>
      </c>
      <c r="L68" s="16" t="str">
        <f t="shared" si="7"/>
        <v>فعال</v>
      </c>
      <c r="M68" s="16">
        <v>68</v>
      </c>
      <c r="N68" s="16" t="s">
        <v>677</v>
      </c>
      <c r="O68" t="s">
        <v>679</v>
      </c>
      <c r="P68">
        <f>IFERROR(INDEX($A$2:$A$542,MATCH(ROWS($P$5:P68),$AD$2:$AD$542,0)),"")</f>
      </c>
      <c r="Q68">
        <f>IF($P68="","",INDEX($B$2:$B$542,MATCH(ROWS($P$5:P68),$AD$2:$AD$542,0)))</f>
      </c>
      <c r="R68">
        <f>IF($P68="","",INDEX($C$2:$C$542,MATCH(ROWS($P$5:P68),$AD$2:$AD$542,0)))</f>
      </c>
      <c r="S68">
        <f>IF($P68="","",INDEX($E$2:$E$542,MATCH(ROWS($P$5:P68),$AD$2:$AD$542,0)))</f>
      </c>
      <c r="T68" s="22">
        <f>IF($P68="","",IFERROR(IF(OR(INDEX($H$2:$H$542,MATCH(ROWS($P$5:P68),$AD$2:$AD$542,0))="",INDEX($H$2:$H$542,MATCH(ROWS($P$5:P68),$AD$2:$AD$542,0))="؟",INDEX($H$2:$H$542,MATCH(ROWS($P$5:P68),$AD$2:$AD$542,0))="نامشخص"),"",INDEX($H$2:$H$542,MATCH(ROWS($P$5:P68),$AD$2:$AD$542,0))),""))</f>
      </c>
      <c r="U68">
        <f>IF($P68="","",INDEX($L$2:$L$542,MATCH(ROWS($P$5:P68),$AD$2:$AD$542,0)))</f>
      </c>
      <c r="V68">
        <f>IF($P68="","",INDEX($M$2:$M$542,MATCH(ROWS($P$5:P68),$AD$2:$AD$542,0)))</f>
      </c>
      <c r="AD68">
        <f>IF(AND(LEN($Q$2)&gt;=3,ISNUMBER(SEARCH($Q$2,$B68))),MAX($AD$1:AD67)+1,"")</f>
      </c>
    </row>
    <row r="69" ht="14.4" customHeight="1" spans="1:30" x14ac:dyDescent="0.25">
      <c r="A69" s="16" t="s">
        <v>680</v>
      </c>
      <c r="B69" s="16" t="s">
        <v>416</v>
      </c>
      <c r="C69" s="16" t="s">
        <v>681</v>
      </c>
      <c r="D69" s="16" t="s">
        <v>501</v>
      </c>
      <c r="E69" s="16" t="s">
        <v>9</v>
      </c>
      <c r="F69" s="16" t="s">
        <v>9</v>
      </c>
      <c r="G69" s="17">
        <f t="shared" si="5"/>
        <v>450000</v>
      </c>
      <c r="H69" s="18">
        <v>450000</v>
      </c>
      <c r="I69" s="19">
        <v>2</v>
      </c>
      <c r="J69" s="18">
        <f t="shared" si="6"/>
        <v>460000</v>
      </c>
      <c r="K69" s="18" t="s">
        <v>477</v>
      </c>
      <c r="L69" s="16" t="str">
        <f t="shared" si="7"/>
        <v>فعال</v>
      </c>
      <c r="M69" s="16">
        <v>367</v>
      </c>
      <c r="N69" s="16" t="s">
        <v>680</v>
      </c>
      <c r="O69" t="s">
        <v>682</v>
      </c>
      <c r="P69">
        <f>IFERROR(INDEX($A$2:$A$542,MATCH(ROWS($P$5:P69),$AD$2:$AD$542,0)),"")</f>
      </c>
      <c r="Q69">
        <f>IF($P69="","",INDEX($B$2:$B$542,MATCH(ROWS($P$5:P69),$AD$2:$AD$542,0)))</f>
      </c>
      <c r="R69">
        <f>IF($P69="","",INDEX($C$2:$C$542,MATCH(ROWS($P$5:P69),$AD$2:$AD$542,0)))</f>
      </c>
      <c r="S69">
        <f>IF($P69="","",INDEX($E$2:$E$542,MATCH(ROWS($P$5:P69),$AD$2:$AD$542,0)))</f>
      </c>
      <c r="T69" s="22">
        <f>IF($P69="","",IFERROR(IF(OR(INDEX($H$2:$H$542,MATCH(ROWS($P$5:P69),$AD$2:$AD$542,0))="",INDEX($H$2:$H$542,MATCH(ROWS($P$5:P69),$AD$2:$AD$542,0))="؟",INDEX($H$2:$H$542,MATCH(ROWS($P$5:P69),$AD$2:$AD$542,0))="نامشخص"),"",INDEX($H$2:$H$542,MATCH(ROWS($P$5:P69),$AD$2:$AD$542,0))),""))</f>
      </c>
      <c r="U69">
        <f>IF($P69="","",INDEX($L$2:$L$542,MATCH(ROWS($P$5:P69),$AD$2:$AD$542,0)))</f>
      </c>
      <c r="V69">
        <f>IF($P69="","",INDEX($M$2:$M$542,MATCH(ROWS($P$5:P69),$AD$2:$AD$542,0)))</f>
      </c>
      <c r="AD69">
        <f>IF(AND(LEN($Q$2)&gt;=3,ISNUMBER(SEARCH($Q$2,$B69))),MAX($AD$1:AD68)+1,"")</f>
      </c>
    </row>
    <row r="70" ht="14.4" customHeight="1" spans="1:30" x14ac:dyDescent="0.25">
      <c r="A70" s="16" t="s">
        <v>683</v>
      </c>
      <c r="B70" s="16" t="s">
        <v>43</v>
      </c>
      <c r="C70" s="16" t="s">
        <v>684</v>
      </c>
      <c r="D70" s="16" t="s">
        <v>685</v>
      </c>
      <c r="E70" s="16" t="s">
        <v>9</v>
      </c>
      <c r="F70" s="16" t="s">
        <v>9</v>
      </c>
      <c r="G70" s="17">
        <f t="shared" si="5"/>
        <v>180000</v>
      </c>
      <c r="H70" s="18">
        <v>180000</v>
      </c>
      <c r="I70" s="19">
        <v>2</v>
      </c>
      <c r="J70" s="18">
        <f t="shared" si="6"/>
        <v>190000</v>
      </c>
      <c r="K70" s="18" t="s">
        <v>477</v>
      </c>
      <c r="L70" s="16" t="str">
        <f t="shared" si="7"/>
        <v>فعال</v>
      </c>
      <c r="M70" s="16">
        <v>35</v>
      </c>
      <c r="N70" s="16" t="s">
        <v>683</v>
      </c>
      <c r="O70" t="s">
        <v>686</v>
      </c>
      <c r="P70">
        <f>IFERROR(INDEX($A$2:$A$542,MATCH(ROWS($P$5:P70),$AD$2:$AD$542,0)),"")</f>
      </c>
      <c r="Q70">
        <f>IF($P70="","",INDEX($B$2:$B$542,MATCH(ROWS($P$5:P70),$AD$2:$AD$542,0)))</f>
      </c>
      <c r="R70">
        <f>IF($P70="","",INDEX($C$2:$C$542,MATCH(ROWS($P$5:P70),$AD$2:$AD$542,0)))</f>
      </c>
      <c r="S70">
        <f>IF($P70="","",INDEX($E$2:$E$542,MATCH(ROWS($P$5:P70),$AD$2:$AD$542,0)))</f>
      </c>
      <c r="T70" s="22">
        <f>IF($P70="","",IFERROR(IF(OR(INDEX($H$2:$H$542,MATCH(ROWS($P$5:P70),$AD$2:$AD$542,0))="",INDEX($H$2:$H$542,MATCH(ROWS($P$5:P70),$AD$2:$AD$542,0))="؟",INDEX($H$2:$H$542,MATCH(ROWS($P$5:P70),$AD$2:$AD$542,0))="نامشخص"),"",INDEX($H$2:$H$542,MATCH(ROWS($P$5:P70),$AD$2:$AD$542,0))),""))</f>
      </c>
      <c r="U70">
        <f>IF($P70="","",INDEX($L$2:$L$542,MATCH(ROWS($P$5:P70),$AD$2:$AD$542,0)))</f>
      </c>
      <c r="V70">
        <f>IF($P70="","",INDEX($M$2:$M$542,MATCH(ROWS($P$5:P70),$AD$2:$AD$542,0)))</f>
      </c>
      <c r="AD70">
        <f>IF(AND(LEN($Q$2)&gt;=3,ISNUMBER(SEARCH($Q$2,$B70))),MAX($AD$1:AD69)+1,"")</f>
      </c>
    </row>
    <row r="71" ht="14.4" customHeight="1" spans="1:30" x14ac:dyDescent="0.25">
      <c r="A71" s="16" t="s">
        <v>687</v>
      </c>
      <c r="B71" s="16" t="s">
        <v>58</v>
      </c>
      <c r="C71" s="16" t="s">
        <v>688</v>
      </c>
      <c r="D71" s="16" t="s">
        <v>685</v>
      </c>
      <c r="E71" s="16" t="s">
        <v>9</v>
      </c>
      <c r="F71" s="16" t="s">
        <v>9</v>
      </c>
      <c r="G71" s="17">
        <f t="shared" si="5"/>
        <v>140000</v>
      </c>
      <c r="H71" s="18">
        <v>140000</v>
      </c>
      <c r="I71" s="19">
        <v>2</v>
      </c>
      <c r="J71" s="18">
        <f t="shared" si="6"/>
        <v>150000</v>
      </c>
      <c r="K71" s="18" t="s">
        <v>477</v>
      </c>
      <c r="L71" s="16" t="str">
        <f t="shared" si="7"/>
        <v>فعال</v>
      </c>
      <c r="M71" s="16">
        <v>49</v>
      </c>
      <c r="N71" s="16" t="s">
        <v>687</v>
      </c>
      <c r="O71" t="s">
        <v>689</v>
      </c>
      <c r="P71">
        <f>IFERROR(INDEX($A$2:$A$542,MATCH(ROWS($P$5:P71),$AD$2:$AD$542,0)),"")</f>
      </c>
      <c r="Q71">
        <f>IF($P71="","",INDEX($B$2:$B$542,MATCH(ROWS($P$5:P71),$AD$2:$AD$542,0)))</f>
      </c>
      <c r="R71">
        <f>IF($P71="","",INDEX($C$2:$C$542,MATCH(ROWS($P$5:P71),$AD$2:$AD$542,0)))</f>
      </c>
      <c r="S71">
        <f>IF($P71="","",INDEX($E$2:$E$542,MATCH(ROWS($P$5:P71),$AD$2:$AD$542,0)))</f>
      </c>
      <c r="T71" s="22">
        <f>IF($P71="","",IFERROR(IF(OR(INDEX($H$2:$H$542,MATCH(ROWS($P$5:P71),$AD$2:$AD$542,0))="",INDEX($H$2:$H$542,MATCH(ROWS($P$5:P71),$AD$2:$AD$542,0))="؟",INDEX($H$2:$H$542,MATCH(ROWS($P$5:P71),$AD$2:$AD$542,0))="نامشخص"),"",INDEX($H$2:$H$542,MATCH(ROWS($P$5:P71),$AD$2:$AD$542,0))),""))</f>
      </c>
      <c r="U71">
        <f>IF($P71="","",INDEX($L$2:$L$542,MATCH(ROWS($P$5:P71),$AD$2:$AD$542,0)))</f>
      </c>
      <c r="V71">
        <f>IF($P71="","",INDEX($M$2:$M$542,MATCH(ROWS($P$5:P71),$AD$2:$AD$542,0)))</f>
      </c>
      <c r="AD71">
        <f>IF(AND(LEN($Q$2)&gt;=3,ISNUMBER(SEARCH($Q$2,$B71))),MAX($AD$1:AD70)+1,"")</f>
      </c>
    </row>
    <row r="72" ht="14.4" customHeight="1" spans="1:30" x14ac:dyDescent="0.25">
      <c r="A72" s="16" t="s">
        <v>690</v>
      </c>
      <c r="B72" s="16" t="s">
        <v>100</v>
      </c>
      <c r="C72" s="16" t="s">
        <v>691</v>
      </c>
      <c r="D72" s="16" t="s">
        <v>685</v>
      </c>
      <c r="E72" s="16" t="s">
        <v>9</v>
      </c>
      <c r="F72" s="16" t="s">
        <v>9</v>
      </c>
      <c r="G72" s="17">
        <f t="shared" si="5"/>
        <v>490000</v>
      </c>
      <c r="H72" s="18">
        <v>490000</v>
      </c>
      <c r="I72" s="19">
        <v>3</v>
      </c>
      <c r="J72" s="18">
        <f t="shared" si="6"/>
        <v>510000</v>
      </c>
      <c r="K72" s="18" t="s">
        <v>477</v>
      </c>
      <c r="L72" s="16" t="str">
        <f t="shared" si="7"/>
        <v>فعال</v>
      </c>
      <c r="M72" s="16">
        <v>84</v>
      </c>
      <c r="N72" s="16" t="s">
        <v>690</v>
      </c>
      <c r="O72" t="s">
        <v>692</v>
      </c>
      <c r="P72">
        <f>IFERROR(INDEX($A$2:$A$542,MATCH(ROWS($P$5:P72),$AD$2:$AD$542,0)),"")</f>
      </c>
      <c r="Q72">
        <f>IF($P72="","",INDEX($B$2:$B$542,MATCH(ROWS($P$5:P72),$AD$2:$AD$542,0)))</f>
      </c>
      <c r="R72">
        <f>IF($P72="","",INDEX($C$2:$C$542,MATCH(ROWS($P$5:P72),$AD$2:$AD$542,0)))</f>
      </c>
      <c r="S72">
        <f>IF($P72="","",INDEX($E$2:$E$542,MATCH(ROWS($P$5:P72),$AD$2:$AD$542,0)))</f>
      </c>
      <c r="T72" s="22">
        <f>IF($P72="","",IFERROR(IF(OR(INDEX($H$2:$H$542,MATCH(ROWS($P$5:P72),$AD$2:$AD$542,0))="",INDEX($H$2:$H$542,MATCH(ROWS($P$5:P72),$AD$2:$AD$542,0))="؟",INDEX($H$2:$H$542,MATCH(ROWS($P$5:P72),$AD$2:$AD$542,0))="نامشخص"),"",INDEX($H$2:$H$542,MATCH(ROWS($P$5:P72),$AD$2:$AD$542,0))),""))</f>
      </c>
      <c r="U72">
        <f>IF($P72="","",INDEX($L$2:$L$542,MATCH(ROWS($P$5:P72),$AD$2:$AD$542,0)))</f>
      </c>
      <c r="V72">
        <f>IF($P72="","",INDEX($M$2:$M$542,MATCH(ROWS($P$5:P72),$AD$2:$AD$542,0)))</f>
      </c>
      <c r="AD72">
        <f>IF(AND(LEN($Q$2)&gt;=3,ISNUMBER(SEARCH($Q$2,$B72))),MAX($AD$1:AD71)+1,"")</f>
      </c>
    </row>
    <row r="73" ht="14.4" customHeight="1" spans="1:30" x14ac:dyDescent="0.25">
      <c r="A73" s="16" t="s">
        <v>693</v>
      </c>
      <c r="B73" s="16" t="s">
        <v>97</v>
      </c>
      <c r="C73" s="16" t="s">
        <v>694</v>
      </c>
      <c r="D73" s="16" t="s">
        <v>685</v>
      </c>
      <c r="E73" s="16" t="s">
        <v>98</v>
      </c>
      <c r="F73" s="16" t="s">
        <v>98</v>
      </c>
      <c r="G73" s="17">
        <f t="shared" si="5"/>
        <v>340000</v>
      </c>
      <c r="H73" s="18">
        <v>340000</v>
      </c>
      <c r="I73" s="19">
        <v>1</v>
      </c>
      <c r="J73" s="18">
        <f t="shared" si="6"/>
        <v>350000</v>
      </c>
      <c r="K73" s="18" t="s">
        <v>477</v>
      </c>
      <c r="L73" s="16" t="str">
        <f t="shared" si="7"/>
        <v>فعال</v>
      </c>
      <c r="M73" s="16">
        <v>83</v>
      </c>
      <c r="N73" s="16" t="s">
        <v>693</v>
      </c>
      <c r="O73" t="s">
        <v>695</v>
      </c>
      <c r="P73">
        <f>IFERROR(INDEX($A$2:$A$542,MATCH(ROWS($P$5:P73),$AD$2:$AD$542,0)),"")</f>
      </c>
      <c r="Q73">
        <f>IF($P73="","",INDEX($B$2:$B$542,MATCH(ROWS($P$5:P73),$AD$2:$AD$542,0)))</f>
      </c>
      <c r="R73">
        <f>IF($P73="","",INDEX($C$2:$C$542,MATCH(ROWS($P$5:P73),$AD$2:$AD$542,0)))</f>
      </c>
      <c r="S73">
        <f>IF($P73="","",INDEX($E$2:$E$542,MATCH(ROWS($P$5:P73),$AD$2:$AD$542,0)))</f>
      </c>
      <c r="T73" s="22">
        <f>IF($P73="","",IFERROR(IF(OR(INDEX($H$2:$H$542,MATCH(ROWS($P$5:P73),$AD$2:$AD$542,0))="",INDEX($H$2:$H$542,MATCH(ROWS($P$5:P73),$AD$2:$AD$542,0))="؟",INDEX($H$2:$H$542,MATCH(ROWS($P$5:P73),$AD$2:$AD$542,0))="نامشخص"),"",INDEX($H$2:$H$542,MATCH(ROWS($P$5:P73),$AD$2:$AD$542,0))),""))</f>
      </c>
      <c r="U73">
        <f>IF($P73="","",INDEX($L$2:$L$542,MATCH(ROWS($P$5:P73),$AD$2:$AD$542,0)))</f>
      </c>
      <c r="V73">
        <f>IF($P73="","",INDEX($M$2:$M$542,MATCH(ROWS($P$5:P73),$AD$2:$AD$542,0)))</f>
      </c>
      <c r="AD73">
        <f>IF(AND(LEN($Q$2)&gt;=3,ISNUMBER(SEARCH($Q$2,$B73))),MAX($AD$1:AD72)+1,"")</f>
      </c>
    </row>
    <row r="74" ht="14.4" customHeight="1" spans="1:30" x14ac:dyDescent="0.25">
      <c r="A74" s="16" t="s">
        <v>696</v>
      </c>
      <c r="B74" s="16" t="s">
        <v>97</v>
      </c>
      <c r="C74" s="16" t="s">
        <v>697</v>
      </c>
      <c r="D74" s="16" t="s">
        <v>685</v>
      </c>
      <c r="E74" s="16" t="s">
        <v>99</v>
      </c>
      <c r="F74" s="16" t="s">
        <v>99</v>
      </c>
      <c r="G74" s="17">
        <f t="shared" si="5"/>
        <v>100000</v>
      </c>
      <c r="H74" s="18">
        <v>100000</v>
      </c>
      <c r="I74" s="19">
        <v>2</v>
      </c>
      <c r="J74" s="18">
        <f t="shared" si="6"/>
        <v>110000</v>
      </c>
      <c r="K74" s="18" t="s">
        <v>477</v>
      </c>
      <c r="L74" s="16" t="str">
        <f t="shared" si="7"/>
        <v>فعال</v>
      </c>
      <c r="M74" s="16">
        <v>83</v>
      </c>
      <c r="N74" s="16" t="s">
        <v>696</v>
      </c>
      <c r="O74" t="s">
        <v>698</v>
      </c>
      <c r="P74">
        <f>IFERROR(INDEX($A$2:$A$542,MATCH(ROWS($P$5:P74),$AD$2:$AD$542,0)),"")</f>
      </c>
      <c r="Q74">
        <f>IF($P74="","",INDEX($B$2:$B$542,MATCH(ROWS($P$5:P74),$AD$2:$AD$542,0)))</f>
      </c>
      <c r="R74">
        <f>IF($P74="","",INDEX($C$2:$C$542,MATCH(ROWS($P$5:P74),$AD$2:$AD$542,0)))</f>
      </c>
      <c r="S74">
        <f>IF($P74="","",INDEX($E$2:$E$542,MATCH(ROWS($P$5:P74),$AD$2:$AD$542,0)))</f>
      </c>
      <c r="T74" s="22">
        <f>IF($P74="","",IFERROR(IF(OR(INDEX($H$2:$H$542,MATCH(ROWS($P$5:P74),$AD$2:$AD$542,0))="",INDEX($H$2:$H$542,MATCH(ROWS($P$5:P74),$AD$2:$AD$542,0))="؟",INDEX($H$2:$H$542,MATCH(ROWS($P$5:P74),$AD$2:$AD$542,0))="نامشخص"),"",INDEX($H$2:$H$542,MATCH(ROWS($P$5:P74),$AD$2:$AD$542,0))),""))</f>
      </c>
      <c r="U74">
        <f>IF($P74="","",INDEX($L$2:$L$542,MATCH(ROWS($P$5:P74),$AD$2:$AD$542,0)))</f>
      </c>
      <c r="V74">
        <f>IF($P74="","",INDEX($M$2:$M$542,MATCH(ROWS($P$5:P74),$AD$2:$AD$542,0)))</f>
      </c>
      <c r="AD74">
        <f>IF(AND(LEN($Q$2)&gt;=3,ISNUMBER(SEARCH($Q$2,$B74))),MAX($AD$1:AD73)+1,"")</f>
      </c>
    </row>
    <row r="75" ht="14.4" customHeight="1" spans="1:30" x14ac:dyDescent="0.25">
      <c r="A75" s="16" t="s">
        <v>699</v>
      </c>
      <c r="B75" s="16" t="s">
        <v>101</v>
      </c>
      <c r="C75" s="16" t="s">
        <v>700</v>
      </c>
      <c r="D75" s="16" t="s">
        <v>685</v>
      </c>
      <c r="E75" s="16" t="s">
        <v>9</v>
      </c>
      <c r="F75" s="16" t="s">
        <v>9</v>
      </c>
      <c r="G75" s="17">
        <f t="shared" si="5"/>
        <v>3800000</v>
      </c>
      <c r="H75" s="18">
        <v>3800000</v>
      </c>
      <c r="I75" s="19">
        <v>1</v>
      </c>
      <c r="J75" s="18">
        <f t="shared" si="6"/>
        <v>3840000</v>
      </c>
      <c r="K75" s="18" t="s">
        <v>477</v>
      </c>
      <c r="L75" s="16" t="str">
        <f t="shared" si="7"/>
        <v>فعال</v>
      </c>
      <c r="M75" s="16">
        <v>85</v>
      </c>
      <c r="N75" s="16" t="s">
        <v>699</v>
      </c>
      <c r="O75" t="s">
        <v>701</v>
      </c>
      <c r="P75">
        <f>IFERROR(INDEX($A$2:$A$542,MATCH(ROWS($P$5:P75),$AD$2:$AD$542,0)),"")</f>
      </c>
      <c r="Q75">
        <f>IF($P75="","",INDEX($B$2:$B$542,MATCH(ROWS($P$5:P75),$AD$2:$AD$542,0)))</f>
      </c>
      <c r="R75">
        <f>IF($P75="","",INDEX($C$2:$C$542,MATCH(ROWS($P$5:P75),$AD$2:$AD$542,0)))</f>
      </c>
      <c r="S75">
        <f>IF($P75="","",INDEX($E$2:$E$542,MATCH(ROWS($P$5:P75),$AD$2:$AD$542,0)))</f>
      </c>
      <c r="T75" s="22">
        <f>IF($P75="","",IFERROR(IF(OR(INDEX($H$2:$H$542,MATCH(ROWS($P$5:P75),$AD$2:$AD$542,0))="",INDEX($H$2:$H$542,MATCH(ROWS($P$5:P75),$AD$2:$AD$542,0))="؟",INDEX($H$2:$H$542,MATCH(ROWS($P$5:P75),$AD$2:$AD$542,0))="نامشخص"),"",INDEX($H$2:$H$542,MATCH(ROWS($P$5:P75),$AD$2:$AD$542,0))),""))</f>
      </c>
      <c r="U75">
        <f>IF($P75="","",INDEX($L$2:$L$542,MATCH(ROWS($P$5:P75),$AD$2:$AD$542,0)))</f>
      </c>
      <c r="V75">
        <f>IF($P75="","",INDEX($M$2:$M$542,MATCH(ROWS($P$5:P75),$AD$2:$AD$542,0)))</f>
      </c>
      <c r="AD75">
        <f>IF(AND(LEN($Q$2)&gt;=3,ISNUMBER(SEARCH($Q$2,$B75))),MAX($AD$1:AD74)+1,"")</f>
      </c>
    </row>
    <row r="76" ht="14.4" customHeight="1" spans="1:30" x14ac:dyDescent="0.25">
      <c r="A76" s="16" t="s">
        <v>702</v>
      </c>
      <c r="B76" s="16" t="s">
        <v>102</v>
      </c>
      <c r="C76" s="16" t="s">
        <v>703</v>
      </c>
      <c r="D76" s="16" t="s">
        <v>685</v>
      </c>
      <c r="E76" s="16" t="s">
        <v>9</v>
      </c>
      <c r="F76" s="16" t="s">
        <v>9</v>
      </c>
      <c r="G76" s="17">
        <f t="shared" si="5"/>
        <v>180000</v>
      </c>
      <c r="H76" s="18">
        <v>180000</v>
      </c>
      <c r="I76" s="19">
        <v>3</v>
      </c>
      <c r="J76" s="18">
        <f t="shared" si="6"/>
        <v>190000</v>
      </c>
      <c r="K76" s="18" t="s">
        <v>477</v>
      </c>
      <c r="L76" s="16" t="str">
        <f t="shared" si="7"/>
        <v>فعال</v>
      </c>
      <c r="M76" s="16">
        <v>86</v>
      </c>
      <c r="N76" s="16" t="s">
        <v>702</v>
      </c>
      <c r="O76" t="s">
        <v>704</v>
      </c>
      <c r="P76">
        <f>IFERROR(INDEX($A$2:$A$542,MATCH(ROWS($P$5:P76),$AD$2:$AD$542,0)),"")</f>
      </c>
      <c r="Q76">
        <f>IF($P76="","",INDEX($B$2:$B$542,MATCH(ROWS($P$5:P76),$AD$2:$AD$542,0)))</f>
      </c>
      <c r="R76">
        <f>IF($P76="","",INDEX($C$2:$C$542,MATCH(ROWS($P$5:P76),$AD$2:$AD$542,0)))</f>
      </c>
      <c r="S76">
        <f>IF($P76="","",INDEX($E$2:$E$542,MATCH(ROWS($P$5:P76),$AD$2:$AD$542,0)))</f>
      </c>
      <c r="T76" s="22">
        <f>IF($P76="","",IFERROR(IF(OR(INDEX($H$2:$H$542,MATCH(ROWS($P$5:P76),$AD$2:$AD$542,0))="",INDEX($H$2:$H$542,MATCH(ROWS($P$5:P76),$AD$2:$AD$542,0))="؟",INDEX($H$2:$H$542,MATCH(ROWS($P$5:P76),$AD$2:$AD$542,0))="نامشخص"),"",INDEX($H$2:$H$542,MATCH(ROWS($P$5:P76),$AD$2:$AD$542,0))),""))</f>
      </c>
      <c r="U76">
        <f>IF($P76="","",INDEX($L$2:$L$542,MATCH(ROWS($P$5:P76),$AD$2:$AD$542,0)))</f>
      </c>
      <c r="V76">
        <f>IF($P76="","",INDEX($M$2:$M$542,MATCH(ROWS($P$5:P76),$AD$2:$AD$542,0)))</f>
      </c>
      <c r="AD76">
        <f>IF(AND(LEN($Q$2)&gt;=3,ISNUMBER(SEARCH($Q$2,$B76))),MAX($AD$1:AD75)+1,"")</f>
      </c>
    </row>
    <row r="77" ht="14.4" customHeight="1" spans="1:30" x14ac:dyDescent="0.25">
      <c r="A77" s="16" t="s">
        <v>705</v>
      </c>
      <c r="B77" s="16" t="s">
        <v>104</v>
      </c>
      <c r="C77" s="16" t="s">
        <v>706</v>
      </c>
      <c r="D77" s="16" t="s">
        <v>685</v>
      </c>
      <c r="E77" s="16" t="s">
        <v>9</v>
      </c>
      <c r="F77" s="16" t="s">
        <v>9</v>
      </c>
      <c r="G77" s="17">
        <f t="shared" si="5"/>
        <v>580000</v>
      </c>
      <c r="H77" s="18">
        <v>580000</v>
      </c>
      <c r="I77" s="19">
        <v>3</v>
      </c>
      <c r="J77" s="18">
        <f t="shared" si="6"/>
        <v>600000</v>
      </c>
      <c r="K77" s="18" t="s">
        <v>477</v>
      </c>
      <c r="L77" s="16" t="str">
        <f t="shared" si="7"/>
        <v>فعال</v>
      </c>
      <c r="M77" s="16">
        <v>88</v>
      </c>
      <c r="N77" s="16" t="s">
        <v>705</v>
      </c>
      <c r="O77" t="s">
        <v>707</v>
      </c>
      <c r="P77">
        <f>IFERROR(INDEX($A$2:$A$542,MATCH(ROWS($P$5:P77),$AD$2:$AD$542,0)),"")</f>
      </c>
      <c r="Q77">
        <f>IF($P77="","",INDEX($B$2:$B$542,MATCH(ROWS($P$5:P77),$AD$2:$AD$542,0)))</f>
      </c>
      <c r="R77">
        <f>IF($P77="","",INDEX($C$2:$C$542,MATCH(ROWS($P$5:P77),$AD$2:$AD$542,0)))</f>
      </c>
      <c r="S77">
        <f>IF($P77="","",INDEX($E$2:$E$542,MATCH(ROWS($P$5:P77),$AD$2:$AD$542,0)))</f>
      </c>
      <c r="T77" s="22">
        <f>IF($P77="","",IFERROR(IF(OR(INDEX($H$2:$H$542,MATCH(ROWS($P$5:P77),$AD$2:$AD$542,0))="",INDEX($H$2:$H$542,MATCH(ROWS($P$5:P77),$AD$2:$AD$542,0))="؟",INDEX($H$2:$H$542,MATCH(ROWS($P$5:P77),$AD$2:$AD$542,0))="نامشخص"),"",INDEX($H$2:$H$542,MATCH(ROWS($P$5:P77),$AD$2:$AD$542,0))),""))</f>
      </c>
      <c r="U77">
        <f>IF($P77="","",INDEX($L$2:$L$542,MATCH(ROWS($P$5:P77),$AD$2:$AD$542,0)))</f>
      </c>
      <c r="V77">
        <f>IF($P77="","",INDEX($M$2:$M$542,MATCH(ROWS($P$5:P77),$AD$2:$AD$542,0)))</f>
      </c>
      <c r="AD77">
        <f>IF(AND(LEN($Q$2)&gt;=3,ISNUMBER(SEARCH($Q$2,$B77))),MAX($AD$1:AD76)+1,"")</f>
      </c>
    </row>
    <row r="78" ht="14.4" customHeight="1" spans="1:30" x14ac:dyDescent="0.25">
      <c r="A78" s="16" t="s">
        <v>708</v>
      </c>
      <c r="B78" s="16" t="s">
        <v>142</v>
      </c>
      <c r="C78" s="16" t="s">
        <v>709</v>
      </c>
      <c r="D78" s="16" t="s">
        <v>685</v>
      </c>
      <c r="E78" s="16" t="s">
        <v>9</v>
      </c>
      <c r="F78" s="16" t="s">
        <v>9</v>
      </c>
      <c r="G78" s="17" t="str">
        <f t="shared" si="5"/>
        <v>؟</v>
      </c>
      <c r="H78" s="18" t="s">
        <v>8</v>
      </c>
      <c r="I78" s="19">
        <v>2</v>
      </c>
      <c r="J78" s="18">
        <f t="shared" si="6"/>
      </c>
      <c r="K78" s="18" t="s">
        <v>477</v>
      </c>
      <c r="L78" s="16" t="str">
        <f t="shared" si="7"/>
        <v>نیاز به استعلام</v>
      </c>
      <c r="M78" s="16">
        <v>123</v>
      </c>
      <c r="N78" s="16" t="s">
        <v>708</v>
      </c>
      <c r="O78" t="s">
        <v>710</v>
      </c>
      <c r="P78">
        <f>IFERROR(INDEX($A$2:$A$542,MATCH(ROWS($P$5:P78),$AD$2:$AD$542,0)),"")</f>
      </c>
      <c r="Q78">
        <f>IF($P78="","",INDEX($B$2:$B$542,MATCH(ROWS($P$5:P78),$AD$2:$AD$542,0)))</f>
      </c>
      <c r="R78">
        <f>IF($P78="","",INDEX($C$2:$C$542,MATCH(ROWS($P$5:P78),$AD$2:$AD$542,0)))</f>
      </c>
      <c r="S78">
        <f>IF($P78="","",INDEX($E$2:$E$542,MATCH(ROWS($P$5:P78),$AD$2:$AD$542,0)))</f>
      </c>
      <c r="T78" s="22">
        <f>IF($P78="","",IFERROR(IF(OR(INDEX($H$2:$H$542,MATCH(ROWS($P$5:P78),$AD$2:$AD$542,0))="",INDEX($H$2:$H$542,MATCH(ROWS($P$5:P78),$AD$2:$AD$542,0))="؟",INDEX($H$2:$H$542,MATCH(ROWS($P$5:P78),$AD$2:$AD$542,0))="نامشخص"),"",INDEX($H$2:$H$542,MATCH(ROWS($P$5:P78),$AD$2:$AD$542,0))),""))</f>
      </c>
      <c r="U78">
        <f>IF($P78="","",INDEX($L$2:$L$542,MATCH(ROWS($P$5:P78),$AD$2:$AD$542,0)))</f>
      </c>
      <c r="V78">
        <f>IF($P78="","",INDEX($M$2:$M$542,MATCH(ROWS($P$5:P78),$AD$2:$AD$542,0)))</f>
      </c>
      <c r="AD78">
        <f>IF(AND(LEN($Q$2)&gt;=3,ISNUMBER(SEARCH($Q$2,$B78))),MAX($AD$1:AD77)+1,"")</f>
      </c>
    </row>
    <row r="79" ht="14.4" customHeight="1" spans="1:30" x14ac:dyDescent="0.25">
      <c r="A79" s="16" t="s">
        <v>711</v>
      </c>
      <c r="B79" s="16" t="s">
        <v>250</v>
      </c>
      <c r="C79" s="16" t="s">
        <v>712</v>
      </c>
      <c r="D79" s="16" t="s">
        <v>685</v>
      </c>
      <c r="E79" s="16" t="s">
        <v>9</v>
      </c>
      <c r="F79" s="16" t="s">
        <v>9</v>
      </c>
      <c r="G79" s="17">
        <f t="shared" si="5"/>
        <v>500000</v>
      </c>
      <c r="H79" s="18">
        <v>500000</v>
      </c>
      <c r="I79" s="19">
        <v>1</v>
      </c>
      <c r="J79" s="18">
        <f t="shared" si="6"/>
        <v>510000</v>
      </c>
      <c r="K79" s="18" t="s">
        <v>477</v>
      </c>
      <c r="L79" s="16" t="str">
        <f t="shared" si="7"/>
        <v>فعال</v>
      </c>
      <c r="M79" s="16">
        <v>226</v>
      </c>
      <c r="N79" s="16" t="s">
        <v>711</v>
      </c>
      <c r="O79" t="s">
        <v>713</v>
      </c>
      <c r="P79">
        <f>IFERROR(INDEX($A$2:$A$542,MATCH(ROWS($P$5:P79),$AD$2:$AD$542,0)),"")</f>
      </c>
      <c r="Q79">
        <f>IF($P79="","",INDEX($B$2:$B$542,MATCH(ROWS($P$5:P79),$AD$2:$AD$542,0)))</f>
      </c>
      <c r="R79">
        <f>IF($P79="","",INDEX($C$2:$C$542,MATCH(ROWS($P$5:P79),$AD$2:$AD$542,0)))</f>
      </c>
      <c r="S79">
        <f>IF($P79="","",INDEX($E$2:$E$542,MATCH(ROWS($P$5:P79),$AD$2:$AD$542,0)))</f>
      </c>
      <c r="T79" s="22">
        <f>IF($P79="","",IFERROR(IF(OR(INDEX($H$2:$H$542,MATCH(ROWS($P$5:P79),$AD$2:$AD$542,0))="",INDEX($H$2:$H$542,MATCH(ROWS($P$5:P79),$AD$2:$AD$542,0))="؟",INDEX($H$2:$H$542,MATCH(ROWS($P$5:P79),$AD$2:$AD$542,0))="نامشخص"),"",INDEX($H$2:$H$542,MATCH(ROWS($P$5:P79),$AD$2:$AD$542,0))),""))</f>
      </c>
      <c r="U79">
        <f>IF($P79="","",INDEX($L$2:$L$542,MATCH(ROWS($P$5:P79),$AD$2:$AD$542,0)))</f>
      </c>
      <c r="V79">
        <f>IF($P79="","",INDEX($M$2:$M$542,MATCH(ROWS($P$5:P79),$AD$2:$AD$542,0)))</f>
      </c>
      <c r="AD79">
        <f>IF(AND(LEN($Q$2)&gt;=3,ISNUMBER(SEARCH($Q$2,$B79))),MAX($AD$1:AD78)+1,"")</f>
      </c>
    </row>
    <row r="80" ht="14.4" customHeight="1" spans="1:30" x14ac:dyDescent="0.25">
      <c r="A80" s="16" t="s">
        <v>714</v>
      </c>
      <c r="B80" s="16" t="s">
        <v>251</v>
      </c>
      <c r="C80" s="16" t="s">
        <v>715</v>
      </c>
      <c r="D80" s="16" t="s">
        <v>685</v>
      </c>
      <c r="E80" s="16" t="s">
        <v>9</v>
      </c>
      <c r="F80" s="16" t="s">
        <v>9</v>
      </c>
      <c r="G80" s="17">
        <f t="shared" si="5"/>
        <v>450000</v>
      </c>
      <c r="H80" s="18">
        <v>450000</v>
      </c>
      <c r="I80" s="19">
        <v>2</v>
      </c>
      <c r="J80" s="18">
        <f t="shared" si="6"/>
        <v>460000</v>
      </c>
      <c r="K80" s="18" t="s">
        <v>477</v>
      </c>
      <c r="L80" s="16" t="str">
        <f t="shared" si="7"/>
        <v>فعال</v>
      </c>
      <c r="M80" s="16">
        <v>227</v>
      </c>
      <c r="N80" s="16" t="s">
        <v>714</v>
      </c>
      <c r="O80" t="s">
        <v>716</v>
      </c>
      <c r="P80">
        <f>IFERROR(INDEX($A$2:$A$542,MATCH(ROWS($P$5:P80),$AD$2:$AD$542,0)),"")</f>
      </c>
      <c r="Q80">
        <f>IF($P80="","",INDEX($B$2:$B$542,MATCH(ROWS($P$5:P80),$AD$2:$AD$542,0)))</f>
      </c>
      <c r="R80">
        <f>IF($P80="","",INDEX($C$2:$C$542,MATCH(ROWS($P$5:P80),$AD$2:$AD$542,0)))</f>
      </c>
      <c r="S80">
        <f>IF($P80="","",INDEX($E$2:$E$542,MATCH(ROWS($P$5:P80),$AD$2:$AD$542,0)))</f>
      </c>
      <c r="T80" s="22">
        <f>IF($P80="","",IFERROR(IF(OR(INDEX($H$2:$H$542,MATCH(ROWS($P$5:P80),$AD$2:$AD$542,0))="",INDEX($H$2:$H$542,MATCH(ROWS($P$5:P80),$AD$2:$AD$542,0))="؟",INDEX($H$2:$H$542,MATCH(ROWS($P$5:P80),$AD$2:$AD$542,0))="نامشخص"),"",INDEX($H$2:$H$542,MATCH(ROWS($P$5:P80),$AD$2:$AD$542,0))),""))</f>
      </c>
      <c r="U80">
        <f>IF($P80="","",INDEX($L$2:$L$542,MATCH(ROWS($P$5:P80),$AD$2:$AD$542,0)))</f>
      </c>
      <c r="V80">
        <f>IF($P80="","",INDEX($M$2:$M$542,MATCH(ROWS($P$5:P80),$AD$2:$AD$542,0)))</f>
      </c>
      <c r="AD80">
        <f>IF(AND(LEN($Q$2)&gt;=3,ISNUMBER(SEARCH($Q$2,$B80))),MAX($AD$1:AD79)+1,"")</f>
      </c>
    </row>
    <row r="81" ht="14.4" customHeight="1" spans="1:30" x14ac:dyDescent="0.25">
      <c r="A81" s="16" t="s">
        <v>717</v>
      </c>
      <c r="B81" s="16" t="s">
        <v>253</v>
      </c>
      <c r="C81" s="16" t="s">
        <v>718</v>
      </c>
      <c r="D81" s="16" t="s">
        <v>685</v>
      </c>
      <c r="E81" s="16" t="s">
        <v>9</v>
      </c>
      <c r="F81" s="16" t="s">
        <v>9</v>
      </c>
      <c r="G81" s="17">
        <f t="shared" si="5"/>
        <v>450000</v>
      </c>
      <c r="H81" s="18">
        <v>450000</v>
      </c>
      <c r="I81" s="19">
        <v>2</v>
      </c>
      <c r="J81" s="18">
        <f t="shared" si="6"/>
        <v>460000</v>
      </c>
      <c r="K81" s="18" t="s">
        <v>477</v>
      </c>
      <c r="L81" s="16" t="str">
        <f t="shared" si="7"/>
        <v>فعال</v>
      </c>
      <c r="M81" s="16">
        <v>229</v>
      </c>
      <c r="N81" s="16" t="s">
        <v>717</v>
      </c>
      <c r="O81" t="s">
        <v>719</v>
      </c>
      <c r="P81">
        <f>IFERROR(INDEX($A$2:$A$542,MATCH(ROWS($P$5:P81),$AD$2:$AD$542,0)),"")</f>
      </c>
      <c r="Q81">
        <f>IF($P81="","",INDEX($B$2:$B$542,MATCH(ROWS($P$5:P81),$AD$2:$AD$542,0)))</f>
      </c>
      <c r="R81">
        <f>IF($P81="","",INDEX($C$2:$C$542,MATCH(ROWS($P$5:P81),$AD$2:$AD$542,0)))</f>
      </c>
      <c r="S81">
        <f>IF($P81="","",INDEX($E$2:$E$542,MATCH(ROWS($P$5:P81),$AD$2:$AD$542,0)))</f>
      </c>
      <c r="T81" s="22">
        <f>IF($P81="","",IFERROR(IF(OR(INDEX($H$2:$H$542,MATCH(ROWS($P$5:P81),$AD$2:$AD$542,0))="",INDEX($H$2:$H$542,MATCH(ROWS($P$5:P81),$AD$2:$AD$542,0))="؟",INDEX($H$2:$H$542,MATCH(ROWS($P$5:P81),$AD$2:$AD$542,0))="نامشخص"),"",INDEX($H$2:$H$542,MATCH(ROWS($P$5:P81),$AD$2:$AD$542,0))),""))</f>
      </c>
      <c r="U81">
        <f>IF($P81="","",INDEX($L$2:$L$542,MATCH(ROWS($P$5:P81),$AD$2:$AD$542,0)))</f>
      </c>
      <c r="V81">
        <f>IF($P81="","",INDEX($M$2:$M$542,MATCH(ROWS($P$5:P81),$AD$2:$AD$542,0)))</f>
      </c>
      <c r="AD81">
        <f>IF(AND(LEN($Q$2)&gt;=3,ISNUMBER(SEARCH($Q$2,$B81))),MAX($AD$1:AD80)+1,"")</f>
      </c>
    </row>
    <row r="82" ht="14.4" customHeight="1" spans="1:30" x14ac:dyDescent="0.25">
      <c r="A82" s="16" t="s">
        <v>720</v>
      </c>
      <c r="B82" s="16" t="s">
        <v>252</v>
      </c>
      <c r="C82" s="16" t="s">
        <v>721</v>
      </c>
      <c r="D82" s="16" t="s">
        <v>685</v>
      </c>
      <c r="E82" s="16" t="s">
        <v>9</v>
      </c>
      <c r="F82" s="16" t="s">
        <v>9</v>
      </c>
      <c r="G82" s="17">
        <f t="shared" si="5"/>
        <v>380000</v>
      </c>
      <c r="H82" s="18">
        <v>380000</v>
      </c>
      <c r="I82" s="19">
        <v>1</v>
      </c>
      <c r="J82" s="18">
        <f t="shared" si="6"/>
        <v>390000</v>
      </c>
      <c r="K82" s="18" t="s">
        <v>477</v>
      </c>
      <c r="L82" s="16" t="str">
        <f t="shared" si="7"/>
        <v>فعال</v>
      </c>
      <c r="M82" s="16">
        <v>228</v>
      </c>
      <c r="N82" s="16" t="s">
        <v>720</v>
      </c>
      <c r="O82" t="s">
        <v>722</v>
      </c>
      <c r="P82">
        <f>IFERROR(INDEX($A$2:$A$542,MATCH(ROWS($P$5:P82),$AD$2:$AD$542,0)),"")</f>
      </c>
      <c r="Q82">
        <f>IF($P82="","",INDEX($B$2:$B$542,MATCH(ROWS($P$5:P82),$AD$2:$AD$542,0)))</f>
      </c>
      <c r="R82">
        <f>IF($P82="","",INDEX($C$2:$C$542,MATCH(ROWS($P$5:P82),$AD$2:$AD$542,0)))</f>
      </c>
      <c r="S82">
        <f>IF($P82="","",INDEX($E$2:$E$542,MATCH(ROWS($P$5:P82),$AD$2:$AD$542,0)))</f>
      </c>
      <c r="T82" s="22">
        <f>IF($P82="","",IFERROR(IF(OR(INDEX($H$2:$H$542,MATCH(ROWS($P$5:P82),$AD$2:$AD$542,0))="",INDEX($H$2:$H$542,MATCH(ROWS($P$5:P82),$AD$2:$AD$542,0))="؟",INDEX($H$2:$H$542,MATCH(ROWS($P$5:P82),$AD$2:$AD$542,0))="نامشخص"),"",INDEX($H$2:$H$542,MATCH(ROWS($P$5:P82),$AD$2:$AD$542,0))),""))</f>
      </c>
      <c r="U82">
        <f>IF($P82="","",INDEX($L$2:$L$542,MATCH(ROWS($P$5:P82),$AD$2:$AD$542,0)))</f>
      </c>
      <c r="V82">
        <f>IF($P82="","",INDEX($M$2:$M$542,MATCH(ROWS($P$5:P82),$AD$2:$AD$542,0)))</f>
      </c>
      <c r="AD82">
        <f>IF(AND(LEN($Q$2)&gt;=3,ISNUMBER(SEARCH($Q$2,$B82))),MAX($AD$1:AD81)+1,"")</f>
      </c>
    </row>
    <row r="83" ht="14.4" customHeight="1" spans="1:30" x14ac:dyDescent="0.25">
      <c r="A83" s="16" t="s">
        <v>723</v>
      </c>
      <c r="B83" s="16" t="s">
        <v>447</v>
      </c>
      <c r="C83" s="16" t="s">
        <v>724</v>
      </c>
      <c r="D83" s="16" t="s">
        <v>685</v>
      </c>
      <c r="E83" s="16" t="s">
        <v>9</v>
      </c>
      <c r="F83" s="16" t="s">
        <v>9</v>
      </c>
      <c r="G83" s="17">
        <f t="shared" si="5"/>
        <v>50000</v>
      </c>
      <c r="H83" s="18">
        <v>50000</v>
      </c>
      <c r="I83" s="19">
        <v>1</v>
      </c>
      <c r="J83" s="18">
        <f t="shared" si="6"/>
        <v>60000</v>
      </c>
      <c r="K83" s="18" t="s">
        <v>477</v>
      </c>
      <c r="L83" s="16" t="str">
        <f t="shared" si="7"/>
        <v>فعال</v>
      </c>
      <c r="M83" s="16">
        <v>397</v>
      </c>
      <c r="N83" s="16" t="s">
        <v>723</v>
      </c>
      <c r="O83" t="s">
        <v>725</v>
      </c>
      <c r="P83">
        <f>IFERROR(INDEX($A$2:$A$542,MATCH(ROWS($P$5:P83),$AD$2:$AD$542,0)),"")</f>
      </c>
      <c r="Q83">
        <f>IF($P83="","",INDEX($B$2:$B$542,MATCH(ROWS($P$5:P83),$AD$2:$AD$542,0)))</f>
      </c>
      <c r="R83">
        <f>IF($P83="","",INDEX($C$2:$C$542,MATCH(ROWS($P$5:P83),$AD$2:$AD$542,0)))</f>
      </c>
      <c r="S83">
        <f>IF($P83="","",INDEX($E$2:$E$542,MATCH(ROWS($P$5:P83),$AD$2:$AD$542,0)))</f>
      </c>
      <c r="T83" s="22">
        <f>IF($P83="","",IFERROR(IF(OR(INDEX($H$2:$H$542,MATCH(ROWS($P$5:P83),$AD$2:$AD$542,0))="",INDEX($H$2:$H$542,MATCH(ROWS($P$5:P83),$AD$2:$AD$542,0))="؟",INDEX($H$2:$H$542,MATCH(ROWS($P$5:P83),$AD$2:$AD$542,0))="نامشخص"),"",INDEX($H$2:$H$542,MATCH(ROWS($P$5:P83),$AD$2:$AD$542,0))),""))</f>
      </c>
      <c r="U83">
        <f>IF($P83="","",INDEX($L$2:$L$542,MATCH(ROWS($P$5:P83),$AD$2:$AD$542,0)))</f>
      </c>
      <c r="V83">
        <f>IF($P83="","",INDEX($M$2:$M$542,MATCH(ROWS($P$5:P83),$AD$2:$AD$542,0)))</f>
      </c>
      <c r="AD83">
        <f>IF(AND(LEN($Q$2)&gt;=3,ISNUMBER(SEARCH($Q$2,$B83))),MAX($AD$1:AD82)+1,"")</f>
      </c>
    </row>
    <row r="84" ht="14.4" customHeight="1" spans="1:30" x14ac:dyDescent="0.25">
      <c r="A84" s="16" t="s">
        <v>726</v>
      </c>
      <c r="B84" s="16" t="s">
        <v>413</v>
      </c>
      <c r="C84" s="16" t="s">
        <v>727</v>
      </c>
      <c r="D84" s="16" t="s">
        <v>685</v>
      </c>
      <c r="E84" s="16" t="s">
        <v>9</v>
      </c>
      <c r="F84" s="16" t="s">
        <v>9</v>
      </c>
      <c r="G84" s="17">
        <f t="shared" si="5"/>
        <v>600000</v>
      </c>
      <c r="H84" s="18">
        <v>600000</v>
      </c>
      <c r="I84" s="19">
        <v>2</v>
      </c>
      <c r="J84" s="18">
        <f t="shared" si="6"/>
        <v>620000</v>
      </c>
      <c r="K84" s="18" t="s">
        <v>477</v>
      </c>
      <c r="L84" s="16" t="str">
        <f t="shared" si="7"/>
        <v>فعال</v>
      </c>
      <c r="M84" s="16">
        <v>364</v>
      </c>
      <c r="N84" s="16" t="s">
        <v>726</v>
      </c>
      <c r="O84" t="s">
        <v>728</v>
      </c>
      <c r="P84">
        <f>IFERROR(INDEX($A$2:$A$542,MATCH(ROWS($P$5:P84),$AD$2:$AD$542,0)),"")</f>
      </c>
      <c r="Q84">
        <f>IF($P84="","",INDEX($B$2:$B$542,MATCH(ROWS($P$5:P84),$AD$2:$AD$542,0)))</f>
      </c>
      <c r="R84">
        <f>IF($P84="","",INDEX($C$2:$C$542,MATCH(ROWS($P$5:P84),$AD$2:$AD$542,0)))</f>
      </c>
      <c r="S84">
        <f>IF($P84="","",INDEX($E$2:$E$542,MATCH(ROWS($P$5:P84),$AD$2:$AD$542,0)))</f>
      </c>
      <c r="T84" s="22">
        <f>IF($P84="","",IFERROR(IF(OR(INDEX($H$2:$H$542,MATCH(ROWS($P$5:P84),$AD$2:$AD$542,0))="",INDEX($H$2:$H$542,MATCH(ROWS($P$5:P84),$AD$2:$AD$542,0))="؟",INDEX($H$2:$H$542,MATCH(ROWS($P$5:P84),$AD$2:$AD$542,0))="نامشخص"),"",INDEX($H$2:$H$542,MATCH(ROWS($P$5:P84),$AD$2:$AD$542,0))),""))</f>
      </c>
      <c r="U84">
        <f>IF($P84="","",INDEX($L$2:$L$542,MATCH(ROWS($P$5:P84),$AD$2:$AD$542,0)))</f>
      </c>
      <c r="V84">
        <f>IF($P84="","",INDEX($M$2:$M$542,MATCH(ROWS($P$5:P84),$AD$2:$AD$542,0)))</f>
      </c>
      <c r="AD84">
        <f>IF(AND(LEN($Q$2)&gt;=3,ISNUMBER(SEARCH($Q$2,$B84))),MAX($AD$1:AD83)+1,"")</f>
      </c>
    </row>
    <row r="85" ht="14.4" customHeight="1" spans="1:30" x14ac:dyDescent="0.25">
      <c r="A85" s="16" t="s">
        <v>729</v>
      </c>
      <c r="B85" s="16" t="s">
        <v>422</v>
      </c>
      <c r="C85" s="16" t="s">
        <v>730</v>
      </c>
      <c r="D85" s="16" t="s">
        <v>685</v>
      </c>
      <c r="E85" s="16" t="s">
        <v>9</v>
      </c>
      <c r="F85" s="16" t="s">
        <v>9</v>
      </c>
      <c r="G85" s="17">
        <f t="shared" si="5"/>
        <v>100000</v>
      </c>
      <c r="H85" s="18">
        <v>100000</v>
      </c>
      <c r="I85" s="19">
        <v>1</v>
      </c>
      <c r="J85" s="18">
        <f t="shared" si="6"/>
        <v>110000</v>
      </c>
      <c r="K85" s="18" t="s">
        <v>477</v>
      </c>
      <c r="L85" s="16" t="str">
        <f t="shared" si="7"/>
        <v>فعال</v>
      </c>
      <c r="M85" s="16">
        <v>373</v>
      </c>
      <c r="N85" s="16" t="s">
        <v>729</v>
      </c>
      <c r="O85" t="s">
        <v>731</v>
      </c>
      <c r="P85">
        <f>IFERROR(INDEX($A$2:$A$542,MATCH(ROWS($P$5:P85),$AD$2:$AD$542,0)),"")</f>
      </c>
      <c r="Q85">
        <f>IF($P85="","",INDEX($B$2:$B$542,MATCH(ROWS($P$5:P85),$AD$2:$AD$542,0)))</f>
      </c>
      <c r="R85">
        <f>IF($P85="","",INDEX($C$2:$C$542,MATCH(ROWS($P$5:P85),$AD$2:$AD$542,0)))</f>
      </c>
      <c r="S85">
        <f>IF($P85="","",INDEX($E$2:$E$542,MATCH(ROWS($P$5:P85),$AD$2:$AD$542,0)))</f>
      </c>
      <c r="T85" s="22">
        <f>IF($P85="","",IFERROR(IF(OR(INDEX($H$2:$H$542,MATCH(ROWS($P$5:P85),$AD$2:$AD$542,0))="",INDEX($H$2:$H$542,MATCH(ROWS($P$5:P85),$AD$2:$AD$542,0))="؟",INDEX($H$2:$H$542,MATCH(ROWS($P$5:P85),$AD$2:$AD$542,0))="نامشخص"),"",INDEX($H$2:$H$542,MATCH(ROWS($P$5:P85),$AD$2:$AD$542,0))),""))</f>
      </c>
      <c r="U85">
        <f>IF($P85="","",INDEX($L$2:$L$542,MATCH(ROWS($P$5:P85),$AD$2:$AD$542,0)))</f>
      </c>
      <c r="V85">
        <f>IF($P85="","",INDEX($M$2:$M$542,MATCH(ROWS($P$5:P85),$AD$2:$AD$542,0)))</f>
      </c>
      <c r="AD85">
        <f>IF(AND(LEN($Q$2)&gt;=3,ISNUMBER(SEARCH($Q$2,$B85))),MAX($AD$1:AD84)+1,"")</f>
      </c>
    </row>
    <row r="86" ht="14.4" customHeight="1" spans="1:30" x14ac:dyDescent="0.25">
      <c r="A86" s="16" t="s">
        <v>732</v>
      </c>
      <c r="B86" s="16" t="s">
        <v>49</v>
      </c>
      <c r="C86" s="16" t="s">
        <v>733</v>
      </c>
      <c r="D86" s="16" t="s">
        <v>734</v>
      </c>
      <c r="E86" s="16" t="s">
        <v>9</v>
      </c>
      <c r="F86" s="16" t="s">
        <v>9</v>
      </c>
      <c r="G86" s="17">
        <f t="shared" si="5"/>
        <v>400000</v>
      </c>
      <c r="H86" s="18">
        <v>400000</v>
      </c>
      <c r="I86" s="19">
        <v>1</v>
      </c>
      <c r="J86" s="18">
        <f t="shared" si="6"/>
        <v>410000</v>
      </c>
      <c r="K86" s="18" t="s">
        <v>477</v>
      </c>
      <c r="L86" s="16" t="str">
        <f t="shared" si="7"/>
        <v>فعال</v>
      </c>
      <c r="M86" s="16">
        <v>40</v>
      </c>
      <c r="N86" s="16" t="s">
        <v>732</v>
      </c>
      <c r="O86" t="s">
        <v>735</v>
      </c>
      <c r="P86">
        <f>IFERROR(INDEX($A$2:$A$542,MATCH(ROWS($P$5:P86),$AD$2:$AD$542,0)),"")</f>
      </c>
      <c r="Q86">
        <f>IF($P86="","",INDEX($B$2:$B$542,MATCH(ROWS($P$5:P86),$AD$2:$AD$542,0)))</f>
      </c>
      <c r="R86">
        <f>IF($P86="","",INDEX($C$2:$C$542,MATCH(ROWS($P$5:P86),$AD$2:$AD$542,0)))</f>
      </c>
      <c r="S86">
        <f>IF($P86="","",INDEX($E$2:$E$542,MATCH(ROWS($P$5:P86),$AD$2:$AD$542,0)))</f>
      </c>
      <c r="T86" s="22">
        <f>IF($P86="","",IFERROR(IF(OR(INDEX($H$2:$H$542,MATCH(ROWS($P$5:P86),$AD$2:$AD$542,0))="",INDEX($H$2:$H$542,MATCH(ROWS($P$5:P86),$AD$2:$AD$542,0))="؟",INDEX($H$2:$H$542,MATCH(ROWS($P$5:P86),$AD$2:$AD$542,0))="نامشخص"),"",INDEX($H$2:$H$542,MATCH(ROWS($P$5:P86),$AD$2:$AD$542,0))),""))</f>
      </c>
      <c r="U86">
        <f>IF($P86="","",INDEX($L$2:$L$542,MATCH(ROWS($P$5:P86),$AD$2:$AD$542,0)))</f>
      </c>
      <c r="V86">
        <f>IF($P86="","",INDEX($M$2:$M$542,MATCH(ROWS($P$5:P86),$AD$2:$AD$542,0)))</f>
      </c>
      <c r="AD86">
        <f>IF(AND(LEN($Q$2)&gt;=3,ISNUMBER(SEARCH($Q$2,$B86))),MAX($AD$1:AD85)+1,"")</f>
      </c>
    </row>
    <row r="87" ht="14.4" customHeight="1" spans="1:30" x14ac:dyDescent="0.25">
      <c r="A87" s="16" t="s">
        <v>736</v>
      </c>
      <c r="B87" s="16" t="s">
        <v>53</v>
      </c>
      <c r="C87" s="16" t="s">
        <v>737</v>
      </c>
      <c r="D87" s="16" t="s">
        <v>734</v>
      </c>
      <c r="E87" s="16" t="s">
        <v>9</v>
      </c>
      <c r="F87" s="16" t="s">
        <v>9</v>
      </c>
      <c r="G87" s="17">
        <f t="shared" si="5"/>
        <v>660000</v>
      </c>
      <c r="H87" s="18">
        <v>660000</v>
      </c>
      <c r="I87" s="19">
        <v>2</v>
      </c>
      <c r="J87" s="18">
        <f t="shared" si="6"/>
        <v>680000</v>
      </c>
      <c r="K87" s="18" t="s">
        <v>477</v>
      </c>
      <c r="L87" s="16" t="str">
        <f t="shared" si="7"/>
        <v>فعال</v>
      </c>
      <c r="M87" s="16">
        <v>44</v>
      </c>
      <c r="N87" s="16" t="s">
        <v>736</v>
      </c>
      <c r="O87" t="s">
        <v>738</v>
      </c>
      <c r="P87">
        <f>IFERROR(INDEX($A$2:$A$542,MATCH(ROWS($P$5:P87),$AD$2:$AD$542,0)),"")</f>
      </c>
      <c r="Q87">
        <f>IF($P87="","",INDEX($B$2:$B$542,MATCH(ROWS($P$5:P87),$AD$2:$AD$542,0)))</f>
      </c>
      <c r="R87">
        <f>IF($P87="","",INDEX($C$2:$C$542,MATCH(ROWS($P$5:P87),$AD$2:$AD$542,0)))</f>
      </c>
      <c r="S87">
        <f>IF($P87="","",INDEX($E$2:$E$542,MATCH(ROWS($P$5:P87),$AD$2:$AD$542,0)))</f>
      </c>
      <c r="T87" s="22">
        <f>IF($P87="","",IFERROR(IF(OR(INDEX($H$2:$H$542,MATCH(ROWS($P$5:P87),$AD$2:$AD$542,0))="",INDEX($H$2:$H$542,MATCH(ROWS($P$5:P87),$AD$2:$AD$542,0))="؟",INDEX($H$2:$H$542,MATCH(ROWS($P$5:P87),$AD$2:$AD$542,0))="نامشخص"),"",INDEX($H$2:$H$542,MATCH(ROWS($P$5:P87),$AD$2:$AD$542,0))),""))</f>
      </c>
      <c r="U87">
        <f>IF($P87="","",INDEX($L$2:$L$542,MATCH(ROWS($P$5:P87),$AD$2:$AD$542,0)))</f>
      </c>
      <c r="V87">
        <f>IF($P87="","",INDEX($M$2:$M$542,MATCH(ROWS($P$5:P87),$AD$2:$AD$542,0)))</f>
      </c>
      <c r="AD87">
        <f>IF(AND(LEN($Q$2)&gt;=3,ISNUMBER(SEARCH($Q$2,$B87))),MAX($AD$1:AD86)+1,"")</f>
      </c>
    </row>
    <row r="88" ht="14.4" customHeight="1" spans="1:30" x14ac:dyDescent="0.25">
      <c r="A88" s="16" t="s">
        <v>739</v>
      </c>
      <c r="B88" s="16" t="s">
        <v>54</v>
      </c>
      <c r="C88" s="16" t="s">
        <v>740</v>
      </c>
      <c r="D88" s="16" t="s">
        <v>734</v>
      </c>
      <c r="E88" s="16" t="s">
        <v>9</v>
      </c>
      <c r="F88" s="16" t="s">
        <v>9</v>
      </c>
      <c r="G88" s="17" t="str">
        <f t="shared" si="5"/>
        <v>؟</v>
      </c>
      <c r="H88" s="18" t="s">
        <v>8</v>
      </c>
      <c r="I88" s="19">
        <v>2</v>
      </c>
      <c r="J88" s="18">
        <f t="shared" si="6"/>
      </c>
      <c r="K88" s="18" t="s">
        <v>477</v>
      </c>
      <c r="L88" s="16" t="str">
        <f t="shared" si="7"/>
        <v>نیاز به استعلام</v>
      </c>
      <c r="M88" s="16">
        <v>45</v>
      </c>
      <c r="N88" s="16" t="s">
        <v>739</v>
      </c>
      <c r="O88" t="s">
        <v>741</v>
      </c>
      <c r="P88">
        <f>IFERROR(INDEX($A$2:$A$542,MATCH(ROWS($P$5:P88),$AD$2:$AD$542,0)),"")</f>
      </c>
      <c r="Q88">
        <f>IF($P88="","",INDEX($B$2:$B$542,MATCH(ROWS($P$5:P88),$AD$2:$AD$542,0)))</f>
      </c>
      <c r="R88">
        <f>IF($P88="","",INDEX($C$2:$C$542,MATCH(ROWS($P$5:P88),$AD$2:$AD$542,0)))</f>
      </c>
      <c r="S88">
        <f>IF($P88="","",INDEX($E$2:$E$542,MATCH(ROWS($P$5:P88),$AD$2:$AD$542,0)))</f>
      </c>
      <c r="T88" s="22">
        <f>IF($P88="","",IFERROR(IF(OR(INDEX($H$2:$H$542,MATCH(ROWS($P$5:P88),$AD$2:$AD$542,0))="",INDEX($H$2:$H$542,MATCH(ROWS($P$5:P88),$AD$2:$AD$542,0))="؟",INDEX($H$2:$H$542,MATCH(ROWS($P$5:P88),$AD$2:$AD$542,0))="نامشخص"),"",INDEX($H$2:$H$542,MATCH(ROWS($P$5:P88),$AD$2:$AD$542,0))),""))</f>
      </c>
      <c r="U88">
        <f>IF($P88="","",INDEX($L$2:$L$542,MATCH(ROWS($P$5:P88),$AD$2:$AD$542,0)))</f>
      </c>
      <c r="V88">
        <f>IF($P88="","",INDEX($M$2:$M$542,MATCH(ROWS($P$5:P88),$AD$2:$AD$542,0)))</f>
      </c>
      <c r="AD88">
        <f>IF(AND(LEN($Q$2)&gt;=3,ISNUMBER(SEARCH($Q$2,$B88))),MAX($AD$1:AD87)+1,"")</f>
      </c>
    </row>
    <row r="89" ht="14.4" customHeight="1" spans="1:30" x14ac:dyDescent="0.25">
      <c r="A89" s="16" t="s">
        <v>742</v>
      </c>
      <c r="B89" s="16" t="s">
        <v>89</v>
      </c>
      <c r="C89" s="16" t="s">
        <v>743</v>
      </c>
      <c r="D89" s="16" t="s">
        <v>734</v>
      </c>
      <c r="E89" s="16" t="s">
        <v>9</v>
      </c>
      <c r="F89" s="16" t="s">
        <v>9</v>
      </c>
      <c r="G89" s="17" t="str">
        <f t="shared" si="5"/>
        <v>؟</v>
      </c>
      <c r="H89" s="18" t="s">
        <v>8</v>
      </c>
      <c r="I89" s="19">
        <v>3</v>
      </c>
      <c r="J89" s="18">
        <f t="shared" si="6"/>
      </c>
      <c r="K89" s="18" t="s">
        <v>477</v>
      </c>
      <c r="L89" s="16" t="str">
        <f t="shared" si="7"/>
        <v>نیاز به استعلام</v>
      </c>
      <c r="M89" s="16">
        <v>76</v>
      </c>
      <c r="N89" s="16" t="s">
        <v>742</v>
      </c>
      <c r="O89" t="s">
        <v>744</v>
      </c>
      <c r="P89">
        <f>IFERROR(INDEX($A$2:$A$542,MATCH(ROWS($P$5:P89),$AD$2:$AD$542,0)),"")</f>
      </c>
      <c r="Q89">
        <f>IF($P89="","",INDEX($B$2:$B$542,MATCH(ROWS($P$5:P89),$AD$2:$AD$542,0)))</f>
      </c>
      <c r="R89">
        <f>IF($P89="","",INDEX($C$2:$C$542,MATCH(ROWS($P$5:P89),$AD$2:$AD$542,0)))</f>
      </c>
      <c r="S89">
        <f>IF($P89="","",INDEX($E$2:$E$542,MATCH(ROWS($P$5:P89),$AD$2:$AD$542,0)))</f>
      </c>
      <c r="T89" s="22">
        <f>IF($P89="","",IFERROR(IF(OR(INDEX($H$2:$H$542,MATCH(ROWS($P$5:P89),$AD$2:$AD$542,0))="",INDEX($H$2:$H$542,MATCH(ROWS($P$5:P89),$AD$2:$AD$542,0))="؟",INDEX($H$2:$H$542,MATCH(ROWS($P$5:P89),$AD$2:$AD$542,0))="نامشخص"),"",INDEX($H$2:$H$542,MATCH(ROWS($P$5:P89),$AD$2:$AD$542,0))),""))</f>
      </c>
      <c r="U89">
        <f>IF($P89="","",INDEX($L$2:$L$542,MATCH(ROWS($P$5:P89),$AD$2:$AD$542,0)))</f>
      </c>
      <c r="V89">
        <f>IF($P89="","",INDEX($M$2:$M$542,MATCH(ROWS($P$5:P89),$AD$2:$AD$542,0)))</f>
      </c>
      <c r="AD89">
        <f>IF(AND(LEN($Q$2)&gt;=3,ISNUMBER(SEARCH($Q$2,$B89))),MAX($AD$1:AD88)+1,"")</f>
      </c>
    </row>
    <row r="90" ht="14.4" customHeight="1" spans="1:30" x14ac:dyDescent="0.25">
      <c r="A90" s="16" t="s">
        <v>745</v>
      </c>
      <c r="B90" s="16" t="s">
        <v>227</v>
      </c>
      <c r="C90" s="16" t="s">
        <v>746</v>
      </c>
      <c r="D90" s="16" t="s">
        <v>734</v>
      </c>
      <c r="E90" s="16" t="s">
        <v>9</v>
      </c>
      <c r="F90" s="16" t="s">
        <v>9</v>
      </c>
      <c r="G90" s="17" t="str">
        <f t="shared" si="5"/>
        <v>؟</v>
      </c>
      <c r="H90" s="18" t="s">
        <v>8</v>
      </c>
      <c r="I90" s="19">
        <v>2</v>
      </c>
      <c r="J90" s="18">
        <f t="shared" si="6"/>
      </c>
      <c r="K90" s="18" t="s">
        <v>477</v>
      </c>
      <c r="L90" s="16" t="str">
        <f t="shared" si="7"/>
        <v>نیاز به استعلام</v>
      </c>
      <c r="M90" s="16">
        <v>205</v>
      </c>
      <c r="N90" s="16" t="s">
        <v>745</v>
      </c>
      <c r="O90" t="s">
        <v>747</v>
      </c>
      <c r="P90">
        <f>IFERROR(INDEX($A$2:$A$542,MATCH(ROWS($P$5:P90),$AD$2:$AD$542,0)),"")</f>
      </c>
      <c r="Q90">
        <f>IF($P90="","",INDEX($B$2:$B$542,MATCH(ROWS($P$5:P90),$AD$2:$AD$542,0)))</f>
      </c>
      <c r="R90">
        <f>IF($P90="","",INDEX($C$2:$C$542,MATCH(ROWS($P$5:P90),$AD$2:$AD$542,0)))</f>
      </c>
      <c r="S90">
        <f>IF($P90="","",INDEX($E$2:$E$542,MATCH(ROWS($P$5:P90),$AD$2:$AD$542,0)))</f>
      </c>
      <c r="T90" s="22">
        <f>IF($P90="","",IFERROR(IF(OR(INDEX($H$2:$H$542,MATCH(ROWS($P$5:P90),$AD$2:$AD$542,0))="",INDEX($H$2:$H$542,MATCH(ROWS($P$5:P90),$AD$2:$AD$542,0))="؟",INDEX($H$2:$H$542,MATCH(ROWS($P$5:P90),$AD$2:$AD$542,0))="نامشخص"),"",INDEX($H$2:$H$542,MATCH(ROWS($P$5:P90),$AD$2:$AD$542,0))),""))</f>
      </c>
      <c r="U90">
        <f>IF($P90="","",INDEX($L$2:$L$542,MATCH(ROWS($P$5:P90),$AD$2:$AD$542,0)))</f>
      </c>
      <c r="V90">
        <f>IF($P90="","",INDEX($M$2:$M$542,MATCH(ROWS($P$5:P90),$AD$2:$AD$542,0)))</f>
      </c>
      <c r="AD90">
        <f>IF(AND(LEN($Q$2)&gt;=3,ISNUMBER(SEARCH($Q$2,$B90))),MAX($AD$1:AD89)+1,"")</f>
      </c>
    </row>
    <row r="91" ht="14.4" customHeight="1" spans="1:30" x14ac:dyDescent="0.25">
      <c r="A91" s="16" t="s">
        <v>748</v>
      </c>
      <c r="B91" s="16" t="s">
        <v>226</v>
      </c>
      <c r="C91" s="16" t="s">
        <v>749</v>
      </c>
      <c r="D91" s="16" t="s">
        <v>734</v>
      </c>
      <c r="E91" s="16" t="s">
        <v>9</v>
      </c>
      <c r="F91" s="16" t="s">
        <v>9</v>
      </c>
      <c r="G91" s="17" t="str">
        <f t="shared" si="5"/>
        <v>؟</v>
      </c>
      <c r="H91" s="18" t="s">
        <v>8</v>
      </c>
      <c r="I91" s="19">
        <v>3</v>
      </c>
      <c r="J91" s="18">
        <f t="shared" si="6"/>
      </c>
      <c r="K91" s="18" t="s">
        <v>477</v>
      </c>
      <c r="L91" s="16" t="str">
        <f t="shared" si="7"/>
        <v>نیاز به استعلام</v>
      </c>
      <c r="M91" s="16">
        <v>204</v>
      </c>
      <c r="N91" s="16" t="s">
        <v>748</v>
      </c>
      <c r="O91" t="s">
        <v>750</v>
      </c>
      <c r="P91">
        <f>IFERROR(INDEX($A$2:$A$542,MATCH(ROWS($P$5:P91),$AD$2:$AD$542,0)),"")</f>
      </c>
      <c r="Q91">
        <f>IF($P91="","",INDEX($B$2:$B$542,MATCH(ROWS($P$5:P91),$AD$2:$AD$542,0)))</f>
      </c>
      <c r="R91">
        <f>IF($P91="","",INDEX($C$2:$C$542,MATCH(ROWS($P$5:P91),$AD$2:$AD$542,0)))</f>
      </c>
      <c r="S91">
        <f>IF($P91="","",INDEX($E$2:$E$542,MATCH(ROWS($P$5:P91),$AD$2:$AD$542,0)))</f>
      </c>
      <c r="T91" s="22">
        <f>IF($P91="","",IFERROR(IF(OR(INDEX($H$2:$H$542,MATCH(ROWS($P$5:P91),$AD$2:$AD$542,0))="",INDEX($H$2:$H$542,MATCH(ROWS($P$5:P91),$AD$2:$AD$542,0))="؟",INDEX($H$2:$H$542,MATCH(ROWS($P$5:P91),$AD$2:$AD$542,0))="نامشخص"),"",INDEX($H$2:$H$542,MATCH(ROWS($P$5:P91),$AD$2:$AD$542,0))),""))</f>
      </c>
      <c r="U91">
        <f>IF($P91="","",INDEX($L$2:$L$542,MATCH(ROWS($P$5:P91),$AD$2:$AD$542,0)))</f>
      </c>
      <c r="V91">
        <f>IF($P91="","",INDEX($M$2:$M$542,MATCH(ROWS($P$5:P91),$AD$2:$AD$542,0)))</f>
      </c>
      <c r="AD91">
        <f>IF(AND(LEN($Q$2)&gt;=3,ISNUMBER(SEARCH($Q$2,$B91))),MAX($AD$1:AD90)+1,"")</f>
      </c>
    </row>
    <row r="92" ht="14.4" customHeight="1" spans="1:30" x14ac:dyDescent="0.25">
      <c r="A92" s="16" t="s">
        <v>751</v>
      </c>
      <c r="B92" s="16" t="s">
        <v>247</v>
      </c>
      <c r="C92" s="16" t="s">
        <v>752</v>
      </c>
      <c r="D92" s="16" t="s">
        <v>734</v>
      </c>
      <c r="E92" s="16" t="s">
        <v>9</v>
      </c>
      <c r="F92" s="16" t="s">
        <v>9</v>
      </c>
      <c r="G92" s="17">
        <f t="shared" si="5"/>
        <v>500000</v>
      </c>
      <c r="H92" s="18">
        <v>500000</v>
      </c>
      <c r="I92" s="19">
        <v>1</v>
      </c>
      <c r="J92" s="18">
        <f t="shared" si="6"/>
        <v>510000</v>
      </c>
      <c r="K92" s="18" t="s">
        <v>477</v>
      </c>
      <c r="L92" s="16" t="str">
        <f t="shared" si="7"/>
        <v>فعال</v>
      </c>
      <c r="M92" s="16">
        <v>223</v>
      </c>
      <c r="N92" s="16" t="s">
        <v>751</v>
      </c>
      <c r="O92" t="s">
        <v>753</v>
      </c>
      <c r="P92">
        <f>IFERROR(INDEX($A$2:$A$542,MATCH(ROWS($P$5:P92),$AD$2:$AD$542,0)),"")</f>
      </c>
      <c r="Q92">
        <f>IF($P92="","",INDEX($B$2:$B$542,MATCH(ROWS($P$5:P92),$AD$2:$AD$542,0)))</f>
      </c>
      <c r="R92">
        <f>IF($P92="","",INDEX($C$2:$C$542,MATCH(ROWS($P$5:P92),$AD$2:$AD$542,0)))</f>
      </c>
      <c r="S92">
        <f>IF($P92="","",INDEX($E$2:$E$542,MATCH(ROWS($P$5:P92),$AD$2:$AD$542,0)))</f>
      </c>
      <c r="T92" s="22">
        <f>IF($P92="","",IFERROR(IF(OR(INDEX($H$2:$H$542,MATCH(ROWS($P$5:P92),$AD$2:$AD$542,0))="",INDEX($H$2:$H$542,MATCH(ROWS($P$5:P92),$AD$2:$AD$542,0))="؟",INDEX($H$2:$H$542,MATCH(ROWS($P$5:P92),$AD$2:$AD$542,0))="نامشخص"),"",INDEX($H$2:$H$542,MATCH(ROWS($P$5:P92),$AD$2:$AD$542,0))),""))</f>
      </c>
      <c r="U92">
        <f>IF($P92="","",INDEX($L$2:$L$542,MATCH(ROWS($P$5:P92),$AD$2:$AD$542,0)))</f>
      </c>
      <c r="V92">
        <f>IF($P92="","",INDEX($M$2:$M$542,MATCH(ROWS($P$5:P92),$AD$2:$AD$542,0)))</f>
      </c>
      <c r="AD92">
        <f>IF(AND(LEN($Q$2)&gt;=3,ISNUMBER(SEARCH($Q$2,$B92))),MAX($AD$1:AD91)+1,"")</f>
      </c>
    </row>
    <row r="93" ht="14.4" customHeight="1" spans="1:30" x14ac:dyDescent="0.25">
      <c r="A93" s="16" t="s">
        <v>754</v>
      </c>
      <c r="B93" s="16" t="s">
        <v>248</v>
      </c>
      <c r="C93" s="16" t="s">
        <v>755</v>
      </c>
      <c r="D93" s="16" t="s">
        <v>734</v>
      </c>
      <c r="E93" s="16" t="s">
        <v>9</v>
      </c>
      <c r="F93" s="16" t="s">
        <v>9</v>
      </c>
      <c r="G93" s="17">
        <f t="shared" si="5"/>
        <v>650000</v>
      </c>
      <c r="H93" s="18">
        <v>650000</v>
      </c>
      <c r="I93" s="19">
        <v>1</v>
      </c>
      <c r="J93" s="18">
        <f t="shared" si="6"/>
        <v>660000</v>
      </c>
      <c r="K93" s="18" t="s">
        <v>477</v>
      </c>
      <c r="L93" s="16" t="str">
        <f t="shared" si="7"/>
        <v>فعال</v>
      </c>
      <c r="M93" s="16">
        <v>224</v>
      </c>
      <c r="N93" s="16" t="s">
        <v>754</v>
      </c>
      <c r="O93" t="s">
        <v>756</v>
      </c>
      <c r="P93">
        <f>IFERROR(INDEX($A$2:$A$542,MATCH(ROWS($P$5:P93),$AD$2:$AD$542,0)),"")</f>
      </c>
      <c r="Q93">
        <f>IF($P93="","",INDEX($B$2:$B$542,MATCH(ROWS($P$5:P93),$AD$2:$AD$542,0)))</f>
      </c>
      <c r="R93">
        <f>IF($P93="","",INDEX($C$2:$C$542,MATCH(ROWS($P$5:P93),$AD$2:$AD$542,0)))</f>
      </c>
      <c r="S93">
        <f>IF($P93="","",INDEX($E$2:$E$542,MATCH(ROWS($P$5:P93),$AD$2:$AD$542,0)))</f>
      </c>
      <c r="T93" s="22">
        <f>IF($P93="","",IFERROR(IF(OR(INDEX($H$2:$H$542,MATCH(ROWS($P$5:P93),$AD$2:$AD$542,0))="",INDEX($H$2:$H$542,MATCH(ROWS($P$5:P93),$AD$2:$AD$542,0))="؟",INDEX($H$2:$H$542,MATCH(ROWS($P$5:P93),$AD$2:$AD$542,0))="نامشخص"),"",INDEX($H$2:$H$542,MATCH(ROWS($P$5:P93),$AD$2:$AD$542,0))),""))</f>
      </c>
      <c r="U93">
        <f>IF($P93="","",INDEX($L$2:$L$542,MATCH(ROWS($P$5:P93),$AD$2:$AD$542,0)))</f>
      </c>
      <c r="V93">
        <f>IF($P93="","",INDEX($M$2:$M$542,MATCH(ROWS($P$5:P93),$AD$2:$AD$542,0)))</f>
      </c>
      <c r="AD93">
        <f>IF(AND(LEN($Q$2)&gt;=3,ISNUMBER(SEARCH($Q$2,$B93))),MAX($AD$1:AD92)+1,"")</f>
      </c>
    </row>
    <row r="94" ht="14.4" customHeight="1" spans="1:30" x14ac:dyDescent="0.25">
      <c r="A94" s="16" t="s">
        <v>757</v>
      </c>
      <c r="B94" s="16" t="s">
        <v>274</v>
      </c>
      <c r="C94" s="16" t="s">
        <v>758</v>
      </c>
      <c r="D94" s="16" t="s">
        <v>734</v>
      </c>
      <c r="E94" s="16" t="s">
        <v>272</v>
      </c>
      <c r="F94" s="16" t="s">
        <v>272</v>
      </c>
      <c r="G94" s="17">
        <f t="shared" si="5"/>
        <v>250000</v>
      </c>
      <c r="H94" s="18">
        <v>250000</v>
      </c>
      <c r="I94" s="19">
        <v>1</v>
      </c>
      <c r="J94" s="18">
        <f t="shared" si="6"/>
        <v>260000</v>
      </c>
      <c r="K94" s="18" t="s">
        <v>477</v>
      </c>
      <c r="L94" s="16" t="str">
        <f t="shared" si="7"/>
        <v>فعال</v>
      </c>
      <c r="M94" s="16">
        <v>249</v>
      </c>
      <c r="N94" s="16" t="s">
        <v>757</v>
      </c>
      <c r="O94" t="s">
        <v>759</v>
      </c>
      <c r="P94">
        <f>IFERROR(INDEX($A$2:$A$542,MATCH(ROWS($P$5:P94),$AD$2:$AD$542,0)),"")</f>
      </c>
      <c r="Q94">
        <f>IF($P94="","",INDEX($B$2:$B$542,MATCH(ROWS($P$5:P94),$AD$2:$AD$542,0)))</f>
      </c>
      <c r="R94">
        <f>IF($P94="","",INDEX($C$2:$C$542,MATCH(ROWS($P$5:P94),$AD$2:$AD$542,0)))</f>
      </c>
      <c r="S94">
        <f>IF($P94="","",INDEX($E$2:$E$542,MATCH(ROWS($P$5:P94),$AD$2:$AD$542,0)))</f>
      </c>
      <c r="T94" s="22">
        <f>IF($P94="","",IFERROR(IF(OR(INDEX($H$2:$H$542,MATCH(ROWS($P$5:P94),$AD$2:$AD$542,0))="",INDEX($H$2:$H$542,MATCH(ROWS($P$5:P94),$AD$2:$AD$542,0))="؟",INDEX($H$2:$H$542,MATCH(ROWS($P$5:P94),$AD$2:$AD$542,0))="نامشخص"),"",INDEX($H$2:$H$542,MATCH(ROWS($P$5:P94),$AD$2:$AD$542,0))),""))</f>
      </c>
      <c r="U94">
        <f>IF($P94="","",INDEX($L$2:$L$542,MATCH(ROWS($P$5:P94),$AD$2:$AD$542,0)))</f>
      </c>
      <c r="V94">
        <f>IF($P94="","",INDEX($M$2:$M$542,MATCH(ROWS($P$5:P94),$AD$2:$AD$542,0)))</f>
      </c>
      <c r="AD94">
        <f>IF(AND(LEN($Q$2)&gt;=3,ISNUMBER(SEARCH($Q$2,$B94))),MAX($AD$1:AD93)+1,"")</f>
      </c>
    </row>
    <row r="95" ht="14.4" customHeight="1" spans="1:30" x14ac:dyDescent="0.25">
      <c r="A95" s="16" t="s">
        <v>760</v>
      </c>
      <c r="B95" s="16" t="s">
        <v>291</v>
      </c>
      <c r="C95" s="16" t="s">
        <v>761</v>
      </c>
      <c r="D95" s="16" t="s">
        <v>734</v>
      </c>
      <c r="E95" s="16" t="s">
        <v>9</v>
      </c>
      <c r="F95" s="16" t="s">
        <v>9</v>
      </c>
      <c r="G95" s="17">
        <f t="shared" si="5"/>
        <v>120000</v>
      </c>
      <c r="H95" s="18">
        <v>120000</v>
      </c>
      <c r="I95" s="19">
        <v>3</v>
      </c>
      <c r="J95" s="18">
        <f t="shared" si="6"/>
        <v>130000</v>
      </c>
      <c r="K95" s="18" t="s">
        <v>477</v>
      </c>
      <c r="L95" s="16" t="str">
        <f t="shared" si="7"/>
        <v>فعال</v>
      </c>
      <c r="M95" s="16">
        <v>265</v>
      </c>
      <c r="N95" s="16" t="s">
        <v>760</v>
      </c>
      <c r="O95" t="s">
        <v>762</v>
      </c>
      <c r="P95">
        <f>IFERROR(INDEX($A$2:$A$542,MATCH(ROWS($P$5:P95),$AD$2:$AD$542,0)),"")</f>
      </c>
      <c r="Q95">
        <f>IF($P95="","",INDEX($B$2:$B$542,MATCH(ROWS($P$5:P95),$AD$2:$AD$542,0)))</f>
      </c>
      <c r="R95">
        <f>IF($P95="","",INDEX($C$2:$C$542,MATCH(ROWS($P$5:P95),$AD$2:$AD$542,0)))</f>
      </c>
      <c r="S95">
        <f>IF($P95="","",INDEX($E$2:$E$542,MATCH(ROWS($P$5:P95),$AD$2:$AD$542,0)))</f>
      </c>
      <c r="T95" s="22">
        <f>IF($P95="","",IFERROR(IF(OR(INDEX($H$2:$H$542,MATCH(ROWS($P$5:P95),$AD$2:$AD$542,0))="",INDEX($H$2:$H$542,MATCH(ROWS($P$5:P95),$AD$2:$AD$542,0))="؟",INDEX($H$2:$H$542,MATCH(ROWS($P$5:P95),$AD$2:$AD$542,0))="نامشخص"),"",INDEX($H$2:$H$542,MATCH(ROWS($P$5:P95),$AD$2:$AD$542,0))),""))</f>
      </c>
      <c r="U95">
        <f>IF($P95="","",INDEX($L$2:$L$542,MATCH(ROWS($P$5:P95),$AD$2:$AD$542,0)))</f>
      </c>
      <c r="V95">
        <f>IF($P95="","",INDEX($M$2:$M$542,MATCH(ROWS($P$5:P95),$AD$2:$AD$542,0)))</f>
      </c>
      <c r="AD95">
        <f>IF(AND(LEN($Q$2)&gt;=3,ISNUMBER(SEARCH($Q$2,$B95))),MAX($AD$1:AD94)+1,"")</f>
      </c>
    </row>
    <row r="96" ht="14.4" customHeight="1" spans="1:30" x14ac:dyDescent="0.25">
      <c r="A96" s="16" t="s">
        <v>763</v>
      </c>
      <c r="B96" s="16" t="s">
        <v>297</v>
      </c>
      <c r="C96" s="16" t="s">
        <v>764</v>
      </c>
      <c r="D96" s="16" t="s">
        <v>734</v>
      </c>
      <c r="E96" s="16" t="s">
        <v>9</v>
      </c>
      <c r="F96" s="16" t="s">
        <v>9</v>
      </c>
      <c r="G96" s="17">
        <f t="shared" si="5"/>
        <v>120000</v>
      </c>
      <c r="H96" s="18">
        <v>120000</v>
      </c>
      <c r="I96" s="19">
        <v>1</v>
      </c>
      <c r="J96" s="18">
        <f t="shared" si="6"/>
        <v>130000</v>
      </c>
      <c r="K96" s="18" t="s">
        <v>477</v>
      </c>
      <c r="L96" s="16" t="str">
        <f t="shared" si="7"/>
        <v>فعال</v>
      </c>
      <c r="M96" s="16">
        <v>271</v>
      </c>
      <c r="N96" s="16" t="s">
        <v>763</v>
      </c>
      <c r="O96" t="s">
        <v>765</v>
      </c>
      <c r="P96">
        <f>IFERROR(INDEX($A$2:$A$542,MATCH(ROWS($P$5:P96),$AD$2:$AD$542,0)),"")</f>
      </c>
      <c r="Q96">
        <f>IF($P96="","",INDEX($B$2:$B$542,MATCH(ROWS($P$5:P96),$AD$2:$AD$542,0)))</f>
      </c>
      <c r="R96">
        <f>IF($P96="","",INDEX($C$2:$C$542,MATCH(ROWS($P$5:P96),$AD$2:$AD$542,0)))</f>
      </c>
      <c r="S96">
        <f>IF($P96="","",INDEX($E$2:$E$542,MATCH(ROWS($P$5:P96),$AD$2:$AD$542,0)))</f>
      </c>
      <c r="T96" s="22">
        <f>IF($P96="","",IFERROR(IF(OR(INDEX($H$2:$H$542,MATCH(ROWS($P$5:P96),$AD$2:$AD$542,0))="",INDEX($H$2:$H$542,MATCH(ROWS($P$5:P96),$AD$2:$AD$542,0))="؟",INDEX($H$2:$H$542,MATCH(ROWS($P$5:P96),$AD$2:$AD$542,0))="نامشخص"),"",INDEX($H$2:$H$542,MATCH(ROWS($P$5:P96),$AD$2:$AD$542,0))),""))</f>
      </c>
      <c r="U96">
        <f>IF($P96="","",INDEX($L$2:$L$542,MATCH(ROWS($P$5:P96),$AD$2:$AD$542,0)))</f>
      </c>
      <c r="V96">
        <f>IF($P96="","",INDEX($M$2:$M$542,MATCH(ROWS($P$5:P96),$AD$2:$AD$542,0)))</f>
      </c>
      <c r="AD96">
        <f>IF(AND(LEN($Q$2)&gt;=3,ISNUMBER(SEARCH($Q$2,$B96))),MAX($AD$1:AD95)+1,"")</f>
      </c>
    </row>
    <row r="97" ht="14.4" customHeight="1" spans="1:30" x14ac:dyDescent="0.25">
      <c r="A97" s="16" t="s">
        <v>766</v>
      </c>
      <c r="B97" s="16" t="s">
        <v>363</v>
      </c>
      <c r="C97" s="16" t="s">
        <v>767</v>
      </c>
      <c r="D97" s="16" t="s">
        <v>734</v>
      </c>
      <c r="E97" s="16" t="s">
        <v>364</v>
      </c>
      <c r="F97" s="16" t="s">
        <v>364</v>
      </c>
      <c r="G97" s="17">
        <f t="shared" si="5"/>
        <v>250000</v>
      </c>
      <c r="H97" s="18">
        <v>250000</v>
      </c>
      <c r="I97" s="19">
        <v>2</v>
      </c>
      <c r="J97" s="18">
        <f t="shared" si="6"/>
        <v>260000</v>
      </c>
      <c r="K97" s="18" t="s">
        <v>477</v>
      </c>
      <c r="L97" s="16" t="str">
        <f t="shared" si="7"/>
        <v>فعال</v>
      </c>
      <c r="M97" s="16">
        <v>325</v>
      </c>
      <c r="N97" s="16" t="s">
        <v>766</v>
      </c>
      <c r="O97" t="s">
        <v>768</v>
      </c>
      <c r="P97">
        <f>IFERROR(INDEX($A$2:$A$542,MATCH(ROWS($P$5:P97),$AD$2:$AD$542,0)),"")</f>
      </c>
      <c r="Q97">
        <f>IF($P97="","",INDEX($B$2:$B$542,MATCH(ROWS($P$5:P97),$AD$2:$AD$542,0)))</f>
      </c>
      <c r="R97">
        <f>IF($P97="","",INDEX($C$2:$C$542,MATCH(ROWS($P$5:P97),$AD$2:$AD$542,0)))</f>
      </c>
      <c r="S97">
        <f>IF($P97="","",INDEX($E$2:$E$542,MATCH(ROWS($P$5:P97),$AD$2:$AD$542,0)))</f>
      </c>
      <c r="T97" s="22">
        <f>IF($P97="","",IFERROR(IF(OR(INDEX($H$2:$H$542,MATCH(ROWS($P$5:P97),$AD$2:$AD$542,0))="",INDEX($H$2:$H$542,MATCH(ROWS($P$5:P97),$AD$2:$AD$542,0))="؟",INDEX($H$2:$H$542,MATCH(ROWS($P$5:P97),$AD$2:$AD$542,0))="نامشخص"),"",INDEX($H$2:$H$542,MATCH(ROWS($P$5:P97),$AD$2:$AD$542,0))),""))</f>
      </c>
      <c r="U97">
        <f>IF($P97="","",INDEX($L$2:$L$542,MATCH(ROWS($P$5:P97),$AD$2:$AD$542,0)))</f>
      </c>
      <c r="V97">
        <f>IF($P97="","",INDEX($M$2:$M$542,MATCH(ROWS($P$5:P97),$AD$2:$AD$542,0)))</f>
      </c>
      <c r="AD97">
        <f>IF(AND(LEN($Q$2)&gt;=3,ISNUMBER(SEARCH($Q$2,$B97))),MAX($AD$1:AD96)+1,"")</f>
      </c>
    </row>
    <row r="98" ht="14.4" customHeight="1" spans="1:30" x14ac:dyDescent="0.25">
      <c r="A98" s="16" t="s">
        <v>769</v>
      </c>
      <c r="B98" s="16" t="s">
        <v>363</v>
      </c>
      <c r="C98" s="16" t="s">
        <v>770</v>
      </c>
      <c r="D98" s="16" t="s">
        <v>734</v>
      </c>
      <c r="E98" s="16" t="s">
        <v>365</v>
      </c>
      <c r="F98" s="16" t="s">
        <v>365</v>
      </c>
      <c r="G98" s="17">
        <f t="shared" si="5"/>
        <v>280000</v>
      </c>
      <c r="H98" s="18">
        <v>280000</v>
      </c>
      <c r="I98" s="19">
        <v>1</v>
      </c>
      <c r="J98" s="18">
        <f t="shared" ref="J98:J129" si="8">IF(OR(H98="",H98="؟",H98="نامشخص"),"",CEILING(H98*(1+I98/100),10000))</f>
        <v>290000</v>
      </c>
      <c r="K98" s="18" t="s">
        <v>477</v>
      </c>
      <c r="L98" s="16" t="str">
        <f t="shared" ref="L98:L129" si="9">IF(OR($H98="",$H98="؟",$H98="نامشخص"),"نیاز به استعلام","فعال")</f>
        <v>فعال</v>
      </c>
      <c r="M98" s="16">
        <v>325</v>
      </c>
      <c r="N98" s="16" t="s">
        <v>769</v>
      </c>
      <c r="O98" t="s">
        <v>771</v>
      </c>
      <c r="P98">
        <f>IFERROR(INDEX($A$2:$A$542,MATCH(ROWS($P$5:P98),$AD$2:$AD$542,0)),"")</f>
      </c>
      <c r="Q98">
        <f>IF($P98="","",INDEX($B$2:$B$542,MATCH(ROWS($P$5:P98),$AD$2:$AD$542,0)))</f>
      </c>
      <c r="R98">
        <f>IF($P98="","",INDEX($C$2:$C$542,MATCH(ROWS($P$5:P98),$AD$2:$AD$542,0)))</f>
      </c>
      <c r="S98">
        <f>IF($P98="","",INDEX($E$2:$E$542,MATCH(ROWS($P$5:P98),$AD$2:$AD$542,0)))</f>
      </c>
      <c r="T98" s="22">
        <f>IF($P98="","",IFERROR(IF(OR(INDEX($H$2:$H$542,MATCH(ROWS($P$5:P98),$AD$2:$AD$542,0))="",INDEX($H$2:$H$542,MATCH(ROWS($P$5:P98),$AD$2:$AD$542,0))="؟",INDEX($H$2:$H$542,MATCH(ROWS($P$5:P98),$AD$2:$AD$542,0))="نامشخص"),"",INDEX($H$2:$H$542,MATCH(ROWS($P$5:P98),$AD$2:$AD$542,0))),""))</f>
      </c>
      <c r="U98">
        <f>IF($P98="","",INDEX($L$2:$L$542,MATCH(ROWS($P$5:P98),$AD$2:$AD$542,0)))</f>
      </c>
      <c r="V98">
        <f>IF($P98="","",INDEX($M$2:$M$542,MATCH(ROWS($P$5:P98),$AD$2:$AD$542,0)))</f>
      </c>
      <c r="AD98">
        <f>IF(AND(LEN($Q$2)&gt;=3,ISNUMBER(SEARCH($Q$2,$B98))),MAX($AD$1:AD97)+1,"")</f>
      </c>
    </row>
    <row r="99" ht="14.4" customHeight="1" spans="1:30" x14ac:dyDescent="0.25">
      <c r="A99" s="16" t="s">
        <v>772</v>
      </c>
      <c r="B99" s="16" t="s">
        <v>366</v>
      </c>
      <c r="C99" s="16" t="s">
        <v>773</v>
      </c>
      <c r="D99" s="16" t="s">
        <v>734</v>
      </c>
      <c r="E99" s="16" t="s">
        <v>9</v>
      </c>
      <c r="F99" s="16" t="s">
        <v>9</v>
      </c>
      <c r="G99" s="17">
        <f t="shared" si="5"/>
        <v>410000</v>
      </c>
      <c r="H99" s="18">
        <v>410000</v>
      </c>
      <c r="I99" s="19">
        <v>3</v>
      </c>
      <c r="J99" s="18">
        <f t="shared" si="8"/>
        <v>430000</v>
      </c>
      <c r="K99" s="18" t="s">
        <v>477</v>
      </c>
      <c r="L99" s="16" t="str">
        <f t="shared" si="9"/>
        <v>فعال</v>
      </c>
      <c r="M99" s="16">
        <v>326</v>
      </c>
      <c r="N99" s="16" t="s">
        <v>772</v>
      </c>
      <c r="O99" t="s">
        <v>774</v>
      </c>
      <c r="P99">
        <f>IFERROR(INDEX($A$2:$A$542,MATCH(ROWS($P$5:P99),$AD$2:$AD$542,0)),"")</f>
      </c>
      <c r="Q99">
        <f>IF($P99="","",INDEX($B$2:$B$542,MATCH(ROWS($P$5:P99),$AD$2:$AD$542,0)))</f>
      </c>
      <c r="R99">
        <f>IF($P99="","",INDEX($C$2:$C$542,MATCH(ROWS($P$5:P99),$AD$2:$AD$542,0)))</f>
      </c>
      <c r="S99">
        <f>IF($P99="","",INDEX($E$2:$E$542,MATCH(ROWS($P$5:P99),$AD$2:$AD$542,0)))</f>
      </c>
      <c r="T99" s="22">
        <f>IF($P99="","",IFERROR(IF(OR(INDEX($H$2:$H$542,MATCH(ROWS($P$5:P99),$AD$2:$AD$542,0))="",INDEX($H$2:$H$542,MATCH(ROWS($P$5:P99),$AD$2:$AD$542,0))="؟",INDEX($H$2:$H$542,MATCH(ROWS($P$5:P99),$AD$2:$AD$542,0))="نامشخص"),"",INDEX($H$2:$H$542,MATCH(ROWS($P$5:P99),$AD$2:$AD$542,0))),""))</f>
      </c>
      <c r="U99">
        <f>IF($P99="","",INDEX($L$2:$L$542,MATCH(ROWS($P$5:P99),$AD$2:$AD$542,0)))</f>
      </c>
      <c r="V99">
        <f>IF($P99="","",INDEX($M$2:$M$542,MATCH(ROWS($P$5:P99),$AD$2:$AD$542,0)))</f>
      </c>
      <c r="AD99">
        <f>IF(AND(LEN($Q$2)&gt;=3,ISNUMBER(SEARCH($Q$2,$B99))),MAX($AD$1:AD98)+1,"")</f>
      </c>
    </row>
    <row r="100" ht="14.4" customHeight="1" spans="1:30" x14ac:dyDescent="0.25">
      <c r="A100" s="16" t="s">
        <v>775</v>
      </c>
      <c r="B100" s="16" t="s">
        <v>366</v>
      </c>
      <c r="C100" s="16" t="s">
        <v>776</v>
      </c>
      <c r="D100" s="16" t="s">
        <v>734</v>
      </c>
      <c r="E100" s="16" t="s">
        <v>91</v>
      </c>
      <c r="F100" s="16" t="s">
        <v>91</v>
      </c>
      <c r="G100" s="17">
        <f t="shared" si="5"/>
        <v>150000</v>
      </c>
      <c r="H100" s="18">
        <v>150000</v>
      </c>
      <c r="I100" s="19">
        <v>1</v>
      </c>
      <c r="J100" s="18">
        <f t="shared" si="8"/>
        <v>160000</v>
      </c>
      <c r="K100" s="18" t="s">
        <v>477</v>
      </c>
      <c r="L100" s="16" t="str">
        <f t="shared" si="9"/>
        <v>فعال</v>
      </c>
      <c r="M100" s="16">
        <v>326</v>
      </c>
      <c r="N100" s="16" t="s">
        <v>775</v>
      </c>
      <c r="O100" t="s">
        <v>777</v>
      </c>
      <c r="P100">
        <f>IFERROR(INDEX($A$2:$A$542,MATCH(ROWS($P$5:P100),$AD$2:$AD$542,0)),"")</f>
      </c>
      <c r="Q100">
        <f>IF($P100="","",INDEX($B$2:$B$542,MATCH(ROWS($P$5:P100),$AD$2:$AD$542,0)))</f>
      </c>
      <c r="R100">
        <f>IF($P100="","",INDEX($C$2:$C$542,MATCH(ROWS($P$5:P100),$AD$2:$AD$542,0)))</f>
      </c>
      <c r="S100">
        <f>IF($P100="","",INDEX($E$2:$E$542,MATCH(ROWS($P$5:P100),$AD$2:$AD$542,0)))</f>
      </c>
      <c r="T100" s="22">
        <f>IF($P100="","",IFERROR(IF(OR(INDEX($H$2:$H$542,MATCH(ROWS($P$5:P100),$AD$2:$AD$542,0))="",INDEX($H$2:$H$542,MATCH(ROWS($P$5:P100),$AD$2:$AD$542,0))="؟",INDEX($H$2:$H$542,MATCH(ROWS($P$5:P100),$AD$2:$AD$542,0))="نامشخص"),"",INDEX($H$2:$H$542,MATCH(ROWS($P$5:P100),$AD$2:$AD$542,0))),""))</f>
      </c>
      <c r="U100">
        <f>IF($P100="","",INDEX($L$2:$L$542,MATCH(ROWS($P$5:P100),$AD$2:$AD$542,0)))</f>
      </c>
      <c r="V100">
        <f>IF($P100="","",INDEX($M$2:$M$542,MATCH(ROWS($P$5:P100),$AD$2:$AD$542,0)))</f>
      </c>
      <c r="AD100">
        <f>IF(AND(LEN($Q$2)&gt;=3,ISNUMBER(SEARCH($Q$2,$B100))),MAX($AD$1:AD99)+1,"")</f>
      </c>
    </row>
    <row r="101" ht="14.4" customHeight="1" spans="1:30" x14ac:dyDescent="0.25">
      <c r="A101" s="16" t="s">
        <v>778</v>
      </c>
      <c r="B101" s="16" t="s">
        <v>385</v>
      </c>
      <c r="C101" s="16" t="s">
        <v>779</v>
      </c>
      <c r="D101" s="16" t="s">
        <v>734</v>
      </c>
      <c r="E101" s="16" t="s">
        <v>9</v>
      </c>
      <c r="F101" s="16" t="s">
        <v>9</v>
      </c>
      <c r="G101" s="17">
        <f t="shared" si="5"/>
        <v>1100000</v>
      </c>
      <c r="H101" s="18">
        <v>1100000</v>
      </c>
      <c r="I101" s="19">
        <v>3</v>
      </c>
      <c r="J101" s="18">
        <f t="shared" si="8"/>
        <v>1140000</v>
      </c>
      <c r="K101" s="18" t="s">
        <v>477</v>
      </c>
      <c r="L101" s="16" t="str">
        <f t="shared" si="9"/>
        <v>فعال</v>
      </c>
      <c r="M101" s="16">
        <v>342</v>
      </c>
      <c r="N101" s="16" t="s">
        <v>778</v>
      </c>
      <c r="O101" t="s">
        <v>780</v>
      </c>
      <c r="P101">
        <f>IFERROR(INDEX($A$2:$A$422,MATCH(ROWS($P$5:P101),$AD$2:$AD$422,0)),"")</f>
      </c>
      <c r="Q101">
        <f>IF($P101="","",INDEX($B$2:$B$422,MATCH(ROWS($P$5:P101),$AD$2:$AD$422,0)))</f>
      </c>
      <c r="R101">
        <f>IF($P101="","",INDEX($C$2:$C$422,MATCH(ROWS($P$5:P101),$AD$2:$AD$422,0)))</f>
      </c>
      <c r="S101">
        <f>IF($P101="","",INDEX($E$2:$E$422,MATCH(ROWS($P$5:P101),$AD$2:$AD$422,0)))</f>
      </c>
      <c r="T101" s="22">
        <f>IF($P101="","",IFERROR(IF(OR(INDEX($H$2:$H$422,MATCH(ROWS($P$5:P101),$AD$2:$AD$422,0))="",INDEX($H$2:$H$422,MATCH(ROWS($P$5:P101),$AD$2:$AD$422,0))="؟",INDEX($H$2:$H$422,MATCH(ROWS($P$5:P101),$AD$2:$AD$422,0))="نامشخص"),"",INDEX($H$2:$H$422,MATCH(ROWS($P$5:P101),$AD$2:$AD$422,0))),""))</f>
      </c>
      <c r="U101">
        <f>IF($P101="","",INDEX($L$2:$L$422,MATCH(ROWS($P$5:P101),$AD$2:$AD$422,0)))</f>
      </c>
      <c r="V101">
        <f>IF($P101="","",INDEX($M$2:$M$422,MATCH(ROWS($P$5:P101),$AD$2:$AD$422,0)))</f>
      </c>
      <c r="AD101">
        <f>IF(AND(LEN($Q$2)&gt;=3,ISNUMBER(SEARCH($Q$2,$B101))),MAX($AD$1:AD100)+1,"")</f>
      </c>
    </row>
    <row r="102" ht="14.4" customHeight="1" spans="1:30" x14ac:dyDescent="0.25">
      <c r="A102" s="16" t="s">
        <v>781</v>
      </c>
      <c r="B102" s="16" t="s">
        <v>386</v>
      </c>
      <c r="C102" s="16" t="s">
        <v>782</v>
      </c>
      <c r="D102" s="16" t="s">
        <v>734</v>
      </c>
      <c r="E102" s="16" t="s">
        <v>387</v>
      </c>
      <c r="F102" s="16" t="s">
        <v>387</v>
      </c>
      <c r="G102" s="17">
        <f t="shared" si="5"/>
        <v>1300000</v>
      </c>
      <c r="H102" s="18">
        <v>1300000</v>
      </c>
      <c r="I102" s="19">
        <v>1</v>
      </c>
      <c r="J102" s="18">
        <f t="shared" si="8"/>
        <v>1320000</v>
      </c>
      <c r="K102" s="18" t="s">
        <v>477</v>
      </c>
      <c r="L102" s="16" t="str">
        <f t="shared" si="9"/>
        <v>فعال</v>
      </c>
      <c r="M102" s="16">
        <v>343</v>
      </c>
      <c r="N102" s="16" t="s">
        <v>781</v>
      </c>
      <c r="O102" t="s">
        <v>783</v>
      </c>
      <c r="P102">
        <f>IFERROR(INDEX($A$2:$A$422,MATCH(ROWS($P$5:P102),$AD$2:$AD$422,0)),"")</f>
      </c>
      <c r="Q102">
        <f>IF($P102="","",INDEX($B$2:$B$422,MATCH(ROWS($P$5:P102),$AD$2:$AD$422,0)))</f>
      </c>
      <c r="R102">
        <f>IF($P102="","",INDEX($C$2:$C$422,MATCH(ROWS($P$5:P102),$AD$2:$AD$422,0)))</f>
      </c>
      <c r="S102">
        <f>IF($P102="","",INDEX($E$2:$E$422,MATCH(ROWS($P$5:P102),$AD$2:$AD$422,0)))</f>
      </c>
      <c r="T102" s="22">
        <f>IF($P102="","",IFERROR(IF(OR(INDEX($H$2:$H$422,MATCH(ROWS($P$5:P102),$AD$2:$AD$422,0))="",INDEX($H$2:$H$422,MATCH(ROWS($P$5:P102),$AD$2:$AD$422,0))="؟",INDEX($H$2:$H$422,MATCH(ROWS($P$5:P102),$AD$2:$AD$422,0))="نامشخص"),"",INDEX($H$2:$H$422,MATCH(ROWS($P$5:P102),$AD$2:$AD$422,0))),""))</f>
      </c>
      <c r="U102">
        <f>IF($P102="","",INDEX($L$2:$L$422,MATCH(ROWS($P$5:P102),$AD$2:$AD$422,0)))</f>
      </c>
      <c r="V102">
        <f>IF($P102="","",INDEX($M$2:$M$422,MATCH(ROWS($P$5:P102),$AD$2:$AD$422,0)))</f>
      </c>
      <c r="AD102">
        <f>IF(AND(LEN($Q$2)&gt;=3,ISNUMBER(SEARCH($Q$2,$B102))),MAX($AD$1:AD101)+1,"")</f>
      </c>
    </row>
    <row r="103" ht="14.4" customHeight="1" spans="1:30" x14ac:dyDescent="0.25">
      <c r="A103" s="16" t="s">
        <v>784</v>
      </c>
      <c r="B103" s="16" t="s">
        <v>388</v>
      </c>
      <c r="C103" s="16" t="s">
        <v>785</v>
      </c>
      <c r="D103" s="16" t="s">
        <v>734</v>
      </c>
      <c r="E103" s="16" t="s">
        <v>389</v>
      </c>
      <c r="F103" s="16" t="s">
        <v>389</v>
      </c>
      <c r="G103" s="17">
        <f t="shared" si="5"/>
        <v>480000</v>
      </c>
      <c r="H103" s="18">
        <v>480000</v>
      </c>
      <c r="I103" s="19">
        <v>3</v>
      </c>
      <c r="J103" s="18">
        <f t="shared" si="8"/>
        <v>500000</v>
      </c>
      <c r="K103" s="18" t="s">
        <v>477</v>
      </c>
      <c r="L103" s="16" t="str">
        <f t="shared" si="9"/>
        <v>فعال</v>
      </c>
      <c r="M103" s="16">
        <v>344</v>
      </c>
      <c r="N103" s="16" t="s">
        <v>784</v>
      </c>
      <c r="O103" t="s">
        <v>786</v>
      </c>
      <c r="P103">
        <f>IFERROR(INDEX($A$2:$A$422,MATCH(ROWS($P$5:P103),$AD$2:$AD$422,0)),"")</f>
      </c>
      <c r="Q103">
        <f>IF($P103="","",INDEX($B$2:$B$422,MATCH(ROWS($P$5:P103),$AD$2:$AD$422,0)))</f>
      </c>
      <c r="R103">
        <f>IF($P103="","",INDEX($C$2:$C$422,MATCH(ROWS($P$5:P103),$AD$2:$AD$422,0)))</f>
      </c>
      <c r="S103">
        <f>IF($P103="","",INDEX($E$2:$E$422,MATCH(ROWS($P$5:P103),$AD$2:$AD$422,0)))</f>
      </c>
      <c r="T103" s="22">
        <f>IF($P103="","",IFERROR(IF(OR(INDEX($H$2:$H$422,MATCH(ROWS($P$5:P103),$AD$2:$AD$422,0))="",INDEX($H$2:$H$422,MATCH(ROWS($P$5:P103),$AD$2:$AD$422,0))="؟",INDEX($H$2:$H$422,MATCH(ROWS($P$5:P103),$AD$2:$AD$422,0))="نامشخص"),"",INDEX($H$2:$H$422,MATCH(ROWS($P$5:P103),$AD$2:$AD$422,0))),""))</f>
      </c>
      <c r="U103">
        <f>IF($P103="","",INDEX($L$2:$L$422,MATCH(ROWS($P$5:P103),$AD$2:$AD$422,0)))</f>
      </c>
      <c r="V103">
        <f>IF($P103="","",INDEX($M$2:$M$422,MATCH(ROWS($P$5:P103),$AD$2:$AD$422,0)))</f>
      </c>
      <c r="AD103">
        <f>IF(AND(LEN($Q$2)&gt;=3,ISNUMBER(SEARCH($Q$2,$B103))),MAX($AD$1:AD102)+1,"")</f>
      </c>
    </row>
    <row r="104" ht="14.4" customHeight="1" spans="1:30" x14ac:dyDescent="0.25">
      <c r="A104" s="16" t="s">
        <v>787</v>
      </c>
      <c r="B104" s="16" t="s">
        <v>388</v>
      </c>
      <c r="C104" s="16" t="s">
        <v>788</v>
      </c>
      <c r="D104" s="16" t="s">
        <v>734</v>
      </c>
      <c r="E104" s="16" t="s">
        <v>9</v>
      </c>
      <c r="F104" s="16" t="s">
        <v>9</v>
      </c>
      <c r="G104" s="17">
        <f t="shared" si="5"/>
        <v>2250000</v>
      </c>
      <c r="H104" s="18">
        <v>2250000</v>
      </c>
      <c r="I104" s="19">
        <v>3</v>
      </c>
      <c r="J104" s="18">
        <f t="shared" si="8"/>
        <v>2320000</v>
      </c>
      <c r="K104" s="18" t="s">
        <v>477</v>
      </c>
      <c r="L104" s="16" t="str">
        <f t="shared" si="9"/>
        <v>فعال</v>
      </c>
      <c r="M104" s="16">
        <v>344</v>
      </c>
      <c r="N104" s="16" t="s">
        <v>787</v>
      </c>
      <c r="O104" t="s">
        <v>789</v>
      </c>
      <c r="P104">
        <f>IFERROR(INDEX($A$2:$A$422,MATCH(ROWS($P$5:P104),$AD$2:$AD$422,0)),"")</f>
      </c>
      <c r="Q104">
        <f>IF($P104="","",INDEX($B$2:$B$422,MATCH(ROWS($P$5:P104),$AD$2:$AD$422,0)))</f>
      </c>
      <c r="R104">
        <f>IF($P104="","",INDEX($C$2:$C$422,MATCH(ROWS($P$5:P104),$AD$2:$AD$422,0)))</f>
      </c>
      <c r="S104">
        <f>IF($P104="","",INDEX($E$2:$E$422,MATCH(ROWS($P$5:P104),$AD$2:$AD$422,0)))</f>
      </c>
      <c r="T104" s="22">
        <f>IF($P104="","",IFERROR(IF(OR(INDEX($H$2:$H$422,MATCH(ROWS($P$5:P104),$AD$2:$AD$422,0))="",INDEX($H$2:$H$422,MATCH(ROWS($P$5:P104),$AD$2:$AD$422,0))="؟",INDEX($H$2:$H$422,MATCH(ROWS($P$5:P104),$AD$2:$AD$422,0))="نامشخص"),"",INDEX($H$2:$H$422,MATCH(ROWS($P$5:P104),$AD$2:$AD$422,0))),""))</f>
      </c>
      <c r="U104">
        <f>IF($P104="","",INDEX($L$2:$L$422,MATCH(ROWS($P$5:P104),$AD$2:$AD$422,0)))</f>
      </c>
      <c r="V104">
        <f>IF($P104="","",INDEX($M$2:$M$422,MATCH(ROWS($P$5:P104),$AD$2:$AD$422,0)))</f>
      </c>
      <c r="AD104">
        <f>IF(AND(LEN($Q$2)&gt;=3,ISNUMBER(SEARCH($Q$2,$B104))),MAX($AD$1:AD103)+1,"")</f>
      </c>
    </row>
    <row r="105" ht="14.4" customHeight="1" spans="1:30" x14ac:dyDescent="0.25">
      <c r="A105" s="16" t="s">
        <v>790</v>
      </c>
      <c r="B105" s="16" t="s">
        <v>390</v>
      </c>
      <c r="C105" s="16" t="s">
        <v>791</v>
      </c>
      <c r="D105" s="16" t="s">
        <v>734</v>
      </c>
      <c r="E105" s="16" t="s">
        <v>9</v>
      </c>
      <c r="F105" s="16" t="s">
        <v>9</v>
      </c>
      <c r="G105" s="17">
        <f t="shared" si="5"/>
        <v>690000</v>
      </c>
      <c r="H105" s="18">
        <v>690000</v>
      </c>
      <c r="I105" s="19">
        <v>1</v>
      </c>
      <c r="J105" s="18">
        <f t="shared" si="8"/>
        <v>700000</v>
      </c>
      <c r="K105" s="18" t="s">
        <v>477</v>
      </c>
      <c r="L105" s="16" t="str">
        <f t="shared" si="9"/>
        <v>فعال</v>
      </c>
      <c r="M105" s="16">
        <v>345</v>
      </c>
      <c r="N105" s="16" t="s">
        <v>790</v>
      </c>
      <c r="O105" t="s">
        <v>792</v>
      </c>
      <c r="P105">
        <f>IFERROR(INDEX($A$2:$A$422,MATCH(ROWS($P$5:P105),$AD$2:$AD$422,0)),"")</f>
      </c>
      <c r="Q105">
        <f>IF($P105="","",INDEX($B$2:$B$422,MATCH(ROWS($P$5:P105),$AD$2:$AD$422,0)))</f>
      </c>
      <c r="R105">
        <f>IF($P105="","",INDEX($C$2:$C$422,MATCH(ROWS($P$5:P105),$AD$2:$AD$422,0)))</f>
      </c>
      <c r="S105">
        <f>IF($P105="","",INDEX($E$2:$E$422,MATCH(ROWS($P$5:P105),$AD$2:$AD$422,0)))</f>
      </c>
      <c r="T105" s="22">
        <f>IF($P105="","",IFERROR(IF(OR(INDEX($H$2:$H$422,MATCH(ROWS($P$5:P105),$AD$2:$AD$422,0))="",INDEX($H$2:$H$422,MATCH(ROWS($P$5:P105),$AD$2:$AD$422,0))="؟",INDEX($H$2:$H$422,MATCH(ROWS($P$5:P105),$AD$2:$AD$422,0))="نامشخص"),"",INDEX($H$2:$H$422,MATCH(ROWS($P$5:P105),$AD$2:$AD$422,0))),""))</f>
      </c>
      <c r="U105">
        <f>IF($P105="","",INDEX($L$2:$L$422,MATCH(ROWS($P$5:P105),$AD$2:$AD$422,0)))</f>
      </c>
      <c r="V105">
        <f>IF($P105="","",INDEX($M$2:$M$422,MATCH(ROWS($P$5:P105),$AD$2:$AD$422,0)))</f>
      </c>
      <c r="AD105">
        <f>IF(AND(LEN($Q$2)&gt;=3,ISNUMBER(SEARCH($Q$2,$B105))),MAX($AD$1:AD104)+1,"")</f>
      </c>
    </row>
    <row r="106" ht="14.4" customHeight="1" spans="1:30" x14ac:dyDescent="0.25">
      <c r="A106" s="16" t="s">
        <v>793</v>
      </c>
      <c r="B106" s="16" t="s">
        <v>392</v>
      </c>
      <c r="C106" s="16" t="s">
        <v>794</v>
      </c>
      <c r="D106" s="16" t="s">
        <v>734</v>
      </c>
      <c r="E106" s="16" t="s">
        <v>9</v>
      </c>
      <c r="F106" s="16" t="s">
        <v>9</v>
      </c>
      <c r="G106" s="17" t="str">
        <f t="shared" si="5"/>
        <v>؟</v>
      </c>
      <c r="H106" s="18" t="s">
        <v>8</v>
      </c>
      <c r="I106" s="19">
        <v>1</v>
      </c>
      <c r="J106" s="18">
        <f t="shared" si="8"/>
      </c>
      <c r="K106" s="18" t="s">
        <v>477</v>
      </c>
      <c r="L106" s="16" t="str">
        <f t="shared" si="9"/>
        <v>نیاز به استعلام</v>
      </c>
      <c r="M106" s="16">
        <v>347</v>
      </c>
      <c r="N106" s="16" t="s">
        <v>793</v>
      </c>
      <c r="O106" t="s">
        <v>795</v>
      </c>
      <c r="P106">
        <f>IFERROR(INDEX($A$2:$A$422,MATCH(ROWS($P$5:P106),$AD$2:$AD$422,0)),"")</f>
      </c>
      <c r="Q106">
        <f>IF($P106="","",INDEX($B$2:$B$422,MATCH(ROWS($P$5:P106),$AD$2:$AD$422,0)))</f>
      </c>
      <c r="R106">
        <f>IF($P106="","",INDEX($C$2:$C$422,MATCH(ROWS($P$5:P106),$AD$2:$AD$422,0)))</f>
      </c>
      <c r="S106">
        <f>IF($P106="","",INDEX($E$2:$E$422,MATCH(ROWS($P$5:P106),$AD$2:$AD$422,0)))</f>
      </c>
      <c r="T106" s="22">
        <f>IF($P106="","",IFERROR(IF(OR(INDEX($H$2:$H$422,MATCH(ROWS($P$5:P106),$AD$2:$AD$422,0))="",INDEX($H$2:$H$422,MATCH(ROWS($P$5:P106),$AD$2:$AD$422,0))="؟",INDEX($H$2:$H$422,MATCH(ROWS($P$5:P106),$AD$2:$AD$422,0))="نامشخص"),"",INDEX($H$2:$H$422,MATCH(ROWS($P$5:P106),$AD$2:$AD$422,0))),""))</f>
      </c>
      <c r="U106">
        <f>IF($P106="","",INDEX($L$2:$L$422,MATCH(ROWS($P$5:P106),$AD$2:$AD$422,0)))</f>
      </c>
      <c r="V106">
        <f>IF($P106="","",INDEX($M$2:$M$422,MATCH(ROWS($P$5:P106),$AD$2:$AD$422,0)))</f>
      </c>
      <c r="AD106">
        <f>IF(AND(LEN($Q$2)&gt;=3,ISNUMBER(SEARCH($Q$2,$B106))),MAX($AD$1:AD105)+1,"")</f>
      </c>
    </row>
    <row r="107" ht="14.4" customHeight="1" spans="1:30" x14ac:dyDescent="0.25">
      <c r="A107" s="16" t="s">
        <v>796</v>
      </c>
      <c r="B107" s="16" t="s">
        <v>397</v>
      </c>
      <c r="C107" s="16" t="s">
        <v>797</v>
      </c>
      <c r="D107" s="16" t="s">
        <v>734</v>
      </c>
      <c r="E107" s="16" t="s">
        <v>396</v>
      </c>
      <c r="F107" s="16" t="s">
        <v>396</v>
      </c>
      <c r="G107" s="17">
        <f t="shared" si="5"/>
        <v>500000</v>
      </c>
      <c r="H107" s="18">
        <v>500000</v>
      </c>
      <c r="I107" s="19">
        <v>3</v>
      </c>
      <c r="J107" s="18">
        <f t="shared" si="8"/>
        <v>520000</v>
      </c>
      <c r="K107" s="18" t="s">
        <v>477</v>
      </c>
      <c r="L107" s="16" t="str">
        <f t="shared" si="9"/>
        <v>فعال</v>
      </c>
      <c r="M107" s="16">
        <v>350</v>
      </c>
      <c r="N107" s="16" t="s">
        <v>796</v>
      </c>
      <c r="O107" t="s">
        <v>798</v>
      </c>
      <c r="P107">
        <f>IFERROR(INDEX($A$2:$A$422,MATCH(ROWS($P$5:P107),$AD$2:$AD$422,0)),"")</f>
      </c>
      <c r="Q107">
        <f>IF($P107="","",INDEX($B$2:$B$422,MATCH(ROWS($P$5:P107),$AD$2:$AD$422,0)))</f>
      </c>
      <c r="R107">
        <f>IF($P107="","",INDEX($C$2:$C$422,MATCH(ROWS($P$5:P107),$AD$2:$AD$422,0)))</f>
      </c>
      <c r="S107">
        <f>IF($P107="","",INDEX($E$2:$E$422,MATCH(ROWS($P$5:P107),$AD$2:$AD$422,0)))</f>
      </c>
      <c r="T107" s="22">
        <f>IF($P107="","",IFERROR(IF(OR(INDEX($H$2:$H$422,MATCH(ROWS($P$5:P107),$AD$2:$AD$422,0))="",INDEX($H$2:$H$422,MATCH(ROWS($P$5:P107),$AD$2:$AD$422,0))="؟",INDEX($H$2:$H$422,MATCH(ROWS($P$5:P107),$AD$2:$AD$422,0))="نامشخص"),"",INDEX($H$2:$H$422,MATCH(ROWS($P$5:P107),$AD$2:$AD$422,0))),""))</f>
      </c>
      <c r="U107">
        <f>IF($P107="","",INDEX($L$2:$L$422,MATCH(ROWS($P$5:P107),$AD$2:$AD$422,0)))</f>
      </c>
      <c r="V107">
        <f>IF($P107="","",INDEX($M$2:$M$422,MATCH(ROWS($P$5:P107),$AD$2:$AD$422,0)))</f>
      </c>
      <c r="AD107">
        <f>IF(AND(LEN($Q$2)&gt;=3,ISNUMBER(SEARCH($Q$2,$B107))),MAX($AD$1:AD106)+1,"")</f>
      </c>
    </row>
    <row r="108" ht="14.4" customHeight="1" spans="1:30" x14ac:dyDescent="0.25">
      <c r="A108" s="16" t="s">
        <v>799</v>
      </c>
      <c r="B108" s="16" t="s">
        <v>393</v>
      </c>
      <c r="C108" s="16" t="s">
        <v>800</v>
      </c>
      <c r="D108" s="16" t="s">
        <v>734</v>
      </c>
      <c r="E108" s="16" t="s">
        <v>394</v>
      </c>
      <c r="F108" s="16" t="s">
        <v>394</v>
      </c>
      <c r="G108" s="17">
        <f t="shared" si="5"/>
        <v>810000</v>
      </c>
      <c r="H108" s="18">
        <v>810000</v>
      </c>
      <c r="I108" s="19">
        <v>3</v>
      </c>
      <c r="J108" s="18">
        <f t="shared" si="8"/>
        <v>840000</v>
      </c>
      <c r="K108" s="18" t="s">
        <v>477</v>
      </c>
      <c r="L108" s="16" t="str">
        <f t="shared" si="9"/>
        <v>فعال</v>
      </c>
      <c r="M108" s="16">
        <v>348</v>
      </c>
      <c r="N108" s="16" t="s">
        <v>799</v>
      </c>
      <c r="O108" t="s">
        <v>801</v>
      </c>
      <c r="P108">
        <f>IFERROR(INDEX($A$2:$A$422,MATCH(ROWS($P$5:P108),$AD$2:$AD$422,0)),"")</f>
      </c>
      <c r="Q108">
        <f>IF($P108="","",INDEX($B$2:$B$422,MATCH(ROWS($P$5:P108),$AD$2:$AD$422,0)))</f>
      </c>
      <c r="R108">
        <f>IF($P108="","",INDEX($C$2:$C$422,MATCH(ROWS($P$5:P108),$AD$2:$AD$422,0)))</f>
      </c>
      <c r="S108">
        <f>IF($P108="","",INDEX($E$2:$E$422,MATCH(ROWS($P$5:P108),$AD$2:$AD$422,0)))</f>
      </c>
      <c r="T108" s="22">
        <f>IF($P108="","",IFERROR(IF(OR(INDEX($H$2:$H$422,MATCH(ROWS($P$5:P108),$AD$2:$AD$422,0))="",INDEX($H$2:$H$422,MATCH(ROWS($P$5:P108),$AD$2:$AD$422,0))="؟",INDEX($H$2:$H$422,MATCH(ROWS($P$5:P108),$AD$2:$AD$422,0))="نامشخص"),"",INDEX($H$2:$H$422,MATCH(ROWS($P$5:P108),$AD$2:$AD$422,0))),""))</f>
      </c>
      <c r="U108">
        <f>IF($P108="","",INDEX($L$2:$L$422,MATCH(ROWS($P$5:P108),$AD$2:$AD$422,0)))</f>
      </c>
      <c r="V108">
        <f>IF($P108="","",INDEX($M$2:$M$422,MATCH(ROWS($P$5:P108),$AD$2:$AD$422,0)))</f>
      </c>
      <c r="AD108">
        <f>IF(AND(LEN($Q$2)&gt;=3,ISNUMBER(SEARCH($Q$2,$B108))),MAX($AD$1:AD107)+1,"")</f>
      </c>
    </row>
    <row r="109" ht="14.4" customHeight="1" spans="1:30" x14ac:dyDescent="0.25">
      <c r="A109" s="16" t="s">
        <v>802</v>
      </c>
      <c r="B109" s="16" t="s">
        <v>393</v>
      </c>
      <c r="C109" s="16" t="s">
        <v>803</v>
      </c>
      <c r="D109" s="16" t="s">
        <v>734</v>
      </c>
      <c r="E109" s="16" t="s">
        <v>9</v>
      </c>
      <c r="F109" s="16" t="s">
        <v>9</v>
      </c>
      <c r="G109" s="17">
        <f t="shared" si="5"/>
        <v>4500000</v>
      </c>
      <c r="H109" s="18">
        <v>4500000</v>
      </c>
      <c r="I109" s="19">
        <v>3</v>
      </c>
      <c r="J109" s="18">
        <f t="shared" si="8"/>
        <v>4640000</v>
      </c>
      <c r="K109" s="18" t="s">
        <v>477</v>
      </c>
      <c r="L109" s="16" t="str">
        <f t="shared" si="9"/>
        <v>فعال</v>
      </c>
      <c r="M109" s="16">
        <v>348</v>
      </c>
      <c r="N109" s="16" t="s">
        <v>802</v>
      </c>
      <c r="O109" t="s">
        <v>804</v>
      </c>
      <c r="P109">
        <f>IFERROR(INDEX($A$2:$A$422,MATCH(ROWS($P$5:P109),$AD$2:$AD$422,0)),"")</f>
      </c>
      <c r="Q109">
        <f>IF($P109="","",INDEX($B$2:$B$422,MATCH(ROWS($P$5:P109),$AD$2:$AD$422,0)))</f>
      </c>
      <c r="R109">
        <f>IF($P109="","",INDEX($C$2:$C$422,MATCH(ROWS($P$5:P109),$AD$2:$AD$422,0)))</f>
      </c>
      <c r="S109">
        <f>IF($P109="","",INDEX($E$2:$E$422,MATCH(ROWS($P$5:P109),$AD$2:$AD$422,0)))</f>
      </c>
      <c r="T109" s="22">
        <f>IF($P109="","",IFERROR(IF(OR(INDEX($H$2:$H$422,MATCH(ROWS($P$5:P109),$AD$2:$AD$422,0))="",INDEX($H$2:$H$422,MATCH(ROWS($P$5:P109),$AD$2:$AD$422,0))="؟",INDEX($H$2:$H$422,MATCH(ROWS($P$5:P109),$AD$2:$AD$422,0))="نامشخص"),"",INDEX($H$2:$H$422,MATCH(ROWS($P$5:P109),$AD$2:$AD$422,0))),""))</f>
      </c>
      <c r="U109">
        <f>IF($P109="","",INDEX($L$2:$L$422,MATCH(ROWS($P$5:P109),$AD$2:$AD$422,0)))</f>
      </c>
      <c r="V109">
        <f>IF($P109="","",INDEX($M$2:$M$422,MATCH(ROWS($P$5:P109),$AD$2:$AD$422,0)))</f>
      </c>
      <c r="AD109">
        <f>IF(AND(LEN($Q$2)&gt;=3,ISNUMBER(SEARCH($Q$2,$B109))),MAX($AD$1:AD108)+1,"")</f>
      </c>
    </row>
    <row r="110" ht="14.4" customHeight="1" spans="1:30" x14ac:dyDescent="0.25">
      <c r="A110" s="16" t="s">
        <v>805</v>
      </c>
      <c r="B110" s="16" t="s">
        <v>401</v>
      </c>
      <c r="C110" s="16" t="s">
        <v>806</v>
      </c>
      <c r="D110" s="16" t="s">
        <v>734</v>
      </c>
      <c r="E110" s="16" t="s">
        <v>9</v>
      </c>
      <c r="F110" s="16" t="s">
        <v>9</v>
      </c>
      <c r="G110" s="17">
        <f t="shared" si="5"/>
        <v>800000</v>
      </c>
      <c r="H110" s="18">
        <v>800000</v>
      </c>
      <c r="I110" s="19">
        <v>3</v>
      </c>
      <c r="J110" s="18">
        <f t="shared" si="8"/>
        <v>830000</v>
      </c>
      <c r="K110" s="18" t="s">
        <v>477</v>
      </c>
      <c r="L110" s="16" t="str">
        <f t="shared" si="9"/>
        <v>فعال</v>
      </c>
      <c r="M110" s="16">
        <v>353</v>
      </c>
      <c r="N110" s="16" t="s">
        <v>805</v>
      </c>
      <c r="O110" t="s">
        <v>807</v>
      </c>
      <c r="P110">
        <f>IFERROR(INDEX($A$2:$A$422,MATCH(ROWS($P$5:P110),$AD$2:$AD$422,0)),"")</f>
      </c>
      <c r="Q110">
        <f>IF($P110="","",INDEX($B$2:$B$422,MATCH(ROWS($P$5:P110),$AD$2:$AD$422,0)))</f>
      </c>
      <c r="R110">
        <f>IF($P110="","",INDEX($C$2:$C$422,MATCH(ROWS($P$5:P110),$AD$2:$AD$422,0)))</f>
      </c>
      <c r="S110">
        <f>IF($P110="","",INDEX($E$2:$E$422,MATCH(ROWS($P$5:P110),$AD$2:$AD$422,0)))</f>
      </c>
      <c r="T110" s="22">
        <f>IF($P110="","",IFERROR(IF(OR(INDEX($H$2:$H$422,MATCH(ROWS($P$5:P110),$AD$2:$AD$422,0))="",INDEX($H$2:$H$422,MATCH(ROWS($P$5:P110),$AD$2:$AD$422,0))="؟",INDEX($H$2:$H$422,MATCH(ROWS($P$5:P110),$AD$2:$AD$422,0))="نامشخص"),"",INDEX($H$2:$H$422,MATCH(ROWS($P$5:P110),$AD$2:$AD$422,0))),""))</f>
      </c>
      <c r="U110">
        <f>IF($P110="","",INDEX($L$2:$L$422,MATCH(ROWS($P$5:P110),$AD$2:$AD$422,0)))</f>
      </c>
      <c r="V110">
        <f>IF($P110="","",INDEX($M$2:$M$422,MATCH(ROWS($P$5:P110),$AD$2:$AD$422,0)))</f>
      </c>
      <c r="AD110">
        <f>IF(AND(LEN($Q$2)&gt;=3,ISNUMBER(SEARCH($Q$2,$B110))),MAX($AD$1:AD109)+1,"")</f>
      </c>
    </row>
    <row r="111" ht="14.4" customHeight="1" spans="1:30" x14ac:dyDescent="0.25">
      <c r="A111" s="16" t="s">
        <v>808</v>
      </c>
      <c r="B111" s="16" t="s">
        <v>402</v>
      </c>
      <c r="C111" s="16" t="s">
        <v>809</v>
      </c>
      <c r="D111" s="16" t="s">
        <v>734</v>
      </c>
      <c r="E111" s="16" t="s">
        <v>9</v>
      </c>
      <c r="F111" s="16" t="s">
        <v>9</v>
      </c>
      <c r="G111" s="17">
        <f t="shared" si="5"/>
        <v>700000</v>
      </c>
      <c r="H111" s="18">
        <v>700000</v>
      </c>
      <c r="I111" s="19">
        <v>1</v>
      </c>
      <c r="J111" s="18">
        <f t="shared" si="8"/>
        <v>710000</v>
      </c>
      <c r="K111" s="18" t="s">
        <v>477</v>
      </c>
      <c r="L111" s="16" t="str">
        <f t="shared" si="9"/>
        <v>فعال</v>
      </c>
      <c r="M111" s="16">
        <v>354</v>
      </c>
      <c r="N111" s="16" t="s">
        <v>808</v>
      </c>
      <c r="O111" t="s">
        <v>810</v>
      </c>
      <c r="P111">
        <f>IFERROR(INDEX($A$2:$A$422,MATCH(ROWS($P$5:P111),$AD$2:$AD$422,0)),"")</f>
      </c>
      <c r="Q111">
        <f>IF($P111="","",INDEX($B$2:$B$422,MATCH(ROWS($P$5:P111),$AD$2:$AD$422,0)))</f>
      </c>
      <c r="R111">
        <f>IF($P111="","",INDEX($C$2:$C$422,MATCH(ROWS($P$5:P111),$AD$2:$AD$422,0)))</f>
      </c>
      <c r="S111">
        <f>IF($P111="","",INDEX($E$2:$E$422,MATCH(ROWS($P$5:P111),$AD$2:$AD$422,0)))</f>
      </c>
      <c r="T111" s="22">
        <f>IF($P111="","",IFERROR(IF(OR(INDEX($H$2:$H$422,MATCH(ROWS($P$5:P111),$AD$2:$AD$422,0))="",INDEX($H$2:$H$422,MATCH(ROWS($P$5:P111),$AD$2:$AD$422,0))="؟",INDEX($H$2:$H$422,MATCH(ROWS($P$5:P111),$AD$2:$AD$422,0))="نامشخص"),"",INDEX($H$2:$H$422,MATCH(ROWS($P$5:P111),$AD$2:$AD$422,0))),""))</f>
      </c>
      <c r="U111">
        <f>IF($P111="","",INDEX($L$2:$L$422,MATCH(ROWS($P$5:P111),$AD$2:$AD$422,0)))</f>
      </c>
      <c r="V111">
        <f>IF($P111="","",INDEX($M$2:$M$422,MATCH(ROWS($P$5:P111),$AD$2:$AD$422,0)))</f>
      </c>
      <c r="AD111">
        <f>IF(AND(LEN($Q$2)&gt;=3,ISNUMBER(SEARCH($Q$2,$B111))),MAX($AD$1:AD110)+1,"")</f>
      </c>
    </row>
    <row r="112" ht="14.4" customHeight="1" spans="1:30" x14ac:dyDescent="0.25">
      <c r="A112" s="16" t="s">
        <v>811</v>
      </c>
      <c r="B112" s="16" t="s">
        <v>407</v>
      </c>
      <c r="C112" s="16" t="s">
        <v>812</v>
      </c>
      <c r="D112" s="16" t="s">
        <v>734</v>
      </c>
      <c r="E112" s="16" t="s">
        <v>9</v>
      </c>
      <c r="F112" s="16" t="s">
        <v>9</v>
      </c>
      <c r="G112" s="17" t="str">
        <f t="shared" si="5"/>
        <v>؟</v>
      </c>
      <c r="H112" s="18" t="s">
        <v>8</v>
      </c>
      <c r="I112" s="19">
        <v>1</v>
      </c>
      <c r="J112" s="18">
        <f t="shared" si="8"/>
      </c>
      <c r="K112" s="18" t="s">
        <v>477</v>
      </c>
      <c r="L112" s="16" t="str">
        <f t="shared" si="9"/>
        <v>نیاز به استعلام</v>
      </c>
      <c r="M112" s="16">
        <v>358</v>
      </c>
      <c r="N112" s="16" t="s">
        <v>811</v>
      </c>
      <c r="O112" t="s">
        <v>813</v>
      </c>
      <c r="P112">
        <f>IFERROR(INDEX($A$2:$A$422,MATCH(ROWS($P$5:P112),$AD$2:$AD$422,0)),"")</f>
      </c>
      <c r="Q112">
        <f>IF($P112="","",INDEX($B$2:$B$422,MATCH(ROWS($P$5:P112),$AD$2:$AD$422,0)))</f>
      </c>
      <c r="R112">
        <f>IF($P112="","",INDEX($C$2:$C$422,MATCH(ROWS($P$5:P112),$AD$2:$AD$422,0)))</f>
      </c>
      <c r="S112">
        <f>IF($P112="","",INDEX($E$2:$E$422,MATCH(ROWS($P$5:P112),$AD$2:$AD$422,0)))</f>
      </c>
      <c r="T112" s="22">
        <f>IF($P112="","",IFERROR(IF(OR(INDEX($H$2:$H$422,MATCH(ROWS($P$5:P112),$AD$2:$AD$422,0))="",INDEX($H$2:$H$422,MATCH(ROWS($P$5:P112),$AD$2:$AD$422,0))="؟",INDEX($H$2:$H$422,MATCH(ROWS($P$5:P112),$AD$2:$AD$422,0))="نامشخص"),"",INDEX($H$2:$H$422,MATCH(ROWS($P$5:P112),$AD$2:$AD$422,0))),""))</f>
      </c>
      <c r="U112">
        <f>IF($P112="","",INDEX($L$2:$L$422,MATCH(ROWS($P$5:P112),$AD$2:$AD$422,0)))</f>
      </c>
      <c r="V112">
        <f>IF($P112="","",INDEX($M$2:$M$422,MATCH(ROWS($P$5:P112),$AD$2:$AD$422,0)))</f>
      </c>
      <c r="AD112">
        <f>IF(AND(LEN($Q$2)&gt;=3,ISNUMBER(SEARCH($Q$2,$B112))),MAX($AD$1:AD111)+1,"")</f>
      </c>
    </row>
    <row r="113" ht="14.4" customHeight="1" spans="1:30" x14ac:dyDescent="0.25">
      <c r="A113" s="16" t="s">
        <v>814</v>
      </c>
      <c r="B113" s="16" t="s">
        <v>408</v>
      </c>
      <c r="C113" s="16" t="s">
        <v>815</v>
      </c>
      <c r="D113" s="16" t="s">
        <v>734</v>
      </c>
      <c r="E113" s="16" t="s">
        <v>9</v>
      </c>
      <c r="F113" s="16" t="s">
        <v>9</v>
      </c>
      <c r="G113" s="17" t="str">
        <f t="shared" si="5"/>
        <v>؟</v>
      </c>
      <c r="H113" s="18" t="s">
        <v>8</v>
      </c>
      <c r="I113" s="19">
        <v>3</v>
      </c>
      <c r="J113" s="18">
        <f t="shared" si="8"/>
      </c>
      <c r="K113" s="18" t="s">
        <v>477</v>
      </c>
      <c r="L113" s="16" t="str">
        <f t="shared" si="9"/>
        <v>نیاز به استعلام</v>
      </c>
      <c r="M113" s="16">
        <v>359</v>
      </c>
      <c r="N113" s="16" t="s">
        <v>814</v>
      </c>
      <c r="O113" t="s">
        <v>816</v>
      </c>
      <c r="P113">
        <f>IFERROR(INDEX($A$2:$A$422,MATCH(ROWS($P$5:P113),$AD$2:$AD$422,0)),"")</f>
      </c>
      <c r="Q113">
        <f>IF($P113="","",INDEX($B$2:$B$422,MATCH(ROWS($P$5:P113),$AD$2:$AD$422,0)))</f>
      </c>
      <c r="R113">
        <f>IF($P113="","",INDEX($C$2:$C$422,MATCH(ROWS($P$5:P113),$AD$2:$AD$422,0)))</f>
      </c>
      <c r="S113">
        <f>IF($P113="","",INDEX($E$2:$E$422,MATCH(ROWS($P$5:P113),$AD$2:$AD$422,0)))</f>
      </c>
      <c r="T113" s="22">
        <f>IF($P113="","",IFERROR(IF(OR(INDEX($H$2:$H$422,MATCH(ROWS($P$5:P113),$AD$2:$AD$422,0))="",INDEX($H$2:$H$422,MATCH(ROWS($P$5:P113),$AD$2:$AD$422,0))="؟",INDEX($H$2:$H$422,MATCH(ROWS($P$5:P113),$AD$2:$AD$422,0))="نامشخص"),"",INDEX($H$2:$H$422,MATCH(ROWS($P$5:P113),$AD$2:$AD$422,0))),""))</f>
      </c>
      <c r="U113">
        <f>IF($P113="","",INDEX($L$2:$L$422,MATCH(ROWS($P$5:P113),$AD$2:$AD$422,0)))</f>
      </c>
      <c r="V113">
        <f>IF($P113="","",INDEX($M$2:$M$422,MATCH(ROWS($P$5:P113),$AD$2:$AD$422,0)))</f>
      </c>
      <c r="AD113">
        <f>IF(AND(LEN($Q$2)&gt;=3,ISNUMBER(SEARCH($Q$2,$B113))),MAX($AD$1:AD112)+1,"")</f>
      </c>
    </row>
    <row r="114" ht="14.4" customHeight="1" spans="1:30" x14ac:dyDescent="0.25">
      <c r="A114" s="16" t="s">
        <v>817</v>
      </c>
      <c r="B114" s="16" t="s">
        <v>409</v>
      </c>
      <c r="C114" s="16" t="s">
        <v>818</v>
      </c>
      <c r="D114" s="16" t="s">
        <v>734</v>
      </c>
      <c r="E114" s="16" t="s">
        <v>9</v>
      </c>
      <c r="F114" s="16" t="s">
        <v>9</v>
      </c>
      <c r="G114" s="17">
        <f t="shared" si="5"/>
        <v>700000</v>
      </c>
      <c r="H114" s="18">
        <v>700000</v>
      </c>
      <c r="I114" s="19">
        <v>3</v>
      </c>
      <c r="J114" s="18">
        <f t="shared" si="8"/>
        <v>730000</v>
      </c>
      <c r="K114" s="18" t="s">
        <v>477</v>
      </c>
      <c r="L114" s="16" t="str">
        <f t="shared" si="9"/>
        <v>فعال</v>
      </c>
      <c r="M114" s="16">
        <v>360</v>
      </c>
      <c r="N114" s="16" t="s">
        <v>817</v>
      </c>
      <c r="O114" t="s">
        <v>819</v>
      </c>
      <c r="P114">
        <f>IFERROR(INDEX($A$2:$A$422,MATCH(ROWS($P$5:P114),$AD$2:$AD$422,0)),"")</f>
      </c>
      <c r="Q114">
        <f>IF($P114="","",INDEX($B$2:$B$422,MATCH(ROWS($P$5:P114),$AD$2:$AD$422,0)))</f>
      </c>
      <c r="R114">
        <f>IF($P114="","",INDEX($C$2:$C$422,MATCH(ROWS($P$5:P114),$AD$2:$AD$422,0)))</f>
      </c>
      <c r="S114">
        <f>IF($P114="","",INDEX($E$2:$E$422,MATCH(ROWS($P$5:P114),$AD$2:$AD$422,0)))</f>
      </c>
      <c r="T114" s="22">
        <f>IF($P114="","",IFERROR(IF(OR(INDEX($H$2:$H$422,MATCH(ROWS($P$5:P114),$AD$2:$AD$422,0))="",INDEX($H$2:$H$422,MATCH(ROWS($P$5:P114),$AD$2:$AD$422,0))="؟",INDEX($H$2:$H$422,MATCH(ROWS($P$5:P114),$AD$2:$AD$422,0))="نامشخص"),"",INDEX($H$2:$H$422,MATCH(ROWS($P$5:P114),$AD$2:$AD$422,0))),""))</f>
      </c>
      <c r="U114">
        <f>IF($P114="","",INDEX($L$2:$L$422,MATCH(ROWS($P$5:P114),$AD$2:$AD$422,0)))</f>
      </c>
      <c r="V114">
        <f>IF($P114="","",INDEX($M$2:$M$422,MATCH(ROWS($P$5:P114),$AD$2:$AD$422,0)))</f>
      </c>
      <c r="AD114">
        <f>IF(AND(LEN($Q$2)&gt;=3,ISNUMBER(SEARCH($Q$2,$B114))),MAX($AD$1:AD113)+1,"")</f>
      </c>
    </row>
    <row r="115" ht="14.4" customHeight="1" spans="1:30" x14ac:dyDescent="0.25">
      <c r="A115" s="16" t="s">
        <v>820</v>
      </c>
      <c r="B115" s="16" t="s">
        <v>410</v>
      </c>
      <c r="C115" s="16" t="s">
        <v>821</v>
      </c>
      <c r="D115" s="16" t="s">
        <v>734</v>
      </c>
      <c r="E115" s="16" t="s">
        <v>9</v>
      </c>
      <c r="F115" s="16" t="s">
        <v>9</v>
      </c>
      <c r="G115" s="17">
        <f t="shared" si="5"/>
        <v>600000</v>
      </c>
      <c r="H115" s="18">
        <v>600000</v>
      </c>
      <c r="I115" s="19">
        <v>3</v>
      </c>
      <c r="J115" s="18">
        <f t="shared" si="8"/>
        <v>620000</v>
      </c>
      <c r="K115" s="18" t="s">
        <v>477</v>
      </c>
      <c r="L115" s="16" t="str">
        <f t="shared" si="9"/>
        <v>فعال</v>
      </c>
      <c r="M115" s="16">
        <v>361</v>
      </c>
      <c r="N115" s="16" t="s">
        <v>820</v>
      </c>
      <c r="O115" t="s">
        <v>822</v>
      </c>
      <c r="P115">
        <f>IFERROR(INDEX($A$2:$A$422,MATCH(ROWS($P$5:P115),$AD$2:$AD$422,0)),"")</f>
      </c>
      <c r="Q115">
        <f>IF($P115="","",INDEX($B$2:$B$422,MATCH(ROWS($P$5:P115),$AD$2:$AD$422,0)))</f>
      </c>
      <c r="R115">
        <f>IF($P115="","",INDEX($C$2:$C$422,MATCH(ROWS($P$5:P115),$AD$2:$AD$422,0)))</f>
      </c>
      <c r="S115">
        <f>IF($P115="","",INDEX($E$2:$E$422,MATCH(ROWS($P$5:P115),$AD$2:$AD$422,0)))</f>
      </c>
      <c r="T115" s="22">
        <f>IF($P115="","",IFERROR(IF(OR(INDEX($H$2:$H$422,MATCH(ROWS($P$5:P115),$AD$2:$AD$422,0))="",INDEX($H$2:$H$422,MATCH(ROWS($P$5:P115),$AD$2:$AD$422,0))="؟",INDEX($H$2:$H$422,MATCH(ROWS($P$5:P115),$AD$2:$AD$422,0))="نامشخص"),"",INDEX($H$2:$H$422,MATCH(ROWS($P$5:P115),$AD$2:$AD$422,0))),""))</f>
      </c>
      <c r="U115">
        <f>IF($P115="","",INDEX($L$2:$L$422,MATCH(ROWS($P$5:P115),$AD$2:$AD$422,0)))</f>
      </c>
      <c r="V115">
        <f>IF($P115="","",INDEX($M$2:$M$422,MATCH(ROWS($P$5:P115),$AD$2:$AD$422,0)))</f>
      </c>
      <c r="AD115">
        <f>IF(AND(LEN($Q$2)&gt;=3,ISNUMBER(SEARCH($Q$2,$B115))),MAX($AD$1:AD114)+1,"")</f>
      </c>
    </row>
    <row r="116" ht="14.4" customHeight="1" spans="1:30" x14ac:dyDescent="0.25">
      <c r="A116" s="16" t="s">
        <v>823</v>
      </c>
      <c r="B116" s="16" t="s">
        <v>127</v>
      </c>
      <c r="C116" s="16" t="s">
        <v>824</v>
      </c>
      <c r="D116" s="16" t="s">
        <v>825</v>
      </c>
      <c r="E116" s="16" t="s">
        <v>9</v>
      </c>
      <c r="F116" s="16" t="s">
        <v>9</v>
      </c>
      <c r="G116" s="17">
        <f t="shared" si="5"/>
        <v>350000</v>
      </c>
      <c r="H116" s="18">
        <v>350000</v>
      </c>
      <c r="I116" s="19">
        <v>1</v>
      </c>
      <c r="J116" s="18">
        <f t="shared" si="8"/>
        <v>360000</v>
      </c>
      <c r="K116" s="18" t="s">
        <v>477</v>
      </c>
      <c r="L116" s="16" t="str">
        <f t="shared" si="9"/>
        <v>فعال</v>
      </c>
      <c r="M116" s="16">
        <v>109</v>
      </c>
      <c r="N116" s="16" t="s">
        <v>823</v>
      </c>
      <c r="O116" t="s">
        <v>826</v>
      </c>
      <c r="P116">
        <f>IFERROR(INDEX($A$2:$A$422,MATCH(ROWS($P$5:P116),$AD$2:$AD$422,0)),"")</f>
      </c>
      <c r="Q116">
        <f>IF($P116="","",INDEX($B$2:$B$422,MATCH(ROWS($P$5:P116),$AD$2:$AD$422,0)))</f>
      </c>
      <c r="R116">
        <f>IF($P116="","",INDEX($C$2:$C$422,MATCH(ROWS($P$5:P116),$AD$2:$AD$422,0)))</f>
      </c>
      <c r="S116">
        <f>IF($P116="","",INDEX($E$2:$E$422,MATCH(ROWS($P$5:P116),$AD$2:$AD$422,0)))</f>
      </c>
      <c r="T116" s="22">
        <f>IF($P116="","",IFERROR(IF(OR(INDEX($H$2:$H$422,MATCH(ROWS($P$5:P116),$AD$2:$AD$422,0))="",INDEX($H$2:$H$422,MATCH(ROWS($P$5:P116),$AD$2:$AD$422,0))="؟",INDEX($H$2:$H$422,MATCH(ROWS($P$5:P116),$AD$2:$AD$422,0))="نامشخص"),"",INDEX($H$2:$H$422,MATCH(ROWS($P$5:P116),$AD$2:$AD$422,0))),""))</f>
      </c>
      <c r="U116">
        <f>IF($P116="","",INDEX($L$2:$L$422,MATCH(ROWS($P$5:P116),$AD$2:$AD$422,0)))</f>
      </c>
      <c r="V116">
        <f>IF($P116="","",INDEX($M$2:$M$422,MATCH(ROWS($P$5:P116),$AD$2:$AD$422,0)))</f>
      </c>
      <c r="AD116">
        <f>IF(AND(LEN($Q$2)&gt;=3,ISNUMBER(SEARCH($Q$2,$B116))),MAX($AD$1:AD115)+1,"")</f>
      </c>
    </row>
    <row r="117" ht="14.4" customHeight="1" spans="1:30" x14ac:dyDescent="0.25">
      <c r="A117" s="16" t="s">
        <v>827</v>
      </c>
      <c r="B117" s="16" t="s">
        <v>148</v>
      </c>
      <c r="C117" s="16" t="s">
        <v>828</v>
      </c>
      <c r="D117" s="16" t="s">
        <v>825</v>
      </c>
      <c r="E117" s="16" t="s">
        <v>149</v>
      </c>
      <c r="F117" s="16" t="s">
        <v>149</v>
      </c>
      <c r="G117" s="17">
        <f t="shared" si="5"/>
        <v>300000</v>
      </c>
      <c r="H117" s="18">
        <v>300000</v>
      </c>
      <c r="I117" s="19">
        <v>3</v>
      </c>
      <c r="J117" s="18">
        <f t="shared" si="8"/>
        <v>310000</v>
      </c>
      <c r="K117" s="18" t="s">
        <v>477</v>
      </c>
      <c r="L117" s="16" t="str">
        <f t="shared" si="9"/>
        <v>فعال</v>
      </c>
      <c r="M117" s="16">
        <v>128</v>
      </c>
      <c r="N117" s="16" t="s">
        <v>827</v>
      </c>
      <c r="O117" t="s">
        <v>829</v>
      </c>
      <c r="P117">
        <f>IFERROR(INDEX($A$2:$A$422,MATCH(ROWS($P$5:P117),$AD$2:$AD$422,0)),"")</f>
      </c>
      <c r="Q117">
        <f>IF($P117="","",INDEX($B$2:$B$422,MATCH(ROWS($P$5:P117),$AD$2:$AD$422,0)))</f>
      </c>
      <c r="R117">
        <f>IF($P117="","",INDEX($C$2:$C$422,MATCH(ROWS($P$5:P117),$AD$2:$AD$422,0)))</f>
      </c>
      <c r="S117">
        <f>IF($P117="","",INDEX($E$2:$E$422,MATCH(ROWS($P$5:P117),$AD$2:$AD$422,0)))</f>
      </c>
      <c r="T117" s="22">
        <f>IF($P117="","",IFERROR(IF(OR(INDEX($H$2:$H$422,MATCH(ROWS($P$5:P117),$AD$2:$AD$422,0))="",INDEX($H$2:$H$422,MATCH(ROWS($P$5:P117),$AD$2:$AD$422,0))="؟",INDEX($H$2:$H$422,MATCH(ROWS($P$5:P117),$AD$2:$AD$422,0))="نامشخص"),"",INDEX($H$2:$H$422,MATCH(ROWS($P$5:P117),$AD$2:$AD$422,0))),""))</f>
      </c>
      <c r="U117">
        <f>IF($P117="","",INDEX($L$2:$L$422,MATCH(ROWS($P$5:P117),$AD$2:$AD$422,0)))</f>
      </c>
      <c r="V117">
        <f>IF($P117="","",INDEX($M$2:$M$422,MATCH(ROWS($P$5:P117),$AD$2:$AD$422,0)))</f>
      </c>
      <c r="AD117">
        <f>IF(AND(LEN($Q$2)&gt;=3,ISNUMBER(SEARCH($Q$2,$B117))),MAX($AD$1:AD116)+1,"")</f>
      </c>
    </row>
    <row r="118" ht="14.4" customHeight="1" spans="1:30" x14ac:dyDescent="0.25">
      <c r="A118" s="16" t="s">
        <v>830</v>
      </c>
      <c r="B118" s="16" t="s">
        <v>148</v>
      </c>
      <c r="C118" s="16" t="s">
        <v>831</v>
      </c>
      <c r="D118" s="16" t="s">
        <v>825</v>
      </c>
      <c r="E118" s="16" t="s">
        <v>150</v>
      </c>
      <c r="F118" s="16" t="s">
        <v>150</v>
      </c>
      <c r="G118" s="17">
        <f t="shared" si="5"/>
        <v>590000</v>
      </c>
      <c r="H118" s="18">
        <v>590000</v>
      </c>
      <c r="I118" s="19">
        <v>2</v>
      </c>
      <c r="J118" s="18">
        <f t="shared" si="8"/>
        <v>610000</v>
      </c>
      <c r="K118" s="18" t="s">
        <v>477</v>
      </c>
      <c r="L118" s="16" t="str">
        <f t="shared" si="9"/>
        <v>فعال</v>
      </c>
      <c r="M118" s="16">
        <v>128</v>
      </c>
      <c r="N118" s="16" t="s">
        <v>830</v>
      </c>
      <c r="O118" t="s">
        <v>832</v>
      </c>
      <c r="P118">
        <f>IFERROR(INDEX($A$2:$A$422,MATCH(ROWS($P$5:P118),$AD$2:$AD$422,0)),"")</f>
      </c>
      <c r="Q118">
        <f>IF($P118="","",INDEX($B$2:$B$422,MATCH(ROWS($P$5:P118),$AD$2:$AD$422,0)))</f>
      </c>
      <c r="R118">
        <f>IF($P118="","",INDEX($C$2:$C$422,MATCH(ROWS($P$5:P118),$AD$2:$AD$422,0)))</f>
      </c>
      <c r="S118">
        <f>IF($P118="","",INDEX($E$2:$E$422,MATCH(ROWS($P$5:P118),$AD$2:$AD$422,0)))</f>
      </c>
      <c r="T118" s="22">
        <f>IF($P118="","",IFERROR(IF(OR(INDEX($H$2:$H$422,MATCH(ROWS($P$5:P118),$AD$2:$AD$422,0))="",INDEX($H$2:$H$422,MATCH(ROWS($P$5:P118),$AD$2:$AD$422,0))="؟",INDEX($H$2:$H$422,MATCH(ROWS($P$5:P118),$AD$2:$AD$422,0))="نامشخص"),"",INDEX($H$2:$H$422,MATCH(ROWS($P$5:P118),$AD$2:$AD$422,0))),""))</f>
      </c>
      <c r="U118">
        <f>IF($P118="","",INDEX($L$2:$L$422,MATCH(ROWS($P$5:P118),$AD$2:$AD$422,0)))</f>
      </c>
      <c r="V118">
        <f>IF($P118="","",INDEX($M$2:$M$422,MATCH(ROWS($P$5:P118),$AD$2:$AD$422,0)))</f>
      </c>
      <c r="AD118">
        <f>IF(AND(LEN($Q$2)&gt;=3,ISNUMBER(SEARCH($Q$2,$B118))),MAX($AD$1:AD117)+1,"")</f>
      </c>
    </row>
    <row r="119" ht="14.4" customHeight="1" spans="1:30" x14ac:dyDescent="0.25">
      <c r="A119" s="16" t="s">
        <v>833</v>
      </c>
      <c r="B119" s="16" t="s">
        <v>151</v>
      </c>
      <c r="C119" s="16" t="s">
        <v>834</v>
      </c>
      <c r="D119" s="16" t="s">
        <v>825</v>
      </c>
      <c r="E119" s="16" t="s">
        <v>149</v>
      </c>
      <c r="F119" s="16" t="s">
        <v>149</v>
      </c>
      <c r="G119" s="17">
        <f t="shared" si="5"/>
        <v>190000</v>
      </c>
      <c r="H119" s="18">
        <v>190000</v>
      </c>
      <c r="I119" s="19">
        <v>3</v>
      </c>
      <c r="J119" s="18">
        <f t="shared" si="8"/>
        <v>200000</v>
      </c>
      <c r="K119" s="18" t="s">
        <v>477</v>
      </c>
      <c r="L119" s="16" t="str">
        <f t="shared" si="9"/>
        <v>فعال</v>
      </c>
      <c r="M119" s="16">
        <v>129</v>
      </c>
      <c r="N119" s="16" t="s">
        <v>833</v>
      </c>
      <c r="O119" t="s">
        <v>835</v>
      </c>
      <c r="P119">
        <f>IFERROR(INDEX($A$2:$A$422,MATCH(ROWS($P$5:P119),$AD$2:$AD$422,0)),"")</f>
      </c>
      <c r="Q119">
        <f>IF($P119="","",INDEX($B$2:$B$422,MATCH(ROWS($P$5:P119),$AD$2:$AD$422,0)))</f>
      </c>
      <c r="R119">
        <f>IF($P119="","",INDEX($C$2:$C$422,MATCH(ROWS($P$5:P119),$AD$2:$AD$422,0)))</f>
      </c>
      <c r="S119">
        <f>IF($P119="","",INDEX($E$2:$E$422,MATCH(ROWS($P$5:P119),$AD$2:$AD$422,0)))</f>
      </c>
      <c r="T119" s="22">
        <f>IF($P119="","",IFERROR(IF(OR(INDEX($H$2:$H$422,MATCH(ROWS($P$5:P119),$AD$2:$AD$422,0))="",INDEX($H$2:$H$422,MATCH(ROWS($P$5:P119),$AD$2:$AD$422,0))="؟",INDEX($H$2:$H$422,MATCH(ROWS($P$5:P119),$AD$2:$AD$422,0))="نامشخص"),"",INDEX($H$2:$H$422,MATCH(ROWS($P$5:P119),$AD$2:$AD$422,0))),""))</f>
      </c>
      <c r="U119">
        <f>IF($P119="","",INDEX($L$2:$L$422,MATCH(ROWS($P$5:P119),$AD$2:$AD$422,0)))</f>
      </c>
      <c r="V119">
        <f>IF($P119="","",INDEX($M$2:$M$422,MATCH(ROWS($P$5:P119),$AD$2:$AD$422,0)))</f>
      </c>
      <c r="AD119">
        <f>IF(AND(LEN($Q$2)&gt;=3,ISNUMBER(SEARCH($Q$2,$B119))),MAX($AD$1:AD118)+1,"")</f>
      </c>
    </row>
    <row r="120" ht="14.4" customHeight="1" spans="1:30" x14ac:dyDescent="0.25">
      <c r="A120" s="16" t="s">
        <v>836</v>
      </c>
      <c r="B120" s="16" t="s">
        <v>151</v>
      </c>
      <c r="C120" s="16" t="s">
        <v>837</v>
      </c>
      <c r="D120" s="16" t="s">
        <v>825</v>
      </c>
      <c r="E120" s="16" t="s">
        <v>150</v>
      </c>
      <c r="F120" s="16" t="s">
        <v>150</v>
      </c>
      <c r="G120" s="17">
        <f t="shared" si="5"/>
        <v>370000</v>
      </c>
      <c r="H120" s="18">
        <v>370000</v>
      </c>
      <c r="I120" s="19">
        <v>1</v>
      </c>
      <c r="J120" s="18">
        <f t="shared" si="8"/>
        <v>380000</v>
      </c>
      <c r="K120" s="18" t="s">
        <v>477</v>
      </c>
      <c r="L120" s="16" t="str">
        <f t="shared" si="9"/>
        <v>فعال</v>
      </c>
      <c r="M120" s="16">
        <v>129</v>
      </c>
      <c r="N120" s="16" t="s">
        <v>836</v>
      </c>
      <c r="O120" t="s">
        <v>838</v>
      </c>
      <c r="P120">
        <f>IFERROR(INDEX($A$2:$A$422,MATCH(ROWS($P$5:P120),$AD$2:$AD$422,0)),"")</f>
      </c>
      <c r="Q120">
        <f>IF($P120="","",INDEX($B$2:$B$422,MATCH(ROWS($P$5:P120),$AD$2:$AD$422,0)))</f>
      </c>
      <c r="R120">
        <f>IF($P120="","",INDEX($C$2:$C$422,MATCH(ROWS($P$5:P120),$AD$2:$AD$422,0)))</f>
      </c>
      <c r="S120">
        <f>IF($P120="","",INDEX($E$2:$E$422,MATCH(ROWS($P$5:P120),$AD$2:$AD$422,0)))</f>
      </c>
      <c r="T120" s="22">
        <f>IF($P120="","",IFERROR(IF(OR(INDEX($H$2:$H$422,MATCH(ROWS($P$5:P120),$AD$2:$AD$422,0))="",INDEX($H$2:$H$422,MATCH(ROWS($P$5:P120),$AD$2:$AD$422,0))="؟",INDEX($H$2:$H$422,MATCH(ROWS($P$5:P120),$AD$2:$AD$422,0))="نامشخص"),"",INDEX($H$2:$H$422,MATCH(ROWS($P$5:P120),$AD$2:$AD$422,0))),""))</f>
      </c>
      <c r="U120">
        <f>IF($P120="","",INDEX($L$2:$L$422,MATCH(ROWS($P$5:P120),$AD$2:$AD$422,0)))</f>
      </c>
      <c r="V120">
        <f>IF($P120="","",INDEX($M$2:$M$422,MATCH(ROWS($P$5:P120),$AD$2:$AD$422,0)))</f>
      </c>
      <c r="AD120">
        <f>IF(AND(LEN($Q$2)&gt;=3,ISNUMBER(SEARCH($Q$2,$B120))),MAX($AD$1:AD119)+1,"")</f>
      </c>
    </row>
    <row r="121" ht="14.4" customHeight="1" spans="1:30" x14ac:dyDescent="0.25">
      <c r="A121" s="16" t="s">
        <v>839</v>
      </c>
      <c r="B121" s="16" t="s">
        <v>152</v>
      </c>
      <c r="C121" s="16" t="s">
        <v>840</v>
      </c>
      <c r="D121" s="16" t="s">
        <v>825</v>
      </c>
      <c r="E121" s="16" t="s">
        <v>11</v>
      </c>
      <c r="F121" s="16" t="s">
        <v>11</v>
      </c>
      <c r="G121" s="17">
        <f t="shared" si="5"/>
        <v>3750000</v>
      </c>
      <c r="H121" s="18">
        <v>3750000</v>
      </c>
      <c r="I121" s="19">
        <v>3</v>
      </c>
      <c r="J121" s="18">
        <f t="shared" si="8"/>
        <v>3870000</v>
      </c>
      <c r="K121" s="18" t="s">
        <v>477</v>
      </c>
      <c r="L121" s="16" t="str">
        <f t="shared" si="9"/>
        <v>فعال</v>
      </c>
      <c r="M121" s="16">
        <v>130</v>
      </c>
      <c r="N121" s="16" t="s">
        <v>839</v>
      </c>
      <c r="O121" t="s">
        <v>841</v>
      </c>
      <c r="P121">
        <f>IFERROR(INDEX($A$2:$A$422,MATCH(ROWS($P$5:P121),$AD$2:$AD$422,0)),"")</f>
      </c>
      <c r="Q121">
        <f>IF($P121="","",INDEX($B$2:$B$422,MATCH(ROWS($P$5:P121),$AD$2:$AD$422,0)))</f>
      </c>
      <c r="R121">
        <f>IF($P121="","",INDEX($C$2:$C$422,MATCH(ROWS($P$5:P121),$AD$2:$AD$422,0)))</f>
      </c>
      <c r="S121">
        <f>IF($P121="","",INDEX($E$2:$E$422,MATCH(ROWS($P$5:P121),$AD$2:$AD$422,0)))</f>
      </c>
      <c r="T121" s="22">
        <f>IF($P121="","",IFERROR(IF(OR(INDEX($H$2:$H$422,MATCH(ROWS($P$5:P121),$AD$2:$AD$422,0))="",INDEX($H$2:$H$422,MATCH(ROWS($P$5:P121),$AD$2:$AD$422,0))="؟",INDEX($H$2:$H$422,MATCH(ROWS($P$5:P121),$AD$2:$AD$422,0))="نامشخص"),"",INDEX($H$2:$H$422,MATCH(ROWS($P$5:P121),$AD$2:$AD$422,0))),""))</f>
      </c>
      <c r="U121">
        <f>IF($P121="","",INDEX($L$2:$L$422,MATCH(ROWS($P$5:P121),$AD$2:$AD$422,0)))</f>
      </c>
      <c r="V121">
        <f>IF($P121="","",INDEX($M$2:$M$422,MATCH(ROWS($P$5:P121),$AD$2:$AD$422,0)))</f>
      </c>
      <c r="AD121">
        <f>IF(AND(LEN($Q$2)&gt;=3,ISNUMBER(SEARCH($Q$2,$B121))),MAX($AD$1:AD120)+1,"")</f>
      </c>
    </row>
    <row r="122" ht="14.4" customHeight="1" spans="1:30" x14ac:dyDescent="0.25">
      <c r="A122" s="16" t="s">
        <v>842</v>
      </c>
      <c r="B122" s="16" t="s">
        <v>152</v>
      </c>
      <c r="C122" s="16" t="s">
        <v>843</v>
      </c>
      <c r="D122" s="16" t="s">
        <v>825</v>
      </c>
      <c r="E122" s="16" t="s">
        <v>12</v>
      </c>
      <c r="F122" s="16" t="s">
        <v>12</v>
      </c>
      <c r="G122" s="17">
        <f t="shared" si="5"/>
        <v>7500000</v>
      </c>
      <c r="H122" s="18">
        <v>7500000</v>
      </c>
      <c r="I122" s="19">
        <v>2</v>
      </c>
      <c r="J122" s="18">
        <f t="shared" si="8"/>
        <v>7650000</v>
      </c>
      <c r="K122" s="18" t="s">
        <v>477</v>
      </c>
      <c r="L122" s="16" t="str">
        <f t="shared" si="9"/>
        <v>فعال</v>
      </c>
      <c r="M122" s="16">
        <v>130</v>
      </c>
      <c r="N122" s="16" t="s">
        <v>842</v>
      </c>
      <c r="O122" t="s">
        <v>844</v>
      </c>
      <c r="P122">
        <f>IFERROR(INDEX($A$2:$A$422,MATCH(ROWS($P$5:P122),$AD$2:$AD$422,0)),"")</f>
      </c>
      <c r="Q122">
        <f>IF($P122="","",INDEX($B$2:$B$422,MATCH(ROWS($P$5:P122),$AD$2:$AD$422,0)))</f>
      </c>
      <c r="R122">
        <f>IF($P122="","",INDEX($C$2:$C$422,MATCH(ROWS($P$5:P122),$AD$2:$AD$422,0)))</f>
      </c>
      <c r="S122">
        <f>IF($P122="","",INDEX($E$2:$E$422,MATCH(ROWS($P$5:P122),$AD$2:$AD$422,0)))</f>
      </c>
      <c r="T122" s="22">
        <f>IF($P122="","",IFERROR(IF(OR(INDEX($H$2:$H$422,MATCH(ROWS($P$5:P122),$AD$2:$AD$422,0))="",INDEX($H$2:$H$422,MATCH(ROWS($P$5:P122),$AD$2:$AD$422,0))="؟",INDEX($H$2:$H$422,MATCH(ROWS($P$5:P122),$AD$2:$AD$422,0))="نامشخص"),"",INDEX($H$2:$H$422,MATCH(ROWS($P$5:P122),$AD$2:$AD$422,0))),""))</f>
      </c>
      <c r="U122">
        <f>IF($P122="","",INDEX($L$2:$L$422,MATCH(ROWS($P$5:P122),$AD$2:$AD$422,0)))</f>
      </c>
      <c r="V122">
        <f>IF($P122="","",INDEX($M$2:$M$422,MATCH(ROWS($P$5:P122),$AD$2:$AD$422,0)))</f>
      </c>
      <c r="AD122">
        <f>IF(AND(LEN($Q$2)&gt;=3,ISNUMBER(SEARCH($Q$2,$B122))),MAX($AD$1:AD121)+1,"")</f>
      </c>
    </row>
    <row r="123" ht="14.4" customHeight="1" spans="1:30" x14ac:dyDescent="0.25">
      <c r="A123" s="16" t="s">
        <v>845</v>
      </c>
      <c r="B123" s="16" t="s">
        <v>153</v>
      </c>
      <c r="C123" s="16" t="s">
        <v>846</v>
      </c>
      <c r="D123" s="16" t="s">
        <v>825</v>
      </c>
      <c r="E123" s="16" t="s">
        <v>11</v>
      </c>
      <c r="F123" s="16" t="s">
        <v>11</v>
      </c>
      <c r="G123" s="17">
        <f t="shared" si="5"/>
        <v>2250000</v>
      </c>
      <c r="H123" s="18">
        <v>2250000</v>
      </c>
      <c r="I123" s="19">
        <v>1</v>
      </c>
      <c r="J123" s="18">
        <f t="shared" si="8"/>
        <v>2280000</v>
      </c>
      <c r="K123" s="18" t="s">
        <v>477</v>
      </c>
      <c r="L123" s="16" t="str">
        <f t="shared" si="9"/>
        <v>فعال</v>
      </c>
      <c r="M123" s="16">
        <v>131</v>
      </c>
      <c r="N123" s="16" t="s">
        <v>845</v>
      </c>
      <c r="O123" t="s">
        <v>847</v>
      </c>
      <c r="P123">
        <f>IFERROR(INDEX($A$2:$A$422,MATCH(ROWS($P$5:P123),$AD$2:$AD$422,0)),"")</f>
      </c>
      <c r="Q123">
        <f>IF($P123="","",INDEX($B$2:$B$422,MATCH(ROWS($P$5:P123),$AD$2:$AD$422,0)))</f>
      </c>
      <c r="R123">
        <f>IF($P123="","",INDEX($C$2:$C$422,MATCH(ROWS($P$5:P123),$AD$2:$AD$422,0)))</f>
      </c>
      <c r="S123">
        <f>IF($P123="","",INDEX($E$2:$E$422,MATCH(ROWS($P$5:P123),$AD$2:$AD$422,0)))</f>
      </c>
      <c r="T123" s="22">
        <f>IF($P123="","",IFERROR(IF(OR(INDEX($H$2:$H$422,MATCH(ROWS($P$5:P123),$AD$2:$AD$422,0))="",INDEX($H$2:$H$422,MATCH(ROWS($P$5:P123),$AD$2:$AD$422,0))="؟",INDEX($H$2:$H$422,MATCH(ROWS($P$5:P123),$AD$2:$AD$422,0))="نامشخص"),"",INDEX($H$2:$H$422,MATCH(ROWS($P$5:P123),$AD$2:$AD$422,0))),""))</f>
      </c>
      <c r="U123">
        <f>IF($P123="","",INDEX($L$2:$L$422,MATCH(ROWS($P$5:P123),$AD$2:$AD$422,0)))</f>
      </c>
      <c r="V123">
        <f>IF($P123="","",INDEX($M$2:$M$422,MATCH(ROWS($P$5:P123),$AD$2:$AD$422,0)))</f>
      </c>
      <c r="AD123">
        <f>IF(AND(LEN($Q$2)&gt;=3,ISNUMBER(SEARCH($Q$2,$B123))),MAX($AD$1:AD122)+1,"")</f>
      </c>
    </row>
    <row r="124" ht="14.4" customHeight="1" spans="1:30" x14ac:dyDescent="0.25">
      <c r="A124" s="16" t="s">
        <v>848</v>
      </c>
      <c r="B124" s="16" t="s">
        <v>153</v>
      </c>
      <c r="C124" s="16" t="s">
        <v>849</v>
      </c>
      <c r="D124" s="16" t="s">
        <v>825</v>
      </c>
      <c r="E124" s="16" t="s">
        <v>12</v>
      </c>
      <c r="F124" s="16" t="s">
        <v>12</v>
      </c>
      <c r="G124" s="17">
        <f t="shared" si="5"/>
        <v>4500000</v>
      </c>
      <c r="H124" s="18">
        <v>4500000</v>
      </c>
      <c r="I124" s="19">
        <v>1</v>
      </c>
      <c r="J124" s="18">
        <f t="shared" si="8"/>
        <v>4550000</v>
      </c>
      <c r="K124" s="18" t="s">
        <v>477</v>
      </c>
      <c r="L124" s="16" t="str">
        <f t="shared" si="9"/>
        <v>فعال</v>
      </c>
      <c r="M124" s="16">
        <v>131</v>
      </c>
      <c r="N124" s="16" t="s">
        <v>848</v>
      </c>
      <c r="O124" t="s">
        <v>850</v>
      </c>
      <c r="P124">
        <f>IFERROR(INDEX($A$2:$A$422,MATCH(ROWS($P$5:P124),$AD$2:$AD$422,0)),"")</f>
      </c>
      <c r="Q124">
        <f>IF($P124="","",INDEX($B$2:$B$422,MATCH(ROWS($P$5:P124),$AD$2:$AD$422,0)))</f>
      </c>
      <c r="R124">
        <f>IF($P124="","",INDEX($C$2:$C$422,MATCH(ROWS($P$5:P124),$AD$2:$AD$422,0)))</f>
      </c>
      <c r="S124">
        <f>IF($P124="","",INDEX($E$2:$E$422,MATCH(ROWS($P$5:P124),$AD$2:$AD$422,0)))</f>
      </c>
      <c r="T124" s="22">
        <f>IF($P124="","",IFERROR(IF(OR(INDEX($H$2:$H$422,MATCH(ROWS($P$5:P124),$AD$2:$AD$422,0))="",INDEX($H$2:$H$422,MATCH(ROWS($P$5:P124),$AD$2:$AD$422,0))="؟",INDEX($H$2:$H$422,MATCH(ROWS($P$5:P124),$AD$2:$AD$422,0))="نامشخص"),"",INDEX($H$2:$H$422,MATCH(ROWS($P$5:P124),$AD$2:$AD$422,0))),""))</f>
      </c>
      <c r="U124">
        <f>IF($P124="","",INDEX($L$2:$L$422,MATCH(ROWS($P$5:P124),$AD$2:$AD$422,0)))</f>
      </c>
      <c r="V124">
        <f>IF($P124="","",INDEX($M$2:$M$422,MATCH(ROWS($P$5:P124),$AD$2:$AD$422,0)))</f>
      </c>
      <c r="AD124">
        <f>IF(AND(LEN($Q$2)&gt;=3,ISNUMBER(SEARCH($Q$2,$B124))),MAX($AD$1:AD123)+1,"")</f>
      </c>
    </row>
    <row r="125" ht="14.4" customHeight="1" spans="1:30" x14ac:dyDescent="0.25">
      <c r="A125" s="16" t="s">
        <v>851</v>
      </c>
      <c r="B125" s="16" t="s">
        <v>155</v>
      </c>
      <c r="C125" s="16" t="s">
        <v>852</v>
      </c>
      <c r="D125" s="16" t="s">
        <v>825</v>
      </c>
      <c r="E125" s="16" t="s">
        <v>11</v>
      </c>
      <c r="F125" s="16" t="s">
        <v>11</v>
      </c>
      <c r="G125" s="17">
        <f t="shared" si="5"/>
        <v>480000</v>
      </c>
      <c r="H125" s="18">
        <v>480000</v>
      </c>
      <c r="I125" s="19">
        <v>3</v>
      </c>
      <c r="J125" s="18">
        <f t="shared" si="8"/>
        <v>500000</v>
      </c>
      <c r="K125" s="18" t="s">
        <v>477</v>
      </c>
      <c r="L125" s="16" t="str">
        <f t="shared" si="9"/>
        <v>فعال</v>
      </c>
      <c r="M125" s="16">
        <v>133</v>
      </c>
      <c r="N125" s="16" t="s">
        <v>851</v>
      </c>
      <c r="O125" t="s">
        <v>853</v>
      </c>
      <c r="P125">
        <f>IFERROR(INDEX($A$2:$A$422,MATCH(ROWS($P$5:P125),$AD$2:$AD$422,0)),"")</f>
      </c>
      <c r="Q125">
        <f>IF($P125="","",INDEX($B$2:$B$422,MATCH(ROWS($P$5:P125),$AD$2:$AD$422,0)))</f>
      </c>
      <c r="R125">
        <f>IF($P125="","",INDEX($C$2:$C$422,MATCH(ROWS($P$5:P125),$AD$2:$AD$422,0)))</f>
      </c>
      <c r="S125">
        <f>IF($P125="","",INDEX($E$2:$E$422,MATCH(ROWS($P$5:P125),$AD$2:$AD$422,0)))</f>
      </c>
      <c r="T125" s="22">
        <f>IF($P125="","",IFERROR(IF(OR(INDEX($H$2:$H$422,MATCH(ROWS($P$5:P125),$AD$2:$AD$422,0))="",INDEX($H$2:$H$422,MATCH(ROWS($P$5:P125),$AD$2:$AD$422,0))="؟",INDEX($H$2:$H$422,MATCH(ROWS($P$5:P125),$AD$2:$AD$422,0))="نامشخص"),"",INDEX($H$2:$H$422,MATCH(ROWS($P$5:P125),$AD$2:$AD$422,0))),""))</f>
      </c>
      <c r="U125">
        <f>IF($P125="","",INDEX($L$2:$L$422,MATCH(ROWS($P$5:P125),$AD$2:$AD$422,0)))</f>
      </c>
      <c r="V125">
        <f>IF($P125="","",INDEX($M$2:$M$422,MATCH(ROWS($P$5:P125),$AD$2:$AD$422,0)))</f>
      </c>
      <c r="AD125">
        <f>IF(AND(LEN($Q$2)&gt;=3,ISNUMBER(SEARCH($Q$2,$B125))),MAX($AD$1:AD124)+1,"")</f>
      </c>
    </row>
    <row r="126" ht="14.4" customHeight="1" spans="1:30" x14ac:dyDescent="0.25">
      <c r="A126" s="16" t="s">
        <v>854</v>
      </c>
      <c r="B126" s="16" t="s">
        <v>155</v>
      </c>
      <c r="C126" s="16" t="s">
        <v>855</v>
      </c>
      <c r="D126" s="16" t="s">
        <v>825</v>
      </c>
      <c r="E126" s="16" t="s">
        <v>12</v>
      </c>
      <c r="F126" s="16" t="s">
        <v>12</v>
      </c>
      <c r="G126" s="17">
        <f t="shared" si="5"/>
        <v>950000</v>
      </c>
      <c r="H126" s="18">
        <v>950000</v>
      </c>
      <c r="I126" s="19">
        <v>1</v>
      </c>
      <c r="J126" s="18">
        <f t="shared" si="8"/>
        <v>960000</v>
      </c>
      <c r="K126" s="18" t="s">
        <v>477</v>
      </c>
      <c r="L126" s="16" t="str">
        <f t="shared" si="9"/>
        <v>فعال</v>
      </c>
      <c r="M126" s="16">
        <v>133</v>
      </c>
      <c r="N126" s="16" t="s">
        <v>854</v>
      </c>
      <c r="O126" t="s">
        <v>856</v>
      </c>
      <c r="P126">
        <f>IFERROR(INDEX($A$2:$A$422,MATCH(ROWS($P$5:P126),$AD$2:$AD$422,0)),"")</f>
      </c>
      <c r="Q126">
        <f>IF($P126="","",INDEX($B$2:$B$422,MATCH(ROWS($P$5:P126),$AD$2:$AD$422,0)))</f>
      </c>
      <c r="R126">
        <f>IF($P126="","",INDEX($C$2:$C$422,MATCH(ROWS($P$5:P126),$AD$2:$AD$422,0)))</f>
      </c>
      <c r="S126">
        <f>IF($P126="","",INDEX($E$2:$E$422,MATCH(ROWS($P$5:P126),$AD$2:$AD$422,0)))</f>
      </c>
      <c r="T126" s="22">
        <f>IF($P126="","",IFERROR(IF(OR(INDEX($H$2:$H$422,MATCH(ROWS($P$5:P126),$AD$2:$AD$422,0))="",INDEX($H$2:$H$422,MATCH(ROWS($P$5:P126),$AD$2:$AD$422,0))="؟",INDEX($H$2:$H$422,MATCH(ROWS($P$5:P126),$AD$2:$AD$422,0))="نامشخص"),"",INDEX($H$2:$H$422,MATCH(ROWS($P$5:P126),$AD$2:$AD$422,0))),""))</f>
      </c>
      <c r="U126">
        <f>IF($P126="","",INDEX($L$2:$L$422,MATCH(ROWS($P$5:P126),$AD$2:$AD$422,0)))</f>
      </c>
      <c r="V126">
        <f>IF($P126="","",INDEX($M$2:$M$422,MATCH(ROWS($P$5:P126),$AD$2:$AD$422,0)))</f>
      </c>
      <c r="AD126">
        <f>IF(AND(LEN($Q$2)&gt;=3,ISNUMBER(SEARCH($Q$2,$B126))),MAX($AD$1:AD125)+1,"")</f>
      </c>
    </row>
    <row r="127" ht="14.4" customHeight="1" spans="1:30" x14ac:dyDescent="0.25">
      <c r="A127" s="16" t="s">
        <v>857</v>
      </c>
      <c r="B127" s="16" t="s">
        <v>158</v>
      </c>
      <c r="C127" s="16" t="s">
        <v>858</v>
      </c>
      <c r="D127" s="16" t="s">
        <v>825</v>
      </c>
      <c r="E127" s="16" t="s">
        <v>149</v>
      </c>
      <c r="F127" s="16" t="s">
        <v>149</v>
      </c>
      <c r="G127" s="17">
        <f t="shared" si="5"/>
        <v>80000</v>
      </c>
      <c r="H127" s="18">
        <v>80000</v>
      </c>
      <c r="I127" s="19">
        <v>1</v>
      </c>
      <c r="J127" s="18">
        <f t="shared" si="8"/>
        <v>90000</v>
      </c>
      <c r="K127" s="18" t="s">
        <v>477</v>
      </c>
      <c r="L127" s="16" t="str">
        <f t="shared" si="9"/>
        <v>فعال</v>
      </c>
      <c r="M127" s="16">
        <v>136</v>
      </c>
      <c r="N127" s="16" t="s">
        <v>857</v>
      </c>
      <c r="O127" t="s">
        <v>859</v>
      </c>
      <c r="P127">
        <f>IFERROR(INDEX($A$2:$A$422,MATCH(ROWS($P$5:P127),$AD$2:$AD$422,0)),"")</f>
      </c>
      <c r="Q127">
        <f>IF($P127="","",INDEX($B$2:$B$422,MATCH(ROWS($P$5:P127),$AD$2:$AD$422,0)))</f>
      </c>
      <c r="R127">
        <f>IF($P127="","",INDEX($C$2:$C$422,MATCH(ROWS($P$5:P127),$AD$2:$AD$422,0)))</f>
      </c>
      <c r="S127">
        <f>IF($P127="","",INDEX($E$2:$E$422,MATCH(ROWS($P$5:P127),$AD$2:$AD$422,0)))</f>
      </c>
      <c r="T127" s="22">
        <f>IF($P127="","",IFERROR(IF(OR(INDEX($H$2:$H$422,MATCH(ROWS($P$5:P127),$AD$2:$AD$422,0))="",INDEX($H$2:$H$422,MATCH(ROWS($P$5:P127),$AD$2:$AD$422,0))="؟",INDEX($H$2:$H$422,MATCH(ROWS($P$5:P127),$AD$2:$AD$422,0))="نامشخص"),"",INDEX($H$2:$H$422,MATCH(ROWS($P$5:P127),$AD$2:$AD$422,0))),""))</f>
      </c>
      <c r="U127">
        <f>IF($P127="","",INDEX($L$2:$L$422,MATCH(ROWS($P$5:P127),$AD$2:$AD$422,0)))</f>
      </c>
      <c r="V127">
        <f>IF($P127="","",INDEX($M$2:$M$422,MATCH(ROWS($P$5:P127),$AD$2:$AD$422,0)))</f>
      </c>
      <c r="AD127">
        <f>IF(AND(LEN($Q$2)&gt;=3,ISNUMBER(SEARCH($Q$2,$B127))),MAX($AD$1:AD126)+1,"")</f>
      </c>
    </row>
    <row r="128" ht="14.4" customHeight="1" spans="1:30" x14ac:dyDescent="0.25">
      <c r="A128" s="16" t="s">
        <v>860</v>
      </c>
      <c r="B128" s="16" t="s">
        <v>158</v>
      </c>
      <c r="C128" s="16" t="s">
        <v>861</v>
      </c>
      <c r="D128" s="16" t="s">
        <v>825</v>
      </c>
      <c r="E128" s="16" t="s">
        <v>150</v>
      </c>
      <c r="F128" s="16" t="s">
        <v>150</v>
      </c>
      <c r="G128" s="17">
        <f t="shared" si="5"/>
        <v>150000</v>
      </c>
      <c r="H128" s="18">
        <v>150000</v>
      </c>
      <c r="I128" s="19">
        <v>2</v>
      </c>
      <c r="J128" s="18">
        <f t="shared" si="8"/>
        <v>160000</v>
      </c>
      <c r="K128" s="18" t="s">
        <v>477</v>
      </c>
      <c r="L128" s="16" t="str">
        <f t="shared" si="9"/>
        <v>فعال</v>
      </c>
      <c r="M128" s="16">
        <v>136</v>
      </c>
      <c r="N128" s="16" t="s">
        <v>860</v>
      </c>
      <c r="O128" t="s">
        <v>862</v>
      </c>
      <c r="P128">
        <f>IFERROR(INDEX($A$2:$A$422,MATCH(ROWS($P$5:P128),$AD$2:$AD$422,0)),"")</f>
      </c>
      <c r="Q128">
        <f>IF($P128="","",INDEX($B$2:$B$422,MATCH(ROWS($P$5:P128),$AD$2:$AD$422,0)))</f>
      </c>
      <c r="R128">
        <f>IF($P128="","",INDEX($C$2:$C$422,MATCH(ROWS($P$5:P128),$AD$2:$AD$422,0)))</f>
      </c>
      <c r="S128">
        <f>IF($P128="","",INDEX($E$2:$E$422,MATCH(ROWS($P$5:P128),$AD$2:$AD$422,0)))</f>
      </c>
      <c r="T128" s="22">
        <f>IF($P128="","",IFERROR(IF(OR(INDEX($H$2:$H$422,MATCH(ROWS($P$5:P128),$AD$2:$AD$422,0))="",INDEX($H$2:$H$422,MATCH(ROWS($P$5:P128),$AD$2:$AD$422,0))="؟",INDEX($H$2:$H$422,MATCH(ROWS($P$5:P128),$AD$2:$AD$422,0))="نامشخص"),"",INDEX($H$2:$H$422,MATCH(ROWS($P$5:P128),$AD$2:$AD$422,0))),""))</f>
      </c>
      <c r="U128">
        <f>IF($P128="","",INDEX($L$2:$L$422,MATCH(ROWS($P$5:P128),$AD$2:$AD$422,0)))</f>
      </c>
      <c r="V128">
        <f>IF($P128="","",INDEX($M$2:$M$422,MATCH(ROWS($P$5:P128),$AD$2:$AD$422,0)))</f>
      </c>
      <c r="AD128">
        <f>IF(AND(LEN($Q$2)&gt;=3,ISNUMBER(SEARCH($Q$2,$B128))),MAX($AD$1:AD127)+1,"")</f>
      </c>
    </row>
    <row r="129" ht="14.4" customHeight="1" spans="1:30" x14ac:dyDescent="0.25">
      <c r="A129" s="16" t="s">
        <v>863</v>
      </c>
      <c r="B129" s="16" t="s">
        <v>160</v>
      </c>
      <c r="C129" s="16" t="s">
        <v>864</v>
      </c>
      <c r="D129" s="16" t="s">
        <v>825</v>
      </c>
      <c r="E129" s="16" t="s">
        <v>149</v>
      </c>
      <c r="F129" s="16" t="s">
        <v>149</v>
      </c>
      <c r="G129" s="17">
        <f t="shared" si="5"/>
        <v>100000</v>
      </c>
      <c r="H129" s="18">
        <v>100000</v>
      </c>
      <c r="I129" s="19">
        <v>1</v>
      </c>
      <c r="J129" s="18">
        <f t="shared" si="8"/>
        <v>110000</v>
      </c>
      <c r="K129" s="18" t="s">
        <v>477</v>
      </c>
      <c r="L129" s="16" t="str">
        <f t="shared" si="9"/>
        <v>فعال</v>
      </c>
      <c r="M129" s="16">
        <v>138</v>
      </c>
      <c r="N129" s="16" t="s">
        <v>863</v>
      </c>
      <c r="O129" t="s">
        <v>865</v>
      </c>
      <c r="P129">
        <f>IFERROR(INDEX($A$2:$A$422,MATCH(ROWS($P$5:P129),$AD$2:$AD$422,0)),"")</f>
      </c>
      <c r="Q129">
        <f>IF($P129="","",INDEX($B$2:$B$422,MATCH(ROWS($P$5:P129),$AD$2:$AD$422,0)))</f>
      </c>
      <c r="R129">
        <f>IF($P129="","",INDEX($C$2:$C$422,MATCH(ROWS($P$5:P129),$AD$2:$AD$422,0)))</f>
      </c>
      <c r="S129">
        <f>IF($P129="","",INDEX($E$2:$E$422,MATCH(ROWS($P$5:P129),$AD$2:$AD$422,0)))</f>
      </c>
      <c r="T129" s="22">
        <f>IF($P129="","",IFERROR(IF(OR(INDEX($H$2:$H$422,MATCH(ROWS($P$5:P129),$AD$2:$AD$422,0))="",INDEX($H$2:$H$422,MATCH(ROWS($P$5:P129),$AD$2:$AD$422,0))="؟",INDEX($H$2:$H$422,MATCH(ROWS($P$5:P129),$AD$2:$AD$422,0))="نامشخص"),"",INDEX($H$2:$H$422,MATCH(ROWS($P$5:P129),$AD$2:$AD$422,0))),""))</f>
      </c>
      <c r="U129">
        <f>IF($P129="","",INDEX($L$2:$L$422,MATCH(ROWS($P$5:P129),$AD$2:$AD$422,0)))</f>
      </c>
      <c r="V129">
        <f>IF($P129="","",INDEX($M$2:$M$422,MATCH(ROWS($P$5:P129),$AD$2:$AD$422,0)))</f>
      </c>
      <c r="AD129">
        <f>IF(AND(LEN($Q$2)&gt;=3,ISNUMBER(SEARCH($Q$2,$B129))),MAX($AD$1:AD128)+1,"")</f>
      </c>
    </row>
    <row r="130" ht="14.4" customHeight="1" spans="1:30" x14ac:dyDescent="0.25">
      <c r="A130" s="16" t="s">
        <v>866</v>
      </c>
      <c r="B130" s="16" t="s">
        <v>160</v>
      </c>
      <c r="C130" s="16" t="s">
        <v>867</v>
      </c>
      <c r="D130" s="16" t="s">
        <v>825</v>
      </c>
      <c r="E130" s="16" t="s">
        <v>150</v>
      </c>
      <c r="F130" s="16" t="s">
        <v>150</v>
      </c>
      <c r="G130" s="17">
        <f t="shared" ref="G130:G193" si="10">H130</f>
        <v>190000</v>
      </c>
      <c r="H130" s="18">
        <v>190000</v>
      </c>
      <c r="I130" s="19">
        <v>2</v>
      </c>
      <c r="J130" s="18">
        <f t="shared" ref="J130:J154" si="11">IF(OR(H130="",H130="؟",H130="نامشخص"),"",CEILING(H130*(1+I130/100),10000))</f>
        <v>200000</v>
      </c>
      <c r="K130" s="18" t="s">
        <v>477</v>
      </c>
      <c r="L130" s="16" t="str">
        <f t="shared" ref="L130:L154" si="12">IF(OR($H130="",$H130="؟",$H130="نامشخص"),"نیاز به استعلام","فعال")</f>
        <v>فعال</v>
      </c>
      <c r="M130" s="16">
        <v>138</v>
      </c>
      <c r="N130" s="16" t="s">
        <v>866</v>
      </c>
      <c r="O130" t="s">
        <v>868</v>
      </c>
      <c r="P130">
        <f>IFERROR(INDEX($A$2:$A$422,MATCH(ROWS($P$5:P130),$AD$2:$AD$422,0)),"")</f>
      </c>
      <c r="Q130">
        <f>IF($P130="","",INDEX($B$2:$B$422,MATCH(ROWS($P$5:P130),$AD$2:$AD$422,0)))</f>
      </c>
      <c r="R130">
        <f>IF($P130="","",INDEX($C$2:$C$422,MATCH(ROWS($P$5:P130),$AD$2:$AD$422,0)))</f>
      </c>
      <c r="S130">
        <f>IF($P130="","",INDEX($E$2:$E$422,MATCH(ROWS($P$5:P130),$AD$2:$AD$422,0)))</f>
      </c>
      <c r="T130" s="22">
        <f>IF($P130="","",IFERROR(IF(OR(INDEX($H$2:$H$422,MATCH(ROWS($P$5:P130),$AD$2:$AD$422,0))="",INDEX($H$2:$H$422,MATCH(ROWS($P$5:P130),$AD$2:$AD$422,0))="؟",INDEX($H$2:$H$422,MATCH(ROWS($P$5:P130),$AD$2:$AD$422,0))="نامشخص"),"",INDEX($H$2:$H$422,MATCH(ROWS($P$5:P130),$AD$2:$AD$422,0))),""))</f>
      </c>
      <c r="U130">
        <f>IF($P130="","",INDEX($L$2:$L$422,MATCH(ROWS($P$5:P130),$AD$2:$AD$422,0)))</f>
      </c>
      <c r="V130">
        <f>IF($P130="","",INDEX($M$2:$M$422,MATCH(ROWS($P$5:P130),$AD$2:$AD$422,0)))</f>
      </c>
      <c r="AD130">
        <f>IF(AND(LEN($Q$2)&gt;=3,ISNUMBER(SEARCH($Q$2,$B130))),MAX($AD$1:AD129)+1,"")</f>
      </c>
    </row>
    <row r="131" ht="14.4" customHeight="1" spans="1:30" x14ac:dyDescent="0.25">
      <c r="A131" s="16" t="s">
        <v>869</v>
      </c>
      <c r="B131" s="16" t="s">
        <v>147</v>
      </c>
      <c r="C131" s="16" t="s">
        <v>870</v>
      </c>
      <c r="D131" s="16" t="s">
        <v>825</v>
      </c>
      <c r="E131" s="16" t="s">
        <v>11</v>
      </c>
      <c r="F131" s="16" t="s">
        <v>11</v>
      </c>
      <c r="G131" s="17">
        <f t="shared" si="10"/>
        <v>555000</v>
      </c>
      <c r="H131" s="18">
        <v>555000</v>
      </c>
      <c r="I131" s="19">
        <v>2</v>
      </c>
      <c r="J131" s="18">
        <f t="shared" si="11"/>
        <v>570000</v>
      </c>
      <c r="K131" s="18" t="s">
        <v>477</v>
      </c>
      <c r="L131" s="16" t="str">
        <f t="shared" si="12"/>
        <v>فعال</v>
      </c>
      <c r="M131" s="16">
        <v>127</v>
      </c>
      <c r="N131" s="16" t="s">
        <v>869</v>
      </c>
      <c r="O131" t="s">
        <v>871</v>
      </c>
      <c r="P131">
        <f>IFERROR(INDEX($A$2:$A$422,MATCH(ROWS($P$5:P131),$AD$2:$AD$422,0)),"")</f>
      </c>
      <c r="Q131">
        <f>IF($P131="","",INDEX($B$2:$B$422,MATCH(ROWS($P$5:P131),$AD$2:$AD$422,0)))</f>
      </c>
      <c r="R131">
        <f>IF($P131="","",INDEX($C$2:$C$422,MATCH(ROWS($P$5:P131),$AD$2:$AD$422,0)))</f>
      </c>
      <c r="S131">
        <f>IF($P131="","",INDEX($E$2:$E$422,MATCH(ROWS($P$5:P131),$AD$2:$AD$422,0)))</f>
      </c>
      <c r="T131" s="22">
        <f>IF($P131="","",IFERROR(IF(OR(INDEX($H$2:$H$422,MATCH(ROWS($P$5:P131),$AD$2:$AD$422,0))="",INDEX($H$2:$H$422,MATCH(ROWS($P$5:P131),$AD$2:$AD$422,0))="؟",INDEX($H$2:$H$422,MATCH(ROWS($P$5:P131),$AD$2:$AD$422,0))="نامشخص"),"",INDEX($H$2:$H$422,MATCH(ROWS($P$5:P131),$AD$2:$AD$422,0))),""))</f>
      </c>
      <c r="U131">
        <f>IF($P131="","",INDEX($L$2:$L$422,MATCH(ROWS($P$5:P131),$AD$2:$AD$422,0)))</f>
      </c>
      <c r="V131">
        <f>IF($P131="","",INDEX($M$2:$M$422,MATCH(ROWS($P$5:P131),$AD$2:$AD$422,0)))</f>
      </c>
      <c r="AD131">
        <f>IF(AND(LEN($Q$2)&gt;=3,ISNUMBER(SEARCH($Q$2,$B131))),MAX($AD$1:AD130)+1,"")</f>
      </c>
    </row>
    <row r="132" ht="14.4" customHeight="1" spans="1:30" x14ac:dyDescent="0.25">
      <c r="A132" s="16" t="s">
        <v>872</v>
      </c>
      <c r="B132" s="16" t="s">
        <v>147</v>
      </c>
      <c r="C132" s="16" t="s">
        <v>873</v>
      </c>
      <c r="D132" s="16" t="s">
        <v>825</v>
      </c>
      <c r="E132" s="16" t="s">
        <v>12</v>
      </c>
      <c r="F132" s="16" t="s">
        <v>12</v>
      </c>
      <c r="G132" s="17">
        <f t="shared" si="10"/>
        <v>1100000</v>
      </c>
      <c r="H132" s="18">
        <v>1100000</v>
      </c>
      <c r="I132" s="19">
        <v>2</v>
      </c>
      <c r="J132" s="18">
        <f t="shared" si="11"/>
        <v>1130000</v>
      </c>
      <c r="K132" s="18" t="s">
        <v>477</v>
      </c>
      <c r="L132" s="16" t="str">
        <f t="shared" si="12"/>
        <v>فعال</v>
      </c>
      <c r="M132" s="16">
        <v>127</v>
      </c>
      <c r="N132" s="16" t="s">
        <v>872</v>
      </c>
      <c r="O132" t="s">
        <v>874</v>
      </c>
      <c r="P132">
        <f>IFERROR(INDEX($A$2:$A$422,MATCH(ROWS($P$5:P132),$AD$2:$AD$422,0)),"")</f>
      </c>
      <c r="Q132">
        <f>IF($P132="","",INDEX($B$2:$B$422,MATCH(ROWS($P$5:P132),$AD$2:$AD$422,0)))</f>
      </c>
      <c r="R132">
        <f>IF($P132="","",INDEX($C$2:$C$422,MATCH(ROWS($P$5:P132),$AD$2:$AD$422,0)))</f>
      </c>
      <c r="S132">
        <f>IF($P132="","",INDEX($E$2:$E$422,MATCH(ROWS($P$5:P132),$AD$2:$AD$422,0)))</f>
      </c>
      <c r="T132" s="22">
        <f>IF($P132="","",IFERROR(IF(OR(INDEX($H$2:$H$422,MATCH(ROWS($P$5:P132),$AD$2:$AD$422,0))="",INDEX($H$2:$H$422,MATCH(ROWS($P$5:P132),$AD$2:$AD$422,0))="؟",INDEX($H$2:$H$422,MATCH(ROWS($P$5:P132),$AD$2:$AD$422,0))="نامشخص"),"",INDEX($H$2:$H$422,MATCH(ROWS($P$5:P132),$AD$2:$AD$422,0))),""))</f>
      </c>
      <c r="U132">
        <f>IF($P132="","",INDEX($L$2:$L$422,MATCH(ROWS($P$5:P132),$AD$2:$AD$422,0)))</f>
      </c>
      <c r="V132">
        <f>IF($P132="","",INDEX($M$2:$M$422,MATCH(ROWS($P$5:P132),$AD$2:$AD$422,0)))</f>
      </c>
      <c r="AD132">
        <f>IF(AND(LEN($Q$2)&gt;=3,ISNUMBER(SEARCH($Q$2,$B132))),MAX($AD$1:AD131)+1,"")</f>
      </c>
    </row>
    <row r="133" ht="14.4" customHeight="1" spans="1:30" x14ac:dyDescent="0.25">
      <c r="A133" s="16" t="s">
        <v>875</v>
      </c>
      <c r="B133" s="16" t="s">
        <v>154</v>
      </c>
      <c r="C133" s="16" t="s">
        <v>876</v>
      </c>
      <c r="D133" s="16" t="s">
        <v>825</v>
      </c>
      <c r="E133" s="16" t="s">
        <v>149</v>
      </c>
      <c r="F133" s="16" t="s">
        <v>149</v>
      </c>
      <c r="G133" s="17">
        <f t="shared" si="10"/>
        <v>80000</v>
      </c>
      <c r="H133" s="18">
        <v>80000</v>
      </c>
      <c r="I133" s="19">
        <v>3</v>
      </c>
      <c r="J133" s="18">
        <f t="shared" si="11"/>
        <v>90000</v>
      </c>
      <c r="K133" s="18" t="s">
        <v>477</v>
      </c>
      <c r="L133" s="16" t="str">
        <f t="shared" si="12"/>
        <v>فعال</v>
      </c>
      <c r="M133" s="16">
        <v>132</v>
      </c>
      <c r="N133" s="16" t="s">
        <v>875</v>
      </c>
      <c r="O133" t="s">
        <v>877</v>
      </c>
      <c r="P133">
        <f>IFERROR(INDEX($A$2:$A$422,MATCH(ROWS($P$5:P133),$AD$2:$AD$422,0)),"")</f>
      </c>
      <c r="Q133">
        <f>IF($P133="","",INDEX($B$2:$B$422,MATCH(ROWS($P$5:P133),$AD$2:$AD$422,0)))</f>
      </c>
      <c r="R133">
        <f>IF($P133="","",INDEX($C$2:$C$422,MATCH(ROWS($P$5:P133),$AD$2:$AD$422,0)))</f>
      </c>
      <c r="S133">
        <f>IF($P133="","",INDEX($E$2:$E$422,MATCH(ROWS($P$5:P133),$AD$2:$AD$422,0)))</f>
      </c>
      <c r="T133" s="22">
        <f>IF($P133="","",IFERROR(IF(OR(INDEX($H$2:$H$422,MATCH(ROWS($P$5:P133),$AD$2:$AD$422,0))="",INDEX($H$2:$H$422,MATCH(ROWS($P$5:P133),$AD$2:$AD$422,0))="؟",INDEX($H$2:$H$422,MATCH(ROWS($P$5:P133),$AD$2:$AD$422,0))="نامشخص"),"",INDEX($H$2:$H$422,MATCH(ROWS($P$5:P133),$AD$2:$AD$422,0))),""))</f>
      </c>
      <c r="U133">
        <f>IF($P133="","",INDEX($L$2:$L$422,MATCH(ROWS($P$5:P133),$AD$2:$AD$422,0)))</f>
      </c>
      <c r="V133">
        <f>IF($P133="","",INDEX($M$2:$M$422,MATCH(ROWS($P$5:P133),$AD$2:$AD$422,0)))</f>
      </c>
      <c r="AD133">
        <f>IF(AND(LEN($Q$2)&gt;=3,ISNUMBER(SEARCH($Q$2,$B133))),MAX($AD$1:AD132)+1,"")</f>
      </c>
    </row>
    <row r="134" ht="14.4" customHeight="1" spans="1:30" x14ac:dyDescent="0.25">
      <c r="A134" s="16" t="s">
        <v>878</v>
      </c>
      <c r="B134" s="16" t="s">
        <v>154</v>
      </c>
      <c r="C134" s="16" t="s">
        <v>879</v>
      </c>
      <c r="D134" s="16" t="s">
        <v>825</v>
      </c>
      <c r="E134" s="16" t="s">
        <v>150</v>
      </c>
      <c r="F134" s="16" t="s">
        <v>150</v>
      </c>
      <c r="G134" s="17">
        <f t="shared" si="10"/>
        <v>150000</v>
      </c>
      <c r="H134" s="18">
        <v>150000</v>
      </c>
      <c r="I134" s="19">
        <v>2</v>
      </c>
      <c r="J134" s="18">
        <f t="shared" si="11"/>
        <v>160000</v>
      </c>
      <c r="K134" s="18" t="s">
        <v>477</v>
      </c>
      <c r="L134" s="16" t="str">
        <f t="shared" si="12"/>
        <v>فعال</v>
      </c>
      <c r="M134" s="16">
        <v>132</v>
      </c>
      <c r="N134" s="16" t="s">
        <v>878</v>
      </c>
      <c r="O134" t="s">
        <v>880</v>
      </c>
      <c r="P134">
        <f>IFERROR(INDEX($A$2:$A$422,MATCH(ROWS($P$5:P134),$AD$2:$AD$422,0)),"")</f>
      </c>
      <c r="Q134">
        <f>IF($P134="","",INDEX($B$2:$B$422,MATCH(ROWS($P$5:P134),$AD$2:$AD$422,0)))</f>
      </c>
      <c r="R134">
        <f>IF($P134="","",INDEX($C$2:$C$422,MATCH(ROWS($P$5:P134),$AD$2:$AD$422,0)))</f>
      </c>
      <c r="S134">
        <f>IF($P134="","",INDEX($E$2:$E$422,MATCH(ROWS($P$5:P134),$AD$2:$AD$422,0)))</f>
      </c>
      <c r="T134" s="22">
        <f>IF($P134="","",IFERROR(IF(OR(INDEX($H$2:$H$422,MATCH(ROWS($P$5:P134),$AD$2:$AD$422,0))="",INDEX($H$2:$H$422,MATCH(ROWS($P$5:P134),$AD$2:$AD$422,0))="؟",INDEX($H$2:$H$422,MATCH(ROWS($P$5:P134),$AD$2:$AD$422,0))="نامشخص"),"",INDEX($H$2:$H$422,MATCH(ROWS($P$5:P134),$AD$2:$AD$422,0))),""))</f>
      </c>
      <c r="U134">
        <f>IF($P134="","",INDEX($L$2:$L$422,MATCH(ROWS($P$5:P134),$AD$2:$AD$422,0)))</f>
      </c>
      <c r="V134">
        <f>IF($P134="","",INDEX($M$2:$M$422,MATCH(ROWS($P$5:P134),$AD$2:$AD$422,0)))</f>
      </c>
      <c r="AD134">
        <f>IF(AND(LEN($Q$2)&gt;=3,ISNUMBER(SEARCH($Q$2,$B134))),MAX($AD$1:AD133)+1,"")</f>
      </c>
    </row>
    <row r="135" ht="14.4" customHeight="1" spans="1:30" x14ac:dyDescent="0.25">
      <c r="A135" s="16" t="s">
        <v>881</v>
      </c>
      <c r="B135" s="16" t="s">
        <v>157</v>
      </c>
      <c r="C135" s="16" t="s">
        <v>882</v>
      </c>
      <c r="D135" s="16" t="s">
        <v>825</v>
      </c>
      <c r="E135" s="16" t="s">
        <v>149</v>
      </c>
      <c r="F135" s="16" t="s">
        <v>149</v>
      </c>
      <c r="G135" s="17">
        <f t="shared" si="10"/>
        <v>80000</v>
      </c>
      <c r="H135" s="18">
        <v>80000</v>
      </c>
      <c r="I135" s="19">
        <v>2</v>
      </c>
      <c r="J135" s="18">
        <f t="shared" si="11"/>
        <v>90000</v>
      </c>
      <c r="K135" s="18" t="s">
        <v>477</v>
      </c>
      <c r="L135" s="16" t="str">
        <f t="shared" si="12"/>
        <v>فعال</v>
      </c>
      <c r="M135" s="16">
        <v>135</v>
      </c>
      <c r="N135" s="16" t="s">
        <v>881</v>
      </c>
      <c r="O135" t="s">
        <v>883</v>
      </c>
      <c r="P135">
        <f>IFERROR(INDEX($A$2:$A$422,MATCH(ROWS($P$5:P135),$AD$2:$AD$422,0)),"")</f>
      </c>
      <c r="Q135">
        <f>IF($P135="","",INDEX($B$2:$B$422,MATCH(ROWS($P$5:P135),$AD$2:$AD$422,0)))</f>
      </c>
      <c r="R135">
        <f>IF($P135="","",INDEX($C$2:$C$422,MATCH(ROWS($P$5:P135),$AD$2:$AD$422,0)))</f>
      </c>
      <c r="S135">
        <f>IF($P135="","",INDEX($E$2:$E$422,MATCH(ROWS($P$5:P135),$AD$2:$AD$422,0)))</f>
      </c>
      <c r="T135" s="22">
        <f>IF($P135="","",IFERROR(IF(OR(INDEX($H$2:$H$422,MATCH(ROWS($P$5:P135),$AD$2:$AD$422,0))="",INDEX($H$2:$H$422,MATCH(ROWS($P$5:P135),$AD$2:$AD$422,0))="؟",INDEX($H$2:$H$422,MATCH(ROWS($P$5:P135),$AD$2:$AD$422,0))="نامشخص"),"",INDEX($H$2:$H$422,MATCH(ROWS($P$5:P135),$AD$2:$AD$422,0))),""))</f>
      </c>
      <c r="U135">
        <f>IF($P135="","",INDEX($L$2:$L$422,MATCH(ROWS($P$5:P135),$AD$2:$AD$422,0)))</f>
      </c>
      <c r="V135">
        <f>IF($P135="","",INDEX($M$2:$M$422,MATCH(ROWS($P$5:P135),$AD$2:$AD$422,0)))</f>
      </c>
      <c r="AD135">
        <f>IF(AND(LEN($Q$2)&gt;=3,ISNUMBER(SEARCH($Q$2,$B135))),MAX($AD$1:AD134)+1,"")</f>
      </c>
    </row>
    <row r="136" ht="14.4" customHeight="1" spans="1:30" x14ac:dyDescent="0.25">
      <c r="A136" s="16" t="s">
        <v>884</v>
      </c>
      <c r="B136" s="16" t="s">
        <v>157</v>
      </c>
      <c r="C136" s="16" t="s">
        <v>885</v>
      </c>
      <c r="D136" s="16" t="s">
        <v>825</v>
      </c>
      <c r="E136" s="16" t="s">
        <v>150</v>
      </c>
      <c r="F136" s="16" t="s">
        <v>150</v>
      </c>
      <c r="G136" s="17">
        <f t="shared" si="10"/>
        <v>150000</v>
      </c>
      <c r="H136" s="18">
        <v>150000</v>
      </c>
      <c r="I136" s="19">
        <v>2</v>
      </c>
      <c r="J136" s="18">
        <f t="shared" si="11"/>
        <v>160000</v>
      </c>
      <c r="K136" s="18" t="s">
        <v>477</v>
      </c>
      <c r="L136" s="16" t="str">
        <f t="shared" si="12"/>
        <v>فعال</v>
      </c>
      <c r="M136" s="16">
        <v>135</v>
      </c>
      <c r="N136" s="16" t="s">
        <v>884</v>
      </c>
      <c r="O136" t="s">
        <v>886</v>
      </c>
      <c r="P136">
        <f>IFERROR(INDEX($A$2:$A$422,MATCH(ROWS($P$5:P136),$AD$2:$AD$422,0)),"")</f>
      </c>
      <c r="Q136">
        <f>IF($P136="","",INDEX($B$2:$B$422,MATCH(ROWS($P$5:P136),$AD$2:$AD$422,0)))</f>
      </c>
      <c r="R136">
        <f>IF($P136="","",INDEX($C$2:$C$422,MATCH(ROWS($P$5:P136),$AD$2:$AD$422,0)))</f>
      </c>
      <c r="S136">
        <f>IF($P136="","",INDEX($E$2:$E$422,MATCH(ROWS($P$5:P136),$AD$2:$AD$422,0)))</f>
      </c>
      <c r="T136" s="22">
        <f>IF($P136="","",IFERROR(IF(OR(INDEX($H$2:$H$422,MATCH(ROWS($P$5:P136),$AD$2:$AD$422,0))="",INDEX($H$2:$H$422,MATCH(ROWS($P$5:P136),$AD$2:$AD$422,0))="؟",INDEX($H$2:$H$422,MATCH(ROWS($P$5:P136),$AD$2:$AD$422,0))="نامشخص"),"",INDEX($H$2:$H$422,MATCH(ROWS($P$5:P136),$AD$2:$AD$422,0))),""))</f>
      </c>
      <c r="U136">
        <f>IF($P136="","",INDEX($L$2:$L$422,MATCH(ROWS($P$5:P136),$AD$2:$AD$422,0)))</f>
      </c>
      <c r="V136">
        <f>IF($P136="","",INDEX($M$2:$M$422,MATCH(ROWS($P$5:P136),$AD$2:$AD$422,0)))</f>
      </c>
      <c r="AD136">
        <f>IF(AND(LEN($Q$2)&gt;=3,ISNUMBER(SEARCH($Q$2,$B136))),MAX($AD$1:AD135)+1,"")</f>
      </c>
    </row>
    <row r="137" ht="14.4" customHeight="1" spans="1:30" x14ac:dyDescent="0.25">
      <c r="A137" s="16" t="s">
        <v>887</v>
      </c>
      <c r="B137" s="16" t="s">
        <v>159</v>
      </c>
      <c r="C137" s="16" t="s">
        <v>888</v>
      </c>
      <c r="D137" s="16" t="s">
        <v>825</v>
      </c>
      <c r="E137" s="16" t="s">
        <v>149</v>
      </c>
      <c r="F137" s="16" t="s">
        <v>149</v>
      </c>
      <c r="G137" s="17">
        <f t="shared" si="10"/>
        <v>80000</v>
      </c>
      <c r="H137" s="18">
        <v>80000</v>
      </c>
      <c r="I137" s="19">
        <v>2</v>
      </c>
      <c r="J137" s="18">
        <f t="shared" si="11"/>
        <v>90000</v>
      </c>
      <c r="K137" s="18" t="s">
        <v>477</v>
      </c>
      <c r="L137" s="16" t="str">
        <f t="shared" si="12"/>
        <v>فعال</v>
      </c>
      <c r="M137" s="16">
        <v>137</v>
      </c>
      <c r="N137" s="16" t="s">
        <v>887</v>
      </c>
      <c r="O137" t="s">
        <v>889</v>
      </c>
      <c r="P137">
        <f>IFERROR(INDEX($A$2:$A$422,MATCH(ROWS($P$5:P137),$AD$2:$AD$422,0)),"")</f>
      </c>
      <c r="Q137">
        <f>IF($P137="","",INDEX($B$2:$B$422,MATCH(ROWS($P$5:P137),$AD$2:$AD$422,0)))</f>
      </c>
      <c r="R137">
        <f>IF($P137="","",INDEX($C$2:$C$422,MATCH(ROWS($P$5:P137),$AD$2:$AD$422,0)))</f>
      </c>
      <c r="S137">
        <f>IF($P137="","",INDEX($E$2:$E$422,MATCH(ROWS($P$5:P137),$AD$2:$AD$422,0)))</f>
      </c>
      <c r="T137" s="22">
        <f>IF($P137="","",IFERROR(IF(OR(INDEX($H$2:$H$422,MATCH(ROWS($P$5:P137),$AD$2:$AD$422,0))="",INDEX($H$2:$H$422,MATCH(ROWS($P$5:P137),$AD$2:$AD$422,0))="؟",INDEX($H$2:$H$422,MATCH(ROWS($P$5:P137),$AD$2:$AD$422,0))="نامشخص"),"",INDEX($H$2:$H$422,MATCH(ROWS($P$5:P137),$AD$2:$AD$422,0))),""))</f>
      </c>
      <c r="U137">
        <f>IF($P137="","",INDEX($L$2:$L$422,MATCH(ROWS($P$5:P137),$AD$2:$AD$422,0)))</f>
      </c>
      <c r="V137">
        <f>IF($P137="","",INDEX($M$2:$M$422,MATCH(ROWS($P$5:P137),$AD$2:$AD$422,0)))</f>
      </c>
      <c r="AD137">
        <f>IF(AND(LEN($Q$2)&gt;=3,ISNUMBER(SEARCH($Q$2,$B137))),MAX($AD$1:AD136)+1,"")</f>
      </c>
    </row>
    <row r="138" ht="14.4" customHeight="1" spans="1:30" x14ac:dyDescent="0.25">
      <c r="A138" s="16" t="s">
        <v>890</v>
      </c>
      <c r="B138" s="16" t="s">
        <v>159</v>
      </c>
      <c r="C138" s="16" t="s">
        <v>891</v>
      </c>
      <c r="D138" s="16" t="s">
        <v>825</v>
      </c>
      <c r="E138" s="16" t="s">
        <v>150</v>
      </c>
      <c r="F138" s="16" t="s">
        <v>150</v>
      </c>
      <c r="G138" s="17">
        <f t="shared" si="10"/>
        <v>150000</v>
      </c>
      <c r="H138" s="18">
        <v>150000</v>
      </c>
      <c r="I138" s="19">
        <v>2</v>
      </c>
      <c r="J138" s="18">
        <f t="shared" si="11"/>
        <v>160000</v>
      </c>
      <c r="K138" s="18" t="s">
        <v>477</v>
      </c>
      <c r="L138" s="16" t="str">
        <f t="shared" si="12"/>
        <v>فعال</v>
      </c>
      <c r="M138" s="16">
        <v>137</v>
      </c>
      <c r="N138" s="16" t="s">
        <v>890</v>
      </c>
      <c r="O138" t="s">
        <v>892</v>
      </c>
      <c r="P138">
        <f>IFERROR(INDEX($A$2:$A$422,MATCH(ROWS($P$5:P138),$AD$2:$AD$422,0)),"")</f>
      </c>
      <c r="Q138">
        <f>IF($P138="","",INDEX($B$2:$B$422,MATCH(ROWS($P$5:P138),$AD$2:$AD$422,0)))</f>
      </c>
      <c r="R138">
        <f>IF($P138="","",INDEX($C$2:$C$422,MATCH(ROWS($P$5:P138),$AD$2:$AD$422,0)))</f>
      </c>
      <c r="S138">
        <f>IF($P138="","",INDEX($E$2:$E$422,MATCH(ROWS($P$5:P138),$AD$2:$AD$422,0)))</f>
      </c>
      <c r="T138" s="22">
        <f>IF($P138="","",IFERROR(IF(OR(INDEX($H$2:$H$422,MATCH(ROWS($P$5:P138),$AD$2:$AD$422,0))="",INDEX($H$2:$H$422,MATCH(ROWS($P$5:P138),$AD$2:$AD$422,0))="؟",INDEX($H$2:$H$422,MATCH(ROWS($P$5:P138),$AD$2:$AD$422,0))="نامشخص"),"",INDEX($H$2:$H$422,MATCH(ROWS($P$5:P138),$AD$2:$AD$422,0))),""))</f>
      </c>
      <c r="U138">
        <f>IF($P138="","",INDEX($L$2:$L$422,MATCH(ROWS($P$5:P138),$AD$2:$AD$422,0)))</f>
      </c>
      <c r="V138">
        <f>IF($P138="","",INDEX($M$2:$M$422,MATCH(ROWS($P$5:P138),$AD$2:$AD$422,0)))</f>
      </c>
      <c r="AD138">
        <f>IF(AND(LEN($Q$2)&gt;=3,ISNUMBER(SEARCH($Q$2,$B138))),MAX($AD$1:AD137)+1,"")</f>
      </c>
    </row>
    <row r="139" ht="14.4" customHeight="1" spans="1:30" x14ac:dyDescent="0.25">
      <c r="A139" s="16" t="s">
        <v>893</v>
      </c>
      <c r="B139" s="16" t="s">
        <v>156</v>
      </c>
      <c r="C139" s="16" t="s">
        <v>894</v>
      </c>
      <c r="D139" s="16" t="s">
        <v>825</v>
      </c>
      <c r="E139" s="16" t="s">
        <v>149</v>
      </c>
      <c r="F139" s="16" t="s">
        <v>149</v>
      </c>
      <c r="G139" s="17">
        <f t="shared" si="10"/>
        <v>65000</v>
      </c>
      <c r="H139" s="18">
        <v>65000</v>
      </c>
      <c r="I139" s="19">
        <v>3</v>
      </c>
      <c r="J139" s="18">
        <f t="shared" si="11"/>
        <v>70000</v>
      </c>
      <c r="K139" s="18" t="s">
        <v>477</v>
      </c>
      <c r="L139" s="16" t="str">
        <f t="shared" si="12"/>
        <v>فعال</v>
      </c>
      <c r="M139" s="16">
        <v>134</v>
      </c>
      <c r="N139" s="16" t="s">
        <v>893</v>
      </c>
      <c r="O139" t="s">
        <v>895</v>
      </c>
      <c r="P139">
        <f>IFERROR(INDEX($A$2:$A$422,MATCH(ROWS($P$5:P139),$AD$2:$AD$422,0)),"")</f>
      </c>
      <c r="Q139">
        <f>IF($P139="","",INDEX($B$2:$B$422,MATCH(ROWS($P$5:P139),$AD$2:$AD$422,0)))</f>
      </c>
      <c r="R139">
        <f>IF($P139="","",INDEX($C$2:$C$422,MATCH(ROWS($P$5:P139),$AD$2:$AD$422,0)))</f>
      </c>
      <c r="S139">
        <f>IF($P139="","",INDEX($E$2:$E$422,MATCH(ROWS($P$5:P139),$AD$2:$AD$422,0)))</f>
      </c>
      <c r="T139" s="22">
        <f>IF($P139="","",IFERROR(IF(OR(INDEX($H$2:$H$422,MATCH(ROWS($P$5:P139),$AD$2:$AD$422,0))="",INDEX($H$2:$H$422,MATCH(ROWS($P$5:P139),$AD$2:$AD$422,0))="؟",INDEX($H$2:$H$422,MATCH(ROWS($P$5:P139),$AD$2:$AD$422,0))="نامشخص"),"",INDEX($H$2:$H$422,MATCH(ROWS($P$5:P139),$AD$2:$AD$422,0))),""))</f>
      </c>
      <c r="U139">
        <f>IF($P139="","",INDEX($L$2:$L$422,MATCH(ROWS($P$5:P139),$AD$2:$AD$422,0)))</f>
      </c>
      <c r="V139">
        <f>IF($P139="","",INDEX($M$2:$M$422,MATCH(ROWS($P$5:P139),$AD$2:$AD$422,0)))</f>
      </c>
      <c r="AD139">
        <f>IF(AND(LEN($Q$2)&gt;=3,ISNUMBER(SEARCH($Q$2,$B139))),MAX($AD$1:AD138)+1,"")</f>
      </c>
    </row>
    <row r="140" ht="14.4" customHeight="1" spans="1:30" x14ac:dyDescent="0.25">
      <c r="A140" s="16" t="s">
        <v>896</v>
      </c>
      <c r="B140" s="16" t="s">
        <v>156</v>
      </c>
      <c r="C140" s="16" t="s">
        <v>897</v>
      </c>
      <c r="D140" s="16" t="s">
        <v>825</v>
      </c>
      <c r="E140" s="16" t="s">
        <v>150</v>
      </c>
      <c r="F140" s="16" t="s">
        <v>150</v>
      </c>
      <c r="G140" s="17">
        <f t="shared" si="10"/>
        <v>120000</v>
      </c>
      <c r="H140" s="18">
        <v>120000</v>
      </c>
      <c r="I140" s="19">
        <v>2</v>
      </c>
      <c r="J140" s="18">
        <f t="shared" si="11"/>
        <v>130000</v>
      </c>
      <c r="K140" s="18" t="s">
        <v>477</v>
      </c>
      <c r="L140" s="16" t="str">
        <f t="shared" si="12"/>
        <v>فعال</v>
      </c>
      <c r="M140" s="16">
        <v>134</v>
      </c>
      <c r="N140" s="16" t="s">
        <v>896</v>
      </c>
      <c r="O140" t="s">
        <v>898</v>
      </c>
      <c r="P140">
        <f>IFERROR(INDEX($A$2:$A$422,MATCH(ROWS($P$5:P140),$AD$2:$AD$422,0)),"")</f>
      </c>
      <c r="Q140">
        <f>IF($P140="","",INDEX($B$2:$B$422,MATCH(ROWS($P$5:P140),$AD$2:$AD$422,0)))</f>
      </c>
      <c r="R140">
        <f>IF($P140="","",INDEX($C$2:$C$422,MATCH(ROWS($P$5:P140),$AD$2:$AD$422,0)))</f>
      </c>
      <c r="S140">
        <f>IF($P140="","",INDEX($E$2:$E$422,MATCH(ROWS($P$5:P140),$AD$2:$AD$422,0)))</f>
      </c>
      <c r="T140" s="22">
        <f>IF($P140="","",IFERROR(IF(OR(INDEX($H$2:$H$422,MATCH(ROWS($P$5:P140),$AD$2:$AD$422,0))="",INDEX($H$2:$H$422,MATCH(ROWS($P$5:P140),$AD$2:$AD$422,0))="؟",INDEX($H$2:$H$422,MATCH(ROWS($P$5:P140),$AD$2:$AD$422,0))="نامشخص"),"",INDEX($H$2:$H$422,MATCH(ROWS($P$5:P140),$AD$2:$AD$422,0))),""))</f>
      </c>
      <c r="U140">
        <f>IF($P140="","",INDEX($L$2:$L$422,MATCH(ROWS($P$5:P140),$AD$2:$AD$422,0)))</f>
      </c>
      <c r="V140">
        <f>IF($P140="","",INDEX($M$2:$M$422,MATCH(ROWS($P$5:P140),$AD$2:$AD$422,0)))</f>
      </c>
      <c r="AD140">
        <f>IF(AND(LEN($Q$2)&gt;=3,ISNUMBER(SEARCH($Q$2,$B140))),MAX($AD$1:AD139)+1,"")</f>
      </c>
    </row>
    <row r="141" ht="14.4" customHeight="1" spans="1:30" x14ac:dyDescent="0.25">
      <c r="A141" s="16" t="s">
        <v>899</v>
      </c>
      <c r="B141" s="16" t="s">
        <v>161</v>
      </c>
      <c r="C141" s="16" t="s">
        <v>900</v>
      </c>
      <c r="D141" s="16" t="s">
        <v>825</v>
      </c>
      <c r="E141" s="16" t="s">
        <v>149</v>
      </c>
      <c r="F141" s="16" t="s">
        <v>149</v>
      </c>
      <c r="G141" s="17">
        <f t="shared" si="10"/>
        <v>100000</v>
      </c>
      <c r="H141" s="18">
        <v>100000</v>
      </c>
      <c r="I141" s="19">
        <v>1</v>
      </c>
      <c r="J141" s="18">
        <f t="shared" si="11"/>
        <v>110000</v>
      </c>
      <c r="K141" s="18" t="s">
        <v>477</v>
      </c>
      <c r="L141" s="16" t="str">
        <f t="shared" si="12"/>
        <v>فعال</v>
      </c>
      <c r="M141" s="16">
        <v>139</v>
      </c>
      <c r="N141" s="16" t="s">
        <v>899</v>
      </c>
      <c r="O141" t="s">
        <v>901</v>
      </c>
      <c r="P141">
        <f>IFERROR(INDEX($A$2:$A$422,MATCH(ROWS($P$5:P141),$AD$2:$AD$422,0)),"")</f>
      </c>
      <c r="Q141">
        <f>IF($P141="","",INDEX($B$2:$B$422,MATCH(ROWS($P$5:P141),$AD$2:$AD$422,0)))</f>
      </c>
      <c r="R141">
        <f>IF($P141="","",INDEX($C$2:$C$422,MATCH(ROWS($P$5:P141),$AD$2:$AD$422,0)))</f>
      </c>
      <c r="S141">
        <f>IF($P141="","",INDEX($E$2:$E$422,MATCH(ROWS($P$5:P141),$AD$2:$AD$422,0)))</f>
      </c>
      <c r="T141" s="22">
        <f>IF($P141="","",IFERROR(IF(OR(INDEX($H$2:$H$422,MATCH(ROWS($P$5:P141),$AD$2:$AD$422,0))="",INDEX($H$2:$H$422,MATCH(ROWS($P$5:P141),$AD$2:$AD$422,0))="؟",INDEX($H$2:$H$422,MATCH(ROWS($P$5:P141),$AD$2:$AD$422,0))="نامشخص"),"",INDEX($H$2:$H$422,MATCH(ROWS($P$5:P141),$AD$2:$AD$422,0))),""))</f>
      </c>
      <c r="U141">
        <f>IF($P141="","",INDEX($L$2:$L$422,MATCH(ROWS($P$5:P141),$AD$2:$AD$422,0)))</f>
      </c>
      <c r="V141">
        <f>IF($P141="","",INDEX($M$2:$M$422,MATCH(ROWS($P$5:P141),$AD$2:$AD$422,0)))</f>
      </c>
      <c r="AD141">
        <f>IF(AND(LEN($Q$2)&gt;=3,ISNUMBER(SEARCH($Q$2,$B141))),MAX($AD$1:AD140)+1,"")</f>
      </c>
    </row>
    <row r="142" ht="14.4" customHeight="1" spans="1:30" x14ac:dyDescent="0.25">
      <c r="A142" s="16" t="s">
        <v>902</v>
      </c>
      <c r="B142" s="16" t="s">
        <v>161</v>
      </c>
      <c r="C142" s="16" t="s">
        <v>903</v>
      </c>
      <c r="D142" s="16" t="s">
        <v>825</v>
      </c>
      <c r="E142" s="16" t="s">
        <v>150</v>
      </c>
      <c r="F142" s="16" t="s">
        <v>150</v>
      </c>
      <c r="G142" s="17">
        <f t="shared" si="10"/>
        <v>195000</v>
      </c>
      <c r="H142" s="18">
        <v>195000</v>
      </c>
      <c r="I142" s="19">
        <v>1</v>
      </c>
      <c r="J142" s="18">
        <f t="shared" si="11"/>
        <v>200000</v>
      </c>
      <c r="K142" s="18" t="s">
        <v>477</v>
      </c>
      <c r="L142" s="16" t="str">
        <f t="shared" si="12"/>
        <v>فعال</v>
      </c>
      <c r="M142" s="16">
        <v>139</v>
      </c>
      <c r="N142" s="16" t="s">
        <v>902</v>
      </c>
      <c r="O142" t="s">
        <v>904</v>
      </c>
      <c r="P142">
        <f>IFERROR(INDEX($A$2:$A$422,MATCH(ROWS($P$5:P142),$AD$2:$AD$422,0)),"")</f>
      </c>
      <c r="Q142">
        <f>IF($P142="","",INDEX($B$2:$B$422,MATCH(ROWS($P$5:P142),$AD$2:$AD$422,0)))</f>
      </c>
      <c r="R142">
        <f>IF($P142="","",INDEX($C$2:$C$422,MATCH(ROWS($P$5:P142),$AD$2:$AD$422,0)))</f>
      </c>
      <c r="S142">
        <f>IF($P142="","",INDEX($E$2:$E$422,MATCH(ROWS($P$5:P142),$AD$2:$AD$422,0)))</f>
      </c>
      <c r="T142" s="22">
        <f>IF($P142="","",IFERROR(IF(OR(INDEX($H$2:$H$422,MATCH(ROWS($P$5:P142),$AD$2:$AD$422,0))="",INDEX($H$2:$H$422,MATCH(ROWS($P$5:P142),$AD$2:$AD$422,0))="؟",INDEX($H$2:$H$422,MATCH(ROWS($P$5:P142),$AD$2:$AD$422,0))="نامشخص"),"",INDEX($H$2:$H$422,MATCH(ROWS($P$5:P142),$AD$2:$AD$422,0))),""))</f>
      </c>
      <c r="U142">
        <f>IF($P142="","",INDEX($L$2:$L$422,MATCH(ROWS($P$5:P142),$AD$2:$AD$422,0)))</f>
      </c>
      <c r="V142">
        <f>IF($P142="","",INDEX($M$2:$M$422,MATCH(ROWS($P$5:P142),$AD$2:$AD$422,0)))</f>
      </c>
      <c r="AD142">
        <f>IF(AND(LEN($Q$2)&gt;=3,ISNUMBER(SEARCH($Q$2,$B142))),MAX($AD$1:AD141)+1,"")</f>
      </c>
    </row>
    <row r="143" ht="14.4" customHeight="1" spans="1:30" x14ac:dyDescent="0.25">
      <c r="A143" s="16" t="s">
        <v>905</v>
      </c>
      <c r="B143" s="16" t="s">
        <v>162</v>
      </c>
      <c r="C143" s="16" t="s">
        <v>906</v>
      </c>
      <c r="D143" s="16" t="s">
        <v>825</v>
      </c>
      <c r="E143" s="16" t="s">
        <v>149</v>
      </c>
      <c r="F143" s="16" t="s">
        <v>149</v>
      </c>
      <c r="G143" s="17">
        <f t="shared" si="10"/>
        <v>95000</v>
      </c>
      <c r="H143" s="18">
        <v>95000</v>
      </c>
      <c r="I143" s="19">
        <v>1</v>
      </c>
      <c r="J143" s="18">
        <f t="shared" si="11"/>
        <v>100000</v>
      </c>
      <c r="K143" s="18" t="s">
        <v>477</v>
      </c>
      <c r="L143" s="16" t="str">
        <f t="shared" si="12"/>
        <v>فعال</v>
      </c>
      <c r="M143" s="16">
        <v>140</v>
      </c>
      <c r="N143" s="16" t="s">
        <v>905</v>
      </c>
      <c r="O143" t="s">
        <v>907</v>
      </c>
      <c r="P143">
        <f>IFERROR(INDEX($A$2:$A$422,MATCH(ROWS($P$5:P143),$AD$2:$AD$422,0)),"")</f>
      </c>
      <c r="Q143">
        <f>IF($P143="","",INDEX($B$2:$B$422,MATCH(ROWS($P$5:P143),$AD$2:$AD$422,0)))</f>
      </c>
      <c r="R143">
        <f>IF($P143="","",INDEX($C$2:$C$422,MATCH(ROWS($P$5:P143),$AD$2:$AD$422,0)))</f>
      </c>
      <c r="S143">
        <f>IF($P143="","",INDEX($E$2:$E$422,MATCH(ROWS($P$5:P143),$AD$2:$AD$422,0)))</f>
      </c>
      <c r="T143" s="22">
        <f>IF($P143="","",IFERROR(IF(OR(INDEX($H$2:$H$422,MATCH(ROWS($P$5:P143),$AD$2:$AD$422,0))="",INDEX($H$2:$H$422,MATCH(ROWS($P$5:P143),$AD$2:$AD$422,0))="؟",INDEX($H$2:$H$422,MATCH(ROWS($P$5:P143),$AD$2:$AD$422,0))="نامشخص"),"",INDEX($H$2:$H$422,MATCH(ROWS($P$5:P143),$AD$2:$AD$422,0))),""))</f>
      </c>
      <c r="U143">
        <f>IF($P143="","",INDEX($L$2:$L$422,MATCH(ROWS($P$5:P143),$AD$2:$AD$422,0)))</f>
      </c>
      <c r="V143">
        <f>IF($P143="","",INDEX($M$2:$M$422,MATCH(ROWS($P$5:P143),$AD$2:$AD$422,0)))</f>
      </c>
      <c r="AD143">
        <f>IF(AND(LEN($Q$2)&gt;=3,ISNUMBER(SEARCH($Q$2,$B143))),MAX($AD$1:AD142)+1,"")</f>
      </c>
    </row>
    <row r="144" ht="14.4" customHeight="1" spans="1:30" x14ac:dyDescent="0.25">
      <c r="A144" s="16" t="s">
        <v>908</v>
      </c>
      <c r="B144" s="16" t="s">
        <v>162</v>
      </c>
      <c r="C144" s="16" t="s">
        <v>909</v>
      </c>
      <c r="D144" s="16" t="s">
        <v>825</v>
      </c>
      <c r="E144" s="16" t="s">
        <v>150</v>
      </c>
      <c r="F144" s="16" t="s">
        <v>150</v>
      </c>
      <c r="G144" s="17">
        <f t="shared" si="10"/>
        <v>180000</v>
      </c>
      <c r="H144" s="18">
        <v>180000</v>
      </c>
      <c r="I144" s="19">
        <v>1</v>
      </c>
      <c r="J144" s="18">
        <f t="shared" si="11"/>
        <v>190000</v>
      </c>
      <c r="K144" s="18" t="s">
        <v>477</v>
      </c>
      <c r="L144" s="16" t="str">
        <f t="shared" si="12"/>
        <v>فعال</v>
      </c>
      <c r="M144" s="16">
        <v>140</v>
      </c>
      <c r="N144" s="16" t="s">
        <v>908</v>
      </c>
      <c r="O144" t="s">
        <v>910</v>
      </c>
      <c r="P144">
        <f>IFERROR(INDEX($A$2:$A$422,MATCH(ROWS($P$5:P144),$AD$2:$AD$422,0)),"")</f>
      </c>
      <c r="Q144">
        <f>IF($P144="","",INDEX($B$2:$B$422,MATCH(ROWS($P$5:P144),$AD$2:$AD$422,0)))</f>
      </c>
      <c r="R144">
        <f>IF($P144="","",INDEX($C$2:$C$422,MATCH(ROWS($P$5:P144),$AD$2:$AD$422,0)))</f>
      </c>
      <c r="S144">
        <f>IF($P144="","",INDEX($E$2:$E$422,MATCH(ROWS($P$5:P144),$AD$2:$AD$422,0)))</f>
      </c>
      <c r="T144" s="22">
        <f>IF($P144="","",IFERROR(IF(OR(INDEX($H$2:$H$422,MATCH(ROWS($P$5:P144),$AD$2:$AD$422,0))="",INDEX($H$2:$H$422,MATCH(ROWS($P$5:P144),$AD$2:$AD$422,0))="؟",INDEX($H$2:$H$422,MATCH(ROWS($P$5:P144),$AD$2:$AD$422,0))="نامشخص"),"",INDEX($H$2:$H$422,MATCH(ROWS($P$5:P144),$AD$2:$AD$422,0))),""))</f>
      </c>
      <c r="U144">
        <f>IF($P144="","",INDEX($L$2:$L$422,MATCH(ROWS($P$5:P144),$AD$2:$AD$422,0)))</f>
      </c>
      <c r="V144">
        <f>IF($P144="","",INDEX($M$2:$M$422,MATCH(ROWS($P$5:P144),$AD$2:$AD$422,0)))</f>
      </c>
      <c r="AD144">
        <f>IF(AND(LEN($Q$2)&gt;=3,ISNUMBER(SEARCH($Q$2,$B144))),MAX($AD$1:AD143)+1,"")</f>
      </c>
    </row>
    <row r="145" ht="14.4" customHeight="1" spans="1:30" x14ac:dyDescent="0.25">
      <c r="A145" s="16" t="s">
        <v>911</v>
      </c>
      <c r="B145" s="16" t="s">
        <v>162</v>
      </c>
      <c r="C145" s="16" t="s">
        <v>912</v>
      </c>
      <c r="D145" s="16" t="s">
        <v>825</v>
      </c>
      <c r="E145" s="16" t="s">
        <v>11</v>
      </c>
      <c r="F145" s="16" t="s">
        <v>11</v>
      </c>
      <c r="G145" s="17">
        <f t="shared" si="10"/>
        <v>1300000</v>
      </c>
      <c r="H145" s="18">
        <v>1300000</v>
      </c>
      <c r="I145" s="19">
        <v>1</v>
      </c>
      <c r="J145" s="18">
        <f t="shared" si="11"/>
        <v>1320000</v>
      </c>
      <c r="K145" s="18" t="s">
        <v>477</v>
      </c>
      <c r="L145" s="16" t="str">
        <f t="shared" si="12"/>
        <v>فعال</v>
      </c>
      <c r="M145" s="16">
        <v>141</v>
      </c>
      <c r="N145" s="16" t="s">
        <v>911</v>
      </c>
      <c r="O145" t="s">
        <v>913</v>
      </c>
      <c r="P145">
        <f>IFERROR(INDEX($A$2:$A$422,MATCH(ROWS($P$5:P145),$AD$2:$AD$422,0)),"")</f>
      </c>
      <c r="Q145">
        <f>IF($P145="","",INDEX($B$2:$B$422,MATCH(ROWS($P$5:P145),$AD$2:$AD$422,0)))</f>
      </c>
      <c r="R145">
        <f>IF($P145="","",INDEX($C$2:$C$422,MATCH(ROWS($P$5:P145),$AD$2:$AD$422,0)))</f>
      </c>
      <c r="S145">
        <f>IF($P145="","",INDEX($E$2:$E$422,MATCH(ROWS($P$5:P145),$AD$2:$AD$422,0)))</f>
      </c>
      <c r="T145" s="22">
        <f>IF($P145="","",IFERROR(IF(OR(INDEX($H$2:$H$422,MATCH(ROWS($P$5:P145),$AD$2:$AD$422,0))="",INDEX($H$2:$H$422,MATCH(ROWS($P$5:P145),$AD$2:$AD$422,0))="؟",INDEX($H$2:$H$422,MATCH(ROWS($P$5:P145),$AD$2:$AD$422,0))="نامشخص"),"",INDEX($H$2:$H$422,MATCH(ROWS($P$5:P145),$AD$2:$AD$422,0))),""))</f>
      </c>
      <c r="U145">
        <f>IF($P145="","",INDEX($L$2:$L$422,MATCH(ROWS($P$5:P145),$AD$2:$AD$422,0)))</f>
      </c>
      <c r="V145">
        <f>IF($P145="","",INDEX($M$2:$M$422,MATCH(ROWS($P$5:P145),$AD$2:$AD$422,0)))</f>
      </c>
      <c r="AD145">
        <f>IF(AND(LEN($Q$2)&gt;=3,ISNUMBER(SEARCH($Q$2,$B145))),MAX($AD$1:AD144)+1,"")</f>
      </c>
    </row>
    <row r="146" ht="14.4" customHeight="1" spans="1:30" x14ac:dyDescent="0.25">
      <c r="A146" s="16" t="s">
        <v>914</v>
      </c>
      <c r="B146" s="16" t="s">
        <v>162</v>
      </c>
      <c r="C146" s="16" t="s">
        <v>915</v>
      </c>
      <c r="D146" s="16" t="s">
        <v>825</v>
      </c>
      <c r="E146" s="16" t="s">
        <v>12</v>
      </c>
      <c r="F146" s="16" t="s">
        <v>12</v>
      </c>
      <c r="G146" s="17">
        <f t="shared" si="10"/>
        <v>2600000</v>
      </c>
      <c r="H146" s="18">
        <v>2600000</v>
      </c>
      <c r="I146" s="19">
        <v>1</v>
      </c>
      <c r="J146" s="18">
        <f t="shared" si="11"/>
        <v>2630000</v>
      </c>
      <c r="K146" s="18" t="s">
        <v>477</v>
      </c>
      <c r="L146" s="16" t="str">
        <f t="shared" si="12"/>
        <v>فعال</v>
      </c>
      <c r="M146" s="16">
        <v>141</v>
      </c>
      <c r="N146" s="16" t="s">
        <v>914</v>
      </c>
      <c r="O146" t="s">
        <v>916</v>
      </c>
      <c r="P146">
        <f>IFERROR(INDEX($A$2:$A$422,MATCH(ROWS($P$5:P146),$AD$2:$AD$422,0)),"")</f>
      </c>
      <c r="Q146">
        <f>IF($P146="","",INDEX($B$2:$B$422,MATCH(ROWS($P$5:P146),$AD$2:$AD$422,0)))</f>
      </c>
      <c r="R146">
        <f>IF($P146="","",INDEX($C$2:$C$422,MATCH(ROWS($P$5:P146),$AD$2:$AD$422,0)))</f>
      </c>
      <c r="S146">
        <f>IF($P146="","",INDEX($E$2:$E$422,MATCH(ROWS($P$5:P146),$AD$2:$AD$422,0)))</f>
      </c>
      <c r="T146" s="22">
        <f>IF($P146="","",IFERROR(IF(OR(INDEX($H$2:$H$422,MATCH(ROWS($P$5:P146),$AD$2:$AD$422,0))="",INDEX($H$2:$H$422,MATCH(ROWS($P$5:P146),$AD$2:$AD$422,0))="؟",INDEX($H$2:$H$422,MATCH(ROWS($P$5:P146),$AD$2:$AD$422,0))="نامشخص"),"",INDEX($H$2:$H$422,MATCH(ROWS($P$5:P146),$AD$2:$AD$422,0))),""))</f>
      </c>
      <c r="U146">
        <f>IF($P146="","",INDEX($L$2:$L$422,MATCH(ROWS($P$5:P146),$AD$2:$AD$422,0)))</f>
      </c>
      <c r="V146">
        <f>IF($P146="","",INDEX($M$2:$M$422,MATCH(ROWS($P$5:P146),$AD$2:$AD$422,0)))</f>
      </c>
      <c r="AD146">
        <f>IF(AND(LEN($Q$2)&gt;=3,ISNUMBER(SEARCH($Q$2,$B146))),MAX($AD$1:AD145)+1,"")</f>
      </c>
    </row>
    <row r="147" ht="14.4" customHeight="1" spans="1:30" x14ac:dyDescent="0.25">
      <c r="A147" s="16" t="s">
        <v>917</v>
      </c>
      <c r="B147" s="16" t="s">
        <v>164</v>
      </c>
      <c r="C147" s="16" t="s">
        <v>918</v>
      </c>
      <c r="D147" s="16" t="s">
        <v>825</v>
      </c>
      <c r="E147" s="16" t="s">
        <v>11</v>
      </c>
      <c r="F147" s="16" t="s">
        <v>11</v>
      </c>
      <c r="G147" s="17">
        <f t="shared" si="10"/>
        <v>1550000</v>
      </c>
      <c r="H147" s="18">
        <v>1550000</v>
      </c>
      <c r="I147" s="19">
        <v>3</v>
      </c>
      <c r="J147" s="18">
        <f t="shared" si="11"/>
        <v>1600000</v>
      </c>
      <c r="K147" s="18" t="s">
        <v>477</v>
      </c>
      <c r="L147" s="16" t="str">
        <f t="shared" si="12"/>
        <v>فعال</v>
      </c>
      <c r="M147" s="16">
        <v>142</v>
      </c>
      <c r="N147" s="16" t="s">
        <v>917</v>
      </c>
      <c r="O147" t="s">
        <v>919</v>
      </c>
      <c r="P147">
        <f>IFERROR(INDEX($A$2:$A$422,MATCH(ROWS($P$5:P147),$AD$2:$AD$422,0)),"")</f>
      </c>
      <c r="Q147">
        <f>IF($P147="","",INDEX($B$2:$B$422,MATCH(ROWS($P$5:P147),$AD$2:$AD$422,0)))</f>
      </c>
      <c r="R147">
        <f>IF($P147="","",INDEX($C$2:$C$422,MATCH(ROWS($P$5:P147),$AD$2:$AD$422,0)))</f>
      </c>
      <c r="S147">
        <f>IF($P147="","",INDEX($E$2:$E$422,MATCH(ROWS($P$5:P147),$AD$2:$AD$422,0)))</f>
      </c>
      <c r="T147" s="22">
        <f>IF($P147="","",IFERROR(IF(OR(INDEX($H$2:$H$422,MATCH(ROWS($P$5:P147),$AD$2:$AD$422,0))="",INDEX($H$2:$H$422,MATCH(ROWS($P$5:P147),$AD$2:$AD$422,0))="؟",INDEX($H$2:$H$422,MATCH(ROWS($P$5:P147),$AD$2:$AD$422,0))="نامشخص"),"",INDEX($H$2:$H$422,MATCH(ROWS($P$5:P147),$AD$2:$AD$422,0))),""))</f>
      </c>
      <c r="U147">
        <f>IF($P147="","",INDEX($L$2:$L$422,MATCH(ROWS($P$5:P147),$AD$2:$AD$422,0)))</f>
      </c>
      <c r="V147">
        <f>IF($P147="","",INDEX($M$2:$M$422,MATCH(ROWS($P$5:P147),$AD$2:$AD$422,0)))</f>
      </c>
      <c r="AD147">
        <f>IF(AND(LEN($Q$2)&gt;=3,ISNUMBER(SEARCH($Q$2,$B147))),MAX($AD$1:AD146)+1,"")</f>
      </c>
    </row>
    <row r="148" ht="14.4" customHeight="1" spans="1:30" x14ac:dyDescent="0.25">
      <c r="A148" s="16" t="s">
        <v>920</v>
      </c>
      <c r="B148" s="16" t="s">
        <v>164</v>
      </c>
      <c r="C148" s="16" t="s">
        <v>921</v>
      </c>
      <c r="D148" s="16" t="s">
        <v>825</v>
      </c>
      <c r="E148" s="16" t="s">
        <v>12</v>
      </c>
      <c r="F148" s="16" t="s">
        <v>12</v>
      </c>
      <c r="G148" s="17">
        <f t="shared" si="10"/>
        <v>3100000</v>
      </c>
      <c r="H148" s="18">
        <v>3100000</v>
      </c>
      <c r="I148" s="19">
        <v>1</v>
      </c>
      <c r="J148" s="18">
        <f t="shared" si="11"/>
        <v>3140000</v>
      </c>
      <c r="K148" s="18" t="s">
        <v>477</v>
      </c>
      <c r="L148" s="16" t="str">
        <f t="shared" si="12"/>
        <v>فعال</v>
      </c>
      <c r="M148" s="16">
        <v>142</v>
      </c>
      <c r="N148" s="16" t="s">
        <v>920</v>
      </c>
      <c r="O148" t="s">
        <v>922</v>
      </c>
      <c r="P148">
        <f>IFERROR(INDEX($A$2:$A$422,MATCH(ROWS($P$5:P148),$AD$2:$AD$422,0)),"")</f>
      </c>
      <c r="Q148">
        <f>IF($P148="","",INDEX($B$2:$B$422,MATCH(ROWS($P$5:P148),$AD$2:$AD$422,0)))</f>
      </c>
      <c r="R148">
        <f>IF($P148="","",INDEX($C$2:$C$422,MATCH(ROWS($P$5:P148),$AD$2:$AD$422,0)))</f>
      </c>
      <c r="S148">
        <f>IF($P148="","",INDEX($E$2:$E$422,MATCH(ROWS($P$5:P148),$AD$2:$AD$422,0)))</f>
      </c>
      <c r="T148" s="22">
        <f>IF($P148="","",IFERROR(IF(OR(INDEX($H$2:$H$422,MATCH(ROWS($P$5:P148),$AD$2:$AD$422,0))="",INDEX($H$2:$H$422,MATCH(ROWS($P$5:P148),$AD$2:$AD$422,0))="؟",INDEX($H$2:$H$422,MATCH(ROWS($P$5:P148),$AD$2:$AD$422,0))="نامشخص"),"",INDEX($H$2:$H$422,MATCH(ROWS($P$5:P148),$AD$2:$AD$422,0))),""))</f>
      </c>
      <c r="U148">
        <f>IF($P148="","",INDEX($L$2:$L$422,MATCH(ROWS($P$5:P148),$AD$2:$AD$422,0)))</f>
      </c>
      <c r="V148">
        <f>IF($P148="","",INDEX($M$2:$M$422,MATCH(ROWS($P$5:P148),$AD$2:$AD$422,0)))</f>
      </c>
      <c r="AD148">
        <f>IF(AND(LEN($Q$2)&gt;=3,ISNUMBER(SEARCH($Q$2,$B148))),MAX($AD$1:AD147)+1,"")</f>
      </c>
    </row>
    <row r="149" ht="14.4" customHeight="1" spans="1:30" x14ac:dyDescent="0.25">
      <c r="A149" s="16" t="s">
        <v>923</v>
      </c>
      <c r="B149" s="16" t="s">
        <v>164</v>
      </c>
      <c r="C149" s="16" t="s">
        <v>924</v>
      </c>
      <c r="D149" s="16" t="s">
        <v>825</v>
      </c>
      <c r="E149" s="16" t="s">
        <v>149</v>
      </c>
      <c r="F149" s="16" t="s">
        <v>149</v>
      </c>
      <c r="G149" s="17">
        <f t="shared" si="10"/>
        <v>100000</v>
      </c>
      <c r="H149" s="18">
        <v>100000</v>
      </c>
      <c r="I149" s="19">
        <v>2</v>
      </c>
      <c r="J149" s="18">
        <f t="shared" si="11"/>
        <v>110000</v>
      </c>
      <c r="K149" s="18" t="s">
        <v>477</v>
      </c>
      <c r="L149" s="16" t="str">
        <f t="shared" si="12"/>
        <v>فعال</v>
      </c>
      <c r="M149" s="16">
        <v>143</v>
      </c>
      <c r="N149" s="16" t="s">
        <v>923</v>
      </c>
      <c r="O149" t="s">
        <v>925</v>
      </c>
      <c r="P149">
        <f>IFERROR(INDEX($A$2:$A$422,MATCH(ROWS($P$5:P149),$AD$2:$AD$422,0)),"")</f>
      </c>
      <c r="Q149">
        <f>IF($P149="","",INDEX($B$2:$B$422,MATCH(ROWS($P$5:P149),$AD$2:$AD$422,0)))</f>
      </c>
      <c r="R149">
        <f>IF($P149="","",INDEX($C$2:$C$422,MATCH(ROWS($P$5:P149),$AD$2:$AD$422,0)))</f>
      </c>
      <c r="S149">
        <f>IF($P149="","",INDEX($E$2:$E$422,MATCH(ROWS($P$5:P149),$AD$2:$AD$422,0)))</f>
      </c>
      <c r="T149" s="22">
        <f>IF($P149="","",IFERROR(IF(OR(INDEX($H$2:$H$422,MATCH(ROWS($P$5:P149),$AD$2:$AD$422,0))="",INDEX($H$2:$H$422,MATCH(ROWS($P$5:P149),$AD$2:$AD$422,0))="؟",INDEX($H$2:$H$422,MATCH(ROWS($P$5:P149),$AD$2:$AD$422,0))="نامشخص"),"",INDEX($H$2:$H$422,MATCH(ROWS($P$5:P149),$AD$2:$AD$422,0))),""))</f>
      </c>
      <c r="U149">
        <f>IF($P149="","",INDEX($L$2:$L$422,MATCH(ROWS($P$5:P149),$AD$2:$AD$422,0)))</f>
      </c>
      <c r="V149">
        <f>IF($P149="","",INDEX($M$2:$M$422,MATCH(ROWS($P$5:P149),$AD$2:$AD$422,0)))</f>
      </c>
      <c r="AD149">
        <f>IF(AND(LEN($Q$2)&gt;=3,ISNUMBER(SEARCH($Q$2,$B149))),MAX($AD$1:AD148)+1,"")</f>
      </c>
    </row>
    <row r="150" ht="14.4" customHeight="1" spans="1:30" x14ac:dyDescent="0.25">
      <c r="A150" s="16" t="s">
        <v>926</v>
      </c>
      <c r="B150" s="16" t="s">
        <v>164</v>
      </c>
      <c r="C150" s="16" t="s">
        <v>927</v>
      </c>
      <c r="D150" s="16" t="s">
        <v>825</v>
      </c>
      <c r="E150" s="16" t="s">
        <v>150</v>
      </c>
      <c r="F150" s="16" t="s">
        <v>150</v>
      </c>
      <c r="G150" s="17">
        <f t="shared" si="10"/>
        <v>195000</v>
      </c>
      <c r="H150" s="18">
        <v>195000</v>
      </c>
      <c r="I150" s="19">
        <v>1</v>
      </c>
      <c r="J150" s="18">
        <f t="shared" si="11"/>
        <v>200000</v>
      </c>
      <c r="K150" s="18" t="s">
        <v>477</v>
      </c>
      <c r="L150" s="16" t="str">
        <f t="shared" si="12"/>
        <v>فعال</v>
      </c>
      <c r="M150" s="16">
        <v>143</v>
      </c>
      <c r="N150" s="16" t="s">
        <v>926</v>
      </c>
      <c r="O150" t="s">
        <v>928</v>
      </c>
      <c r="P150">
        <f>IFERROR(INDEX($A$2:$A$422,MATCH(ROWS($P$5:P150),$AD$2:$AD$422,0)),"")</f>
      </c>
      <c r="Q150">
        <f>IF($P150="","",INDEX($B$2:$B$422,MATCH(ROWS($P$5:P150),$AD$2:$AD$422,0)))</f>
      </c>
      <c r="R150">
        <f>IF($P150="","",INDEX($C$2:$C$422,MATCH(ROWS($P$5:P150),$AD$2:$AD$422,0)))</f>
      </c>
      <c r="S150">
        <f>IF($P150="","",INDEX($E$2:$E$422,MATCH(ROWS($P$5:P150),$AD$2:$AD$422,0)))</f>
      </c>
      <c r="T150" s="22">
        <f>IF($P150="","",IFERROR(IF(OR(INDEX($H$2:$H$422,MATCH(ROWS($P$5:P150),$AD$2:$AD$422,0))="",INDEX($H$2:$H$422,MATCH(ROWS($P$5:P150),$AD$2:$AD$422,0))="؟",INDEX($H$2:$H$422,MATCH(ROWS($P$5:P150),$AD$2:$AD$422,0))="نامشخص"),"",INDEX($H$2:$H$422,MATCH(ROWS($P$5:P150),$AD$2:$AD$422,0))),""))</f>
      </c>
      <c r="U150">
        <f>IF($P150="","",INDEX($L$2:$L$422,MATCH(ROWS($P$5:P150),$AD$2:$AD$422,0)))</f>
      </c>
      <c r="V150">
        <f>IF($P150="","",INDEX($M$2:$M$422,MATCH(ROWS($P$5:P150),$AD$2:$AD$422,0)))</f>
      </c>
      <c r="AD150">
        <f>IF(AND(LEN($Q$2)&gt;=3,ISNUMBER(SEARCH($Q$2,$B150))),MAX($AD$1:AD149)+1,"")</f>
      </c>
    </row>
    <row r="151" ht="14.4" customHeight="1" spans="1:30" x14ac:dyDescent="0.25">
      <c r="A151" s="16" t="s">
        <v>929</v>
      </c>
      <c r="B151" s="16" t="s">
        <v>165</v>
      </c>
      <c r="C151" s="16" t="s">
        <v>930</v>
      </c>
      <c r="D151" s="16" t="s">
        <v>825</v>
      </c>
      <c r="E151" s="16" t="s">
        <v>149</v>
      </c>
      <c r="F151" s="16" t="s">
        <v>149</v>
      </c>
      <c r="G151" s="17">
        <f t="shared" si="10"/>
        <v>135000</v>
      </c>
      <c r="H151" s="18">
        <v>135000</v>
      </c>
      <c r="I151" s="19">
        <v>2</v>
      </c>
      <c r="J151" s="18">
        <f t="shared" si="11"/>
        <v>140000</v>
      </c>
      <c r="K151" s="18" t="s">
        <v>477</v>
      </c>
      <c r="L151" s="16" t="str">
        <f t="shared" si="12"/>
        <v>فعال</v>
      </c>
      <c r="M151" s="16">
        <v>144</v>
      </c>
      <c r="N151" s="16" t="s">
        <v>929</v>
      </c>
      <c r="O151" t="s">
        <v>931</v>
      </c>
      <c r="P151">
        <f>IFERROR(INDEX($A$2:$A$422,MATCH(ROWS($P$5:P151),$AD$2:$AD$422,0)),"")</f>
      </c>
      <c r="Q151">
        <f>IF($P151="","",INDEX($B$2:$B$422,MATCH(ROWS($P$5:P151),$AD$2:$AD$422,0)))</f>
      </c>
      <c r="R151">
        <f>IF($P151="","",INDEX($C$2:$C$422,MATCH(ROWS($P$5:P151),$AD$2:$AD$422,0)))</f>
      </c>
      <c r="S151">
        <f>IF($P151="","",INDEX($E$2:$E$422,MATCH(ROWS($P$5:P151),$AD$2:$AD$422,0)))</f>
      </c>
      <c r="T151" s="22">
        <f>IF($P151="","",IFERROR(IF(OR(INDEX($H$2:$H$422,MATCH(ROWS($P$5:P151),$AD$2:$AD$422,0))="",INDEX($H$2:$H$422,MATCH(ROWS($P$5:P151),$AD$2:$AD$422,0))="؟",INDEX($H$2:$H$422,MATCH(ROWS($P$5:P151),$AD$2:$AD$422,0))="نامشخص"),"",INDEX($H$2:$H$422,MATCH(ROWS($P$5:P151),$AD$2:$AD$422,0))),""))</f>
      </c>
      <c r="U151">
        <f>IF($P151="","",INDEX($L$2:$L$422,MATCH(ROWS($P$5:P151),$AD$2:$AD$422,0)))</f>
      </c>
      <c r="V151">
        <f>IF($P151="","",INDEX($M$2:$M$422,MATCH(ROWS($P$5:P151),$AD$2:$AD$422,0)))</f>
      </c>
      <c r="AD151">
        <f>IF(AND(LEN($Q$2)&gt;=3,ISNUMBER(SEARCH($Q$2,$B151))),MAX($AD$1:AD150)+1,"")</f>
      </c>
    </row>
    <row r="152" ht="14.4" customHeight="1" spans="1:30" x14ac:dyDescent="0.25">
      <c r="A152" s="16" t="s">
        <v>932</v>
      </c>
      <c r="B152" s="16" t="s">
        <v>165</v>
      </c>
      <c r="C152" s="16" t="s">
        <v>933</v>
      </c>
      <c r="D152" s="16" t="s">
        <v>825</v>
      </c>
      <c r="E152" s="16" t="s">
        <v>150</v>
      </c>
      <c r="F152" s="16" t="s">
        <v>150</v>
      </c>
      <c r="G152" s="17">
        <f t="shared" si="10"/>
        <v>260000</v>
      </c>
      <c r="H152" s="18">
        <v>260000</v>
      </c>
      <c r="I152" s="19">
        <v>2</v>
      </c>
      <c r="J152" s="18">
        <f t="shared" si="11"/>
        <v>270000</v>
      </c>
      <c r="K152" s="18" t="s">
        <v>477</v>
      </c>
      <c r="L152" s="16" t="str">
        <f t="shared" si="12"/>
        <v>فعال</v>
      </c>
      <c r="M152" s="16">
        <v>144</v>
      </c>
      <c r="N152" s="16" t="s">
        <v>932</v>
      </c>
      <c r="O152" t="s">
        <v>934</v>
      </c>
      <c r="P152">
        <f>IFERROR(INDEX($A$2:$A$422,MATCH(ROWS($P$5:P152),$AD$2:$AD$422,0)),"")</f>
      </c>
      <c r="Q152">
        <f>IF($P152="","",INDEX($B$2:$B$422,MATCH(ROWS($P$5:P152),$AD$2:$AD$422,0)))</f>
      </c>
      <c r="R152">
        <f>IF($P152="","",INDEX($C$2:$C$422,MATCH(ROWS($P$5:P152),$AD$2:$AD$422,0)))</f>
      </c>
      <c r="S152">
        <f>IF($P152="","",INDEX($E$2:$E$422,MATCH(ROWS($P$5:P152),$AD$2:$AD$422,0)))</f>
      </c>
      <c r="T152" s="22">
        <f>IF($P152="","",IFERROR(IF(OR(INDEX($H$2:$H$422,MATCH(ROWS($P$5:P152),$AD$2:$AD$422,0))="",INDEX($H$2:$H$422,MATCH(ROWS($P$5:P152),$AD$2:$AD$422,0))="؟",INDEX($H$2:$H$422,MATCH(ROWS($P$5:P152),$AD$2:$AD$422,0))="نامشخص"),"",INDEX($H$2:$H$422,MATCH(ROWS($P$5:P152),$AD$2:$AD$422,0))),""))</f>
      </c>
      <c r="U152">
        <f>IF($P152="","",INDEX($L$2:$L$422,MATCH(ROWS($P$5:P152),$AD$2:$AD$422,0)))</f>
      </c>
      <c r="V152">
        <f>IF($P152="","",INDEX($M$2:$M$422,MATCH(ROWS($P$5:P152),$AD$2:$AD$422,0)))</f>
      </c>
      <c r="AD152">
        <f>IF(AND(LEN($Q$2)&gt;=3,ISNUMBER(SEARCH($Q$2,$B152))),MAX($AD$1:AD151)+1,"")</f>
      </c>
    </row>
    <row r="153" ht="14.4" customHeight="1" spans="1:30" x14ac:dyDescent="0.25">
      <c r="A153" s="16" t="s">
        <v>935</v>
      </c>
      <c r="B153" s="16" t="s">
        <v>167</v>
      </c>
      <c r="C153" s="16" t="s">
        <v>936</v>
      </c>
      <c r="D153" s="16" t="s">
        <v>825</v>
      </c>
      <c r="E153" s="16" t="s">
        <v>149</v>
      </c>
      <c r="F153" s="16" t="s">
        <v>149</v>
      </c>
      <c r="G153" s="17">
        <f t="shared" si="10"/>
        <v>65000</v>
      </c>
      <c r="H153" s="18">
        <v>65000</v>
      </c>
      <c r="I153" s="19">
        <v>1</v>
      </c>
      <c r="J153" s="18">
        <f t="shared" si="11"/>
        <v>70000</v>
      </c>
      <c r="K153" s="18" t="s">
        <v>477</v>
      </c>
      <c r="L153" s="16" t="str">
        <f t="shared" si="12"/>
        <v>فعال</v>
      </c>
      <c r="M153" s="16">
        <v>146</v>
      </c>
      <c r="N153" s="16" t="s">
        <v>935</v>
      </c>
      <c r="O153" t="s">
        <v>937</v>
      </c>
      <c r="P153">
        <f>IFERROR(INDEX($A$2:$A$422,MATCH(ROWS($P$5:P153),$AD$2:$AD$422,0)),"")</f>
      </c>
      <c r="Q153">
        <f>IF($P153="","",INDEX($B$2:$B$422,MATCH(ROWS($P$5:P153),$AD$2:$AD$422,0)))</f>
      </c>
      <c r="R153">
        <f>IF($P153="","",INDEX($C$2:$C$422,MATCH(ROWS($P$5:P153),$AD$2:$AD$422,0)))</f>
      </c>
      <c r="S153">
        <f>IF($P153="","",INDEX($E$2:$E$422,MATCH(ROWS($P$5:P153),$AD$2:$AD$422,0)))</f>
      </c>
      <c r="T153" s="22">
        <f>IF($P153="","",IFERROR(IF(OR(INDEX($H$2:$H$422,MATCH(ROWS($P$5:P153),$AD$2:$AD$422,0))="",INDEX($H$2:$H$422,MATCH(ROWS($P$5:P153),$AD$2:$AD$422,0))="؟",INDEX($H$2:$H$422,MATCH(ROWS($P$5:P153),$AD$2:$AD$422,0))="نامشخص"),"",INDEX($H$2:$H$422,MATCH(ROWS($P$5:P153),$AD$2:$AD$422,0))),""))</f>
      </c>
      <c r="U153">
        <f>IF($P153="","",INDEX($L$2:$L$422,MATCH(ROWS($P$5:P153),$AD$2:$AD$422,0)))</f>
      </c>
      <c r="V153">
        <f>IF($P153="","",INDEX($M$2:$M$422,MATCH(ROWS($P$5:P153),$AD$2:$AD$422,0)))</f>
      </c>
      <c r="AD153">
        <f>IF(AND(LEN($Q$2)&gt;=3,ISNUMBER(SEARCH($Q$2,$B153))),MAX($AD$1:AD152)+1,"")</f>
      </c>
    </row>
    <row r="154" ht="14.4" customHeight="1" spans="1:30" x14ac:dyDescent="0.25">
      <c r="A154" s="16" t="s">
        <v>938</v>
      </c>
      <c r="B154" s="16" t="s">
        <v>167</v>
      </c>
      <c r="C154" s="16" t="s">
        <v>939</v>
      </c>
      <c r="D154" s="16" t="s">
        <v>825</v>
      </c>
      <c r="E154" s="16" t="s">
        <v>150</v>
      </c>
      <c r="F154" s="16" t="s">
        <v>150</v>
      </c>
      <c r="G154" s="17">
        <f t="shared" si="10"/>
        <v>120000</v>
      </c>
      <c r="H154" s="18">
        <v>120000</v>
      </c>
      <c r="I154" s="19">
        <v>1</v>
      </c>
      <c r="J154" s="18">
        <f t="shared" si="11"/>
        <v>130000</v>
      </c>
      <c r="K154" s="18" t="s">
        <v>477</v>
      </c>
      <c r="L154" s="16" t="str">
        <f t="shared" si="12"/>
        <v>فعال</v>
      </c>
      <c r="M154" s="16">
        <v>146</v>
      </c>
      <c r="N154" s="16" t="s">
        <v>938</v>
      </c>
      <c r="O154" t="s">
        <v>940</v>
      </c>
      <c r="P154">
        <f>IFERROR(INDEX($A$2:$A$422,MATCH(ROWS($P$5:P154),$AD$2:$AD$422,0)),"")</f>
      </c>
      <c r="Q154">
        <f>IF($P154="","",INDEX($B$2:$B$422,MATCH(ROWS($P$5:P154),$AD$2:$AD$422,0)))</f>
      </c>
      <c r="R154">
        <f>IF($P154="","",INDEX($C$2:$C$422,MATCH(ROWS($P$5:P154),$AD$2:$AD$422,0)))</f>
      </c>
      <c r="S154">
        <f>IF($P154="","",INDEX($E$2:$E$422,MATCH(ROWS($P$5:P154),$AD$2:$AD$422,0)))</f>
      </c>
      <c r="T154" s="22">
        <f>IF($P154="","",IFERROR(IF(OR(INDEX($H$2:$H$422,MATCH(ROWS($P$5:P154),$AD$2:$AD$422,0))="",INDEX($H$2:$H$422,MATCH(ROWS($P$5:P154),$AD$2:$AD$422,0))="؟",INDEX($H$2:$H$422,MATCH(ROWS($P$5:P154),$AD$2:$AD$422,0))="نامشخص"),"",INDEX($H$2:$H$422,MATCH(ROWS($P$5:P154),$AD$2:$AD$422,0))),""))</f>
      </c>
      <c r="U154">
        <f>IF($P154="","",INDEX($L$2:$L$422,MATCH(ROWS($P$5:P154),$AD$2:$AD$422,0)))</f>
      </c>
      <c r="V154">
        <f>IF($P154="","",INDEX($M$2:$M$422,MATCH(ROWS($P$5:P154),$AD$2:$AD$422,0)))</f>
      </c>
      <c r="AD154">
        <f>IF(AND(LEN($Q$2)&gt;=3,ISNUMBER(SEARCH($Q$2,$B154))),MAX($AD$1:AD153)+1,"")</f>
      </c>
    </row>
    <row r="155" ht="14.4" customHeight="1" spans="1:30" x14ac:dyDescent="0.25">
      <c r="A155" s="16" t="s">
        <v>941</v>
      </c>
      <c r="B155" s="16" t="s">
        <v>163</v>
      </c>
      <c r="C155" s="16" t="s">
        <v>942</v>
      </c>
      <c r="D155" s="16" t="s">
        <v>825</v>
      </c>
      <c r="E155" s="16" t="s">
        <v>9</v>
      </c>
      <c r="F155" s="16" t="s">
        <v>9</v>
      </c>
      <c r="G155" s="17">
        <f t="shared" si="10"/>
        <v>350000</v>
      </c>
      <c r="H155" s="18">
        <v>350000</v>
      </c>
      <c r="I155" s="23">
        <v>2</v>
      </c>
      <c r="J155" s="18">
        <f>IF(OR(H155="",H155="؟"),"",CEILING(H155*(1+I155/100),10000))</f>
        <v>360000</v>
      </c>
      <c r="K155" s="18" t="s">
        <v>477</v>
      </c>
      <c r="L155" s="16" t="str">
        <f>IF(OR($H155="",$H155="؟"),"نیاز به استعلام","فعال")</f>
        <v>فعال</v>
      </c>
      <c r="M155" s="16">
        <v>141</v>
      </c>
      <c r="N155" s="16" t="s">
        <v>941</v>
      </c>
      <c r="O155" t="s">
        <v>943</v>
      </c>
      <c r="P155">
        <f>IFERROR(INDEX($A$2:$A$422,MATCH(ROWS($P$5:P155),$AD$2:$AD$422,0)),"")</f>
      </c>
      <c r="Q155">
        <f>IF($P155="","",INDEX($B$2:$B$422,MATCH(ROWS($P$5:P155),$AD$2:$AD$422,0)))</f>
      </c>
      <c r="R155">
        <f>IF($P155="","",INDEX($C$2:$C$422,MATCH(ROWS($P$5:P155),$AD$2:$AD$422,0)))</f>
      </c>
      <c r="S155">
        <f>IF($P155="","",INDEX($E$2:$E$422,MATCH(ROWS($P$5:P155),$AD$2:$AD$422,0)))</f>
      </c>
      <c r="T155" s="22">
        <f>IF($P155="","",IFERROR(IF(OR(INDEX($H$2:$H$422,MATCH(ROWS($P$5:P155),$AD$2:$AD$422,0))="",INDEX($H$2:$H$422,MATCH(ROWS($P$5:P155),$AD$2:$AD$422,0))="؟",INDEX($H$2:$H$422,MATCH(ROWS($P$5:P155),$AD$2:$AD$422,0))="نامشخص"),"",INDEX($H$2:$H$422,MATCH(ROWS($P$5:P155),$AD$2:$AD$422,0))),""))</f>
      </c>
      <c r="U155">
        <f>IF($P155="","",INDEX($L$2:$L$422,MATCH(ROWS($P$5:P155),$AD$2:$AD$422,0)))</f>
      </c>
      <c r="V155">
        <f>IF($P155="","",INDEX($M$2:$M$422,MATCH(ROWS($P$5:P155),$AD$2:$AD$422,0)))</f>
      </c>
      <c r="AD155">
        <f>IF(AND(LEN($Q$2)&gt;=3,ISNUMBER(SEARCH($Q$2,$B155))),MAX($AD$1:AD154)+1,"")</f>
      </c>
    </row>
    <row r="156" ht="14.4" customHeight="1" spans="1:30" x14ac:dyDescent="0.25">
      <c r="A156" s="16" t="s">
        <v>944</v>
      </c>
      <c r="B156" s="16" t="s">
        <v>169</v>
      </c>
      <c r="C156" s="16" t="s">
        <v>945</v>
      </c>
      <c r="D156" s="16" t="s">
        <v>825</v>
      </c>
      <c r="E156" s="16" t="s">
        <v>149</v>
      </c>
      <c r="F156" s="16" t="s">
        <v>149</v>
      </c>
      <c r="G156" s="17">
        <f t="shared" si="10"/>
        <v>90000</v>
      </c>
      <c r="H156" s="18">
        <v>90000</v>
      </c>
      <c r="I156" s="19">
        <v>2</v>
      </c>
      <c r="J156" s="18">
        <f t="shared" ref="J156:J219" si="13">IF(OR(H156="",H156="؟",H156="نامشخص"),"",CEILING(H156*(1+I156/100),10000))</f>
        <v>100000</v>
      </c>
      <c r="K156" s="18" t="s">
        <v>477</v>
      </c>
      <c r="L156" s="16" t="str">
        <f t="shared" ref="L156:L219" si="14">IF(OR($H156="",$H156="؟",$H156="نامشخص"),"نیاز به استعلام","فعال")</f>
        <v>فعال</v>
      </c>
      <c r="M156" s="16">
        <v>148</v>
      </c>
      <c r="N156" s="16" t="s">
        <v>944</v>
      </c>
      <c r="O156" t="s">
        <v>946</v>
      </c>
      <c r="P156">
        <f>IFERROR(INDEX($A$2:$A$422,MATCH(ROWS($P$5:P156),$AD$2:$AD$422,0)),"")</f>
      </c>
      <c r="Q156">
        <f>IF($P156="","",INDEX($B$2:$B$422,MATCH(ROWS($P$5:P156),$AD$2:$AD$422,0)))</f>
      </c>
      <c r="R156">
        <f>IF($P156="","",INDEX($C$2:$C$422,MATCH(ROWS($P$5:P156),$AD$2:$AD$422,0)))</f>
      </c>
      <c r="S156">
        <f>IF($P156="","",INDEX($E$2:$E$422,MATCH(ROWS($P$5:P156),$AD$2:$AD$422,0)))</f>
      </c>
      <c r="T156" s="22">
        <f>IF($P156="","",IFERROR(IF(OR(INDEX($H$2:$H$422,MATCH(ROWS($P$5:P156),$AD$2:$AD$422,0))="",INDEX($H$2:$H$422,MATCH(ROWS($P$5:P156),$AD$2:$AD$422,0))="؟",INDEX($H$2:$H$422,MATCH(ROWS($P$5:P156),$AD$2:$AD$422,0))="نامشخص"),"",INDEX($H$2:$H$422,MATCH(ROWS($P$5:P156),$AD$2:$AD$422,0))),""))</f>
      </c>
      <c r="U156">
        <f>IF($P156="","",INDEX($L$2:$L$422,MATCH(ROWS($P$5:P156),$AD$2:$AD$422,0)))</f>
      </c>
      <c r="V156">
        <f>IF($P156="","",INDEX($M$2:$M$422,MATCH(ROWS($P$5:P156),$AD$2:$AD$422,0)))</f>
      </c>
      <c r="AD156">
        <f>IF(AND(LEN($Q$2)&gt;=3,ISNUMBER(SEARCH($Q$2,$B156))),MAX($AD$1:AD155)+1,"")</f>
      </c>
    </row>
    <row r="157" ht="14.4" customHeight="1" spans="1:30" x14ac:dyDescent="0.25">
      <c r="A157" s="16" t="s">
        <v>947</v>
      </c>
      <c r="B157" s="16" t="s">
        <v>169</v>
      </c>
      <c r="C157" s="16" t="s">
        <v>948</v>
      </c>
      <c r="D157" s="16" t="s">
        <v>825</v>
      </c>
      <c r="E157" s="16" t="s">
        <v>150</v>
      </c>
      <c r="F157" s="16" t="s">
        <v>150</v>
      </c>
      <c r="G157" s="17">
        <f t="shared" si="10"/>
        <v>170000</v>
      </c>
      <c r="H157" s="18">
        <v>170000</v>
      </c>
      <c r="I157" s="19">
        <v>3</v>
      </c>
      <c r="J157" s="18">
        <f t="shared" si="13"/>
        <v>180000</v>
      </c>
      <c r="K157" s="18" t="s">
        <v>477</v>
      </c>
      <c r="L157" s="16" t="str">
        <f t="shared" si="14"/>
        <v>فعال</v>
      </c>
      <c r="M157" s="16">
        <v>148</v>
      </c>
      <c r="N157" s="16" t="s">
        <v>947</v>
      </c>
      <c r="O157" t="s">
        <v>949</v>
      </c>
      <c r="P157">
        <f>IFERROR(INDEX($A$2:$A$422,MATCH(ROWS($P$5:P157),$AD$2:$AD$422,0)),"")</f>
      </c>
      <c r="Q157">
        <f>IF($P157="","",INDEX($B$2:$B$422,MATCH(ROWS($P$5:P157),$AD$2:$AD$422,0)))</f>
      </c>
      <c r="R157">
        <f>IF($P157="","",INDEX($C$2:$C$422,MATCH(ROWS($P$5:P157),$AD$2:$AD$422,0)))</f>
      </c>
      <c r="S157">
        <f>IF($P157="","",INDEX($E$2:$E$422,MATCH(ROWS($P$5:P157),$AD$2:$AD$422,0)))</f>
      </c>
      <c r="T157" s="22">
        <f>IF($P157="","",IFERROR(IF(OR(INDEX($H$2:$H$422,MATCH(ROWS($P$5:P157),$AD$2:$AD$422,0))="",INDEX($H$2:$H$422,MATCH(ROWS($P$5:P157),$AD$2:$AD$422,0))="؟",INDEX($H$2:$H$422,MATCH(ROWS($P$5:P157),$AD$2:$AD$422,0))="نامشخص"),"",INDEX($H$2:$H$422,MATCH(ROWS($P$5:P157),$AD$2:$AD$422,0))),""))</f>
      </c>
      <c r="U157">
        <f>IF($P157="","",INDEX($L$2:$L$422,MATCH(ROWS($P$5:P157),$AD$2:$AD$422,0)))</f>
      </c>
      <c r="V157">
        <f>IF($P157="","",INDEX($M$2:$M$422,MATCH(ROWS($P$5:P157),$AD$2:$AD$422,0)))</f>
      </c>
      <c r="AD157">
        <f>IF(AND(LEN($Q$2)&gt;=3,ISNUMBER(SEARCH($Q$2,$B157))),MAX($AD$1:AD156)+1,"")</f>
      </c>
    </row>
    <row r="158" ht="14.4" customHeight="1" spans="1:30" x14ac:dyDescent="0.25">
      <c r="A158" s="16" t="s">
        <v>950</v>
      </c>
      <c r="B158" s="16" t="s">
        <v>170</v>
      </c>
      <c r="C158" s="16" t="s">
        <v>951</v>
      </c>
      <c r="D158" s="16" t="s">
        <v>825</v>
      </c>
      <c r="E158" s="16" t="s">
        <v>149</v>
      </c>
      <c r="F158" s="16" t="s">
        <v>149</v>
      </c>
      <c r="G158" s="17">
        <f t="shared" si="10"/>
        <v>100000</v>
      </c>
      <c r="H158" s="18">
        <v>100000</v>
      </c>
      <c r="I158" s="19">
        <v>3</v>
      </c>
      <c r="J158" s="18">
        <f t="shared" si="13"/>
        <v>110000</v>
      </c>
      <c r="K158" s="18" t="s">
        <v>477</v>
      </c>
      <c r="L158" s="16" t="str">
        <f t="shared" si="14"/>
        <v>فعال</v>
      </c>
      <c r="M158" s="16">
        <v>149</v>
      </c>
      <c r="N158" s="16" t="s">
        <v>950</v>
      </c>
      <c r="O158" t="s">
        <v>952</v>
      </c>
      <c r="P158">
        <f>IFERROR(INDEX($A$2:$A$422,MATCH(ROWS($P$5:P158),$AD$2:$AD$422,0)),"")</f>
      </c>
      <c r="Q158">
        <f>IF($P158="","",INDEX($B$2:$B$422,MATCH(ROWS($P$5:P158),$AD$2:$AD$422,0)))</f>
      </c>
      <c r="R158">
        <f>IF($P158="","",INDEX($C$2:$C$422,MATCH(ROWS($P$5:P158),$AD$2:$AD$422,0)))</f>
      </c>
      <c r="S158">
        <f>IF($P158="","",INDEX($E$2:$E$422,MATCH(ROWS($P$5:P158),$AD$2:$AD$422,0)))</f>
      </c>
      <c r="T158" s="22">
        <f>IF($P158="","",IFERROR(IF(OR(INDEX($H$2:$H$422,MATCH(ROWS($P$5:P158),$AD$2:$AD$422,0))="",INDEX($H$2:$H$422,MATCH(ROWS($P$5:P158),$AD$2:$AD$422,0))="؟",INDEX($H$2:$H$422,MATCH(ROWS($P$5:P158),$AD$2:$AD$422,0))="نامشخص"),"",INDEX($H$2:$H$422,MATCH(ROWS($P$5:P158),$AD$2:$AD$422,0))),""))</f>
      </c>
      <c r="U158">
        <f>IF($P158="","",INDEX($L$2:$L$422,MATCH(ROWS($P$5:P158),$AD$2:$AD$422,0)))</f>
      </c>
      <c r="V158">
        <f>IF($P158="","",INDEX($M$2:$M$422,MATCH(ROWS($P$5:P158),$AD$2:$AD$422,0)))</f>
      </c>
      <c r="AD158">
        <f>IF(AND(LEN($Q$2)&gt;=3,ISNUMBER(SEARCH($Q$2,$B158))),MAX($AD$1:AD157)+1,"")</f>
      </c>
    </row>
    <row r="159" ht="14.4" customHeight="1" spans="1:30" x14ac:dyDescent="0.25">
      <c r="A159" s="16" t="s">
        <v>953</v>
      </c>
      <c r="B159" s="16" t="s">
        <v>170</v>
      </c>
      <c r="C159" s="16" t="s">
        <v>954</v>
      </c>
      <c r="D159" s="16" t="s">
        <v>825</v>
      </c>
      <c r="E159" s="16" t="s">
        <v>150</v>
      </c>
      <c r="F159" s="16" t="s">
        <v>150</v>
      </c>
      <c r="G159" s="17">
        <f t="shared" si="10"/>
        <v>190000</v>
      </c>
      <c r="H159" s="18">
        <v>190000</v>
      </c>
      <c r="I159" s="19">
        <v>2</v>
      </c>
      <c r="J159" s="18">
        <f t="shared" si="13"/>
        <v>200000</v>
      </c>
      <c r="K159" s="18" t="s">
        <v>477</v>
      </c>
      <c r="L159" s="16" t="str">
        <f t="shared" si="14"/>
        <v>فعال</v>
      </c>
      <c r="M159" s="16">
        <v>149</v>
      </c>
      <c r="N159" s="16" t="s">
        <v>953</v>
      </c>
      <c r="O159" t="s">
        <v>955</v>
      </c>
      <c r="P159">
        <f>IFERROR(INDEX($A$2:$A$422,MATCH(ROWS($P$5:P159),$AD$2:$AD$422,0)),"")</f>
      </c>
      <c r="Q159">
        <f>IF($P159="","",INDEX($B$2:$B$422,MATCH(ROWS($P$5:P159),$AD$2:$AD$422,0)))</f>
      </c>
      <c r="R159">
        <f>IF($P159="","",INDEX($C$2:$C$422,MATCH(ROWS($P$5:P159),$AD$2:$AD$422,0)))</f>
      </c>
      <c r="S159">
        <f>IF($P159="","",INDEX($E$2:$E$422,MATCH(ROWS($P$5:P159),$AD$2:$AD$422,0)))</f>
      </c>
      <c r="T159" s="22">
        <f>IF($P159="","",IFERROR(IF(OR(INDEX($H$2:$H$422,MATCH(ROWS($P$5:P159),$AD$2:$AD$422,0))="",INDEX($H$2:$H$422,MATCH(ROWS($P$5:P159),$AD$2:$AD$422,0))="؟",INDEX($H$2:$H$422,MATCH(ROWS($P$5:P159),$AD$2:$AD$422,0))="نامشخص"),"",INDEX($H$2:$H$422,MATCH(ROWS($P$5:P159),$AD$2:$AD$422,0))),""))</f>
      </c>
      <c r="U159">
        <f>IF($P159="","",INDEX($L$2:$L$422,MATCH(ROWS($P$5:P159),$AD$2:$AD$422,0)))</f>
      </c>
      <c r="V159">
        <f>IF($P159="","",INDEX($M$2:$M$422,MATCH(ROWS($P$5:P159),$AD$2:$AD$422,0)))</f>
      </c>
      <c r="AD159">
        <f>IF(AND(LEN($Q$2)&gt;=3,ISNUMBER(SEARCH($Q$2,$B159))),MAX($AD$1:AD158)+1,"")</f>
      </c>
    </row>
    <row r="160" ht="14.4" customHeight="1" spans="1:30" x14ac:dyDescent="0.25">
      <c r="A160" s="16" t="s">
        <v>956</v>
      </c>
      <c r="B160" s="16" t="s">
        <v>171</v>
      </c>
      <c r="C160" s="16" t="s">
        <v>957</v>
      </c>
      <c r="D160" s="16" t="s">
        <v>825</v>
      </c>
      <c r="E160" s="16" t="s">
        <v>149</v>
      </c>
      <c r="F160" s="16" t="s">
        <v>149</v>
      </c>
      <c r="G160" s="17">
        <f t="shared" si="10"/>
        <v>65000</v>
      </c>
      <c r="H160" s="18">
        <v>65000</v>
      </c>
      <c r="I160" s="19">
        <v>3</v>
      </c>
      <c r="J160" s="18">
        <f t="shared" si="13"/>
        <v>70000</v>
      </c>
      <c r="K160" s="18" t="s">
        <v>477</v>
      </c>
      <c r="L160" s="16" t="str">
        <f t="shared" si="14"/>
        <v>فعال</v>
      </c>
      <c r="M160" s="16">
        <v>150</v>
      </c>
      <c r="N160" s="16" t="s">
        <v>956</v>
      </c>
      <c r="O160" t="s">
        <v>958</v>
      </c>
      <c r="P160">
        <f>IFERROR(INDEX($A$2:$A$422,MATCH(ROWS($P$5:P160),$AD$2:$AD$422,0)),"")</f>
      </c>
      <c r="Q160">
        <f>IF($P160="","",INDEX($B$2:$B$422,MATCH(ROWS($P$5:P160),$AD$2:$AD$422,0)))</f>
      </c>
      <c r="R160">
        <f>IF($P160="","",INDEX($C$2:$C$422,MATCH(ROWS($P$5:P160),$AD$2:$AD$422,0)))</f>
      </c>
      <c r="S160">
        <f>IF($P160="","",INDEX($E$2:$E$422,MATCH(ROWS($P$5:P160),$AD$2:$AD$422,0)))</f>
      </c>
      <c r="T160" s="22">
        <f>IF($P160="","",IFERROR(IF(OR(INDEX($H$2:$H$422,MATCH(ROWS($P$5:P160),$AD$2:$AD$422,0))="",INDEX($H$2:$H$422,MATCH(ROWS($P$5:P160),$AD$2:$AD$422,0))="؟",INDEX($H$2:$H$422,MATCH(ROWS($P$5:P160),$AD$2:$AD$422,0))="نامشخص"),"",INDEX($H$2:$H$422,MATCH(ROWS($P$5:P160),$AD$2:$AD$422,0))),""))</f>
      </c>
      <c r="U160">
        <f>IF($P160="","",INDEX($L$2:$L$422,MATCH(ROWS($P$5:P160),$AD$2:$AD$422,0)))</f>
      </c>
      <c r="V160">
        <f>IF($P160="","",INDEX($M$2:$M$422,MATCH(ROWS($P$5:P160),$AD$2:$AD$422,0)))</f>
      </c>
      <c r="AD160">
        <f>IF(AND(LEN($Q$2)&gt;=3,ISNUMBER(SEARCH($Q$2,$B160))),MAX($AD$1:AD159)+1,"")</f>
      </c>
    </row>
    <row r="161" ht="14.4" customHeight="1" spans="1:30" x14ac:dyDescent="0.25">
      <c r="A161" s="16" t="s">
        <v>959</v>
      </c>
      <c r="B161" s="16" t="s">
        <v>171</v>
      </c>
      <c r="C161" s="16" t="s">
        <v>960</v>
      </c>
      <c r="D161" s="16" t="s">
        <v>825</v>
      </c>
      <c r="E161" s="16" t="s">
        <v>150</v>
      </c>
      <c r="F161" s="16" t="s">
        <v>150</v>
      </c>
      <c r="G161" s="17">
        <f t="shared" si="10"/>
        <v>120000</v>
      </c>
      <c r="H161" s="18">
        <v>120000</v>
      </c>
      <c r="I161" s="19">
        <v>3</v>
      </c>
      <c r="J161" s="18">
        <f t="shared" si="13"/>
        <v>130000</v>
      </c>
      <c r="K161" s="18" t="s">
        <v>477</v>
      </c>
      <c r="L161" s="16" t="str">
        <f t="shared" si="14"/>
        <v>فعال</v>
      </c>
      <c r="M161" s="16">
        <v>150</v>
      </c>
      <c r="N161" s="16" t="s">
        <v>959</v>
      </c>
      <c r="O161" t="s">
        <v>961</v>
      </c>
      <c r="P161">
        <f>IFERROR(INDEX($A$2:$A$422,MATCH(ROWS($P$5:P161),$AD$2:$AD$422,0)),"")</f>
      </c>
      <c r="Q161">
        <f>IF($P161="","",INDEX($B$2:$B$422,MATCH(ROWS($P$5:P161),$AD$2:$AD$422,0)))</f>
      </c>
      <c r="R161">
        <f>IF($P161="","",INDEX($C$2:$C$422,MATCH(ROWS($P$5:P161),$AD$2:$AD$422,0)))</f>
      </c>
      <c r="S161">
        <f>IF($P161="","",INDEX($E$2:$E$422,MATCH(ROWS($P$5:P161),$AD$2:$AD$422,0)))</f>
      </c>
      <c r="T161" s="22">
        <f>IF($P161="","",IFERROR(IF(OR(INDEX($H$2:$H$422,MATCH(ROWS($P$5:P161),$AD$2:$AD$422,0))="",INDEX($H$2:$H$422,MATCH(ROWS($P$5:P161),$AD$2:$AD$422,0))="؟",INDEX($H$2:$H$422,MATCH(ROWS($P$5:P161),$AD$2:$AD$422,0))="نامشخص"),"",INDEX($H$2:$H$422,MATCH(ROWS($P$5:P161),$AD$2:$AD$422,0))),""))</f>
      </c>
      <c r="U161">
        <f>IF($P161="","",INDEX($L$2:$L$422,MATCH(ROWS($P$5:P161),$AD$2:$AD$422,0)))</f>
      </c>
      <c r="V161">
        <f>IF($P161="","",INDEX($M$2:$M$422,MATCH(ROWS($P$5:P161),$AD$2:$AD$422,0)))</f>
      </c>
      <c r="AD161">
        <f>IF(AND(LEN($Q$2)&gt;=3,ISNUMBER(SEARCH($Q$2,$B161))),MAX($AD$1:AD160)+1,"")</f>
      </c>
    </row>
    <row r="162" ht="14.4" customHeight="1" spans="1:30" x14ac:dyDescent="0.25">
      <c r="A162" s="16" t="s">
        <v>962</v>
      </c>
      <c r="B162" s="16" t="s">
        <v>172</v>
      </c>
      <c r="C162" s="16" t="s">
        <v>963</v>
      </c>
      <c r="D162" s="16" t="s">
        <v>825</v>
      </c>
      <c r="E162" s="16" t="s">
        <v>149</v>
      </c>
      <c r="F162" s="16" t="s">
        <v>149</v>
      </c>
      <c r="G162" s="17">
        <f t="shared" si="10"/>
        <v>115000</v>
      </c>
      <c r="H162" s="18">
        <v>115000</v>
      </c>
      <c r="I162" s="19">
        <v>3</v>
      </c>
      <c r="J162" s="18">
        <f t="shared" si="13"/>
        <v>120000</v>
      </c>
      <c r="K162" s="18" t="s">
        <v>477</v>
      </c>
      <c r="L162" s="16" t="str">
        <f t="shared" si="14"/>
        <v>فعال</v>
      </c>
      <c r="M162" s="16">
        <v>151</v>
      </c>
      <c r="N162" s="16" t="s">
        <v>962</v>
      </c>
      <c r="O162" t="s">
        <v>964</v>
      </c>
      <c r="P162">
        <f>IFERROR(INDEX($A$2:$A$422,MATCH(ROWS($P$5:P162),$AD$2:$AD$422,0)),"")</f>
      </c>
      <c r="Q162">
        <f>IF($P162="","",INDEX($B$2:$B$422,MATCH(ROWS($P$5:P162),$AD$2:$AD$422,0)))</f>
      </c>
      <c r="R162">
        <f>IF($P162="","",INDEX($C$2:$C$422,MATCH(ROWS($P$5:P162),$AD$2:$AD$422,0)))</f>
      </c>
      <c r="S162">
        <f>IF($P162="","",INDEX($E$2:$E$422,MATCH(ROWS($P$5:P162),$AD$2:$AD$422,0)))</f>
      </c>
      <c r="T162" s="22">
        <f>IF($P162="","",IFERROR(IF(OR(INDEX($H$2:$H$422,MATCH(ROWS($P$5:P162),$AD$2:$AD$422,0))="",INDEX($H$2:$H$422,MATCH(ROWS($P$5:P162),$AD$2:$AD$422,0))="؟",INDEX($H$2:$H$422,MATCH(ROWS($P$5:P162),$AD$2:$AD$422,0))="نامشخص"),"",INDEX($H$2:$H$422,MATCH(ROWS($P$5:P162),$AD$2:$AD$422,0))),""))</f>
      </c>
      <c r="U162">
        <f>IF($P162="","",INDEX($L$2:$L$422,MATCH(ROWS($P$5:P162),$AD$2:$AD$422,0)))</f>
      </c>
      <c r="V162">
        <f>IF($P162="","",INDEX($M$2:$M$422,MATCH(ROWS($P$5:P162),$AD$2:$AD$422,0)))</f>
      </c>
      <c r="AD162">
        <f>IF(AND(LEN($Q$2)&gt;=3,ISNUMBER(SEARCH($Q$2,$B162))),MAX($AD$1:AD161)+1,"")</f>
      </c>
    </row>
    <row r="163" ht="14.4" customHeight="1" spans="1:30" x14ac:dyDescent="0.25">
      <c r="A163" s="16" t="s">
        <v>965</v>
      </c>
      <c r="B163" s="16" t="s">
        <v>172</v>
      </c>
      <c r="C163" s="16" t="s">
        <v>966</v>
      </c>
      <c r="D163" s="16" t="s">
        <v>825</v>
      </c>
      <c r="E163" s="16" t="s">
        <v>150</v>
      </c>
      <c r="F163" s="16" t="s">
        <v>150</v>
      </c>
      <c r="G163" s="17">
        <f t="shared" si="10"/>
        <v>220000</v>
      </c>
      <c r="H163" s="18">
        <v>220000</v>
      </c>
      <c r="I163" s="19">
        <v>2</v>
      </c>
      <c r="J163" s="18">
        <f t="shared" si="13"/>
        <v>230000</v>
      </c>
      <c r="K163" s="18" t="s">
        <v>477</v>
      </c>
      <c r="L163" s="16" t="str">
        <f t="shared" si="14"/>
        <v>فعال</v>
      </c>
      <c r="M163" s="16">
        <v>151</v>
      </c>
      <c r="N163" s="16" t="s">
        <v>965</v>
      </c>
      <c r="O163" t="s">
        <v>967</v>
      </c>
      <c r="P163">
        <f>IFERROR(INDEX($A$2:$A$422,MATCH(ROWS($P$5:P163),$AD$2:$AD$422,0)),"")</f>
      </c>
      <c r="Q163">
        <f>IF($P163="","",INDEX($B$2:$B$422,MATCH(ROWS($P$5:P163),$AD$2:$AD$422,0)))</f>
      </c>
      <c r="R163">
        <f>IF($P163="","",INDEX($C$2:$C$422,MATCH(ROWS($P$5:P163),$AD$2:$AD$422,0)))</f>
      </c>
      <c r="S163">
        <f>IF($P163="","",INDEX($E$2:$E$422,MATCH(ROWS($P$5:P163),$AD$2:$AD$422,0)))</f>
      </c>
      <c r="T163" s="22">
        <f>IF($P163="","",IFERROR(IF(OR(INDEX($H$2:$H$422,MATCH(ROWS($P$5:P163),$AD$2:$AD$422,0))="",INDEX($H$2:$H$422,MATCH(ROWS($P$5:P163),$AD$2:$AD$422,0))="؟",INDEX($H$2:$H$422,MATCH(ROWS($P$5:P163),$AD$2:$AD$422,0))="نامشخص"),"",INDEX($H$2:$H$422,MATCH(ROWS($P$5:P163),$AD$2:$AD$422,0))),""))</f>
      </c>
      <c r="U163">
        <f>IF($P163="","",INDEX($L$2:$L$422,MATCH(ROWS($P$5:P163),$AD$2:$AD$422,0)))</f>
      </c>
      <c r="V163">
        <f>IF($P163="","",INDEX($M$2:$M$422,MATCH(ROWS($P$5:P163),$AD$2:$AD$422,0)))</f>
      </c>
      <c r="AD163">
        <f>IF(AND(LEN($Q$2)&gt;=3,ISNUMBER(SEARCH($Q$2,$B163))),MAX($AD$1:AD162)+1,"")</f>
      </c>
    </row>
    <row r="164" ht="14.4" customHeight="1" spans="1:30" x14ac:dyDescent="0.25">
      <c r="A164" s="16" t="s">
        <v>968</v>
      </c>
      <c r="B164" s="16" t="s">
        <v>173</v>
      </c>
      <c r="C164" s="16" t="s">
        <v>969</v>
      </c>
      <c r="D164" s="16" t="s">
        <v>825</v>
      </c>
      <c r="E164" s="16" t="s">
        <v>149</v>
      </c>
      <c r="F164" s="16" t="s">
        <v>149</v>
      </c>
      <c r="G164" s="17">
        <f t="shared" si="10"/>
        <v>135000</v>
      </c>
      <c r="H164" s="18">
        <v>135000</v>
      </c>
      <c r="I164" s="19">
        <v>1</v>
      </c>
      <c r="J164" s="18">
        <f t="shared" si="13"/>
        <v>140000</v>
      </c>
      <c r="K164" s="18" t="s">
        <v>477</v>
      </c>
      <c r="L164" s="16" t="str">
        <f t="shared" si="14"/>
        <v>فعال</v>
      </c>
      <c r="M164" s="16">
        <v>152</v>
      </c>
      <c r="N164" s="16" t="s">
        <v>968</v>
      </c>
      <c r="O164" t="s">
        <v>970</v>
      </c>
      <c r="P164">
        <f>IFERROR(INDEX($A$2:$A$422,MATCH(ROWS($P$5:P164),$AD$2:$AD$422,0)),"")</f>
      </c>
      <c r="Q164">
        <f>IF($P164="","",INDEX($B$2:$B$422,MATCH(ROWS($P$5:P164),$AD$2:$AD$422,0)))</f>
      </c>
      <c r="R164">
        <f>IF($P164="","",INDEX($C$2:$C$422,MATCH(ROWS($P$5:P164),$AD$2:$AD$422,0)))</f>
      </c>
      <c r="S164">
        <f>IF($P164="","",INDEX($E$2:$E$422,MATCH(ROWS($P$5:P164),$AD$2:$AD$422,0)))</f>
      </c>
      <c r="T164" s="22">
        <f>IF($P164="","",IFERROR(IF(OR(INDEX($H$2:$H$422,MATCH(ROWS($P$5:P164),$AD$2:$AD$422,0))="",INDEX($H$2:$H$422,MATCH(ROWS($P$5:P164),$AD$2:$AD$422,0))="؟",INDEX($H$2:$H$422,MATCH(ROWS($P$5:P164),$AD$2:$AD$422,0))="نامشخص"),"",INDEX($H$2:$H$422,MATCH(ROWS($P$5:P164),$AD$2:$AD$422,0))),""))</f>
      </c>
      <c r="U164">
        <f>IF($P164="","",INDEX($L$2:$L$422,MATCH(ROWS($P$5:P164),$AD$2:$AD$422,0)))</f>
      </c>
      <c r="V164">
        <f>IF($P164="","",INDEX($M$2:$M$422,MATCH(ROWS($P$5:P164),$AD$2:$AD$422,0)))</f>
      </c>
      <c r="AD164">
        <f>IF(AND(LEN($Q$2)&gt;=3,ISNUMBER(SEARCH($Q$2,$B164))),MAX($AD$1:AD163)+1,"")</f>
      </c>
    </row>
    <row r="165" ht="14.4" customHeight="1" spans="1:30" x14ac:dyDescent="0.25">
      <c r="A165" s="16" t="s">
        <v>971</v>
      </c>
      <c r="B165" s="16" t="s">
        <v>173</v>
      </c>
      <c r="C165" s="16" t="s">
        <v>972</v>
      </c>
      <c r="D165" s="16" t="s">
        <v>825</v>
      </c>
      <c r="E165" s="16" t="s">
        <v>150</v>
      </c>
      <c r="F165" s="16" t="s">
        <v>150</v>
      </c>
      <c r="G165" s="17">
        <f t="shared" si="10"/>
        <v>260000</v>
      </c>
      <c r="H165" s="18">
        <v>260000</v>
      </c>
      <c r="I165" s="19">
        <v>1</v>
      </c>
      <c r="J165" s="18">
        <f t="shared" si="13"/>
        <v>270000</v>
      </c>
      <c r="K165" s="18" t="s">
        <v>477</v>
      </c>
      <c r="L165" s="16" t="str">
        <f t="shared" si="14"/>
        <v>فعال</v>
      </c>
      <c r="M165" s="16">
        <v>152</v>
      </c>
      <c r="N165" s="16" t="s">
        <v>971</v>
      </c>
      <c r="O165" t="s">
        <v>973</v>
      </c>
      <c r="P165">
        <f>IFERROR(INDEX($A$2:$A$422,MATCH(ROWS($P$5:P165),$AD$2:$AD$422,0)),"")</f>
      </c>
      <c r="Q165">
        <f>IF($P165="","",INDEX($B$2:$B$422,MATCH(ROWS($P$5:P165),$AD$2:$AD$422,0)))</f>
      </c>
      <c r="R165">
        <f>IF($P165="","",INDEX($C$2:$C$422,MATCH(ROWS($P$5:P165),$AD$2:$AD$422,0)))</f>
      </c>
      <c r="S165">
        <f>IF($P165="","",INDEX($E$2:$E$422,MATCH(ROWS($P$5:P165),$AD$2:$AD$422,0)))</f>
      </c>
      <c r="T165" s="22">
        <f>IF($P165="","",IFERROR(IF(OR(INDEX($H$2:$H$422,MATCH(ROWS($P$5:P165),$AD$2:$AD$422,0))="",INDEX($H$2:$H$422,MATCH(ROWS($P$5:P165),$AD$2:$AD$422,0))="؟",INDEX($H$2:$H$422,MATCH(ROWS($P$5:P165),$AD$2:$AD$422,0))="نامشخص"),"",INDEX($H$2:$H$422,MATCH(ROWS($P$5:P165),$AD$2:$AD$422,0))),""))</f>
      </c>
      <c r="U165">
        <f>IF($P165="","",INDEX($L$2:$L$422,MATCH(ROWS($P$5:P165),$AD$2:$AD$422,0)))</f>
      </c>
      <c r="V165">
        <f>IF($P165="","",INDEX($M$2:$M$422,MATCH(ROWS($P$5:P165),$AD$2:$AD$422,0)))</f>
      </c>
      <c r="AD165">
        <f>IF(AND(LEN($Q$2)&gt;=3,ISNUMBER(SEARCH($Q$2,$B165))),MAX($AD$1:AD164)+1,"")</f>
      </c>
    </row>
    <row r="166" ht="14.4" customHeight="1" spans="1:30" x14ac:dyDescent="0.25">
      <c r="A166" s="16" t="s">
        <v>974</v>
      </c>
      <c r="B166" s="16" t="s">
        <v>174</v>
      </c>
      <c r="C166" s="16" t="s">
        <v>975</v>
      </c>
      <c r="D166" s="16" t="s">
        <v>825</v>
      </c>
      <c r="E166" s="16" t="s">
        <v>149</v>
      </c>
      <c r="F166" s="16" t="s">
        <v>149</v>
      </c>
      <c r="G166" s="17">
        <f t="shared" si="10"/>
        <v>115000</v>
      </c>
      <c r="H166" s="18">
        <v>115000</v>
      </c>
      <c r="I166" s="19">
        <v>1</v>
      </c>
      <c r="J166" s="18">
        <f t="shared" si="13"/>
        <v>120000</v>
      </c>
      <c r="K166" s="18" t="s">
        <v>477</v>
      </c>
      <c r="L166" s="16" t="str">
        <f t="shared" si="14"/>
        <v>فعال</v>
      </c>
      <c r="M166" s="16">
        <v>153</v>
      </c>
      <c r="N166" s="16" t="s">
        <v>974</v>
      </c>
      <c r="O166" t="s">
        <v>976</v>
      </c>
      <c r="P166">
        <f>IFERROR(INDEX($A$2:$A$422,MATCH(ROWS($P$5:P166),$AD$2:$AD$422,0)),"")</f>
      </c>
      <c r="Q166">
        <f>IF($P166="","",INDEX($B$2:$B$422,MATCH(ROWS($P$5:P166),$AD$2:$AD$422,0)))</f>
      </c>
      <c r="R166">
        <f>IF($P166="","",INDEX($C$2:$C$422,MATCH(ROWS($P$5:P166),$AD$2:$AD$422,0)))</f>
      </c>
      <c r="S166">
        <f>IF($P166="","",INDEX($E$2:$E$422,MATCH(ROWS($P$5:P166),$AD$2:$AD$422,0)))</f>
      </c>
      <c r="T166" s="22">
        <f>IF($P166="","",IFERROR(IF(OR(INDEX($H$2:$H$422,MATCH(ROWS($P$5:P166),$AD$2:$AD$422,0))="",INDEX($H$2:$H$422,MATCH(ROWS($P$5:P166),$AD$2:$AD$422,0))="؟",INDEX($H$2:$H$422,MATCH(ROWS($P$5:P166),$AD$2:$AD$422,0))="نامشخص"),"",INDEX($H$2:$H$422,MATCH(ROWS($P$5:P166),$AD$2:$AD$422,0))),""))</f>
      </c>
      <c r="U166">
        <f>IF($P166="","",INDEX($L$2:$L$422,MATCH(ROWS($P$5:P166),$AD$2:$AD$422,0)))</f>
      </c>
      <c r="V166">
        <f>IF($P166="","",INDEX($M$2:$M$422,MATCH(ROWS($P$5:P166),$AD$2:$AD$422,0)))</f>
      </c>
      <c r="AD166">
        <f>IF(AND(LEN($Q$2)&gt;=3,ISNUMBER(SEARCH($Q$2,$B166))),MAX($AD$1:AD165)+1,"")</f>
      </c>
    </row>
    <row r="167" ht="14.4" customHeight="1" spans="1:30" x14ac:dyDescent="0.25">
      <c r="A167" s="16" t="s">
        <v>977</v>
      </c>
      <c r="B167" s="16" t="s">
        <v>174</v>
      </c>
      <c r="C167" s="16" t="s">
        <v>978</v>
      </c>
      <c r="D167" s="16" t="s">
        <v>825</v>
      </c>
      <c r="E167" s="16" t="s">
        <v>150</v>
      </c>
      <c r="F167" s="16" t="s">
        <v>150</v>
      </c>
      <c r="G167" s="17">
        <f t="shared" si="10"/>
        <v>220000</v>
      </c>
      <c r="H167" s="18">
        <v>220000</v>
      </c>
      <c r="I167" s="19">
        <v>2</v>
      </c>
      <c r="J167" s="18">
        <f t="shared" si="13"/>
        <v>230000</v>
      </c>
      <c r="K167" s="18" t="s">
        <v>477</v>
      </c>
      <c r="L167" s="16" t="str">
        <f t="shared" si="14"/>
        <v>فعال</v>
      </c>
      <c r="M167" s="16">
        <v>153</v>
      </c>
      <c r="N167" s="16" t="s">
        <v>977</v>
      </c>
      <c r="O167" t="s">
        <v>979</v>
      </c>
      <c r="P167">
        <f>IFERROR(INDEX($A$2:$A$422,MATCH(ROWS($P$5:P167),$AD$2:$AD$422,0)),"")</f>
      </c>
      <c r="Q167">
        <f>IF($P167="","",INDEX($B$2:$B$422,MATCH(ROWS($P$5:P167),$AD$2:$AD$422,0)))</f>
      </c>
      <c r="R167">
        <f>IF($P167="","",INDEX($C$2:$C$422,MATCH(ROWS($P$5:P167),$AD$2:$AD$422,0)))</f>
      </c>
      <c r="S167">
        <f>IF($P167="","",INDEX($E$2:$E$422,MATCH(ROWS($P$5:P167),$AD$2:$AD$422,0)))</f>
      </c>
      <c r="T167" s="22">
        <f>IF($P167="","",IFERROR(IF(OR(INDEX($H$2:$H$422,MATCH(ROWS($P$5:P167),$AD$2:$AD$422,0))="",INDEX($H$2:$H$422,MATCH(ROWS($P$5:P167),$AD$2:$AD$422,0))="؟",INDEX($H$2:$H$422,MATCH(ROWS($P$5:P167),$AD$2:$AD$422,0))="نامشخص"),"",INDEX($H$2:$H$422,MATCH(ROWS($P$5:P167),$AD$2:$AD$422,0))),""))</f>
      </c>
      <c r="U167">
        <f>IF($P167="","",INDEX($L$2:$L$422,MATCH(ROWS($P$5:P167),$AD$2:$AD$422,0)))</f>
      </c>
      <c r="V167">
        <f>IF($P167="","",INDEX($M$2:$M$422,MATCH(ROWS($P$5:P167),$AD$2:$AD$422,0)))</f>
      </c>
      <c r="AD167">
        <f>IF(AND(LEN($Q$2)&gt;=3,ISNUMBER(SEARCH($Q$2,$B167))),MAX($AD$1:AD166)+1,"")</f>
      </c>
    </row>
    <row r="168" ht="14.4" customHeight="1" spans="1:30" x14ac:dyDescent="0.25">
      <c r="A168" s="16" t="s">
        <v>980</v>
      </c>
      <c r="B168" s="16" t="s">
        <v>175</v>
      </c>
      <c r="C168" s="16" t="s">
        <v>981</v>
      </c>
      <c r="D168" s="16" t="s">
        <v>825</v>
      </c>
      <c r="E168" s="16" t="s">
        <v>149</v>
      </c>
      <c r="F168" s="16" t="s">
        <v>149</v>
      </c>
      <c r="G168" s="17">
        <f t="shared" si="10"/>
        <v>100000</v>
      </c>
      <c r="H168" s="18">
        <v>100000</v>
      </c>
      <c r="I168" s="19">
        <v>3</v>
      </c>
      <c r="J168" s="18">
        <f t="shared" si="13"/>
        <v>110000</v>
      </c>
      <c r="K168" s="18" t="s">
        <v>477</v>
      </c>
      <c r="L168" s="16" t="str">
        <f t="shared" si="14"/>
        <v>فعال</v>
      </c>
      <c r="M168" s="16">
        <v>154</v>
      </c>
      <c r="N168" s="16" t="s">
        <v>980</v>
      </c>
      <c r="O168" t="s">
        <v>982</v>
      </c>
      <c r="P168">
        <f>IFERROR(INDEX($A$2:$A$422,MATCH(ROWS($P$5:P168),$AD$2:$AD$422,0)),"")</f>
      </c>
      <c r="Q168">
        <f>IF($P168="","",INDEX($B$2:$B$422,MATCH(ROWS($P$5:P168),$AD$2:$AD$422,0)))</f>
      </c>
      <c r="R168">
        <f>IF($P168="","",INDEX($C$2:$C$422,MATCH(ROWS($P$5:P168),$AD$2:$AD$422,0)))</f>
      </c>
      <c r="S168">
        <f>IF($P168="","",INDEX($E$2:$E$422,MATCH(ROWS($P$5:P168),$AD$2:$AD$422,0)))</f>
      </c>
      <c r="T168" s="22">
        <f>IF($P168="","",IFERROR(IF(OR(INDEX($H$2:$H$422,MATCH(ROWS($P$5:P168),$AD$2:$AD$422,0))="",INDEX($H$2:$H$422,MATCH(ROWS($P$5:P168),$AD$2:$AD$422,0))="؟",INDEX($H$2:$H$422,MATCH(ROWS($P$5:P168),$AD$2:$AD$422,0))="نامشخص"),"",INDEX($H$2:$H$422,MATCH(ROWS($P$5:P168),$AD$2:$AD$422,0))),""))</f>
      </c>
      <c r="U168">
        <f>IF($P168="","",INDEX($L$2:$L$422,MATCH(ROWS($P$5:P168),$AD$2:$AD$422,0)))</f>
      </c>
      <c r="V168">
        <f>IF($P168="","",INDEX($M$2:$M$422,MATCH(ROWS($P$5:P168),$AD$2:$AD$422,0)))</f>
      </c>
      <c r="AD168">
        <f>IF(AND(LEN($Q$2)&gt;=3,ISNUMBER(SEARCH($Q$2,$B168))),MAX($AD$1:AD167)+1,"")</f>
      </c>
    </row>
    <row r="169" ht="14.4" customHeight="1" spans="1:30" x14ac:dyDescent="0.25">
      <c r="A169" s="16" t="s">
        <v>983</v>
      </c>
      <c r="B169" s="16" t="s">
        <v>175</v>
      </c>
      <c r="C169" s="16" t="s">
        <v>984</v>
      </c>
      <c r="D169" s="16" t="s">
        <v>825</v>
      </c>
      <c r="E169" s="16" t="s">
        <v>150</v>
      </c>
      <c r="F169" s="16" t="s">
        <v>150</v>
      </c>
      <c r="G169" s="17">
        <f t="shared" si="10"/>
        <v>195000</v>
      </c>
      <c r="H169" s="18">
        <v>195000</v>
      </c>
      <c r="I169" s="19">
        <v>1</v>
      </c>
      <c r="J169" s="18">
        <f t="shared" si="13"/>
        <v>200000</v>
      </c>
      <c r="K169" s="18" t="s">
        <v>477</v>
      </c>
      <c r="L169" s="16" t="str">
        <f t="shared" si="14"/>
        <v>فعال</v>
      </c>
      <c r="M169" s="16">
        <v>154</v>
      </c>
      <c r="N169" s="16" t="s">
        <v>983</v>
      </c>
      <c r="O169" t="s">
        <v>985</v>
      </c>
      <c r="P169">
        <f>IFERROR(INDEX($A$2:$A$422,MATCH(ROWS($P$5:P169),$AD$2:$AD$422,0)),"")</f>
      </c>
      <c r="Q169">
        <f>IF($P169="","",INDEX($B$2:$B$422,MATCH(ROWS($P$5:P169),$AD$2:$AD$422,0)))</f>
      </c>
      <c r="R169">
        <f>IF($P169="","",INDEX($C$2:$C$422,MATCH(ROWS($P$5:P169),$AD$2:$AD$422,0)))</f>
      </c>
      <c r="S169">
        <f>IF($P169="","",INDEX($E$2:$E$422,MATCH(ROWS($P$5:P169),$AD$2:$AD$422,0)))</f>
      </c>
      <c r="T169" s="22">
        <f>IF($P169="","",IFERROR(IF(OR(INDEX($H$2:$H$422,MATCH(ROWS($P$5:P169),$AD$2:$AD$422,0))="",INDEX($H$2:$H$422,MATCH(ROWS($P$5:P169),$AD$2:$AD$422,0))="؟",INDEX($H$2:$H$422,MATCH(ROWS($P$5:P169),$AD$2:$AD$422,0))="نامشخص"),"",INDEX($H$2:$H$422,MATCH(ROWS($P$5:P169),$AD$2:$AD$422,0))),""))</f>
      </c>
      <c r="U169">
        <f>IF($P169="","",INDEX($L$2:$L$422,MATCH(ROWS($P$5:P169),$AD$2:$AD$422,0)))</f>
      </c>
      <c r="V169">
        <f>IF($P169="","",INDEX($M$2:$M$422,MATCH(ROWS($P$5:P169),$AD$2:$AD$422,0)))</f>
      </c>
      <c r="AD169">
        <f>IF(AND(LEN($Q$2)&gt;=3,ISNUMBER(SEARCH($Q$2,$B169))),MAX($AD$1:AD168)+1,"")</f>
      </c>
    </row>
    <row r="170" ht="14.4" customHeight="1" spans="1:30" x14ac:dyDescent="0.25">
      <c r="A170" s="16" t="s">
        <v>986</v>
      </c>
      <c r="B170" s="16" t="s">
        <v>176</v>
      </c>
      <c r="C170" s="16" t="s">
        <v>987</v>
      </c>
      <c r="D170" s="16" t="s">
        <v>825</v>
      </c>
      <c r="E170" s="16" t="s">
        <v>149</v>
      </c>
      <c r="F170" s="16" t="s">
        <v>149</v>
      </c>
      <c r="G170" s="17">
        <f t="shared" si="10"/>
        <v>95000</v>
      </c>
      <c r="H170" s="18">
        <v>95000</v>
      </c>
      <c r="I170" s="19">
        <v>1</v>
      </c>
      <c r="J170" s="18">
        <f t="shared" si="13"/>
        <v>100000</v>
      </c>
      <c r="K170" s="18" t="s">
        <v>477</v>
      </c>
      <c r="L170" s="16" t="str">
        <f t="shared" si="14"/>
        <v>فعال</v>
      </c>
      <c r="M170" s="16">
        <v>155</v>
      </c>
      <c r="N170" s="16" t="s">
        <v>986</v>
      </c>
      <c r="O170" t="s">
        <v>988</v>
      </c>
      <c r="P170">
        <f>IFERROR(INDEX($A$2:$A$422,MATCH(ROWS($P$5:P170),$AD$2:$AD$422,0)),"")</f>
      </c>
      <c r="Q170">
        <f>IF($P170="","",INDEX($B$2:$B$422,MATCH(ROWS($P$5:P170),$AD$2:$AD$422,0)))</f>
      </c>
      <c r="R170">
        <f>IF($P170="","",INDEX($C$2:$C$422,MATCH(ROWS($P$5:P170),$AD$2:$AD$422,0)))</f>
      </c>
      <c r="S170">
        <f>IF($P170="","",INDEX($E$2:$E$422,MATCH(ROWS($P$5:P170),$AD$2:$AD$422,0)))</f>
      </c>
      <c r="T170" s="22">
        <f>IF($P170="","",IFERROR(IF(OR(INDEX($H$2:$H$422,MATCH(ROWS($P$5:P170),$AD$2:$AD$422,0))="",INDEX($H$2:$H$422,MATCH(ROWS($P$5:P170),$AD$2:$AD$422,0))="؟",INDEX($H$2:$H$422,MATCH(ROWS($P$5:P170),$AD$2:$AD$422,0))="نامشخص"),"",INDEX($H$2:$H$422,MATCH(ROWS($P$5:P170),$AD$2:$AD$422,0))),""))</f>
      </c>
      <c r="U170">
        <f>IF($P170="","",INDEX($L$2:$L$422,MATCH(ROWS($P$5:P170),$AD$2:$AD$422,0)))</f>
      </c>
      <c r="V170">
        <f>IF($P170="","",INDEX($M$2:$M$422,MATCH(ROWS($P$5:P170),$AD$2:$AD$422,0)))</f>
      </c>
      <c r="AD170">
        <f>IF(AND(LEN($Q$2)&gt;=3,ISNUMBER(SEARCH($Q$2,$B170))),MAX($AD$1:AD169)+1,"")</f>
      </c>
    </row>
    <row r="171" ht="14.4" customHeight="1" spans="1:30" x14ac:dyDescent="0.25">
      <c r="A171" s="16" t="s">
        <v>989</v>
      </c>
      <c r="B171" s="16" t="s">
        <v>176</v>
      </c>
      <c r="C171" s="16" t="s">
        <v>990</v>
      </c>
      <c r="D171" s="16" t="s">
        <v>825</v>
      </c>
      <c r="E171" s="16" t="s">
        <v>150</v>
      </c>
      <c r="F171" s="16" t="s">
        <v>150</v>
      </c>
      <c r="G171" s="17">
        <f t="shared" si="10"/>
        <v>185000</v>
      </c>
      <c r="H171" s="18">
        <v>185000</v>
      </c>
      <c r="I171" s="19">
        <v>1</v>
      </c>
      <c r="J171" s="18">
        <f t="shared" si="13"/>
        <v>190000</v>
      </c>
      <c r="K171" s="18" t="s">
        <v>477</v>
      </c>
      <c r="L171" s="16" t="str">
        <f t="shared" si="14"/>
        <v>فعال</v>
      </c>
      <c r="M171" s="16">
        <v>155</v>
      </c>
      <c r="N171" s="16" t="s">
        <v>989</v>
      </c>
      <c r="O171" t="s">
        <v>991</v>
      </c>
      <c r="P171">
        <f>IFERROR(INDEX($A$2:$A$422,MATCH(ROWS($P$5:P171),$AD$2:$AD$422,0)),"")</f>
      </c>
      <c r="Q171">
        <f>IF($P171="","",INDEX($B$2:$B$422,MATCH(ROWS($P$5:P171),$AD$2:$AD$422,0)))</f>
      </c>
      <c r="R171">
        <f>IF($P171="","",INDEX($C$2:$C$422,MATCH(ROWS($P$5:P171),$AD$2:$AD$422,0)))</f>
      </c>
      <c r="S171">
        <f>IF($P171="","",INDEX($E$2:$E$422,MATCH(ROWS($P$5:P171),$AD$2:$AD$422,0)))</f>
      </c>
      <c r="T171" s="22">
        <f>IF($P171="","",IFERROR(IF(OR(INDEX($H$2:$H$422,MATCH(ROWS($P$5:P171),$AD$2:$AD$422,0))="",INDEX($H$2:$H$422,MATCH(ROWS($P$5:P171),$AD$2:$AD$422,0))="؟",INDEX($H$2:$H$422,MATCH(ROWS($P$5:P171),$AD$2:$AD$422,0))="نامشخص"),"",INDEX($H$2:$H$422,MATCH(ROWS($P$5:P171),$AD$2:$AD$422,0))),""))</f>
      </c>
      <c r="U171">
        <f>IF($P171="","",INDEX($L$2:$L$422,MATCH(ROWS($P$5:P171),$AD$2:$AD$422,0)))</f>
      </c>
      <c r="V171">
        <f>IF($P171="","",INDEX($M$2:$M$422,MATCH(ROWS($P$5:P171),$AD$2:$AD$422,0)))</f>
      </c>
      <c r="AD171">
        <f>IF(AND(LEN($Q$2)&gt;=3,ISNUMBER(SEARCH($Q$2,$B171))),MAX($AD$1:AD170)+1,"")</f>
      </c>
    </row>
    <row r="172" ht="14.4" customHeight="1" spans="1:30" x14ac:dyDescent="0.25">
      <c r="A172" s="16" t="s">
        <v>992</v>
      </c>
      <c r="B172" s="16" t="s">
        <v>177</v>
      </c>
      <c r="C172" s="16" t="s">
        <v>993</v>
      </c>
      <c r="D172" s="16" t="s">
        <v>825</v>
      </c>
      <c r="E172" s="16" t="s">
        <v>149</v>
      </c>
      <c r="F172" s="16" t="s">
        <v>149</v>
      </c>
      <c r="G172" s="17">
        <f t="shared" si="10"/>
        <v>115000</v>
      </c>
      <c r="H172" s="18">
        <v>115000</v>
      </c>
      <c r="I172" s="19">
        <v>2</v>
      </c>
      <c r="J172" s="18">
        <f t="shared" si="13"/>
        <v>120000</v>
      </c>
      <c r="K172" s="18" t="s">
        <v>477</v>
      </c>
      <c r="L172" s="16" t="str">
        <f t="shared" si="14"/>
        <v>فعال</v>
      </c>
      <c r="M172" s="16">
        <v>156</v>
      </c>
      <c r="N172" s="16" t="s">
        <v>992</v>
      </c>
      <c r="O172" t="s">
        <v>994</v>
      </c>
      <c r="P172">
        <f>IFERROR(INDEX($A$2:$A$422,MATCH(ROWS($P$5:P172),$AD$2:$AD$422,0)),"")</f>
      </c>
      <c r="Q172">
        <f>IF($P172="","",INDEX($B$2:$B$422,MATCH(ROWS($P$5:P172),$AD$2:$AD$422,0)))</f>
      </c>
      <c r="R172">
        <f>IF($P172="","",INDEX($C$2:$C$422,MATCH(ROWS($P$5:P172),$AD$2:$AD$422,0)))</f>
      </c>
      <c r="S172">
        <f>IF($P172="","",INDEX($E$2:$E$422,MATCH(ROWS($P$5:P172),$AD$2:$AD$422,0)))</f>
      </c>
      <c r="T172" s="22">
        <f>IF($P172="","",IFERROR(IF(OR(INDEX($H$2:$H$422,MATCH(ROWS($P$5:P172),$AD$2:$AD$422,0))="",INDEX($H$2:$H$422,MATCH(ROWS($P$5:P172),$AD$2:$AD$422,0))="؟",INDEX($H$2:$H$422,MATCH(ROWS($P$5:P172),$AD$2:$AD$422,0))="نامشخص"),"",INDEX($H$2:$H$422,MATCH(ROWS($P$5:P172),$AD$2:$AD$422,0))),""))</f>
      </c>
      <c r="U172">
        <f>IF($P172="","",INDEX($L$2:$L$422,MATCH(ROWS($P$5:P172),$AD$2:$AD$422,0)))</f>
      </c>
      <c r="V172">
        <f>IF($P172="","",INDEX($M$2:$M$422,MATCH(ROWS($P$5:P172),$AD$2:$AD$422,0)))</f>
      </c>
      <c r="AD172">
        <f>IF(AND(LEN($Q$2)&gt;=3,ISNUMBER(SEARCH($Q$2,$B172))),MAX($AD$1:AD171)+1,"")</f>
      </c>
    </row>
    <row r="173" ht="14.4" customHeight="1" spans="1:30" x14ac:dyDescent="0.25">
      <c r="A173" s="16" t="s">
        <v>995</v>
      </c>
      <c r="B173" s="16" t="s">
        <v>177</v>
      </c>
      <c r="C173" s="16" t="s">
        <v>996</v>
      </c>
      <c r="D173" s="16" t="s">
        <v>825</v>
      </c>
      <c r="E173" s="16" t="s">
        <v>150</v>
      </c>
      <c r="F173" s="16" t="s">
        <v>150</v>
      </c>
      <c r="G173" s="17">
        <f t="shared" si="10"/>
        <v>220000</v>
      </c>
      <c r="H173" s="18">
        <v>220000</v>
      </c>
      <c r="I173" s="19">
        <v>1</v>
      </c>
      <c r="J173" s="18">
        <f t="shared" si="13"/>
        <v>230000</v>
      </c>
      <c r="K173" s="18" t="s">
        <v>477</v>
      </c>
      <c r="L173" s="16" t="str">
        <f t="shared" si="14"/>
        <v>فعال</v>
      </c>
      <c r="M173" s="16">
        <v>156</v>
      </c>
      <c r="N173" s="16" t="s">
        <v>995</v>
      </c>
      <c r="O173" t="s">
        <v>997</v>
      </c>
      <c r="P173">
        <f>IFERROR(INDEX($A$2:$A$422,MATCH(ROWS($P$5:P173),$AD$2:$AD$422,0)),"")</f>
      </c>
      <c r="Q173">
        <f>IF($P173="","",INDEX($B$2:$B$422,MATCH(ROWS($P$5:P173),$AD$2:$AD$422,0)))</f>
      </c>
      <c r="R173">
        <f>IF($P173="","",INDEX($C$2:$C$422,MATCH(ROWS($P$5:P173),$AD$2:$AD$422,0)))</f>
      </c>
      <c r="S173">
        <f>IF($P173="","",INDEX($E$2:$E$422,MATCH(ROWS($P$5:P173),$AD$2:$AD$422,0)))</f>
      </c>
      <c r="T173" s="22">
        <f>IF($P173="","",IFERROR(IF(OR(INDEX($H$2:$H$422,MATCH(ROWS($P$5:P173),$AD$2:$AD$422,0))="",INDEX($H$2:$H$422,MATCH(ROWS($P$5:P173),$AD$2:$AD$422,0))="؟",INDEX($H$2:$H$422,MATCH(ROWS($P$5:P173),$AD$2:$AD$422,0))="نامشخص"),"",INDEX($H$2:$H$422,MATCH(ROWS($P$5:P173),$AD$2:$AD$422,0))),""))</f>
      </c>
      <c r="U173">
        <f>IF($P173="","",INDEX($L$2:$L$422,MATCH(ROWS($P$5:P173),$AD$2:$AD$422,0)))</f>
      </c>
      <c r="V173">
        <f>IF($P173="","",INDEX($M$2:$M$422,MATCH(ROWS($P$5:P173),$AD$2:$AD$422,0)))</f>
      </c>
      <c r="AD173">
        <f>IF(AND(LEN($Q$2)&gt;=3,ISNUMBER(SEARCH($Q$2,$B173))),MAX($AD$1:AD172)+1,"")</f>
      </c>
    </row>
    <row r="174" ht="14.4" customHeight="1" spans="1:30" x14ac:dyDescent="0.25">
      <c r="A174" s="16" t="s">
        <v>998</v>
      </c>
      <c r="B174" s="16" t="s">
        <v>178</v>
      </c>
      <c r="C174" s="16" t="s">
        <v>999</v>
      </c>
      <c r="D174" s="16" t="s">
        <v>825</v>
      </c>
      <c r="E174" s="16" t="s">
        <v>11</v>
      </c>
      <c r="F174" s="16" t="s">
        <v>11</v>
      </c>
      <c r="G174" s="17">
        <f t="shared" si="10"/>
        <v>500000</v>
      </c>
      <c r="H174" s="18">
        <v>500000</v>
      </c>
      <c r="I174" s="19">
        <v>2</v>
      </c>
      <c r="J174" s="18">
        <f t="shared" si="13"/>
        <v>510000</v>
      </c>
      <c r="K174" s="18" t="s">
        <v>477</v>
      </c>
      <c r="L174" s="16" t="str">
        <f t="shared" si="14"/>
        <v>فعال</v>
      </c>
      <c r="M174" s="16">
        <v>157</v>
      </c>
      <c r="N174" s="16" t="s">
        <v>998</v>
      </c>
      <c r="O174" t="s">
        <v>1000</v>
      </c>
      <c r="P174">
        <f>IFERROR(INDEX($A$2:$A$422,MATCH(ROWS($P$5:P174),$AD$2:$AD$422,0)),"")</f>
      </c>
      <c r="Q174">
        <f>IF($P174="","",INDEX($B$2:$B$422,MATCH(ROWS($P$5:P174),$AD$2:$AD$422,0)))</f>
      </c>
      <c r="R174">
        <f>IF($P174="","",INDEX($C$2:$C$422,MATCH(ROWS($P$5:P174),$AD$2:$AD$422,0)))</f>
      </c>
      <c r="S174">
        <f>IF($P174="","",INDEX($E$2:$E$422,MATCH(ROWS($P$5:P174),$AD$2:$AD$422,0)))</f>
      </c>
      <c r="T174" s="22">
        <f>IF($P174="","",IFERROR(IF(OR(INDEX($H$2:$H$422,MATCH(ROWS($P$5:P174),$AD$2:$AD$422,0))="",INDEX($H$2:$H$422,MATCH(ROWS($P$5:P174),$AD$2:$AD$422,0))="؟",INDEX($H$2:$H$422,MATCH(ROWS($P$5:P174),$AD$2:$AD$422,0))="نامشخص"),"",INDEX($H$2:$H$422,MATCH(ROWS($P$5:P174),$AD$2:$AD$422,0))),""))</f>
      </c>
      <c r="U174">
        <f>IF($P174="","",INDEX($L$2:$L$422,MATCH(ROWS($P$5:P174),$AD$2:$AD$422,0)))</f>
      </c>
      <c r="V174">
        <f>IF($P174="","",INDEX($M$2:$M$422,MATCH(ROWS($P$5:P174),$AD$2:$AD$422,0)))</f>
      </c>
      <c r="AD174">
        <f>IF(AND(LEN($Q$2)&gt;=3,ISNUMBER(SEARCH($Q$2,$B174))),MAX($AD$1:AD173)+1,"")</f>
      </c>
    </row>
    <row r="175" ht="14.4" customHeight="1" spans="1:30" x14ac:dyDescent="0.25">
      <c r="A175" s="16" t="s">
        <v>1001</v>
      </c>
      <c r="B175" s="16" t="s">
        <v>178</v>
      </c>
      <c r="C175" s="16" t="s">
        <v>1002</v>
      </c>
      <c r="D175" s="16" t="s">
        <v>825</v>
      </c>
      <c r="E175" s="16" t="s">
        <v>12</v>
      </c>
      <c r="F175" s="16" t="s">
        <v>12</v>
      </c>
      <c r="G175" s="17">
        <f t="shared" si="10"/>
        <v>1000000</v>
      </c>
      <c r="H175" s="18">
        <v>1000000</v>
      </c>
      <c r="I175" s="19">
        <v>2</v>
      </c>
      <c r="J175" s="18">
        <f t="shared" si="13"/>
        <v>1020000</v>
      </c>
      <c r="K175" s="18" t="s">
        <v>477</v>
      </c>
      <c r="L175" s="16" t="str">
        <f t="shared" si="14"/>
        <v>فعال</v>
      </c>
      <c r="M175" s="16">
        <v>157</v>
      </c>
      <c r="N175" s="16" t="s">
        <v>1001</v>
      </c>
      <c r="O175" t="s">
        <v>1003</v>
      </c>
      <c r="P175">
        <f>IFERROR(INDEX($A$2:$A$422,MATCH(ROWS($P$5:P175),$AD$2:$AD$422,0)),"")</f>
      </c>
      <c r="Q175">
        <f>IF($P175="","",INDEX($B$2:$B$422,MATCH(ROWS($P$5:P175),$AD$2:$AD$422,0)))</f>
      </c>
      <c r="R175">
        <f>IF($P175="","",INDEX($C$2:$C$422,MATCH(ROWS($P$5:P175),$AD$2:$AD$422,0)))</f>
      </c>
      <c r="S175">
        <f>IF($P175="","",INDEX($E$2:$E$422,MATCH(ROWS($P$5:P175),$AD$2:$AD$422,0)))</f>
      </c>
      <c r="T175" s="22">
        <f>IF($P175="","",IFERROR(IF(OR(INDEX($H$2:$H$422,MATCH(ROWS($P$5:P175),$AD$2:$AD$422,0))="",INDEX($H$2:$H$422,MATCH(ROWS($P$5:P175),$AD$2:$AD$422,0))="؟",INDEX($H$2:$H$422,MATCH(ROWS($P$5:P175),$AD$2:$AD$422,0))="نامشخص"),"",INDEX($H$2:$H$422,MATCH(ROWS($P$5:P175),$AD$2:$AD$422,0))),""))</f>
      </c>
      <c r="U175">
        <f>IF($P175="","",INDEX($L$2:$L$422,MATCH(ROWS($P$5:P175),$AD$2:$AD$422,0)))</f>
      </c>
      <c r="V175">
        <f>IF($P175="","",INDEX($M$2:$M$422,MATCH(ROWS($P$5:P175),$AD$2:$AD$422,0)))</f>
      </c>
      <c r="AD175">
        <f>IF(AND(LEN($Q$2)&gt;=3,ISNUMBER(SEARCH($Q$2,$B175))),MAX($AD$1:AD174)+1,"")</f>
      </c>
    </row>
    <row r="176" ht="14.4" customHeight="1" spans="1:30" x14ac:dyDescent="0.25">
      <c r="A176" s="16" t="s">
        <v>1004</v>
      </c>
      <c r="B176" s="16" t="s">
        <v>178</v>
      </c>
      <c r="C176" s="16" t="s">
        <v>1005</v>
      </c>
      <c r="D176" s="16" t="s">
        <v>825</v>
      </c>
      <c r="E176" s="16" t="s">
        <v>149</v>
      </c>
      <c r="F176" s="16" t="s">
        <v>149</v>
      </c>
      <c r="G176" s="17">
        <f t="shared" si="10"/>
        <v>100000</v>
      </c>
      <c r="H176" s="18">
        <v>100000</v>
      </c>
      <c r="I176" s="19">
        <v>1</v>
      </c>
      <c r="J176" s="18">
        <f t="shared" si="13"/>
        <v>110000</v>
      </c>
      <c r="K176" s="18" t="s">
        <v>477</v>
      </c>
      <c r="L176" s="16" t="str">
        <f t="shared" si="14"/>
        <v>فعال</v>
      </c>
      <c r="M176" s="16">
        <v>158</v>
      </c>
      <c r="N176" s="16" t="s">
        <v>1004</v>
      </c>
      <c r="O176" t="s">
        <v>1006</v>
      </c>
      <c r="P176">
        <f>IFERROR(INDEX($A$2:$A$422,MATCH(ROWS($P$5:P176),$AD$2:$AD$422,0)),"")</f>
      </c>
      <c r="Q176">
        <f>IF($P176="","",INDEX($B$2:$B$422,MATCH(ROWS($P$5:P176),$AD$2:$AD$422,0)))</f>
      </c>
      <c r="R176">
        <f>IF($P176="","",INDEX($C$2:$C$422,MATCH(ROWS($P$5:P176),$AD$2:$AD$422,0)))</f>
      </c>
      <c r="S176">
        <f>IF($P176="","",INDEX($E$2:$E$422,MATCH(ROWS($P$5:P176),$AD$2:$AD$422,0)))</f>
      </c>
      <c r="T176" s="22">
        <f>IF($P176="","",IFERROR(IF(OR(INDEX($H$2:$H$422,MATCH(ROWS($P$5:P176),$AD$2:$AD$422,0))="",INDEX($H$2:$H$422,MATCH(ROWS($P$5:P176),$AD$2:$AD$422,0))="؟",INDEX($H$2:$H$422,MATCH(ROWS($P$5:P176),$AD$2:$AD$422,0))="نامشخص"),"",INDEX($H$2:$H$422,MATCH(ROWS($P$5:P176),$AD$2:$AD$422,0))),""))</f>
      </c>
      <c r="U176">
        <f>IF($P176="","",INDEX($L$2:$L$422,MATCH(ROWS($P$5:P176),$AD$2:$AD$422,0)))</f>
      </c>
      <c r="V176">
        <f>IF($P176="","",INDEX($M$2:$M$422,MATCH(ROWS($P$5:P176),$AD$2:$AD$422,0)))</f>
      </c>
      <c r="AD176">
        <f>IF(AND(LEN($Q$2)&gt;=3,ISNUMBER(SEARCH($Q$2,$B176))),MAX($AD$1:AD175)+1,"")</f>
      </c>
    </row>
    <row r="177" ht="14.4" customHeight="1" spans="1:30" x14ac:dyDescent="0.25">
      <c r="A177" s="16" t="s">
        <v>1007</v>
      </c>
      <c r="B177" s="16" t="s">
        <v>178</v>
      </c>
      <c r="C177" s="16" t="s">
        <v>1008</v>
      </c>
      <c r="D177" s="16" t="s">
        <v>825</v>
      </c>
      <c r="E177" s="16" t="s">
        <v>150</v>
      </c>
      <c r="F177" s="16" t="s">
        <v>150</v>
      </c>
      <c r="G177" s="17">
        <f t="shared" si="10"/>
        <v>195000</v>
      </c>
      <c r="H177" s="18">
        <v>195000</v>
      </c>
      <c r="I177" s="19">
        <v>1</v>
      </c>
      <c r="J177" s="18">
        <f t="shared" si="13"/>
        <v>200000</v>
      </c>
      <c r="K177" s="18" t="s">
        <v>477</v>
      </c>
      <c r="L177" s="16" t="str">
        <f t="shared" si="14"/>
        <v>فعال</v>
      </c>
      <c r="M177" s="16">
        <v>158</v>
      </c>
      <c r="N177" s="16" t="s">
        <v>1007</v>
      </c>
      <c r="O177" t="s">
        <v>1009</v>
      </c>
      <c r="P177">
        <f>IFERROR(INDEX($A$2:$A$422,MATCH(ROWS($P$5:P177),$AD$2:$AD$422,0)),"")</f>
      </c>
      <c r="Q177">
        <f>IF($P177="","",INDEX($B$2:$B$422,MATCH(ROWS($P$5:P177),$AD$2:$AD$422,0)))</f>
      </c>
      <c r="R177">
        <f>IF($P177="","",INDEX($C$2:$C$422,MATCH(ROWS($P$5:P177),$AD$2:$AD$422,0)))</f>
      </c>
      <c r="S177">
        <f>IF($P177="","",INDEX($E$2:$E$422,MATCH(ROWS($P$5:P177),$AD$2:$AD$422,0)))</f>
      </c>
      <c r="T177" s="22">
        <f>IF($P177="","",IFERROR(IF(OR(INDEX($H$2:$H$422,MATCH(ROWS($P$5:P177),$AD$2:$AD$422,0))="",INDEX($H$2:$H$422,MATCH(ROWS($P$5:P177),$AD$2:$AD$422,0))="؟",INDEX($H$2:$H$422,MATCH(ROWS($P$5:P177),$AD$2:$AD$422,0))="نامشخص"),"",INDEX($H$2:$H$422,MATCH(ROWS($P$5:P177),$AD$2:$AD$422,0))),""))</f>
      </c>
      <c r="U177">
        <f>IF($P177="","",INDEX($L$2:$L$422,MATCH(ROWS($P$5:P177),$AD$2:$AD$422,0)))</f>
      </c>
      <c r="V177">
        <f>IF($P177="","",INDEX($M$2:$M$422,MATCH(ROWS($P$5:P177),$AD$2:$AD$422,0)))</f>
      </c>
      <c r="AD177">
        <f>IF(AND(LEN($Q$2)&gt;=3,ISNUMBER(SEARCH($Q$2,$B177))),MAX($AD$1:AD176)+1,"")</f>
      </c>
    </row>
    <row r="178" ht="14.4" customHeight="1" spans="1:30" x14ac:dyDescent="0.25">
      <c r="A178" s="16" t="s">
        <v>1010</v>
      </c>
      <c r="B178" s="16" t="s">
        <v>179</v>
      </c>
      <c r="C178" s="16" t="s">
        <v>1011</v>
      </c>
      <c r="D178" s="16" t="s">
        <v>825</v>
      </c>
      <c r="E178" s="16" t="s">
        <v>149</v>
      </c>
      <c r="F178" s="16" t="s">
        <v>149</v>
      </c>
      <c r="G178" s="17">
        <f t="shared" si="10"/>
        <v>65000</v>
      </c>
      <c r="H178" s="18">
        <v>65000</v>
      </c>
      <c r="I178" s="19">
        <v>1</v>
      </c>
      <c r="J178" s="18">
        <f t="shared" si="13"/>
        <v>70000</v>
      </c>
      <c r="K178" s="18" t="s">
        <v>477</v>
      </c>
      <c r="L178" s="16" t="str">
        <f t="shared" si="14"/>
        <v>فعال</v>
      </c>
      <c r="M178" s="16">
        <v>159</v>
      </c>
      <c r="N178" s="16" t="s">
        <v>1010</v>
      </c>
      <c r="O178" t="s">
        <v>1012</v>
      </c>
      <c r="P178">
        <f>IFERROR(INDEX($A$2:$A$422,MATCH(ROWS($P$5:P178),$AD$2:$AD$422,0)),"")</f>
      </c>
      <c r="Q178">
        <f>IF($P178="","",INDEX($B$2:$B$422,MATCH(ROWS($P$5:P178),$AD$2:$AD$422,0)))</f>
      </c>
      <c r="R178">
        <f>IF($P178="","",INDEX($C$2:$C$422,MATCH(ROWS($P$5:P178),$AD$2:$AD$422,0)))</f>
      </c>
      <c r="S178">
        <f>IF($P178="","",INDEX($E$2:$E$422,MATCH(ROWS($P$5:P178),$AD$2:$AD$422,0)))</f>
      </c>
      <c r="T178" s="22">
        <f>IF($P178="","",IFERROR(IF(OR(INDEX($H$2:$H$422,MATCH(ROWS($P$5:P178),$AD$2:$AD$422,0))="",INDEX($H$2:$H$422,MATCH(ROWS($P$5:P178),$AD$2:$AD$422,0))="؟",INDEX($H$2:$H$422,MATCH(ROWS($P$5:P178),$AD$2:$AD$422,0))="نامشخص"),"",INDEX($H$2:$H$422,MATCH(ROWS($P$5:P178),$AD$2:$AD$422,0))),""))</f>
      </c>
      <c r="U178">
        <f>IF($P178="","",INDEX($L$2:$L$422,MATCH(ROWS($P$5:P178),$AD$2:$AD$422,0)))</f>
      </c>
      <c r="V178">
        <f>IF($P178="","",INDEX($M$2:$M$422,MATCH(ROWS($P$5:P178),$AD$2:$AD$422,0)))</f>
      </c>
      <c r="AD178">
        <f>IF(AND(LEN($Q$2)&gt;=3,ISNUMBER(SEARCH($Q$2,$B178))),MAX($AD$1:AD177)+1,"")</f>
      </c>
    </row>
    <row r="179" ht="14.4" customHeight="1" spans="1:30" x14ac:dyDescent="0.25">
      <c r="A179" s="16" t="s">
        <v>1013</v>
      </c>
      <c r="B179" s="16" t="s">
        <v>179</v>
      </c>
      <c r="C179" s="16" t="s">
        <v>1014</v>
      </c>
      <c r="D179" s="16" t="s">
        <v>825</v>
      </c>
      <c r="E179" s="16" t="s">
        <v>150</v>
      </c>
      <c r="F179" s="16" t="s">
        <v>150</v>
      </c>
      <c r="G179" s="17">
        <f t="shared" si="10"/>
        <v>120000</v>
      </c>
      <c r="H179" s="18">
        <v>120000</v>
      </c>
      <c r="I179" s="19">
        <v>3</v>
      </c>
      <c r="J179" s="18">
        <f t="shared" si="13"/>
        <v>130000</v>
      </c>
      <c r="K179" s="18" t="s">
        <v>477</v>
      </c>
      <c r="L179" s="16" t="str">
        <f t="shared" si="14"/>
        <v>فعال</v>
      </c>
      <c r="M179" s="16">
        <v>159</v>
      </c>
      <c r="N179" s="16" t="s">
        <v>1013</v>
      </c>
      <c r="O179" t="s">
        <v>1015</v>
      </c>
      <c r="P179">
        <f>IFERROR(INDEX($A$2:$A$422,MATCH(ROWS($P$5:P179),$AD$2:$AD$422,0)),"")</f>
      </c>
      <c r="Q179">
        <f>IF($P179="","",INDEX($B$2:$B$422,MATCH(ROWS($P$5:P179),$AD$2:$AD$422,0)))</f>
      </c>
      <c r="R179">
        <f>IF($P179="","",INDEX($C$2:$C$422,MATCH(ROWS($P$5:P179),$AD$2:$AD$422,0)))</f>
      </c>
      <c r="S179">
        <f>IF($P179="","",INDEX($E$2:$E$422,MATCH(ROWS($P$5:P179),$AD$2:$AD$422,0)))</f>
      </c>
      <c r="T179" s="22">
        <f>IF($P179="","",IFERROR(IF(OR(INDEX($H$2:$H$422,MATCH(ROWS($P$5:P179),$AD$2:$AD$422,0))="",INDEX($H$2:$H$422,MATCH(ROWS($P$5:P179),$AD$2:$AD$422,0))="؟",INDEX($H$2:$H$422,MATCH(ROWS($P$5:P179),$AD$2:$AD$422,0))="نامشخص"),"",INDEX($H$2:$H$422,MATCH(ROWS($P$5:P179),$AD$2:$AD$422,0))),""))</f>
      </c>
      <c r="U179">
        <f>IF($P179="","",INDEX($L$2:$L$422,MATCH(ROWS($P$5:P179),$AD$2:$AD$422,0)))</f>
      </c>
      <c r="V179">
        <f>IF($P179="","",INDEX($M$2:$M$422,MATCH(ROWS($P$5:P179),$AD$2:$AD$422,0)))</f>
      </c>
      <c r="AD179">
        <f>IF(AND(LEN($Q$2)&gt;=3,ISNUMBER(SEARCH($Q$2,$B179))),MAX($AD$1:AD178)+1,"")</f>
      </c>
    </row>
    <row r="180" ht="14.4" customHeight="1" spans="1:30" x14ac:dyDescent="0.25">
      <c r="A180" s="16" t="s">
        <v>1016</v>
      </c>
      <c r="B180" s="16" t="s">
        <v>180</v>
      </c>
      <c r="C180" s="16" t="s">
        <v>1017</v>
      </c>
      <c r="D180" s="16" t="s">
        <v>825</v>
      </c>
      <c r="E180" s="16" t="s">
        <v>149</v>
      </c>
      <c r="F180" s="16" t="s">
        <v>149</v>
      </c>
      <c r="G180" s="17">
        <f t="shared" si="10"/>
        <v>65000</v>
      </c>
      <c r="H180" s="18">
        <v>65000</v>
      </c>
      <c r="I180" s="19">
        <v>1</v>
      </c>
      <c r="J180" s="18">
        <f t="shared" si="13"/>
        <v>70000</v>
      </c>
      <c r="K180" s="18" t="s">
        <v>477</v>
      </c>
      <c r="L180" s="16" t="str">
        <f t="shared" si="14"/>
        <v>فعال</v>
      </c>
      <c r="M180" s="16">
        <v>160</v>
      </c>
      <c r="N180" s="16" t="s">
        <v>1016</v>
      </c>
      <c r="O180" t="s">
        <v>1018</v>
      </c>
      <c r="P180">
        <f>IFERROR(INDEX($A$2:$A$422,MATCH(ROWS($P$5:P180),$AD$2:$AD$422,0)),"")</f>
      </c>
      <c r="Q180">
        <f>IF($P180="","",INDEX($B$2:$B$422,MATCH(ROWS($P$5:P180),$AD$2:$AD$422,0)))</f>
      </c>
      <c r="R180">
        <f>IF($P180="","",INDEX($C$2:$C$422,MATCH(ROWS($P$5:P180),$AD$2:$AD$422,0)))</f>
      </c>
      <c r="S180">
        <f>IF($P180="","",INDEX($E$2:$E$422,MATCH(ROWS($P$5:P180),$AD$2:$AD$422,0)))</f>
      </c>
      <c r="T180" s="22">
        <f>IF($P180="","",IFERROR(IF(OR(INDEX($H$2:$H$422,MATCH(ROWS($P$5:P180),$AD$2:$AD$422,0))="",INDEX($H$2:$H$422,MATCH(ROWS($P$5:P180),$AD$2:$AD$422,0))="؟",INDEX($H$2:$H$422,MATCH(ROWS($P$5:P180),$AD$2:$AD$422,0))="نامشخص"),"",INDEX($H$2:$H$422,MATCH(ROWS($P$5:P180),$AD$2:$AD$422,0))),""))</f>
      </c>
      <c r="U180">
        <f>IF($P180="","",INDEX($L$2:$L$422,MATCH(ROWS($P$5:P180),$AD$2:$AD$422,0)))</f>
      </c>
      <c r="V180">
        <f>IF($P180="","",INDEX($M$2:$M$422,MATCH(ROWS($P$5:P180),$AD$2:$AD$422,0)))</f>
      </c>
      <c r="AD180">
        <f>IF(AND(LEN($Q$2)&gt;=3,ISNUMBER(SEARCH($Q$2,$B180))),MAX($AD$1:AD179)+1,"")</f>
      </c>
    </row>
    <row r="181" ht="14.4" customHeight="1" spans="1:30" x14ac:dyDescent="0.25">
      <c r="A181" s="16" t="s">
        <v>1019</v>
      </c>
      <c r="B181" s="16" t="s">
        <v>180</v>
      </c>
      <c r="C181" s="16" t="s">
        <v>1020</v>
      </c>
      <c r="D181" s="16" t="s">
        <v>825</v>
      </c>
      <c r="E181" s="16" t="s">
        <v>150</v>
      </c>
      <c r="F181" s="16" t="s">
        <v>150</v>
      </c>
      <c r="G181" s="17">
        <f t="shared" si="10"/>
        <v>120000</v>
      </c>
      <c r="H181" s="18">
        <v>120000</v>
      </c>
      <c r="I181" s="19">
        <v>3</v>
      </c>
      <c r="J181" s="18">
        <f t="shared" si="13"/>
        <v>130000</v>
      </c>
      <c r="K181" s="18" t="s">
        <v>477</v>
      </c>
      <c r="L181" s="16" t="str">
        <f t="shared" si="14"/>
        <v>فعال</v>
      </c>
      <c r="M181" s="16">
        <v>160</v>
      </c>
      <c r="N181" s="16" t="s">
        <v>1019</v>
      </c>
      <c r="O181" t="s">
        <v>1021</v>
      </c>
      <c r="P181">
        <f>IFERROR(INDEX($A$2:$A$422,MATCH(ROWS($P$5:P181),$AD$2:$AD$422,0)),"")</f>
      </c>
      <c r="Q181">
        <f>IF($P181="","",INDEX($B$2:$B$422,MATCH(ROWS($P$5:P181),$AD$2:$AD$422,0)))</f>
      </c>
      <c r="R181">
        <f>IF($P181="","",INDEX($C$2:$C$422,MATCH(ROWS($P$5:P181),$AD$2:$AD$422,0)))</f>
      </c>
      <c r="S181">
        <f>IF($P181="","",INDEX($E$2:$E$422,MATCH(ROWS($P$5:P181),$AD$2:$AD$422,0)))</f>
      </c>
      <c r="T181" s="22">
        <f>IF($P181="","",IFERROR(IF(OR(INDEX($H$2:$H$422,MATCH(ROWS($P$5:P181),$AD$2:$AD$422,0))="",INDEX($H$2:$H$422,MATCH(ROWS($P$5:P181),$AD$2:$AD$422,0))="؟",INDEX($H$2:$H$422,MATCH(ROWS($P$5:P181),$AD$2:$AD$422,0))="نامشخص"),"",INDEX($H$2:$H$422,MATCH(ROWS($P$5:P181),$AD$2:$AD$422,0))),""))</f>
      </c>
      <c r="U181">
        <f>IF($P181="","",INDEX($L$2:$L$422,MATCH(ROWS($P$5:P181),$AD$2:$AD$422,0)))</f>
      </c>
      <c r="V181">
        <f>IF($P181="","",INDEX($M$2:$M$422,MATCH(ROWS($P$5:P181),$AD$2:$AD$422,0)))</f>
      </c>
      <c r="AD181">
        <f>IF(AND(LEN($Q$2)&gt;=3,ISNUMBER(SEARCH($Q$2,$B181))),MAX($AD$1:AD180)+1,"")</f>
      </c>
    </row>
    <row r="182" ht="14.4" customHeight="1" spans="1:30" x14ac:dyDescent="0.25">
      <c r="A182" s="16" t="s">
        <v>1022</v>
      </c>
      <c r="B182" s="16" t="s">
        <v>181</v>
      </c>
      <c r="C182" s="16" t="s">
        <v>1023</v>
      </c>
      <c r="D182" s="16" t="s">
        <v>825</v>
      </c>
      <c r="E182" s="16" t="s">
        <v>149</v>
      </c>
      <c r="F182" s="16" t="s">
        <v>149</v>
      </c>
      <c r="G182" s="17">
        <f t="shared" si="10"/>
        <v>150000</v>
      </c>
      <c r="H182" s="18">
        <v>150000</v>
      </c>
      <c r="I182" s="19">
        <v>2</v>
      </c>
      <c r="J182" s="18">
        <f t="shared" si="13"/>
        <v>160000</v>
      </c>
      <c r="K182" s="18" t="s">
        <v>477</v>
      </c>
      <c r="L182" s="16" t="str">
        <f t="shared" si="14"/>
        <v>فعال</v>
      </c>
      <c r="M182" s="16">
        <v>161</v>
      </c>
      <c r="N182" s="16" t="s">
        <v>1022</v>
      </c>
      <c r="O182" t="s">
        <v>1024</v>
      </c>
      <c r="P182">
        <f>IFERROR(INDEX($A$2:$A$422,MATCH(ROWS($P$5:P182),$AD$2:$AD$422,0)),"")</f>
      </c>
      <c r="Q182">
        <f>IF($P182="","",INDEX($B$2:$B$422,MATCH(ROWS($P$5:P182),$AD$2:$AD$422,0)))</f>
      </c>
      <c r="R182">
        <f>IF($P182="","",INDEX($C$2:$C$422,MATCH(ROWS($P$5:P182),$AD$2:$AD$422,0)))</f>
      </c>
      <c r="S182">
        <f>IF($P182="","",INDEX($E$2:$E$422,MATCH(ROWS($P$5:P182),$AD$2:$AD$422,0)))</f>
      </c>
      <c r="T182" s="22">
        <f>IF($P182="","",IFERROR(IF(OR(INDEX($H$2:$H$422,MATCH(ROWS($P$5:P182),$AD$2:$AD$422,0))="",INDEX($H$2:$H$422,MATCH(ROWS($P$5:P182),$AD$2:$AD$422,0))="؟",INDEX($H$2:$H$422,MATCH(ROWS($P$5:P182),$AD$2:$AD$422,0))="نامشخص"),"",INDEX($H$2:$H$422,MATCH(ROWS($P$5:P182),$AD$2:$AD$422,0))),""))</f>
      </c>
      <c r="U182">
        <f>IF($P182="","",INDEX($L$2:$L$422,MATCH(ROWS($P$5:P182),$AD$2:$AD$422,0)))</f>
      </c>
      <c r="V182">
        <f>IF($P182="","",INDEX($M$2:$M$422,MATCH(ROWS($P$5:P182),$AD$2:$AD$422,0)))</f>
      </c>
      <c r="AD182">
        <f>IF(AND(LEN($Q$2)&gt;=3,ISNUMBER(SEARCH($Q$2,$B182))),MAX($AD$1:AD181)+1,"")</f>
      </c>
    </row>
    <row r="183" ht="14.4" customHeight="1" spans="1:30" x14ac:dyDescent="0.25">
      <c r="A183" s="16" t="s">
        <v>1025</v>
      </c>
      <c r="B183" s="16" t="s">
        <v>181</v>
      </c>
      <c r="C183" s="16" t="s">
        <v>1026</v>
      </c>
      <c r="D183" s="16" t="s">
        <v>825</v>
      </c>
      <c r="E183" s="16" t="s">
        <v>150</v>
      </c>
      <c r="F183" s="16" t="s">
        <v>150</v>
      </c>
      <c r="G183" s="17">
        <f t="shared" si="10"/>
        <v>295000</v>
      </c>
      <c r="H183" s="18">
        <v>295000</v>
      </c>
      <c r="I183" s="19">
        <v>3</v>
      </c>
      <c r="J183" s="18">
        <f t="shared" si="13"/>
        <v>310000</v>
      </c>
      <c r="K183" s="18" t="s">
        <v>477</v>
      </c>
      <c r="L183" s="16" t="str">
        <f t="shared" si="14"/>
        <v>فعال</v>
      </c>
      <c r="M183" s="16">
        <v>161</v>
      </c>
      <c r="N183" s="16" t="s">
        <v>1025</v>
      </c>
      <c r="O183" t="s">
        <v>1027</v>
      </c>
      <c r="P183">
        <f>IFERROR(INDEX($A$2:$A$422,MATCH(ROWS($P$5:P183),$AD$2:$AD$422,0)),"")</f>
      </c>
      <c r="Q183">
        <f>IF($P183="","",INDEX($B$2:$B$422,MATCH(ROWS($P$5:P183),$AD$2:$AD$422,0)))</f>
      </c>
      <c r="R183">
        <f>IF($P183="","",INDEX($C$2:$C$422,MATCH(ROWS($P$5:P183),$AD$2:$AD$422,0)))</f>
      </c>
      <c r="S183">
        <f>IF($P183="","",INDEX($E$2:$E$422,MATCH(ROWS($P$5:P183),$AD$2:$AD$422,0)))</f>
      </c>
      <c r="T183" s="22">
        <f>IF($P183="","",IFERROR(IF(OR(INDEX($H$2:$H$422,MATCH(ROWS($P$5:P183),$AD$2:$AD$422,0))="",INDEX($H$2:$H$422,MATCH(ROWS($P$5:P183),$AD$2:$AD$422,0))="؟",INDEX($H$2:$H$422,MATCH(ROWS($P$5:P183),$AD$2:$AD$422,0))="نامشخص"),"",INDEX($H$2:$H$422,MATCH(ROWS($P$5:P183),$AD$2:$AD$422,0))),""))</f>
      </c>
      <c r="U183">
        <f>IF($P183="","",INDEX($L$2:$L$422,MATCH(ROWS($P$5:P183),$AD$2:$AD$422,0)))</f>
      </c>
      <c r="V183">
        <f>IF($P183="","",INDEX($M$2:$M$422,MATCH(ROWS($P$5:P183),$AD$2:$AD$422,0)))</f>
      </c>
      <c r="AD183">
        <f>IF(AND(LEN($Q$2)&gt;=3,ISNUMBER(SEARCH($Q$2,$B183))),MAX($AD$1:AD182)+1,"")</f>
      </c>
    </row>
    <row r="184" ht="14.4" customHeight="1" spans="1:30" x14ac:dyDescent="0.25">
      <c r="A184" s="16" t="s">
        <v>1028</v>
      </c>
      <c r="B184" s="16" t="s">
        <v>182</v>
      </c>
      <c r="C184" s="16" t="s">
        <v>1029</v>
      </c>
      <c r="D184" s="16" t="s">
        <v>825</v>
      </c>
      <c r="E184" s="16" t="s">
        <v>11</v>
      </c>
      <c r="F184" s="16" t="s">
        <v>11</v>
      </c>
      <c r="G184" s="17">
        <f t="shared" si="10"/>
        <v>655000</v>
      </c>
      <c r="H184" s="18">
        <v>655000</v>
      </c>
      <c r="I184" s="19">
        <v>1</v>
      </c>
      <c r="J184" s="18">
        <f t="shared" si="13"/>
        <v>670000</v>
      </c>
      <c r="K184" s="18" t="s">
        <v>477</v>
      </c>
      <c r="L184" s="16" t="str">
        <f t="shared" si="14"/>
        <v>فعال</v>
      </c>
      <c r="M184" s="16">
        <v>162</v>
      </c>
      <c r="N184" s="16" t="s">
        <v>1028</v>
      </c>
      <c r="O184" t="s">
        <v>1030</v>
      </c>
      <c r="P184">
        <f>IFERROR(INDEX($A$2:$A$422,MATCH(ROWS($P$5:P184),$AD$2:$AD$422,0)),"")</f>
      </c>
      <c r="Q184">
        <f>IF($P184="","",INDEX($B$2:$B$422,MATCH(ROWS($P$5:P184),$AD$2:$AD$422,0)))</f>
      </c>
      <c r="R184">
        <f>IF($P184="","",INDEX($C$2:$C$422,MATCH(ROWS($P$5:P184),$AD$2:$AD$422,0)))</f>
      </c>
      <c r="S184">
        <f>IF($P184="","",INDEX($E$2:$E$422,MATCH(ROWS($P$5:P184),$AD$2:$AD$422,0)))</f>
      </c>
      <c r="T184" s="22">
        <f>IF($P184="","",IFERROR(IF(OR(INDEX($H$2:$H$422,MATCH(ROWS($P$5:P184),$AD$2:$AD$422,0))="",INDEX($H$2:$H$422,MATCH(ROWS($P$5:P184),$AD$2:$AD$422,0))="؟",INDEX($H$2:$H$422,MATCH(ROWS($P$5:P184),$AD$2:$AD$422,0))="نامشخص"),"",INDEX($H$2:$H$422,MATCH(ROWS($P$5:P184),$AD$2:$AD$422,0))),""))</f>
      </c>
      <c r="U184">
        <f>IF($P184="","",INDEX($L$2:$L$422,MATCH(ROWS($P$5:P184),$AD$2:$AD$422,0)))</f>
      </c>
      <c r="V184">
        <f>IF($P184="","",INDEX($M$2:$M$422,MATCH(ROWS($P$5:P184),$AD$2:$AD$422,0)))</f>
      </c>
      <c r="AD184">
        <f>IF(AND(LEN($Q$2)&gt;=3,ISNUMBER(SEARCH($Q$2,$B184))),MAX($AD$1:AD183)+1,"")</f>
      </c>
    </row>
    <row r="185" ht="14.4" customHeight="1" spans="1:30" x14ac:dyDescent="0.25">
      <c r="A185" s="16" t="s">
        <v>1031</v>
      </c>
      <c r="B185" s="16" t="s">
        <v>182</v>
      </c>
      <c r="C185" s="16" t="s">
        <v>1032</v>
      </c>
      <c r="D185" s="16" t="s">
        <v>825</v>
      </c>
      <c r="E185" s="16" t="s">
        <v>12</v>
      </c>
      <c r="F185" s="16" t="s">
        <v>12</v>
      </c>
      <c r="G185" s="17">
        <f t="shared" si="10"/>
        <v>1300000</v>
      </c>
      <c r="H185" s="18">
        <v>1300000</v>
      </c>
      <c r="I185" s="19">
        <v>3</v>
      </c>
      <c r="J185" s="18">
        <f t="shared" si="13"/>
        <v>1340000</v>
      </c>
      <c r="K185" s="18" t="s">
        <v>477</v>
      </c>
      <c r="L185" s="16" t="str">
        <f t="shared" si="14"/>
        <v>فعال</v>
      </c>
      <c r="M185" s="16">
        <v>162</v>
      </c>
      <c r="N185" s="16" t="s">
        <v>1031</v>
      </c>
      <c r="O185" t="s">
        <v>1033</v>
      </c>
      <c r="P185">
        <f>IFERROR(INDEX($A$2:$A$422,MATCH(ROWS($P$5:P185),$AD$2:$AD$422,0)),"")</f>
      </c>
      <c r="Q185">
        <f>IF($P185="","",INDEX($B$2:$B$422,MATCH(ROWS($P$5:P185),$AD$2:$AD$422,0)))</f>
      </c>
      <c r="R185">
        <f>IF($P185="","",INDEX($C$2:$C$422,MATCH(ROWS($P$5:P185),$AD$2:$AD$422,0)))</f>
      </c>
      <c r="S185">
        <f>IF($P185="","",INDEX($E$2:$E$422,MATCH(ROWS($P$5:P185),$AD$2:$AD$422,0)))</f>
      </c>
      <c r="T185" s="22">
        <f>IF($P185="","",IFERROR(IF(OR(INDEX($H$2:$H$422,MATCH(ROWS($P$5:P185),$AD$2:$AD$422,0))="",INDEX($H$2:$H$422,MATCH(ROWS($P$5:P185),$AD$2:$AD$422,0))="؟",INDEX($H$2:$H$422,MATCH(ROWS($P$5:P185),$AD$2:$AD$422,0))="نامشخص"),"",INDEX($H$2:$H$422,MATCH(ROWS($P$5:P185),$AD$2:$AD$422,0))),""))</f>
      </c>
      <c r="U185">
        <f>IF($P185="","",INDEX($L$2:$L$422,MATCH(ROWS($P$5:P185),$AD$2:$AD$422,0)))</f>
      </c>
      <c r="V185">
        <f>IF($P185="","",INDEX($M$2:$M$422,MATCH(ROWS($P$5:P185),$AD$2:$AD$422,0)))</f>
      </c>
      <c r="AD185">
        <f>IF(AND(LEN($Q$2)&gt;=3,ISNUMBER(SEARCH($Q$2,$B185))),MAX($AD$1:AD184)+1,"")</f>
      </c>
    </row>
    <row r="186" ht="14.4" customHeight="1" spans="1:30" x14ac:dyDescent="0.25">
      <c r="A186" s="16" t="s">
        <v>1034</v>
      </c>
      <c r="B186" s="16" t="s">
        <v>183</v>
      </c>
      <c r="C186" s="16" t="s">
        <v>1035</v>
      </c>
      <c r="D186" s="16" t="s">
        <v>825</v>
      </c>
      <c r="E186" s="16" t="s">
        <v>149</v>
      </c>
      <c r="F186" s="16" t="s">
        <v>149</v>
      </c>
      <c r="G186" s="17" t="str">
        <f t="shared" si="10"/>
        <v>؟</v>
      </c>
      <c r="H186" s="18" t="s">
        <v>8</v>
      </c>
      <c r="I186" s="19">
        <v>2</v>
      </c>
      <c r="J186" s="18">
        <f t="shared" si="13"/>
      </c>
      <c r="K186" s="18" t="s">
        <v>477</v>
      </c>
      <c r="L186" s="16" t="str">
        <f t="shared" si="14"/>
        <v>نیاز به استعلام</v>
      </c>
      <c r="M186" s="16">
        <v>163</v>
      </c>
      <c r="N186" s="16" t="s">
        <v>1034</v>
      </c>
      <c r="O186" t="s">
        <v>1036</v>
      </c>
      <c r="P186">
        <f>IFERROR(INDEX($A$2:$A$422,MATCH(ROWS($P$5:P186),$AD$2:$AD$422,0)),"")</f>
      </c>
      <c r="Q186">
        <f>IF($P186="","",INDEX($B$2:$B$422,MATCH(ROWS($P$5:P186),$AD$2:$AD$422,0)))</f>
      </c>
      <c r="R186">
        <f>IF($P186="","",INDEX($C$2:$C$422,MATCH(ROWS($P$5:P186),$AD$2:$AD$422,0)))</f>
      </c>
      <c r="S186">
        <f>IF($P186="","",INDEX($E$2:$E$422,MATCH(ROWS($P$5:P186),$AD$2:$AD$422,0)))</f>
      </c>
      <c r="T186" s="22">
        <f>IF($P186="","",IFERROR(IF(OR(INDEX($H$2:$H$422,MATCH(ROWS($P$5:P186),$AD$2:$AD$422,0))="",INDEX($H$2:$H$422,MATCH(ROWS($P$5:P186),$AD$2:$AD$422,0))="؟",INDEX($H$2:$H$422,MATCH(ROWS($P$5:P186),$AD$2:$AD$422,0))="نامشخص"),"",INDEX($H$2:$H$422,MATCH(ROWS($P$5:P186),$AD$2:$AD$422,0))),""))</f>
      </c>
      <c r="U186">
        <f>IF($P186="","",INDEX($L$2:$L$422,MATCH(ROWS($P$5:P186),$AD$2:$AD$422,0)))</f>
      </c>
      <c r="V186">
        <f>IF($P186="","",INDEX($M$2:$M$422,MATCH(ROWS($P$5:P186),$AD$2:$AD$422,0)))</f>
      </c>
      <c r="AD186">
        <f>IF(AND(LEN($Q$2)&gt;=3,ISNUMBER(SEARCH($Q$2,$B186))),MAX($AD$1:AD185)+1,"")</f>
      </c>
    </row>
    <row r="187" ht="14.4" customHeight="1" spans="1:30" x14ac:dyDescent="0.25">
      <c r="A187" s="16" t="s">
        <v>1037</v>
      </c>
      <c r="B187" s="16" t="s">
        <v>183</v>
      </c>
      <c r="C187" s="16" t="s">
        <v>1038</v>
      </c>
      <c r="D187" s="16" t="s">
        <v>825</v>
      </c>
      <c r="E187" s="16" t="s">
        <v>150</v>
      </c>
      <c r="F187" s="16" t="s">
        <v>150</v>
      </c>
      <c r="G187" s="17">
        <f t="shared" si="10"/>
        <v>70000</v>
      </c>
      <c r="H187" s="18">
        <v>70000</v>
      </c>
      <c r="I187" s="19">
        <v>2</v>
      </c>
      <c r="J187" s="18">
        <f t="shared" si="13"/>
        <v>80000</v>
      </c>
      <c r="K187" s="18" t="s">
        <v>477</v>
      </c>
      <c r="L187" s="16" t="str">
        <f t="shared" si="14"/>
        <v>فعال</v>
      </c>
      <c r="M187" s="16">
        <v>163</v>
      </c>
      <c r="N187" s="16" t="s">
        <v>1037</v>
      </c>
      <c r="O187" t="s">
        <v>1039</v>
      </c>
      <c r="P187">
        <f>IFERROR(INDEX($A$2:$A$422,MATCH(ROWS($P$5:P187),$AD$2:$AD$422,0)),"")</f>
      </c>
      <c r="Q187">
        <f>IF($P187="","",INDEX($B$2:$B$422,MATCH(ROWS($P$5:P187),$AD$2:$AD$422,0)))</f>
      </c>
      <c r="R187">
        <f>IF($P187="","",INDEX($C$2:$C$422,MATCH(ROWS($P$5:P187),$AD$2:$AD$422,0)))</f>
      </c>
      <c r="S187">
        <f>IF($P187="","",INDEX($E$2:$E$422,MATCH(ROWS($P$5:P187),$AD$2:$AD$422,0)))</f>
      </c>
      <c r="T187" s="22">
        <f>IF($P187="","",IFERROR(IF(OR(INDEX($H$2:$H$422,MATCH(ROWS($P$5:P187),$AD$2:$AD$422,0))="",INDEX($H$2:$H$422,MATCH(ROWS($P$5:P187),$AD$2:$AD$422,0))="؟",INDEX($H$2:$H$422,MATCH(ROWS($P$5:P187),$AD$2:$AD$422,0))="نامشخص"),"",INDEX($H$2:$H$422,MATCH(ROWS($P$5:P187),$AD$2:$AD$422,0))),""))</f>
      </c>
      <c r="U187">
        <f>IF($P187="","",INDEX($L$2:$L$422,MATCH(ROWS($P$5:P187),$AD$2:$AD$422,0)))</f>
      </c>
      <c r="V187">
        <f>IF($P187="","",INDEX($M$2:$M$422,MATCH(ROWS($P$5:P187),$AD$2:$AD$422,0)))</f>
      </c>
      <c r="AD187">
        <f>IF(AND(LEN($Q$2)&gt;=3,ISNUMBER(SEARCH($Q$2,$B187))),MAX($AD$1:AD186)+1,"")</f>
      </c>
    </row>
    <row r="188" ht="14.4" customHeight="1" spans="1:30" x14ac:dyDescent="0.25">
      <c r="A188" s="16" t="s">
        <v>1040</v>
      </c>
      <c r="B188" s="16" t="s">
        <v>184</v>
      </c>
      <c r="C188" s="16" t="s">
        <v>1041</v>
      </c>
      <c r="D188" s="16" t="s">
        <v>825</v>
      </c>
      <c r="E188" s="16" t="s">
        <v>149</v>
      </c>
      <c r="F188" s="16" t="s">
        <v>149</v>
      </c>
      <c r="G188" s="17">
        <f t="shared" si="10"/>
        <v>90000</v>
      </c>
      <c r="H188" s="18">
        <v>90000</v>
      </c>
      <c r="I188" s="19">
        <v>2</v>
      </c>
      <c r="J188" s="18">
        <f t="shared" si="13"/>
        <v>100000</v>
      </c>
      <c r="K188" s="18" t="s">
        <v>477</v>
      </c>
      <c r="L188" s="16" t="str">
        <f t="shared" si="14"/>
        <v>فعال</v>
      </c>
      <c r="M188" s="16">
        <v>164</v>
      </c>
      <c r="N188" s="16" t="s">
        <v>1040</v>
      </c>
      <c r="O188" t="s">
        <v>1042</v>
      </c>
      <c r="P188">
        <f>IFERROR(INDEX($A$2:$A$422,MATCH(ROWS($P$5:P188),$AD$2:$AD$422,0)),"")</f>
      </c>
      <c r="Q188">
        <f>IF($P188="","",INDEX($B$2:$B$422,MATCH(ROWS($P$5:P188),$AD$2:$AD$422,0)))</f>
      </c>
      <c r="R188">
        <f>IF($P188="","",INDEX($C$2:$C$422,MATCH(ROWS($P$5:P188),$AD$2:$AD$422,0)))</f>
      </c>
      <c r="S188">
        <f>IF($P188="","",INDEX($E$2:$E$422,MATCH(ROWS($P$5:P188),$AD$2:$AD$422,0)))</f>
      </c>
      <c r="T188" s="22">
        <f>IF($P188="","",IFERROR(IF(OR(INDEX($H$2:$H$422,MATCH(ROWS($P$5:P188),$AD$2:$AD$422,0))="",INDEX($H$2:$H$422,MATCH(ROWS($P$5:P188),$AD$2:$AD$422,0))="؟",INDEX($H$2:$H$422,MATCH(ROWS($P$5:P188),$AD$2:$AD$422,0))="نامشخص"),"",INDEX($H$2:$H$422,MATCH(ROWS($P$5:P188),$AD$2:$AD$422,0))),""))</f>
      </c>
      <c r="U188">
        <f>IF($P188="","",INDEX($L$2:$L$422,MATCH(ROWS($P$5:P188),$AD$2:$AD$422,0)))</f>
      </c>
      <c r="V188">
        <f>IF($P188="","",INDEX($M$2:$M$422,MATCH(ROWS($P$5:P188),$AD$2:$AD$422,0)))</f>
      </c>
      <c r="AD188">
        <f>IF(AND(LEN($Q$2)&gt;=3,ISNUMBER(SEARCH($Q$2,$B188))),MAX($AD$1:AD187)+1,"")</f>
      </c>
    </row>
    <row r="189" ht="14.4" customHeight="1" spans="1:30" x14ac:dyDescent="0.25">
      <c r="A189" s="16" t="s">
        <v>1043</v>
      </c>
      <c r="B189" s="16" t="s">
        <v>184</v>
      </c>
      <c r="C189" s="16" t="s">
        <v>1044</v>
      </c>
      <c r="D189" s="16" t="s">
        <v>825</v>
      </c>
      <c r="E189" s="16" t="s">
        <v>150</v>
      </c>
      <c r="F189" s="16" t="s">
        <v>150</v>
      </c>
      <c r="G189" s="17">
        <f t="shared" si="10"/>
        <v>170000</v>
      </c>
      <c r="H189" s="18">
        <v>170000</v>
      </c>
      <c r="I189" s="19">
        <v>3</v>
      </c>
      <c r="J189" s="18">
        <f t="shared" si="13"/>
        <v>180000</v>
      </c>
      <c r="K189" s="18" t="s">
        <v>477</v>
      </c>
      <c r="L189" s="16" t="str">
        <f t="shared" si="14"/>
        <v>فعال</v>
      </c>
      <c r="M189" s="16">
        <v>164</v>
      </c>
      <c r="N189" s="16" t="s">
        <v>1043</v>
      </c>
      <c r="O189" t="s">
        <v>1045</v>
      </c>
      <c r="P189">
        <f>IFERROR(INDEX($A$2:$A$422,MATCH(ROWS($P$5:P189),$AD$2:$AD$422,0)),"")</f>
      </c>
      <c r="Q189">
        <f>IF($P189="","",INDEX($B$2:$B$422,MATCH(ROWS($P$5:P189),$AD$2:$AD$422,0)))</f>
      </c>
      <c r="R189">
        <f>IF($P189="","",INDEX($C$2:$C$422,MATCH(ROWS($P$5:P189),$AD$2:$AD$422,0)))</f>
      </c>
      <c r="S189">
        <f>IF($P189="","",INDEX($E$2:$E$422,MATCH(ROWS($P$5:P189),$AD$2:$AD$422,0)))</f>
      </c>
      <c r="T189" s="22">
        <f>IF($P189="","",IFERROR(IF(OR(INDEX($H$2:$H$422,MATCH(ROWS($P$5:P189),$AD$2:$AD$422,0))="",INDEX($H$2:$H$422,MATCH(ROWS($P$5:P189),$AD$2:$AD$422,0))="؟",INDEX($H$2:$H$422,MATCH(ROWS($P$5:P189),$AD$2:$AD$422,0))="نامشخص"),"",INDEX($H$2:$H$422,MATCH(ROWS($P$5:P189),$AD$2:$AD$422,0))),""))</f>
      </c>
      <c r="U189">
        <f>IF($P189="","",INDEX($L$2:$L$422,MATCH(ROWS($P$5:P189),$AD$2:$AD$422,0)))</f>
      </c>
      <c r="V189">
        <f>IF($P189="","",INDEX($M$2:$M$422,MATCH(ROWS($P$5:P189),$AD$2:$AD$422,0)))</f>
      </c>
      <c r="AD189">
        <f>IF(AND(LEN($Q$2)&gt;=3,ISNUMBER(SEARCH($Q$2,$B189))),MAX($AD$1:AD188)+1,"")</f>
      </c>
    </row>
    <row r="190" ht="14.4" customHeight="1" spans="1:30" x14ac:dyDescent="0.25">
      <c r="A190" s="16" t="s">
        <v>1046</v>
      </c>
      <c r="B190" s="16" t="s">
        <v>185</v>
      </c>
      <c r="C190" s="16" t="s">
        <v>1047</v>
      </c>
      <c r="D190" s="16" t="s">
        <v>825</v>
      </c>
      <c r="E190" s="16" t="s">
        <v>149</v>
      </c>
      <c r="F190" s="16" t="s">
        <v>149</v>
      </c>
      <c r="G190" s="17">
        <f t="shared" si="10"/>
        <v>130000</v>
      </c>
      <c r="H190" s="18">
        <v>130000</v>
      </c>
      <c r="I190" s="19">
        <v>1</v>
      </c>
      <c r="J190" s="18">
        <f t="shared" si="13"/>
        <v>140000</v>
      </c>
      <c r="K190" s="18" t="s">
        <v>477</v>
      </c>
      <c r="L190" s="16" t="str">
        <f t="shared" si="14"/>
        <v>فعال</v>
      </c>
      <c r="M190" s="16">
        <v>165</v>
      </c>
      <c r="N190" s="16" t="s">
        <v>1046</v>
      </c>
      <c r="O190" t="s">
        <v>1048</v>
      </c>
      <c r="P190">
        <f>IFERROR(INDEX($A$2:$A$422,MATCH(ROWS($P$5:P190),$AD$2:$AD$422,0)),"")</f>
      </c>
      <c r="Q190">
        <f>IF($P190="","",INDEX($B$2:$B$422,MATCH(ROWS($P$5:P190),$AD$2:$AD$422,0)))</f>
      </c>
      <c r="R190">
        <f>IF($P190="","",INDEX($C$2:$C$422,MATCH(ROWS($P$5:P190),$AD$2:$AD$422,0)))</f>
      </c>
      <c r="S190">
        <f>IF($P190="","",INDEX($E$2:$E$422,MATCH(ROWS($P$5:P190),$AD$2:$AD$422,0)))</f>
      </c>
      <c r="T190" s="22">
        <f>IF($P190="","",IFERROR(IF(OR(INDEX($H$2:$H$422,MATCH(ROWS($P$5:P190),$AD$2:$AD$422,0))="",INDEX($H$2:$H$422,MATCH(ROWS($P$5:P190),$AD$2:$AD$422,0))="؟",INDEX($H$2:$H$422,MATCH(ROWS($P$5:P190),$AD$2:$AD$422,0))="نامشخص"),"",INDEX($H$2:$H$422,MATCH(ROWS($P$5:P190),$AD$2:$AD$422,0))),""))</f>
      </c>
      <c r="U190">
        <f>IF($P190="","",INDEX($L$2:$L$422,MATCH(ROWS($P$5:P190),$AD$2:$AD$422,0)))</f>
      </c>
      <c r="V190">
        <f>IF($P190="","",INDEX($M$2:$M$422,MATCH(ROWS($P$5:P190),$AD$2:$AD$422,0)))</f>
      </c>
      <c r="AD190">
        <f>IF(AND(LEN($Q$2)&gt;=3,ISNUMBER(SEARCH($Q$2,$B190))),MAX($AD$1:AD189)+1,"")</f>
      </c>
    </row>
    <row r="191" ht="14.4" customHeight="1" spans="1:30" x14ac:dyDescent="0.25">
      <c r="A191" s="16" t="s">
        <v>1049</v>
      </c>
      <c r="B191" s="16" t="s">
        <v>185</v>
      </c>
      <c r="C191" s="16" t="s">
        <v>1050</v>
      </c>
      <c r="D191" s="16" t="s">
        <v>825</v>
      </c>
      <c r="E191" s="16" t="s">
        <v>150</v>
      </c>
      <c r="F191" s="16" t="s">
        <v>150</v>
      </c>
      <c r="G191" s="17">
        <f t="shared" si="10"/>
        <v>255000</v>
      </c>
      <c r="H191" s="18">
        <v>255000</v>
      </c>
      <c r="I191" s="19">
        <v>1</v>
      </c>
      <c r="J191" s="18">
        <f t="shared" si="13"/>
        <v>260000</v>
      </c>
      <c r="K191" s="18" t="s">
        <v>477</v>
      </c>
      <c r="L191" s="16" t="str">
        <f t="shared" si="14"/>
        <v>فعال</v>
      </c>
      <c r="M191" s="16">
        <v>165</v>
      </c>
      <c r="N191" s="16" t="s">
        <v>1049</v>
      </c>
      <c r="O191" t="s">
        <v>1051</v>
      </c>
      <c r="P191">
        <f>IFERROR(INDEX($A$2:$A$422,MATCH(ROWS($P$5:P191),$AD$2:$AD$422,0)),"")</f>
      </c>
      <c r="Q191">
        <f>IF($P191="","",INDEX($B$2:$B$422,MATCH(ROWS($P$5:P191),$AD$2:$AD$422,0)))</f>
      </c>
      <c r="R191">
        <f>IF($P191="","",INDEX($C$2:$C$422,MATCH(ROWS($P$5:P191),$AD$2:$AD$422,0)))</f>
      </c>
      <c r="S191">
        <f>IF($P191="","",INDEX($E$2:$E$422,MATCH(ROWS($P$5:P191),$AD$2:$AD$422,0)))</f>
      </c>
      <c r="T191" s="22">
        <f>IF($P191="","",IFERROR(IF(OR(INDEX($H$2:$H$422,MATCH(ROWS($P$5:P191),$AD$2:$AD$422,0))="",INDEX($H$2:$H$422,MATCH(ROWS($P$5:P191),$AD$2:$AD$422,0))="؟",INDEX($H$2:$H$422,MATCH(ROWS($P$5:P191),$AD$2:$AD$422,0))="نامشخص"),"",INDEX($H$2:$H$422,MATCH(ROWS($P$5:P191),$AD$2:$AD$422,0))),""))</f>
      </c>
      <c r="U191">
        <f>IF($P191="","",INDEX($L$2:$L$422,MATCH(ROWS($P$5:P191),$AD$2:$AD$422,0)))</f>
      </c>
      <c r="V191">
        <f>IF($P191="","",INDEX($M$2:$M$422,MATCH(ROWS($P$5:P191),$AD$2:$AD$422,0)))</f>
      </c>
      <c r="AD191">
        <f>IF(AND(LEN($Q$2)&gt;=3,ISNUMBER(SEARCH($Q$2,$B191))),MAX($AD$1:AD190)+1,"")</f>
      </c>
    </row>
    <row r="192" ht="14.4" customHeight="1" spans="1:30" x14ac:dyDescent="0.25">
      <c r="A192" s="16" t="s">
        <v>1052</v>
      </c>
      <c r="B192" s="16" t="s">
        <v>186</v>
      </c>
      <c r="C192" s="16" t="s">
        <v>1053</v>
      </c>
      <c r="D192" s="16" t="s">
        <v>825</v>
      </c>
      <c r="E192" s="16" t="s">
        <v>11</v>
      </c>
      <c r="F192" s="16" t="s">
        <v>11</v>
      </c>
      <c r="G192" s="17">
        <f t="shared" si="10"/>
        <v>1760000</v>
      </c>
      <c r="H192" s="18">
        <v>1760000</v>
      </c>
      <c r="I192" s="19">
        <v>3</v>
      </c>
      <c r="J192" s="18">
        <f t="shared" si="13"/>
        <v>1820000</v>
      </c>
      <c r="K192" s="18" t="s">
        <v>477</v>
      </c>
      <c r="L192" s="16" t="str">
        <f t="shared" si="14"/>
        <v>فعال</v>
      </c>
      <c r="M192" s="16">
        <v>166</v>
      </c>
      <c r="N192" s="16" t="s">
        <v>1052</v>
      </c>
      <c r="O192" t="s">
        <v>1054</v>
      </c>
      <c r="P192">
        <f>IFERROR(INDEX($A$2:$A$422,MATCH(ROWS($P$5:P192),$AD$2:$AD$422,0)),"")</f>
      </c>
      <c r="Q192">
        <f>IF($P192="","",INDEX($B$2:$B$422,MATCH(ROWS($P$5:P192),$AD$2:$AD$422,0)))</f>
      </c>
      <c r="R192">
        <f>IF($P192="","",INDEX($C$2:$C$422,MATCH(ROWS($P$5:P192),$AD$2:$AD$422,0)))</f>
      </c>
      <c r="S192">
        <f>IF($P192="","",INDEX($E$2:$E$422,MATCH(ROWS($P$5:P192),$AD$2:$AD$422,0)))</f>
      </c>
      <c r="T192" s="22">
        <f>IF($P192="","",IFERROR(IF(OR(INDEX($H$2:$H$422,MATCH(ROWS($P$5:P192),$AD$2:$AD$422,0))="",INDEX($H$2:$H$422,MATCH(ROWS($P$5:P192),$AD$2:$AD$422,0))="؟",INDEX($H$2:$H$422,MATCH(ROWS($P$5:P192),$AD$2:$AD$422,0))="نامشخص"),"",INDEX($H$2:$H$422,MATCH(ROWS($P$5:P192),$AD$2:$AD$422,0))),""))</f>
      </c>
      <c r="U192">
        <f>IF($P192="","",INDEX($L$2:$L$422,MATCH(ROWS($P$5:P192),$AD$2:$AD$422,0)))</f>
      </c>
      <c r="V192">
        <f>IF($P192="","",INDEX($M$2:$M$422,MATCH(ROWS($P$5:P192),$AD$2:$AD$422,0)))</f>
      </c>
      <c r="AD192">
        <f>IF(AND(LEN($Q$2)&gt;=3,ISNUMBER(SEARCH($Q$2,$B192))),MAX($AD$1:AD191)+1,"")</f>
      </c>
    </row>
    <row r="193" ht="14.4" customHeight="1" spans="1:30" x14ac:dyDescent="0.25">
      <c r="A193" s="16" t="s">
        <v>1055</v>
      </c>
      <c r="B193" s="16" t="s">
        <v>186</v>
      </c>
      <c r="C193" s="16" t="s">
        <v>1056</v>
      </c>
      <c r="D193" s="16" t="s">
        <v>825</v>
      </c>
      <c r="E193" s="16" t="s">
        <v>12</v>
      </c>
      <c r="F193" s="16" t="s">
        <v>12</v>
      </c>
      <c r="G193" s="17">
        <f t="shared" si="10"/>
        <v>3500000</v>
      </c>
      <c r="H193" s="18">
        <v>3500000</v>
      </c>
      <c r="I193" s="19">
        <v>2</v>
      </c>
      <c r="J193" s="18">
        <f t="shared" si="13"/>
        <v>3570000</v>
      </c>
      <c r="K193" s="18" t="s">
        <v>477</v>
      </c>
      <c r="L193" s="16" t="str">
        <f t="shared" si="14"/>
        <v>فعال</v>
      </c>
      <c r="M193" s="16">
        <v>166</v>
      </c>
      <c r="N193" s="16" t="s">
        <v>1055</v>
      </c>
      <c r="O193" t="s">
        <v>1057</v>
      </c>
      <c r="P193">
        <f>IFERROR(INDEX($A$2:$A$422,MATCH(ROWS($P$5:P193),$AD$2:$AD$422,0)),"")</f>
      </c>
      <c r="Q193">
        <f>IF($P193="","",INDEX($B$2:$B$422,MATCH(ROWS($P$5:P193),$AD$2:$AD$422,0)))</f>
      </c>
      <c r="R193">
        <f>IF($P193="","",INDEX($C$2:$C$422,MATCH(ROWS($P$5:P193),$AD$2:$AD$422,0)))</f>
      </c>
      <c r="S193">
        <f>IF($P193="","",INDEX($E$2:$E$422,MATCH(ROWS($P$5:P193),$AD$2:$AD$422,0)))</f>
      </c>
      <c r="T193" s="22">
        <f>IF($P193="","",IFERROR(IF(OR(INDEX($H$2:$H$422,MATCH(ROWS($P$5:P193),$AD$2:$AD$422,0))="",INDEX($H$2:$H$422,MATCH(ROWS($P$5:P193),$AD$2:$AD$422,0))="؟",INDEX($H$2:$H$422,MATCH(ROWS($P$5:P193),$AD$2:$AD$422,0))="نامشخص"),"",INDEX($H$2:$H$422,MATCH(ROWS($P$5:P193),$AD$2:$AD$422,0))),""))</f>
      </c>
      <c r="U193">
        <f>IF($P193="","",INDEX($L$2:$L$422,MATCH(ROWS($P$5:P193),$AD$2:$AD$422,0)))</f>
      </c>
      <c r="V193">
        <f>IF($P193="","",INDEX($M$2:$M$422,MATCH(ROWS($P$5:P193),$AD$2:$AD$422,0)))</f>
      </c>
      <c r="AD193">
        <f>IF(AND(LEN($Q$2)&gt;=3,ISNUMBER(SEARCH($Q$2,$B193))),MAX($AD$1:AD192)+1,"")</f>
      </c>
    </row>
    <row r="194" ht="14.4" customHeight="1" spans="1:30" x14ac:dyDescent="0.25">
      <c r="A194" s="16" t="s">
        <v>1058</v>
      </c>
      <c r="B194" s="16" t="s">
        <v>187</v>
      </c>
      <c r="C194" s="16" t="s">
        <v>1059</v>
      </c>
      <c r="D194" s="16" t="s">
        <v>825</v>
      </c>
      <c r="E194" s="16" t="s">
        <v>149</v>
      </c>
      <c r="F194" s="16" t="s">
        <v>149</v>
      </c>
      <c r="G194" s="17">
        <f t="shared" ref="G194:G257" si="15">H194</f>
        <v>65000</v>
      </c>
      <c r="H194" s="18">
        <v>65000</v>
      </c>
      <c r="I194" s="19">
        <v>1</v>
      </c>
      <c r="J194" s="18">
        <f t="shared" si="13"/>
        <v>70000</v>
      </c>
      <c r="K194" s="18" t="s">
        <v>477</v>
      </c>
      <c r="L194" s="16" t="str">
        <f t="shared" si="14"/>
        <v>فعال</v>
      </c>
      <c r="M194" s="16">
        <v>167</v>
      </c>
      <c r="N194" s="16" t="s">
        <v>1058</v>
      </c>
      <c r="O194" t="s">
        <v>1060</v>
      </c>
      <c r="P194">
        <f>IFERROR(INDEX($A$2:$A$422,MATCH(ROWS($P$5:P194),$AD$2:$AD$422,0)),"")</f>
      </c>
      <c r="Q194">
        <f>IF($P194="","",INDEX($B$2:$B$422,MATCH(ROWS($P$5:P194),$AD$2:$AD$422,0)))</f>
      </c>
      <c r="R194">
        <f>IF($P194="","",INDEX($C$2:$C$422,MATCH(ROWS($P$5:P194),$AD$2:$AD$422,0)))</f>
      </c>
      <c r="S194">
        <f>IF($P194="","",INDEX($E$2:$E$422,MATCH(ROWS($P$5:P194),$AD$2:$AD$422,0)))</f>
      </c>
      <c r="T194" s="22">
        <f>IF($P194="","",IFERROR(IF(OR(INDEX($H$2:$H$422,MATCH(ROWS($P$5:P194),$AD$2:$AD$422,0))="",INDEX($H$2:$H$422,MATCH(ROWS($P$5:P194),$AD$2:$AD$422,0))="؟",INDEX($H$2:$H$422,MATCH(ROWS($P$5:P194),$AD$2:$AD$422,0))="نامشخص"),"",INDEX($H$2:$H$422,MATCH(ROWS($P$5:P194),$AD$2:$AD$422,0))),""))</f>
      </c>
      <c r="U194">
        <f>IF($P194="","",INDEX($L$2:$L$422,MATCH(ROWS($P$5:P194),$AD$2:$AD$422,0)))</f>
      </c>
      <c r="V194">
        <f>IF($P194="","",INDEX($M$2:$M$422,MATCH(ROWS($P$5:P194),$AD$2:$AD$422,0)))</f>
      </c>
      <c r="AD194">
        <f>IF(AND(LEN($Q$2)&gt;=3,ISNUMBER(SEARCH($Q$2,$B194))),MAX($AD$1:AD193)+1,"")</f>
      </c>
    </row>
    <row r="195" ht="14.4" customHeight="1" spans="1:30" x14ac:dyDescent="0.25">
      <c r="A195" s="16" t="s">
        <v>1061</v>
      </c>
      <c r="B195" s="16" t="s">
        <v>187</v>
      </c>
      <c r="C195" s="16" t="s">
        <v>1062</v>
      </c>
      <c r="D195" s="16" t="s">
        <v>825</v>
      </c>
      <c r="E195" s="16" t="s">
        <v>150</v>
      </c>
      <c r="F195" s="16" t="s">
        <v>150</v>
      </c>
      <c r="G195" s="17">
        <f t="shared" si="15"/>
        <v>120000</v>
      </c>
      <c r="H195" s="18">
        <v>120000</v>
      </c>
      <c r="I195" s="19">
        <v>2</v>
      </c>
      <c r="J195" s="18">
        <f t="shared" si="13"/>
        <v>130000</v>
      </c>
      <c r="K195" s="18" t="s">
        <v>477</v>
      </c>
      <c r="L195" s="16" t="str">
        <f t="shared" si="14"/>
        <v>فعال</v>
      </c>
      <c r="M195" s="16">
        <v>167</v>
      </c>
      <c r="N195" s="16" t="s">
        <v>1061</v>
      </c>
      <c r="O195" t="s">
        <v>1063</v>
      </c>
      <c r="P195">
        <f>IFERROR(INDEX($A$2:$A$422,MATCH(ROWS($P$5:P195),$AD$2:$AD$422,0)),"")</f>
      </c>
      <c r="Q195">
        <f>IF($P195="","",INDEX($B$2:$B$422,MATCH(ROWS($P$5:P195),$AD$2:$AD$422,0)))</f>
      </c>
      <c r="R195">
        <f>IF($P195="","",INDEX($C$2:$C$422,MATCH(ROWS($P$5:P195),$AD$2:$AD$422,0)))</f>
      </c>
      <c r="S195">
        <f>IF($P195="","",INDEX($E$2:$E$422,MATCH(ROWS($P$5:P195),$AD$2:$AD$422,0)))</f>
      </c>
      <c r="T195" s="22">
        <f>IF($P195="","",IFERROR(IF(OR(INDEX($H$2:$H$422,MATCH(ROWS($P$5:P195),$AD$2:$AD$422,0))="",INDEX($H$2:$H$422,MATCH(ROWS($P$5:P195),$AD$2:$AD$422,0))="؟",INDEX($H$2:$H$422,MATCH(ROWS($P$5:P195),$AD$2:$AD$422,0))="نامشخص"),"",INDEX($H$2:$H$422,MATCH(ROWS($P$5:P195),$AD$2:$AD$422,0))),""))</f>
      </c>
      <c r="U195">
        <f>IF($P195="","",INDEX($L$2:$L$422,MATCH(ROWS($P$5:P195),$AD$2:$AD$422,0)))</f>
      </c>
      <c r="V195">
        <f>IF($P195="","",INDEX($M$2:$M$422,MATCH(ROWS($P$5:P195),$AD$2:$AD$422,0)))</f>
      </c>
      <c r="AD195">
        <f>IF(AND(LEN($Q$2)&gt;=3,ISNUMBER(SEARCH($Q$2,$B195))),MAX($AD$1:AD194)+1,"")</f>
      </c>
    </row>
    <row r="196" ht="14.4" customHeight="1" spans="1:30" x14ac:dyDescent="0.25">
      <c r="A196" s="16" t="s">
        <v>1064</v>
      </c>
      <c r="B196" s="16" t="s">
        <v>188</v>
      </c>
      <c r="C196" s="16" t="s">
        <v>1065</v>
      </c>
      <c r="D196" s="16" t="s">
        <v>825</v>
      </c>
      <c r="E196" s="16" t="s">
        <v>149</v>
      </c>
      <c r="F196" s="16" t="s">
        <v>149</v>
      </c>
      <c r="G196" s="17">
        <f t="shared" si="15"/>
        <v>90000</v>
      </c>
      <c r="H196" s="18">
        <v>90000</v>
      </c>
      <c r="I196" s="19">
        <v>3</v>
      </c>
      <c r="J196" s="18">
        <f t="shared" si="13"/>
        <v>100000</v>
      </c>
      <c r="K196" s="18" t="s">
        <v>477</v>
      </c>
      <c r="L196" s="16" t="str">
        <f t="shared" si="14"/>
        <v>فعال</v>
      </c>
      <c r="M196" s="16">
        <v>168</v>
      </c>
      <c r="N196" s="16" t="s">
        <v>1064</v>
      </c>
      <c r="O196" t="s">
        <v>1066</v>
      </c>
      <c r="P196">
        <f>IFERROR(INDEX($A$2:$A$422,MATCH(ROWS($P$5:P196),$AD$2:$AD$422,0)),"")</f>
      </c>
      <c r="Q196">
        <f>IF($P196="","",INDEX($B$2:$B$422,MATCH(ROWS($P$5:P196),$AD$2:$AD$422,0)))</f>
      </c>
      <c r="R196">
        <f>IF($P196="","",INDEX($C$2:$C$422,MATCH(ROWS($P$5:P196),$AD$2:$AD$422,0)))</f>
      </c>
      <c r="S196">
        <f>IF($P196="","",INDEX($E$2:$E$422,MATCH(ROWS($P$5:P196),$AD$2:$AD$422,0)))</f>
      </c>
      <c r="T196" s="22">
        <f>IF($P196="","",IFERROR(IF(OR(INDEX($H$2:$H$422,MATCH(ROWS($P$5:P196),$AD$2:$AD$422,0))="",INDEX($H$2:$H$422,MATCH(ROWS($P$5:P196),$AD$2:$AD$422,0))="؟",INDEX($H$2:$H$422,MATCH(ROWS($P$5:P196),$AD$2:$AD$422,0))="نامشخص"),"",INDEX($H$2:$H$422,MATCH(ROWS($P$5:P196),$AD$2:$AD$422,0))),""))</f>
      </c>
      <c r="U196">
        <f>IF($P196="","",INDEX($L$2:$L$422,MATCH(ROWS($P$5:P196),$AD$2:$AD$422,0)))</f>
      </c>
      <c r="V196">
        <f>IF($P196="","",INDEX($M$2:$M$422,MATCH(ROWS($P$5:P196),$AD$2:$AD$422,0)))</f>
      </c>
      <c r="AD196">
        <f>IF(AND(LEN($Q$2)&gt;=3,ISNUMBER(SEARCH($Q$2,$B196))),MAX($AD$1:AD195)+1,"")</f>
      </c>
    </row>
    <row r="197" ht="14.4" customHeight="1" spans="1:30" x14ac:dyDescent="0.25">
      <c r="A197" s="16" t="s">
        <v>1067</v>
      </c>
      <c r="B197" s="16" t="s">
        <v>188</v>
      </c>
      <c r="C197" s="16" t="s">
        <v>1068</v>
      </c>
      <c r="D197" s="16" t="s">
        <v>825</v>
      </c>
      <c r="E197" s="16" t="s">
        <v>150</v>
      </c>
      <c r="F197" s="16" t="s">
        <v>150</v>
      </c>
      <c r="G197" s="17">
        <f t="shared" si="15"/>
        <v>170000</v>
      </c>
      <c r="H197" s="18">
        <v>170000</v>
      </c>
      <c r="I197" s="19">
        <v>1</v>
      </c>
      <c r="J197" s="18">
        <f t="shared" si="13"/>
        <v>180000</v>
      </c>
      <c r="K197" s="18" t="s">
        <v>477</v>
      </c>
      <c r="L197" s="16" t="str">
        <f t="shared" si="14"/>
        <v>فعال</v>
      </c>
      <c r="M197" s="16">
        <v>168</v>
      </c>
      <c r="N197" s="16" t="s">
        <v>1067</v>
      </c>
      <c r="O197" t="s">
        <v>1069</v>
      </c>
      <c r="P197">
        <f>IFERROR(INDEX($A$2:$A$422,MATCH(ROWS($P$5:P197),$AD$2:$AD$422,0)),"")</f>
      </c>
      <c r="Q197">
        <f>IF($P197="","",INDEX($B$2:$B$422,MATCH(ROWS($P$5:P197),$AD$2:$AD$422,0)))</f>
      </c>
      <c r="R197">
        <f>IF($P197="","",INDEX($C$2:$C$422,MATCH(ROWS($P$5:P197),$AD$2:$AD$422,0)))</f>
      </c>
      <c r="S197">
        <f>IF($P197="","",INDEX($E$2:$E$422,MATCH(ROWS($P$5:P197),$AD$2:$AD$422,0)))</f>
      </c>
      <c r="T197" s="22">
        <f>IF($P197="","",IFERROR(IF(OR(INDEX($H$2:$H$422,MATCH(ROWS($P$5:P197),$AD$2:$AD$422,0))="",INDEX($H$2:$H$422,MATCH(ROWS($P$5:P197),$AD$2:$AD$422,0))="؟",INDEX($H$2:$H$422,MATCH(ROWS($P$5:P197),$AD$2:$AD$422,0))="نامشخص"),"",INDEX($H$2:$H$422,MATCH(ROWS($P$5:P197),$AD$2:$AD$422,0))),""))</f>
      </c>
      <c r="U197">
        <f>IF($P197="","",INDEX($L$2:$L$422,MATCH(ROWS($P$5:P197),$AD$2:$AD$422,0)))</f>
      </c>
      <c r="V197">
        <f>IF($P197="","",INDEX($M$2:$M$422,MATCH(ROWS($P$5:P197),$AD$2:$AD$422,0)))</f>
      </c>
      <c r="AD197">
        <f>IF(AND(LEN($Q$2)&gt;=3,ISNUMBER(SEARCH($Q$2,$B197))),MAX($AD$1:AD196)+1,"")</f>
      </c>
    </row>
    <row r="198" ht="14.4" customHeight="1" spans="1:30" x14ac:dyDescent="0.25">
      <c r="A198" s="16" t="s">
        <v>1070</v>
      </c>
      <c r="B198" s="16" t="s">
        <v>189</v>
      </c>
      <c r="C198" s="16" t="s">
        <v>1071</v>
      </c>
      <c r="D198" s="16" t="s">
        <v>825</v>
      </c>
      <c r="E198" s="16" t="s">
        <v>149</v>
      </c>
      <c r="F198" s="16" t="s">
        <v>149</v>
      </c>
      <c r="G198" s="17">
        <f t="shared" si="15"/>
        <v>65000</v>
      </c>
      <c r="H198" s="18">
        <v>65000</v>
      </c>
      <c r="I198" s="19">
        <v>2</v>
      </c>
      <c r="J198" s="18">
        <f t="shared" si="13"/>
        <v>70000</v>
      </c>
      <c r="K198" s="18" t="s">
        <v>477</v>
      </c>
      <c r="L198" s="16" t="str">
        <f t="shared" si="14"/>
        <v>فعال</v>
      </c>
      <c r="M198" s="16">
        <v>169</v>
      </c>
      <c r="N198" s="16" t="s">
        <v>1070</v>
      </c>
      <c r="O198" t="s">
        <v>1072</v>
      </c>
      <c r="P198">
        <f>IFERROR(INDEX($A$2:$A$422,MATCH(ROWS($P$5:P198),$AD$2:$AD$422,0)),"")</f>
      </c>
      <c r="Q198">
        <f>IF($P198="","",INDEX($B$2:$B$422,MATCH(ROWS($P$5:P198),$AD$2:$AD$422,0)))</f>
      </c>
      <c r="R198">
        <f>IF($P198="","",INDEX($C$2:$C$422,MATCH(ROWS($P$5:P198),$AD$2:$AD$422,0)))</f>
      </c>
      <c r="S198">
        <f>IF($P198="","",INDEX($E$2:$E$422,MATCH(ROWS($P$5:P198),$AD$2:$AD$422,0)))</f>
      </c>
      <c r="T198" s="22">
        <f>IF($P198="","",IFERROR(IF(OR(INDEX($H$2:$H$422,MATCH(ROWS($P$5:P198),$AD$2:$AD$422,0))="",INDEX($H$2:$H$422,MATCH(ROWS($P$5:P198),$AD$2:$AD$422,0))="؟",INDEX($H$2:$H$422,MATCH(ROWS($P$5:P198),$AD$2:$AD$422,0))="نامشخص"),"",INDEX($H$2:$H$422,MATCH(ROWS($P$5:P198),$AD$2:$AD$422,0))),""))</f>
      </c>
      <c r="U198">
        <f>IF($P198="","",INDEX($L$2:$L$422,MATCH(ROWS($P$5:P198),$AD$2:$AD$422,0)))</f>
      </c>
      <c r="V198">
        <f>IF($P198="","",INDEX($M$2:$M$422,MATCH(ROWS($P$5:P198),$AD$2:$AD$422,0)))</f>
      </c>
      <c r="AD198">
        <f>IF(AND(LEN($Q$2)&gt;=3,ISNUMBER(SEARCH($Q$2,$B198))),MAX($AD$1:AD197)+1,"")</f>
      </c>
    </row>
    <row r="199" ht="14.4" customHeight="1" spans="1:30" x14ac:dyDescent="0.25">
      <c r="A199" s="16" t="s">
        <v>1073</v>
      </c>
      <c r="B199" s="16" t="s">
        <v>189</v>
      </c>
      <c r="C199" s="16" t="s">
        <v>1074</v>
      </c>
      <c r="D199" s="16" t="s">
        <v>825</v>
      </c>
      <c r="E199" s="16" t="s">
        <v>150</v>
      </c>
      <c r="F199" s="16" t="s">
        <v>150</v>
      </c>
      <c r="G199" s="17">
        <f t="shared" si="15"/>
        <v>120000</v>
      </c>
      <c r="H199" s="18">
        <v>120000</v>
      </c>
      <c r="I199" s="19">
        <v>2</v>
      </c>
      <c r="J199" s="18">
        <f t="shared" si="13"/>
        <v>130000</v>
      </c>
      <c r="K199" s="18" t="s">
        <v>477</v>
      </c>
      <c r="L199" s="16" t="str">
        <f t="shared" si="14"/>
        <v>فعال</v>
      </c>
      <c r="M199" s="16">
        <v>169</v>
      </c>
      <c r="N199" s="16" t="s">
        <v>1073</v>
      </c>
      <c r="O199" t="s">
        <v>1075</v>
      </c>
      <c r="P199">
        <f>IFERROR(INDEX($A$2:$A$422,MATCH(ROWS($P$5:P199),$AD$2:$AD$422,0)),"")</f>
      </c>
      <c r="Q199">
        <f>IF($P199="","",INDEX($B$2:$B$422,MATCH(ROWS($P$5:P199),$AD$2:$AD$422,0)))</f>
      </c>
      <c r="R199">
        <f>IF($P199="","",INDEX($C$2:$C$422,MATCH(ROWS($P$5:P199),$AD$2:$AD$422,0)))</f>
      </c>
      <c r="S199">
        <f>IF($P199="","",INDEX($E$2:$E$422,MATCH(ROWS($P$5:P199),$AD$2:$AD$422,0)))</f>
      </c>
      <c r="T199" s="22">
        <f>IF($P199="","",IFERROR(IF(OR(INDEX($H$2:$H$422,MATCH(ROWS($P$5:P199),$AD$2:$AD$422,0))="",INDEX($H$2:$H$422,MATCH(ROWS($P$5:P199),$AD$2:$AD$422,0))="؟",INDEX($H$2:$H$422,MATCH(ROWS($P$5:P199),$AD$2:$AD$422,0))="نامشخص"),"",INDEX($H$2:$H$422,MATCH(ROWS($P$5:P199),$AD$2:$AD$422,0))),""))</f>
      </c>
      <c r="U199">
        <f>IF($P199="","",INDEX($L$2:$L$422,MATCH(ROWS($P$5:P199),$AD$2:$AD$422,0)))</f>
      </c>
      <c r="V199">
        <f>IF($P199="","",INDEX($M$2:$M$422,MATCH(ROWS($P$5:P199),$AD$2:$AD$422,0)))</f>
      </c>
      <c r="AD199">
        <f>IF(AND(LEN($Q$2)&gt;=3,ISNUMBER(SEARCH($Q$2,$B199))),MAX($AD$1:AD198)+1,"")</f>
      </c>
    </row>
    <row r="200" ht="14.4" customHeight="1" spans="1:30" x14ac:dyDescent="0.25">
      <c r="A200" s="16" t="s">
        <v>1076</v>
      </c>
      <c r="B200" s="16" t="s">
        <v>190</v>
      </c>
      <c r="C200" s="16" t="s">
        <v>1077</v>
      </c>
      <c r="D200" s="16" t="s">
        <v>825</v>
      </c>
      <c r="E200" s="16" t="s">
        <v>191</v>
      </c>
      <c r="F200" s="16" t="s">
        <v>191</v>
      </c>
      <c r="G200" s="17">
        <f t="shared" si="15"/>
        <v>145000</v>
      </c>
      <c r="H200" s="18">
        <v>145000</v>
      </c>
      <c r="I200" s="19">
        <v>3</v>
      </c>
      <c r="J200" s="18">
        <f t="shared" si="13"/>
        <v>150000</v>
      </c>
      <c r="K200" s="18" t="s">
        <v>477</v>
      </c>
      <c r="L200" s="16" t="str">
        <f t="shared" si="14"/>
        <v>فعال</v>
      </c>
      <c r="M200" s="16">
        <v>170</v>
      </c>
      <c r="N200" s="16" t="s">
        <v>1076</v>
      </c>
      <c r="O200" t="s">
        <v>1078</v>
      </c>
      <c r="P200">
        <f>IFERROR(INDEX($A$2:$A$422,MATCH(ROWS($P$5:P200),$AD$2:$AD$422,0)),"")</f>
      </c>
      <c r="Q200">
        <f>IF($P200="","",INDEX($B$2:$B$422,MATCH(ROWS($P$5:P200),$AD$2:$AD$422,0)))</f>
      </c>
      <c r="R200">
        <f>IF($P200="","",INDEX($C$2:$C$422,MATCH(ROWS($P$5:P200),$AD$2:$AD$422,0)))</f>
      </c>
      <c r="S200">
        <f>IF($P200="","",INDEX($E$2:$E$422,MATCH(ROWS($P$5:P200),$AD$2:$AD$422,0)))</f>
      </c>
      <c r="T200" s="22">
        <f>IF($P200="","",IFERROR(IF(OR(INDEX($H$2:$H$422,MATCH(ROWS($P$5:P200),$AD$2:$AD$422,0))="",INDEX($H$2:$H$422,MATCH(ROWS($P$5:P200),$AD$2:$AD$422,0))="؟",INDEX($H$2:$H$422,MATCH(ROWS($P$5:P200),$AD$2:$AD$422,0))="نامشخص"),"",INDEX($H$2:$H$422,MATCH(ROWS($P$5:P200),$AD$2:$AD$422,0))),""))</f>
      </c>
      <c r="U200">
        <f>IF($P200="","",INDEX($L$2:$L$422,MATCH(ROWS($P$5:P200),$AD$2:$AD$422,0)))</f>
      </c>
      <c r="V200">
        <f>IF($P200="","",INDEX($M$2:$M$422,MATCH(ROWS($P$5:P200),$AD$2:$AD$422,0)))</f>
      </c>
      <c r="AD200">
        <f>IF(AND(LEN($Q$2)&gt;=3,ISNUMBER(SEARCH($Q$2,$B200))),MAX($AD$1:AD199)+1,"")</f>
      </c>
    </row>
    <row r="201" ht="14.4" customHeight="1" spans="1:30" x14ac:dyDescent="0.25">
      <c r="A201" s="16" t="s">
        <v>1079</v>
      </c>
      <c r="B201" s="16" t="s">
        <v>190</v>
      </c>
      <c r="C201" s="16" t="s">
        <v>1080</v>
      </c>
      <c r="D201" s="16" t="s">
        <v>825</v>
      </c>
      <c r="E201" s="16" t="s">
        <v>9</v>
      </c>
      <c r="F201" s="16" t="s">
        <v>9</v>
      </c>
      <c r="G201" s="17">
        <f t="shared" si="15"/>
        <v>1500000</v>
      </c>
      <c r="H201" s="18">
        <v>1500000</v>
      </c>
      <c r="I201" s="19">
        <v>3</v>
      </c>
      <c r="J201" s="18">
        <f t="shared" si="13"/>
        <v>1550000</v>
      </c>
      <c r="K201" s="18" t="s">
        <v>477</v>
      </c>
      <c r="L201" s="16" t="str">
        <f t="shared" si="14"/>
        <v>فعال</v>
      </c>
      <c r="M201" s="16">
        <v>170</v>
      </c>
      <c r="N201" s="16" t="s">
        <v>1079</v>
      </c>
      <c r="O201" t="s">
        <v>1081</v>
      </c>
      <c r="P201">
        <f>IFERROR(INDEX($A$2:$A$422,MATCH(ROWS($P$5:P201),$AD$2:$AD$422,0)),"")</f>
      </c>
      <c r="Q201">
        <f>IF($P201="","",INDEX($B$2:$B$422,MATCH(ROWS($P$5:P201),$AD$2:$AD$422,0)))</f>
      </c>
      <c r="R201">
        <f>IF($P201="","",INDEX($C$2:$C$422,MATCH(ROWS($P$5:P201),$AD$2:$AD$422,0)))</f>
      </c>
      <c r="S201">
        <f>IF($P201="","",INDEX($E$2:$E$422,MATCH(ROWS($P$5:P201),$AD$2:$AD$422,0)))</f>
      </c>
      <c r="T201" s="22">
        <f>IF($P201="","",IFERROR(IF(OR(INDEX($H$2:$H$422,MATCH(ROWS($P$5:P201),$AD$2:$AD$422,0))="",INDEX($H$2:$H$422,MATCH(ROWS($P$5:P201),$AD$2:$AD$422,0))="؟",INDEX($H$2:$H$422,MATCH(ROWS($P$5:P201),$AD$2:$AD$422,0))="نامشخص"),"",INDEX($H$2:$H$422,MATCH(ROWS($P$5:P201),$AD$2:$AD$422,0))),""))</f>
      </c>
      <c r="U201">
        <f>IF($P201="","",INDEX($L$2:$L$422,MATCH(ROWS($P$5:P201),$AD$2:$AD$422,0)))</f>
      </c>
      <c r="V201">
        <f>IF($P201="","",INDEX($M$2:$M$422,MATCH(ROWS($P$5:P201),$AD$2:$AD$422,0)))</f>
      </c>
      <c r="AD201">
        <f>IF(AND(LEN($Q$2)&gt;=3,ISNUMBER(SEARCH($Q$2,$B201))),MAX($AD$1:AD200)+1,"")</f>
      </c>
    </row>
    <row r="202" ht="14.4" customHeight="1" spans="1:30" x14ac:dyDescent="0.25">
      <c r="A202" s="16" t="s">
        <v>1082</v>
      </c>
      <c r="B202" s="16" t="s">
        <v>192</v>
      </c>
      <c r="C202" s="16" t="s">
        <v>1083</v>
      </c>
      <c r="D202" s="16" t="s">
        <v>825</v>
      </c>
      <c r="E202" s="16" t="s">
        <v>149</v>
      </c>
      <c r="F202" s="16" t="s">
        <v>149</v>
      </c>
      <c r="G202" s="17">
        <f t="shared" si="15"/>
        <v>120000</v>
      </c>
      <c r="H202" s="18">
        <v>120000</v>
      </c>
      <c r="I202" s="19">
        <v>1</v>
      </c>
      <c r="J202" s="18">
        <f t="shared" si="13"/>
        <v>130000</v>
      </c>
      <c r="K202" s="18" t="s">
        <v>477</v>
      </c>
      <c r="L202" s="16" t="str">
        <f t="shared" si="14"/>
        <v>فعال</v>
      </c>
      <c r="M202" s="16">
        <v>171</v>
      </c>
      <c r="N202" s="16" t="s">
        <v>1082</v>
      </c>
      <c r="O202" t="s">
        <v>1084</v>
      </c>
      <c r="P202">
        <f>IFERROR(INDEX($A$2:$A$422,MATCH(ROWS($P$5:P202),$AD$2:$AD$422,0)),"")</f>
      </c>
      <c r="Q202">
        <f>IF($P202="","",INDEX($B$2:$B$422,MATCH(ROWS($P$5:P202),$AD$2:$AD$422,0)))</f>
      </c>
      <c r="R202">
        <f>IF($P202="","",INDEX($C$2:$C$422,MATCH(ROWS($P$5:P202),$AD$2:$AD$422,0)))</f>
      </c>
      <c r="S202">
        <f>IF($P202="","",INDEX($E$2:$E$422,MATCH(ROWS($P$5:P202),$AD$2:$AD$422,0)))</f>
      </c>
      <c r="T202" s="22">
        <f>IF($P202="","",IFERROR(IF(OR(INDEX($H$2:$H$422,MATCH(ROWS($P$5:P202),$AD$2:$AD$422,0))="",INDEX($H$2:$H$422,MATCH(ROWS($P$5:P202),$AD$2:$AD$422,0))="؟",INDEX($H$2:$H$422,MATCH(ROWS($P$5:P202),$AD$2:$AD$422,0))="نامشخص"),"",INDEX($H$2:$H$422,MATCH(ROWS($P$5:P202),$AD$2:$AD$422,0))),""))</f>
      </c>
      <c r="U202">
        <f>IF($P202="","",INDEX($L$2:$L$422,MATCH(ROWS($P$5:P202),$AD$2:$AD$422,0)))</f>
      </c>
      <c r="V202">
        <f>IF($P202="","",INDEX($M$2:$M$422,MATCH(ROWS($P$5:P202),$AD$2:$AD$422,0)))</f>
      </c>
      <c r="AD202">
        <f>IF(AND(LEN($Q$2)&gt;=3,ISNUMBER(SEARCH($Q$2,$B202))),MAX($AD$1:AD201)+1,"")</f>
      </c>
    </row>
    <row r="203" ht="14.4" customHeight="1" spans="1:30" x14ac:dyDescent="0.25">
      <c r="A203" s="16" t="s">
        <v>1085</v>
      </c>
      <c r="B203" s="16" t="s">
        <v>192</v>
      </c>
      <c r="C203" s="16" t="s">
        <v>1086</v>
      </c>
      <c r="D203" s="16" t="s">
        <v>825</v>
      </c>
      <c r="E203" s="16" t="s">
        <v>150</v>
      </c>
      <c r="F203" s="16" t="s">
        <v>150</v>
      </c>
      <c r="G203" s="17" t="str">
        <f t="shared" si="15"/>
        <v>؟</v>
      </c>
      <c r="H203" s="18" t="s">
        <v>8</v>
      </c>
      <c r="I203" s="19">
        <v>2</v>
      </c>
      <c r="J203" s="18">
        <f t="shared" si="13"/>
      </c>
      <c r="K203" s="18" t="s">
        <v>477</v>
      </c>
      <c r="L203" s="16" t="str">
        <f t="shared" si="14"/>
        <v>نیاز به استعلام</v>
      </c>
      <c r="M203" s="16">
        <v>171</v>
      </c>
      <c r="N203" s="16" t="s">
        <v>1085</v>
      </c>
      <c r="O203" t="s">
        <v>1087</v>
      </c>
      <c r="P203">
        <f>IFERROR(INDEX($A$2:$A$422,MATCH(ROWS($P$5:P203),$AD$2:$AD$422,0)),"")</f>
      </c>
      <c r="Q203">
        <f>IF($P203="","",INDEX($B$2:$B$422,MATCH(ROWS($P$5:P203),$AD$2:$AD$422,0)))</f>
      </c>
      <c r="R203">
        <f>IF($P203="","",INDEX($C$2:$C$422,MATCH(ROWS($P$5:P203),$AD$2:$AD$422,0)))</f>
      </c>
      <c r="S203">
        <f>IF($P203="","",INDEX($E$2:$E$422,MATCH(ROWS($P$5:P203),$AD$2:$AD$422,0)))</f>
      </c>
      <c r="T203" s="22">
        <f>IF($P203="","",IFERROR(IF(OR(INDEX($H$2:$H$422,MATCH(ROWS($P$5:P203),$AD$2:$AD$422,0))="",INDEX($H$2:$H$422,MATCH(ROWS($P$5:P203),$AD$2:$AD$422,0))="؟",INDEX($H$2:$H$422,MATCH(ROWS($P$5:P203),$AD$2:$AD$422,0))="نامشخص"),"",INDEX($H$2:$H$422,MATCH(ROWS($P$5:P203),$AD$2:$AD$422,0))),""))</f>
      </c>
      <c r="U203">
        <f>IF($P203="","",INDEX($L$2:$L$422,MATCH(ROWS($P$5:P203),$AD$2:$AD$422,0)))</f>
      </c>
      <c r="V203">
        <f>IF($P203="","",INDEX($M$2:$M$422,MATCH(ROWS($P$5:P203),$AD$2:$AD$422,0)))</f>
      </c>
      <c r="AD203">
        <f>IF(AND(LEN($Q$2)&gt;=3,ISNUMBER(SEARCH($Q$2,$B203))),MAX($AD$1:AD202)+1,"")</f>
      </c>
    </row>
    <row r="204" ht="14.4" customHeight="1" spans="1:30" x14ac:dyDescent="0.25">
      <c r="A204" s="16" t="s">
        <v>1088</v>
      </c>
      <c r="B204" s="16" t="s">
        <v>193</v>
      </c>
      <c r="C204" s="16" t="s">
        <v>1089</v>
      </c>
      <c r="D204" s="16" t="s">
        <v>825</v>
      </c>
      <c r="E204" s="16" t="s">
        <v>11</v>
      </c>
      <c r="F204" s="16" t="s">
        <v>11</v>
      </c>
      <c r="G204" s="17">
        <f t="shared" si="15"/>
        <v>1475000</v>
      </c>
      <c r="H204" s="18">
        <v>1475000</v>
      </c>
      <c r="I204" s="19">
        <v>1</v>
      </c>
      <c r="J204" s="18">
        <f t="shared" si="13"/>
        <v>1490000</v>
      </c>
      <c r="K204" s="18" t="s">
        <v>477</v>
      </c>
      <c r="L204" s="16" t="str">
        <f t="shared" si="14"/>
        <v>فعال</v>
      </c>
      <c r="M204" s="16">
        <v>172</v>
      </c>
      <c r="N204" s="16" t="s">
        <v>1088</v>
      </c>
      <c r="O204" t="s">
        <v>1090</v>
      </c>
      <c r="P204">
        <f>IFERROR(INDEX($A$2:$A$422,MATCH(ROWS($P$5:P204),$AD$2:$AD$422,0)),"")</f>
      </c>
      <c r="Q204">
        <f>IF($P204="","",INDEX($B$2:$B$422,MATCH(ROWS($P$5:P204),$AD$2:$AD$422,0)))</f>
      </c>
      <c r="R204">
        <f>IF($P204="","",INDEX($C$2:$C$422,MATCH(ROWS($P$5:P204),$AD$2:$AD$422,0)))</f>
      </c>
      <c r="S204">
        <f>IF($P204="","",INDEX($E$2:$E$422,MATCH(ROWS($P$5:P204),$AD$2:$AD$422,0)))</f>
      </c>
      <c r="T204" s="22">
        <f>IF($P204="","",IFERROR(IF(OR(INDEX($H$2:$H$422,MATCH(ROWS($P$5:P204),$AD$2:$AD$422,0))="",INDEX($H$2:$H$422,MATCH(ROWS($P$5:P204),$AD$2:$AD$422,0))="؟",INDEX($H$2:$H$422,MATCH(ROWS($P$5:P204),$AD$2:$AD$422,0))="نامشخص"),"",INDEX($H$2:$H$422,MATCH(ROWS($P$5:P204),$AD$2:$AD$422,0))),""))</f>
      </c>
      <c r="U204">
        <f>IF($P204="","",INDEX($L$2:$L$422,MATCH(ROWS($P$5:P204),$AD$2:$AD$422,0)))</f>
      </c>
      <c r="V204">
        <f>IF($P204="","",INDEX($M$2:$M$422,MATCH(ROWS($P$5:P204),$AD$2:$AD$422,0)))</f>
      </c>
      <c r="AD204">
        <f>IF(AND(LEN($Q$2)&gt;=3,ISNUMBER(SEARCH($Q$2,$B204))),MAX($AD$1:AD203)+1,"")</f>
      </c>
    </row>
    <row r="205" ht="14.4" customHeight="1" spans="1:30" x14ac:dyDescent="0.25">
      <c r="A205" s="16" t="s">
        <v>1091</v>
      </c>
      <c r="B205" s="16" t="s">
        <v>193</v>
      </c>
      <c r="C205" s="16" t="s">
        <v>1092</v>
      </c>
      <c r="D205" s="16" t="s">
        <v>825</v>
      </c>
      <c r="E205" s="16" t="s">
        <v>12</v>
      </c>
      <c r="F205" s="16" t="s">
        <v>12</v>
      </c>
      <c r="G205" s="17">
        <f t="shared" si="15"/>
        <v>2950000</v>
      </c>
      <c r="H205" s="18">
        <v>2950000</v>
      </c>
      <c r="I205" s="19">
        <v>1</v>
      </c>
      <c r="J205" s="18">
        <f t="shared" si="13"/>
        <v>2980000</v>
      </c>
      <c r="K205" s="18" t="s">
        <v>477</v>
      </c>
      <c r="L205" s="16" t="str">
        <f t="shared" si="14"/>
        <v>فعال</v>
      </c>
      <c r="M205" s="16">
        <v>172</v>
      </c>
      <c r="N205" s="16" t="s">
        <v>1091</v>
      </c>
      <c r="O205" t="s">
        <v>1093</v>
      </c>
      <c r="P205">
        <f>IFERROR(INDEX($A$2:$A$422,MATCH(ROWS($P$5:P205),$AD$2:$AD$422,0)),"")</f>
      </c>
      <c r="Q205">
        <f>IF($P205="","",INDEX($B$2:$B$422,MATCH(ROWS($P$5:P205),$AD$2:$AD$422,0)))</f>
      </c>
      <c r="R205">
        <f>IF($P205="","",INDEX($C$2:$C$422,MATCH(ROWS($P$5:P205),$AD$2:$AD$422,0)))</f>
      </c>
      <c r="S205">
        <f>IF($P205="","",INDEX($E$2:$E$422,MATCH(ROWS($P$5:P205),$AD$2:$AD$422,0)))</f>
      </c>
      <c r="T205" s="22">
        <f>IF($P205="","",IFERROR(IF(OR(INDEX($H$2:$H$422,MATCH(ROWS($P$5:P205),$AD$2:$AD$422,0))="",INDEX($H$2:$H$422,MATCH(ROWS($P$5:P205),$AD$2:$AD$422,0))="؟",INDEX($H$2:$H$422,MATCH(ROWS($P$5:P205),$AD$2:$AD$422,0))="نامشخص"),"",INDEX($H$2:$H$422,MATCH(ROWS($P$5:P205),$AD$2:$AD$422,0))),""))</f>
      </c>
      <c r="U205">
        <f>IF($P205="","",INDEX($L$2:$L$422,MATCH(ROWS($P$5:P205),$AD$2:$AD$422,0)))</f>
      </c>
      <c r="V205">
        <f>IF($P205="","",INDEX($M$2:$M$422,MATCH(ROWS($P$5:P205),$AD$2:$AD$422,0)))</f>
      </c>
      <c r="AD205">
        <f>IF(AND(LEN($Q$2)&gt;=3,ISNUMBER(SEARCH($Q$2,$B205))),MAX($AD$1:AD204)+1,"")</f>
      </c>
    </row>
    <row r="206" ht="14.4" customHeight="1" spans="1:30" x14ac:dyDescent="0.25">
      <c r="A206" s="16" t="s">
        <v>1094</v>
      </c>
      <c r="B206" s="16" t="s">
        <v>193</v>
      </c>
      <c r="C206" s="16" t="s">
        <v>1095</v>
      </c>
      <c r="D206" s="16" t="s">
        <v>825</v>
      </c>
      <c r="E206" s="16" t="s">
        <v>149</v>
      </c>
      <c r="F206" s="16" t="s">
        <v>149</v>
      </c>
      <c r="G206" s="17">
        <f t="shared" si="15"/>
        <v>100000</v>
      </c>
      <c r="H206" s="18">
        <v>100000</v>
      </c>
      <c r="I206" s="19">
        <v>3</v>
      </c>
      <c r="J206" s="18">
        <f t="shared" si="13"/>
        <v>110000</v>
      </c>
      <c r="K206" s="18" t="s">
        <v>477</v>
      </c>
      <c r="L206" s="16" t="str">
        <f t="shared" si="14"/>
        <v>فعال</v>
      </c>
      <c r="M206" s="16">
        <v>173</v>
      </c>
      <c r="N206" s="16" t="s">
        <v>1094</v>
      </c>
      <c r="O206" t="s">
        <v>1096</v>
      </c>
      <c r="P206">
        <f>IFERROR(INDEX($A$2:$A$422,MATCH(ROWS($P$5:P206),$AD$2:$AD$422,0)),"")</f>
      </c>
      <c r="Q206">
        <f>IF($P206="","",INDEX($B$2:$B$422,MATCH(ROWS($P$5:P206),$AD$2:$AD$422,0)))</f>
      </c>
      <c r="R206">
        <f>IF($P206="","",INDEX($C$2:$C$422,MATCH(ROWS($P$5:P206),$AD$2:$AD$422,0)))</f>
      </c>
      <c r="S206">
        <f>IF($P206="","",INDEX($E$2:$E$422,MATCH(ROWS($P$5:P206),$AD$2:$AD$422,0)))</f>
      </c>
      <c r="T206" s="22">
        <f>IF($P206="","",IFERROR(IF(OR(INDEX($H$2:$H$422,MATCH(ROWS($P$5:P206),$AD$2:$AD$422,0))="",INDEX($H$2:$H$422,MATCH(ROWS($P$5:P206),$AD$2:$AD$422,0))="؟",INDEX($H$2:$H$422,MATCH(ROWS($P$5:P206),$AD$2:$AD$422,0))="نامشخص"),"",INDEX($H$2:$H$422,MATCH(ROWS($P$5:P206),$AD$2:$AD$422,0))),""))</f>
      </c>
      <c r="U206">
        <f>IF($P206="","",INDEX($L$2:$L$422,MATCH(ROWS($P$5:P206),$AD$2:$AD$422,0)))</f>
      </c>
      <c r="V206">
        <f>IF($P206="","",INDEX($M$2:$M$422,MATCH(ROWS($P$5:P206),$AD$2:$AD$422,0)))</f>
      </c>
      <c r="AD206">
        <f>IF(AND(LEN($Q$2)&gt;=3,ISNUMBER(SEARCH($Q$2,$B206))),MAX($AD$1:AD205)+1,"")</f>
      </c>
    </row>
    <row r="207" ht="14.4" customHeight="1" spans="1:30" x14ac:dyDescent="0.25">
      <c r="A207" s="16" t="s">
        <v>1097</v>
      </c>
      <c r="B207" s="16" t="s">
        <v>193</v>
      </c>
      <c r="C207" s="16" t="s">
        <v>1098</v>
      </c>
      <c r="D207" s="16" t="s">
        <v>825</v>
      </c>
      <c r="E207" s="16" t="s">
        <v>150</v>
      </c>
      <c r="F207" s="16" t="s">
        <v>150</v>
      </c>
      <c r="G207" s="17">
        <f t="shared" si="15"/>
        <v>195000</v>
      </c>
      <c r="H207" s="18">
        <v>195000</v>
      </c>
      <c r="I207" s="19">
        <v>1</v>
      </c>
      <c r="J207" s="18">
        <f t="shared" si="13"/>
        <v>200000</v>
      </c>
      <c r="K207" s="18" t="s">
        <v>477</v>
      </c>
      <c r="L207" s="16" t="str">
        <f t="shared" si="14"/>
        <v>فعال</v>
      </c>
      <c r="M207" s="16">
        <v>173</v>
      </c>
      <c r="N207" s="16" t="s">
        <v>1097</v>
      </c>
      <c r="O207" t="s">
        <v>1099</v>
      </c>
      <c r="P207">
        <f>IFERROR(INDEX($A$2:$A$422,MATCH(ROWS($P$5:P207),$AD$2:$AD$422,0)),"")</f>
      </c>
      <c r="Q207">
        <f>IF($P207="","",INDEX($B$2:$B$422,MATCH(ROWS($P$5:P207),$AD$2:$AD$422,0)))</f>
      </c>
      <c r="R207">
        <f>IF($P207="","",INDEX($C$2:$C$422,MATCH(ROWS($P$5:P207),$AD$2:$AD$422,0)))</f>
      </c>
      <c r="S207">
        <f>IF($P207="","",INDEX($E$2:$E$422,MATCH(ROWS($P$5:P207),$AD$2:$AD$422,0)))</f>
      </c>
      <c r="T207" s="22">
        <f>IF($P207="","",IFERROR(IF(OR(INDEX($H$2:$H$422,MATCH(ROWS($P$5:P207),$AD$2:$AD$422,0))="",INDEX($H$2:$H$422,MATCH(ROWS($P$5:P207),$AD$2:$AD$422,0))="؟",INDEX($H$2:$H$422,MATCH(ROWS($P$5:P207),$AD$2:$AD$422,0))="نامشخص"),"",INDEX($H$2:$H$422,MATCH(ROWS($P$5:P207),$AD$2:$AD$422,0))),""))</f>
      </c>
      <c r="U207">
        <f>IF($P207="","",INDEX($L$2:$L$422,MATCH(ROWS($P$5:P207),$AD$2:$AD$422,0)))</f>
      </c>
      <c r="V207">
        <f>IF($P207="","",INDEX($M$2:$M$422,MATCH(ROWS($P$5:P207),$AD$2:$AD$422,0)))</f>
      </c>
      <c r="AD207">
        <f>IF(AND(LEN($Q$2)&gt;=3,ISNUMBER(SEARCH($Q$2,$B207))),MAX($AD$1:AD206)+1,"")</f>
      </c>
    </row>
    <row r="208" ht="14.4" customHeight="1" spans="1:30" x14ac:dyDescent="0.25">
      <c r="A208" s="16" t="s">
        <v>1100</v>
      </c>
      <c r="B208" s="16" t="s">
        <v>194</v>
      </c>
      <c r="C208" s="16" t="s">
        <v>1101</v>
      </c>
      <c r="D208" s="16" t="s">
        <v>825</v>
      </c>
      <c r="E208" s="16" t="s">
        <v>149</v>
      </c>
      <c r="F208" s="16" t="s">
        <v>149</v>
      </c>
      <c r="G208" s="17">
        <f t="shared" si="15"/>
        <v>100000</v>
      </c>
      <c r="H208" s="18">
        <v>100000</v>
      </c>
      <c r="I208" s="19">
        <v>3</v>
      </c>
      <c r="J208" s="18">
        <f t="shared" si="13"/>
        <v>110000</v>
      </c>
      <c r="K208" s="18" t="s">
        <v>477</v>
      </c>
      <c r="L208" s="16" t="str">
        <f t="shared" si="14"/>
        <v>فعال</v>
      </c>
      <c r="M208" s="16">
        <v>174</v>
      </c>
      <c r="N208" s="16" t="s">
        <v>1100</v>
      </c>
      <c r="O208" t="s">
        <v>1102</v>
      </c>
      <c r="P208">
        <f>IFERROR(INDEX($A$2:$A$422,MATCH(ROWS($P$5:P208),$AD$2:$AD$422,0)),"")</f>
      </c>
      <c r="Q208">
        <f>IF($P208="","",INDEX($B$2:$B$422,MATCH(ROWS($P$5:P208),$AD$2:$AD$422,0)))</f>
      </c>
      <c r="R208">
        <f>IF($P208="","",INDEX($C$2:$C$422,MATCH(ROWS($P$5:P208),$AD$2:$AD$422,0)))</f>
      </c>
      <c r="S208">
        <f>IF($P208="","",INDEX($E$2:$E$422,MATCH(ROWS($P$5:P208),$AD$2:$AD$422,0)))</f>
      </c>
      <c r="T208" s="22">
        <f>IF($P208="","",IFERROR(IF(OR(INDEX($H$2:$H$422,MATCH(ROWS($P$5:P208),$AD$2:$AD$422,0))="",INDEX($H$2:$H$422,MATCH(ROWS($P$5:P208),$AD$2:$AD$422,0))="؟",INDEX($H$2:$H$422,MATCH(ROWS($P$5:P208),$AD$2:$AD$422,0))="نامشخص"),"",INDEX($H$2:$H$422,MATCH(ROWS($P$5:P208),$AD$2:$AD$422,0))),""))</f>
      </c>
      <c r="U208">
        <f>IF($P208="","",INDEX($L$2:$L$422,MATCH(ROWS($P$5:P208),$AD$2:$AD$422,0)))</f>
      </c>
      <c r="V208">
        <f>IF($P208="","",INDEX($M$2:$M$422,MATCH(ROWS($P$5:P208),$AD$2:$AD$422,0)))</f>
      </c>
      <c r="AD208">
        <f>IF(AND(LEN($Q$2)&gt;=3,ISNUMBER(SEARCH($Q$2,$B208))),MAX($AD$1:AD207)+1,"")</f>
      </c>
    </row>
    <row r="209" ht="14.4" customHeight="1" spans="1:30" x14ac:dyDescent="0.25">
      <c r="A209" s="16" t="s">
        <v>1103</v>
      </c>
      <c r="B209" s="16" t="s">
        <v>194</v>
      </c>
      <c r="C209" s="16" t="s">
        <v>1104</v>
      </c>
      <c r="D209" s="16" t="s">
        <v>825</v>
      </c>
      <c r="E209" s="16" t="s">
        <v>150</v>
      </c>
      <c r="F209" s="16" t="s">
        <v>150</v>
      </c>
      <c r="G209" s="17">
        <f t="shared" si="15"/>
        <v>195000</v>
      </c>
      <c r="H209" s="18">
        <v>195000</v>
      </c>
      <c r="I209" s="19">
        <v>2</v>
      </c>
      <c r="J209" s="18">
        <f t="shared" si="13"/>
        <v>200000</v>
      </c>
      <c r="K209" s="18" t="s">
        <v>477</v>
      </c>
      <c r="L209" s="16" t="str">
        <f t="shared" si="14"/>
        <v>فعال</v>
      </c>
      <c r="M209" s="16">
        <v>174</v>
      </c>
      <c r="N209" s="16" t="s">
        <v>1103</v>
      </c>
      <c r="O209" t="s">
        <v>1105</v>
      </c>
      <c r="P209">
        <f>IFERROR(INDEX($A$2:$A$422,MATCH(ROWS($P$5:P209),$AD$2:$AD$422,0)),"")</f>
      </c>
      <c r="Q209">
        <f>IF($P209="","",INDEX($B$2:$B$422,MATCH(ROWS($P$5:P209),$AD$2:$AD$422,0)))</f>
      </c>
      <c r="R209">
        <f>IF($P209="","",INDEX($C$2:$C$422,MATCH(ROWS($P$5:P209),$AD$2:$AD$422,0)))</f>
      </c>
      <c r="S209">
        <f>IF($P209="","",INDEX($E$2:$E$422,MATCH(ROWS($P$5:P209),$AD$2:$AD$422,0)))</f>
      </c>
      <c r="T209" s="22">
        <f>IF($P209="","",IFERROR(IF(OR(INDEX($H$2:$H$422,MATCH(ROWS($P$5:P209),$AD$2:$AD$422,0))="",INDEX($H$2:$H$422,MATCH(ROWS($P$5:P209),$AD$2:$AD$422,0))="؟",INDEX($H$2:$H$422,MATCH(ROWS($P$5:P209),$AD$2:$AD$422,0))="نامشخص"),"",INDEX($H$2:$H$422,MATCH(ROWS($P$5:P209),$AD$2:$AD$422,0))),""))</f>
      </c>
      <c r="U209">
        <f>IF($P209="","",INDEX($L$2:$L$422,MATCH(ROWS($P$5:P209),$AD$2:$AD$422,0)))</f>
      </c>
      <c r="V209">
        <f>IF($P209="","",INDEX($M$2:$M$422,MATCH(ROWS($P$5:P209),$AD$2:$AD$422,0)))</f>
      </c>
      <c r="AD209">
        <f>IF(AND(LEN($Q$2)&gt;=3,ISNUMBER(SEARCH($Q$2,$B209))),MAX($AD$1:AD208)+1,"")</f>
      </c>
    </row>
    <row r="210" ht="14.4" customHeight="1" spans="1:30" x14ac:dyDescent="0.25">
      <c r="A210" s="16" t="s">
        <v>1106</v>
      </c>
      <c r="B210" s="16" t="s">
        <v>208</v>
      </c>
      <c r="C210" s="16" t="s">
        <v>1107</v>
      </c>
      <c r="D210" s="16" t="s">
        <v>825</v>
      </c>
      <c r="E210" s="16" t="s">
        <v>149</v>
      </c>
      <c r="F210" s="16" t="s">
        <v>149</v>
      </c>
      <c r="G210" s="17">
        <f t="shared" si="15"/>
        <v>90000</v>
      </c>
      <c r="H210" s="18">
        <v>90000</v>
      </c>
      <c r="I210" s="19">
        <v>1</v>
      </c>
      <c r="J210" s="18">
        <f t="shared" si="13"/>
        <v>100000</v>
      </c>
      <c r="K210" s="18" t="s">
        <v>477</v>
      </c>
      <c r="L210" s="16" t="str">
        <f t="shared" si="14"/>
        <v>فعال</v>
      </c>
      <c r="M210" s="16">
        <v>189</v>
      </c>
      <c r="N210" s="16" t="s">
        <v>1106</v>
      </c>
      <c r="O210" t="s">
        <v>1108</v>
      </c>
      <c r="P210">
        <f>IFERROR(INDEX($A$2:$A$422,MATCH(ROWS($P$5:P210),$AD$2:$AD$422,0)),"")</f>
      </c>
      <c r="Q210">
        <f>IF($P210="","",INDEX($B$2:$B$422,MATCH(ROWS($P$5:P210),$AD$2:$AD$422,0)))</f>
      </c>
      <c r="R210">
        <f>IF($P210="","",INDEX($C$2:$C$422,MATCH(ROWS($P$5:P210),$AD$2:$AD$422,0)))</f>
      </c>
      <c r="S210">
        <f>IF($P210="","",INDEX($E$2:$E$422,MATCH(ROWS($P$5:P210),$AD$2:$AD$422,0)))</f>
      </c>
      <c r="T210" s="22">
        <f>IF($P210="","",IFERROR(IF(OR(INDEX($H$2:$H$422,MATCH(ROWS($P$5:P210),$AD$2:$AD$422,0))="",INDEX($H$2:$H$422,MATCH(ROWS($P$5:P210),$AD$2:$AD$422,0))="؟",INDEX($H$2:$H$422,MATCH(ROWS($P$5:P210),$AD$2:$AD$422,0))="نامشخص"),"",INDEX($H$2:$H$422,MATCH(ROWS($P$5:P210),$AD$2:$AD$422,0))),""))</f>
      </c>
      <c r="U210">
        <f>IF($P210="","",INDEX($L$2:$L$422,MATCH(ROWS($P$5:P210),$AD$2:$AD$422,0)))</f>
      </c>
      <c r="V210">
        <f>IF($P210="","",INDEX($M$2:$M$422,MATCH(ROWS($P$5:P210),$AD$2:$AD$422,0)))</f>
      </c>
      <c r="AD210">
        <f>IF(AND(LEN($Q$2)&gt;=3,ISNUMBER(SEARCH($Q$2,$B210))),MAX($AD$1:AD209)+1,"")</f>
      </c>
    </row>
    <row r="211" ht="14.4" customHeight="1" spans="1:30" x14ac:dyDescent="0.25">
      <c r="A211" s="16" t="s">
        <v>1109</v>
      </c>
      <c r="B211" s="16" t="s">
        <v>208</v>
      </c>
      <c r="C211" s="16" t="s">
        <v>1110</v>
      </c>
      <c r="D211" s="16" t="s">
        <v>825</v>
      </c>
      <c r="E211" s="16" t="s">
        <v>150</v>
      </c>
      <c r="F211" s="16" t="s">
        <v>150</v>
      </c>
      <c r="G211" s="17">
        <f t="shared" si="15"/>
        <v>170000</v>
      </c>
      <c r="H211" s="18">
        <v>170000</v>
      </c>
      <c r="I211" s="19">
        <v>3</v>
      </c>
      <c r="J211" s="18">
        <f t="shared" si="13"/>
        <v>180000</v>
      </c>
      <c r="K211" s="18" t="s">
        <v>477</v>
      </c>
      <c r="L211" s="16" t="str">
        <f t="shared" si="14"/>
        <v>فعال</v>
      </c>
      <c r="M211" s="16">
        <v>189</v>
      </c>
      <c r="N211" s="16" t="s">
        <v>1109</v>
      </c>
      <c r="O211" t="s">
        <v>1111</v>
      </c>
      <c r="P211">
        <f>IFERROR(INDEX($A$2:$A$422,MATCH(ROWS($P$5:P211),$AD$2:$AD$422,0)),"")</f>
      </c>
      <c r="Q211">
        <f>IF($P211="","",INDEX($B$2:$B$422,MATCH(ROWS($P$5:P211),$AD$2:$AD$422,0)))</f>
      </c>
      <c r="R211">
        <f>IF($P211="","",INDEX($C$2:$C$422,MATCH(ROWS($P$5:P211),$AD$2:$AD$422,0)))</f>
      </c>
      <c r="S211">
        <f>IF($P211="","",INDEX($E$2:$E$422,MATCH(ROWS($P$5:P211),$AD$2:$AD$422,0)))</f>
      </c>
      <c r="T211" s="22">
        <f>IF($P211="","",IFERROR(IF(OR(INDEX($H$2:$H$422,MATCH(ROWS($P$5:P211),$AD$2:$AD$422,0))="",INDEX($H$2:$H$422,MATCH(ROWS($P$5:P211),$AD$2:$AD$422,0))="؟",INDEX($H$2:$H$422,MATCH(ROWS($P$5:P211),$AD$2:$AD$422,0))="نامشخص"),"",INDEX($H$2:$H$422,MATCH(ROWS($P$5:P211),$AD$2:$AD$422,0))),""))</f>
      </c>
      <c r="U211">
        <f>IF($P211="","",INDEX($L$2:$L$422,MATCH(ROWS($P$5:P211),$AD$2:$AD$422,0)))</f>
      </c>
      <c r="V211">
        <f>IF($P211="","",INDEX($M$2:$M$422,MATCH(ROWS($P$5:P211),$AD$2:$AD$422,0)))</f>
      </c>
      <c r="AD211">
        <f>IF(AND(LEN($Q$2)&gt;=3,ISNUMBER(SEARCH($Q$2,$B211))),MAX($AD$1:AD210)+1,"")</f>
      </c>
    </row>
    <row r="212" ht="14.4" customHeight="1" spans="1:30" x14ac:dyDescent="0.25">
      <c r="A212" s="16" t="s">
        <v>1112</v>
      </c>
      <c r="B212" s="16" t="s">
        <v>209</v>
      </c>
      <c r="C212" s="16" t="s">
        <v>1113</v>
      </c>
      <c r="D212" s="16" t="s">
        <v>825</v>
      </c>
      <c r="E212" s="16" t="s">
        <v>149</v>
      </c>
      <c r="F212" s="16" t="s">
        <v>149</v>
      </c>
      <c r="G212" s="17">
        <f t="shared" si="15"/>
        <v>100000</v>
      </c>
      <c r="H212" s="18">
        <v>100000</v>
      </c>
      <c r="I212" s="19">
        <v>1</v>
      </c>
      <c r="J212" s="18">
        <f t="shared" si="13"/>
        <v>110000</v>
      </c>
      <c r="K212" s="18" t="s">
        <v>477</v>
      </c>
      <c r="L212" s="16" t="str">
        <f t="shared" si="14"/>
        <v>فعال</v>
      </c>
      <c r="M212" s="16">
        <v>190</v>
      </c>
      <c r="N212" s="16" t="s">
        <v>1112</v>
      </c>
      <c r="O212" t="s">
        <v>1114</v>
      </c>
      <c r="P212">
        <f>IFERROR(INDEX($A$2:$A$422,MATCH(ROWS($P$5:P212),$AD$2:$AD$422,0)),"")</f>
      </c>
      <c r="Q212">
        <f>IF($P212="","",INDEX($B$2:$B$422,MATCH(ROWS($P$5:P212),$AD$2:$AD$422,0)))</f>
      </c>
      <c r="R212">
        <f>IF($P212="","",INDEX($C$2:$C$422,MATCH(ROWS($P$5:P212),$AD$2:$AD$422,0)))</f>
      </c>
      <c r="S212">
        <f>IF($P212="","",INDEX($E$2:$E$422,MATCH(ROWS($P$5:P212),$AD$2:$AD$422,0)))</f>
      </c>
      <c r="T212" s="22">
        <f>IF($P212="","",IFERROR(IF(OR(INDEX($H$2:$H$422,MATCH(ROWS($P$5:P212),$AD$2:$AD$422,0))="",INDEX($H$2:$H$422,MATCH(ROWS($P$5:P212),$AD$2:$AD$422,0))="؟",INDEX($H$2:$H$422,MATCH(ROWS($P$5:P212),$AD$2:$AD$422,0))="نامشخص"),"",INDEX($H$2:$H$422,MATCH(ROWS($P$5:P212),$AD$2:$AD$422,0))),""))</f>
      </c>
      <c r="U212">
        <f>IF($P212="","",INDEX($L$2:$L$422,MATCH(ROWS($P$5:P212),$AD$2:$AD$422,0)))</f>
      </c>
      <c r="V212">
        <f>IF($P212="","",INDEX($M$2:$M$422,MATCH(ROWS($P$5:P212),$AD$2:$AD$422,0)))</f>
      </c>
      <c r="AD212">
        <f>IF(AND(LEN($Q$2)&gt;=3,ISNUMBER(SEARCH($Q$2,$B212))),MAX($AD$1:AD211)+1,"")</f>
      </c>
    </row>
    <row r="213" ht="14.4" customHeight="1" spans="1:30" x14ac:dyDescent="0.25">
      <c r="A213" s="16" t="s">
        <v>1115</v>
      </c>
      <c r="B213" s="16" t="s">
        <v>209</v>
      </c>
      <c r="C213" s="16" t="s">
        <v>1116</v>
      </c>
      <c r="D213" s="16" t="s">
        <v>825</v>
      </c>
      <c r="E213" s="16" t="s">
        <v>150</v>
      </c>
      <c r="F213" s="16" t="s">
        <v>150</v>
      </c>
      <c r="G213" s="17">
        <f t="shared" si="15"/>
        <v>190000</v>
      </c>
      <c r="H213" s="18">
        <v>190000</v>
      </c>
      <c r="I213" s="19">
        <v>2</v>
      </c>
      <c r="J213" s="18">
        <f t="shared" si="13"/>
        <v>200000</v>
      </c>
      <c r="K213" s="18" t="s">
        <v>477</v>
      </c>
      <c r="L213" s="16" t="str">
        <f t="shared" si="14"/>
        <v>فعال</v>
      </c>
      <c r="M213" s="16">
        <v>190</v>
      </c>
      <c r="N213" s="16" t="s">
        <v>1115</v>
      </c>
      <c r="O213" t="s">
        <v>1117</v>
      </c>
      <c r="P213">
        <f>IFERROR(INDEX($A$2:$A$422,MATCH(ROWS($P$5:P213),$AD$2:$AD$422,0)),"")</f>
      </c>
      <c r="Q213">
        <f>IF($P213="","",INDEX($B$2:$B$422,MATCH(ROWS($P$5:P213),$AD$2:$AD$422,0)))</f>
      </c>
      <c r="R213">
        <f>IF($P213="","",INDEX($C$2:$C$422,MATCH(ROWS($P$5:P213),$AD$2:$AD$422,0)))</f>
      </c>
      <c r="S213">
        <f>IF($P213="","",INDEX($E$2:$E$422,MATCH(ROWS($P$5:P213),$AD$2:$AD$422,0)))</f>
      </c>
      <c r="T213" s="22">
        <f>IF($P213="","",IFERROR(IF(OR(INDEX($H$2:$H$422,MATCH(ROWS($P$5:P213),$AD$2:$AD$422,0))="",INDEX($H$2:$H$422,MATCH(ROWS($P$5:P213),$AD$2:$AD$422,0))="؟",INDEX($H$2:$H$422,MATCH(ROWS($P$5:P213),$AD$2:$AD$422,0))="نامشخص"),"",INDEX($H$2:$H$422,MATCH(ROWS($P$5:P213),$AD$2:$AD$422,0))),""))</f>
      </c>
      <c r="U213">
        <f>IF($P213="","",INDEX($L$2:$L$422,MATCH(ROWS($P$5:P213),$AD$2:$AD$422,0)))</f>
      </c>
      <c r="V213">
        <f>IF($P213="","",INDEX($M$2:$M$422,MATCH(ROWS($P$5:P213),$AD$2:$AD$422,0)))</f>
      </c>
      <c r="AD213">
        <f>IF(AND(LEN($Q$2)&gt;=3,ISNUMBER(SEARCH($Q$2,$B213))),MAX($AD$1:AD212)+1,"")</f>
      </c>
    </row>
    <row r="214" ht="14.4" customHeight="1" spans="1:30" x14ac:dyDescent="0.25">
      <c r="A214" s="16" t="s">
        <v>1118</v>
      </c>
      <c r="B214" s="16" t="s">
        <v>210</v>
      </c>
      <c r="C214" s="16" t="s">
        <v>1119</v>
      </c>
      <c r="D214" s="16" t="s">
        <v>825</v>
      </c>
      <c r="E214" s="16" t="s">
        <v>149</v>
      </c>
      <c r="F214" s="16" t="s">
        <v>149</v>
      </c>
      <c r="G214" s="17">
        <f t="shared" si="15"/>
        <v>90000</v>
      </c>
      <c r="H214" s="18">
        <v>90000</v>
      </c>
      <c r="I214" s="19">
        <v>1</v>
      </c>
      <c r="J214" s="18">
        <f t="shared" si="13"/>
        <v>100000</v>
      </c>
      <c r="K214" s="18" t="s">
        <v>477</v>
      </c>
      <c r="L214" s="16" t="str">
        <f t="shared" si="14"/>
        <v>فعال</v>
      </c>
      <c r="M214" s="16">
        <v>191</v>
      </c>
      <c r="N214" s="16" t="s">
        <v>1118</v>
      </c>
      <c r="O214" t="s">
        <v>1120</v>
      </c>
      <c r="P214">
        <f>IFERROR(INDEX($A$2:$A$422,MATCH(ROWS($P$5:P214),$AD$2:$AD$422,0)),"")</f>
      </c>
      <c r="Q214">
        <f>IF($P214="","",INDEX($B$2:$B$422,MATCH(ROWS($P$5:P214),$AD$2:$AD$422,0)))</f>
      </c>
      <c r="R214">
        <f>IF($P214="","",INDEX($C$2:$C$422,MATCH(ROWS($P$5:P214),$AD$2:$AD$422,0)))</f>
      </c>
      <c r="S214">
        <f>IF($P214="","",INDEX($E$2:$E$422,MATCH(ROWS($P$5:P214),$AD$2:$AD$422,0)))</f>
      </c>
      <c r="T214" s="22">
        <f>IF($P214="","",IFERROR(IF(OR(INDEX($H$2:$H$422,MATCH(ROWS($P$5:P214),$AD$2:$AD$422,0))="",INDEX($H$2:$H$422,MATCH(ROWS($P$5:P214),$AD$2:$AD$422,0))="؟",INDEX($H$2:$H$422,MATCH(ROWS($P$5:P214),$AD$2:$AD$422,0))="نامشخص"),"",INDEX($H$2:$H$422,MATCH(ROWS($P$5:P214),$AD$2:$AD$422,0))),""))</f>
      </c>
      <c r="U214">
        <f>IF($P214="","",INDEX($L$2:$L$422,MATCH(ROWS($P$5:P214),$AD$2:$AD$422,0)))</f>
      </c>
      <c r="V214">
        <f>IF($P214="","",INDEX($M$2:$M$422,MATCH(ROWS($P$5:P214),$AD$2:$AD$422,0)))</f>
      </c>
      <c r="AD214">
        <f>IF(AND(LEN($Q$2)&gt;=3,ISNUMBER(SEARCH($Q$2,$B214))),MAX($AD$1:AD213)+1,"")</f>
      </c>
    </row>
    <row r="215" ht="14.4" customHeight="1" spans="1:30" x14ac:dyDescent="0.25">
      <c r="A215" s="16" t="s">
        <v>1121</v>
      </c>
      <c r="B215" s="16" t="s">
        <v>210</v>
      </c>
      <c r="C215" s="16" t="s">
        <v>1122</v>
      </c>
      <c r="D215" s="16" t="s">
        <v>825</v>
      </c>
      <c r="E215" s="16" t="s">
        <v>150</v>
      </c>
      <c r="F215" s="16" t="s">
        <v>150</v>
      </c>
      <c r="G215" s="17">
        <f t="shared" si="15"/>
        <v>170000</v>
      </c>
      <c r="H215" s="18">
        <v>170000</v>
      </c>
      <c r="I215" s="19">
        <v>1</v>
      </c>
      <c r="J215" s="18">
        <f t="shared" si="13"/>
        <v>180000</v>
      </c>
      <c r="K215" s="18" t="s">
        <v>477</v>
      </c>
      <c r="L215" s="16" t="str">
        <f t="shared" si="14"/>
        <v>فعال</v>
      </c>
      <c r="M215" s="16">
        <v>191</v>
      </c>
      <c r="N215" s="16" t="s">
        <v>1121</v>
      </c>
      <c r="O215" t="s">
        <v>1123</v>
      </c>
      <c r="P215">
        <f>IFERROR(INDEX($A$2:$A$422,MATCH(ROWS($P$5:P215),$AD$2:$AD$422,0)),"")</f>
      </c>
      <c r="Q215">
        <f>IF($P215="","",INDEX($B$2:$B$422,MATCH(ROWS($P$5:P215),$AD$2:$AD$422,0)))</f>
      </c>
      <c r="R215">
        <f>IF($P215="","",INDEX($C$2:$C$422,MATCH(ROWS($P$5:P215),$AD$2:$AD$422,0)))</f>
      </c>
      <c r="S215">
        <f>IF($P215="","",INDEX($E$2:$E$422,MATCH(ROWS($P$5:P215),$AD$2:$AD$422,0)))</f>
      </c>
      <c r="T215" s="22">
        <f>IF($P215="","",IFERROR(IF(OR(INDEX($H$2:$H$422,MATCH(ROWS($P$5:P215),$AD$2:$AD$422,0))="",INDEX($H$2:$H$422,MATCH(ROWS($P$5:P215),$AD$2:$AD$422,0))="؟",INDEX($H$2:$H$422,MATCH(ROWS($P$5:P215),$AD$2:$AD$422,0))="نامشخص"),"",INDEX($H$2:$H$422,MATCH(ROWS($P$5:P215),$AD$2:$AD$422,0))),""))</f>
      </c>
      <c r="U215">
        <f>IF($P215="","",INDEX($L$2:$L$422,MATCH(ROWS($P$5:P215),$AD$2:$AD$422,0)))</f>
      </c>
      <c r="V215">
        <f>IF($P215="","",INDEX($M$2:$M$422,MATCH(ROWS($P$5:P215),$AD$2:$AD$422,0)))</f>
      </c>
      <c r="AD215">
        <f>IF(AND(LEN($Q$2)&gt;=3,ISNUMBER(SEARCH($Q$2,$B215))),MAX($AD$1:AD214)+1,"")</f>
      </c>
    </row>
    <row r="216" ht="14.4" customHeight="1" spans="1:30" x14ac:dyDescent="0.25">
      <c r="A216" s="16" t="s">
        <v>1124</v>
      </c>
      <c r="B216" s="16" t="s">
        <v>211</v>
      </c>
      <c r="C216" s="16" t="s">
        <v>1125</v>
      </c>
      <c r="D216" s="16" t="s">
        <v>825</v>
      </c>
      <c r="E216" s="16" t="s">
        <v>149</v>
      </c>
      <c r="F216" s="16" t="s">
        <v>149</v>
      </c>
      <c r="G216" s="17">
        <f t="shared" si="15"/>
        <v>125000</v>
      </c>
      <c r="H216" s="18">
        <v>125000</v>
      </c>
      <c r="I216" s="19">
        <v>1</v>
      </c>
      <c r="J216" s="18">
        <f t="shared" si="13"/>
        <v>130000</v>
      </c>
      <c r="K216" s="18" t="s">
        <v>477</v>
      </c>
      <c r="L216" s="16" t="str">
        <f t="shared" si="14"/>
        <v>فعال</v>
      </c>
      <c r="M216" s="16">
        <v>192</v>
      </c>
      <c r="N216" s="16" t="s">
        <v>1124</v>
      </c>
      <c r="O216" t="s">
        <v>1126</v>
      </c>
      <c r="P216">
        <f>IFERROR(INDEX($A$2:$A$422,MATCH(ROWS($P$5:P216),$AD$2:$AD$422,0)),"")</f>
      </c>
      <c r="Q216">
        <f>IF($P216="","",INDEX($B$2:$B$422,MATCH(ROWS($P$5:P216),$AD$2:$AD$422,0)))</f>
      </c>
      <c r="R216">
        <f>IF($P216="","",INDEX($C$2:$C$422,MATCH(ROWS($P$5:P216),$AD$2:$AD$422,0)))</f>
      </c>
      <c r="S216">
        <f>IF($P216="","",INDEX($E$2:$E$422,MATCH(ROWS($P$5:P216),$AD$2:$AD$422,0)))</f>
      </c>
      <c r="T216" s="22">
        <f>IF($P216="","",IFERROR(IF(OR(INDEX($H$2:$H$422,MATCH(ROWS($P$5:P216),$AD$2:$AD$422,0))="",INDEX($H$2:$H$422,MATCH(ROWS($P$5:P216),$AD$2:$AD$422,0))="؟",INDEX($H$2:$H$422,MATCH(ROWS($P$5:P216),$AD$2:$AD$422,0))="نامشخص"),"",INDEX($H$2:$H$422,MATCH(ROWS($P$5:P216),$AD$2:$AD$422,0))),""))</f>
      </c>
      <c r="U216">
        <f>IF($P216="","",INDEX($L$2:$L$422,MATCH(ROWS($P$5:P216),$AD$2:$AD$422,0)))</f>
      </c>
      <c r="V216">
        <f>IF($P216="","",INDEX($M$2:$M$422,MATCH(ROWS($P$5:P216),$AD$2:$AD$422,0)))</f>
      </c>
      <c r="AD216">
        <f>IF(AND(LEN($Q$2)&gt;=3,ISNUMBER(SEARCH($Q$2,$B216))),MAX($AD$1:AD215)+1,"")</f>
      </c>
    </row>
    <row r="217" ht="14.4" customHeight="1" spans="1:30" x14ac:dyDescent="0.25">
      <c r="A217" s="16" t="s">
        <v>1127</v>
      </c>
      <c r="B217" s="16" t="s">
        <v>211</v>
      </c>
      <c r="C217" s="16" t="s">
        <v>1128</v>
      </c>
      <c r="D217" s="16" t="s">
        <v>825</v>
      </c>
      <c r="E217" s="16" t="s">
        <v>150</v>
      </c>
      <c r="F217" s="16" t="s">
        <v>150</v>
      </c>
      <c r="G217" s="17">
        <f t="shared" si="15"/>
        <v>245000</v>
      </c>
      <c r="H217" s="18">
        <v>245000</v>
      </c>
      <c r="I217" s="19">
        <v>2</v>
      </c>
      <c r="J217" s="18">
        <f t="shared" si="13"/>
        <v>250000</v>
      </c>
      <c r="K217" s="18" t="s">
        <v>477</v>
      </c>
      <c r="L217" s="16" t="str">
        <f t="shared" si="14"/>
        <v>فعال</v>
      </c>
      <c r="M217" s="16">
        <v>192</v>
      </c>
      <c r="N217" s="16" t="s">
        <v>1127</v>
      </c>
      <c r="O217" t="s">
        <v>1129</v>
      </c>
      <c r="P217">
        <f>IFERROR(INDEX($A$2:$A$422,MATCH(ROWS($P$5:P217),$AD$2:$AD$422,0)),"")</f>
      </c>
      <c r="Q217">
        <f>IF($P217="","",INDEX($B$2:$B$422,MATCH(ROWS($P$5:P217),$AD$2:$AD$422,0)))</f>
      </c>
      <c r="R217">
        <f>IF($P217="","",INDEX($C$2:$C$422,MATCH(ROWS($P$5:P217),$AD$2:$AD$422,0)))</f>
      </c>
      <c r="S217">
        <f>IF($P217="","",INDEX($E$2:$E$422,MATCH(ROWS($P$5:P217),$AD$2:$AD$422,0)))</f>
      </c>
      <c r="T217" s="22">
        <f>IF($P217="","",IFERROR(IF(OR(INDEX($H$2:$H$422,MATCH(ROWS($P$5:P217),$AD$2:$AD$422,0))="",INDEX($H$2:$H$422,MATCH(ROWS($P$5:P217),$AD$2:$AD$422,0))="؟",INDEX($H$2:$H$422,MATCH(ROWS($P$5:P217),$AD$2:$AD$422,0))="نامشخص"),"",INDEX($H$2:$H$422,MATCH(ROWS($P$5:P217),$AD$2:$AD$422,0))),""))</f>
      </c>
      <c r="U217">
        <f>IF($P217="","",INDEX($L$2:$L$422,MATCH(ROWS($P$5:P217),$AD$2:$AD$422,0)))</f>
      </c>
      <c r="V217">
        <f>IF($P217="","",INDEX($M$2:$M$422,MATCH(ROWS($P$5:P217),$AD$2:$AD$422,0)))</f>
      </c>
      <c r="AD217">
        <f>IF(AND(LEN($Q$2)&gt;=3,ISNUMBER(SEARCH($Q$2,$B217))),MAX($AD$1:AD216)+1,"")</f>
      </c>
    </row>
    <row r="218" ht="14.4" customHeight="1" spans="1:30" x14ac:dyDescent="0.25">
      <c r="A218" s="16" t="s">
        <v>1130</v>
      </c>
      <c r="B218" s="16" t="s">
        <v>212</v>
      </c>
      <c r="C218" s="16" t="s">
        <v>1131</v>
      </c>
      <c r="D218" s="16" t="s">
        <v>825</v>
      </c>
      <c r="E218" s="16" t="s">
        <v>149</v>
      </c>
      <c r="F218" s="16" t="s">
        <v>149</v>
      </c>
      <c r="G218" s="17">
        <f t="shared" si="15"/>
        <v>90000</v>
      </c>
      <c r="H218" s="18">
        <v>90000</v>
      </c>
      <c r="I218" s="19">
        <v>3</v>
      </c>
      <c r="J218" s="18">
        <f t="shared" si="13"/>
        <v>100000</v>
      </c>
      <c r="K218" s="18" t="s">
        <v>477</v>
      </c>
      <c r="L218" s="16" t="str">
        <f t="shared" si="14"/>
        <v>فعال</v>
      </c>
      <c r="M218" s="16">
        <v>193</v>
      </c>
      <c r="N218" s="16" t="s">
        <v>1130</v>
      </c>
      <c r="O218" t="s">
        <v>1132</v>
      </c>
      <c r="P218">
        <f>IFERROR(INDEX($A$2:$A$422,MATCH(ROWS($P$5:P218),$AD$2:$AD$422,0)),"")</f>
      </c>
      <c r="Q218">
        <f>IF($P218="","",INDEX($B$2:$B$422,MATCH(ROWS($P$5:P218),$AD$2:$AD$422,0)))</f>
      </c>
      <c r="R218">
        <f>IF($P218="","",INDEX($C$2:$C$422,MATCH(ROWS($P$5:P218),$AD$2:$AD$422,0)))</f>
      </c>
      <c r="S218">
        <f>IF($P218="","",INDEX($E$2:$E$422,MATCH(ROWS($P$5:P218),$AD$2:$AD$422,0)))</f>
      </c>
      <c r="T218" s="22">
        <f>IF($P218="","",IFERROR(IF(OR(INDEX($H$2:$H$422,MATCH(ROWS($P$5:P218),$AD$2:$AD$422,0))="",INDEX($H$2:$H$422,MATCH(ROWS($P$5:P218),$AD$2:$AD$422,0))="؟",INDEX($H$2:$H$422,MATCH(ROWS($P$5:P218),$AD$2:$AD$422,0))="نامشخص"),"",INDEX($H$2:$H$422,MATCH(ROWS($P$5:P218),$AD$2:$AD$422,0))),""))</f>
      </c>
      <c r="U218">
        <f>IF($P218="","",INDEX($L$2:$L$422,MATCH(ROWS($P$5:P218),$AD$2:$AD$422,0)))</f>
      </c>
      <c r="V218">
        <f>IF($P218="","",INDEX($M$2:$M$422,MATCH(ROWS($P$5:P218),$AD$2:$AD$422,0)))</f>
      </c>
      <c r="AD218">
        <f>IF(AND(LEN($Q$2)&gt;=3,ISNUMBER(SEARCH($Q$2,$B218))),MAX($AD$1:AD217)+1,"")</f>
      </c>
    </row>
    <row r="219" ht="14.4" customHeight="1" spans="1:30" x14ac:dyDescent="0.25">
      <c r="A219" s="16" t="s">
        <v>1133</v>
      </c>
      <c r="B219" s="16" t="s">
        <v>212</v>
      </c>
      <c r="C219" s="16" t="s">
        <v>1134</v>
      </c>
      <c r="D219" s="16" t="s">
        <v>825</v>
      </c>
      <c r="E219" s="16" t="s">
        <v>150</v>
      </c>
      <c r="F219" s="16" t="s">
        <v>150</v>
      </c>
      <c r="G219" s="17">
        <f t="shared" si="15"/>
        <v>170000</v>
      </c>
      <c r="H219" s="18">
        <v>170000</v>
      </c>
      <c r="I219" s="19">
        <v>3</v>
      </c>
      <c r="J219" s="18">
        <f t="shared" si="13"/>
        <v>180000</v>
      </c>
      <c r="K219" s="18" t="s">
        <v>477</v>
      </c>
      <c r="L219" s="16" t="str">
        <f t="shared" si="14"/>
        <v>فعال</v>
      </c>
      <c r="M219" s="16">
        <v>193</v>
      </c>
      <c r="N219" s="16" t="s">
        <v>1133</v>
      </c>
      <c r="O219" t="s">
        <v>1135</v>
      </c>
      <c r="P219">
        <f>IFERROR(INDEX($A$2:$A$422,MATCH(ROWS($P$5:P219),$AD$2:$AD$422,0)),"")</f>
      </c>
      <c r="Q219">
        <f>IF($P219="","",INDEX($B$2:$B$422,MATCH(ROWS($P$5:P219),$AD$2:$AD$422,0)))</f>
      </c>
      <c r="R219">
        <f>IF($P219="","",INDEX($C$2:$C$422,MATCH(ROWS($P$5:P219),$AD$2:$AD$422,0)))</f>
      </c>
      <c r="S219">
        <f>IF($P219="","",INDEX($E$2:$E$422,MATCH(ROWS($P$5:P219),$AD$2:$AD$422,0)))</f>
      </c>
      <c r="T219" s="22">
        <f>IF($P219="","",IFERROR(IF(OR(INDEX($H$2:$H$422,MATCH(ROWS($P$5:P219),$AD$2:$AD$422,0))="",INDEX($H$2:$H$422,MATCH(ROWS($P$5:P219),$AD$2:$AD$422,0))="؟",INDEX($H$2:$H$422,MATCH(ROWS($P$5:P219),$AD$2:$AD$422,0))="نامشخص"),"",INDEX($H$2:$H$422,MATCH(ROWS($P$5:P219),$AD$2:$AD$422,0))),""))</f>
      </c>
      <c r="U219">
        <f>IF($P219="","",INDEX($L$2:$L$422,MATCH(ROWS($P$5:P219),$AD$2:$AD$422,0)))</f>
      </c>
      <c r="V219">
        <f>IF($P219="","",INDEX($M$2:$M$422,MATCH(ROWS($P$5:P219),$AD$2:$AD$422,0)))</f>
      </c>
      <c r="AD219">
        <f>IF(AND(LEN($Q$2)&gt;=3,ISNUMBER(SEARCH($Q$2,$B219))),MAX($AD$1:AD218)+1,"")</f>
      </c>
    </row>
    <row r="220" ht="14.4" customHeight="1" spans="1:30" x14ac:dyDescent="0.25">
      <c r="A220" s="16" t="s">
        <v>1136</v>
      </c>
      <c r="B220" s="16" t="s">
        <v>213</v>
      </c>
      <c r="C220" s="16" t="s">
        <v>1137</v>
      </c>
      <c r="D220" s="16" t="s">
        <v>825</v>
      </c>
      <c r="E220" s="16" t="s">
        <v>11</v>
      </c>
      <c r="F220" s="16" t="s">
        <v>11</v>
      </c>
      <c r="G220" s="17">
        <f t="shared" si="15"/>
        <v>1100000</v>
      </c>
      <c r="H220" s="18">
        <v>1100000</v>
      </c>
      <c r="I220" s="19">
        <v>2</v>
      </c>
      <c r="J220" s="18">
        <f t="shared" ref="J220:J283" si="16">IF(OR(H220="",H220="؟",H220="نامشخص"),"",CEILING(H220*(1+I220/100),10000))</f>
        <v>1130000</v>
      </c>
      <c r="K220" s="18" t="s">
        <v>477</v>
      </c>
      <c r="L220" s="16" t="str">
        <f t="shared" ref="L220:L283" si="17">IF(OR($H220="",$H220="؟",$H220="نامشخص"),"نیاز به استعلام","فعال")</f>
        <v>فعال</v>
      </c>
      <c r="M220" s="16">
        <v>194</v>
      </c>
      <c r="N220" s="16" t="s">
        <v>1136</v>
      </c>
      <c r="O220" t="s">
        <v>1138</v>
      </c>
      <c r="P220">
        <f>IFERROR(INDEX($A$2:$A$422,MATCH(ROWS($P$5:P220),$AD$2:$AD$422,0)),"")</f>
      </c>
      <c r="Q220">
        <f>IF($P220="","",INDEX($B$2:$B$422,MATCH(ROWS($P$5:P220),$AD$2:$AD$422,0)))</f>
      </c>
      <c r="R220">
        <f>IF($P220="","",INDEX($C$2:$C$422,MATCH(ROWS($P$5:P220),$AD$2:$AD$422,0)))</f>
      </c>
      <c r="S220">
        <f>IF($P220="","",INDEX($E$2:$E$422,MATCH(ROWS($P$5:P220),$AD$2:$AD$422,0)))</f>
      </c>
      <c r="T220" s="22">
        <f>IF($P220="","",IFERROR(IF(OR(INDEX($H$2:$H$422,MATCH(ROWS($P$5:P220),$AD$2:$AD$422,0))="",INDEX($H$2:$H$422,MATCH(ROWS($P$5:P220),$AD$2:$AD$422,0))="؟",INDEX($H$2:$H$422,MATCH(ROWS($P$5:P220),$AD$2:$AD$422,0))="نامشخص"),"",INDEX($H$2:$H$422,MATCH(ROWS($P$5:P220),$AD$2:$AD$422,0))),""))</f>
      </c>
      <c r="U220">
        <f>IF($P220="","",INDEX($L$2:$L$422,MATCH(ROWS($P$5:P220),$AD$2:$AD$422,0)))</f>
      </c>
      <c r="V220">
        <f>IF($P220="","",INDEX($M$2:$M$422,MATCH(ROWS($P$5:P220),$AD$2:$AD$422,0)))</f>
      </c>
      <c r="AD220">
        <f>IF(AND(LEN($Q$2)&gt;=3,ISNUMBER(SEARCH($Q$2,$B220))),MAX($AD$1:AD219)+1,"")</f>
      </c>
    </row>
    <row r="221" ht="14.4" customHeight="1" spans="1:30" x14ac:dyDescent="0.25">
      <c r="A221" s="16" t="s">
        <v>1139</v>
      </c>
      <c r="B221" s="16" t="s">
        <v>213</v>
      </c>
      <c r="C221" s="16" t="s">
        <v>1140</v>
      </c>
      <c r="D221" s="16" t="s">
        <v>825</v>
      </c>
      <c r="E221" s="16" t="s">
        <v>12</v>
      </c>
      <c r="F221" s="16" t="s">
        <v>12</v>
      </c>
      <c r="G221" s="17">
        <f t="shared" si="15"/>
        <v>2200000</v>
      </c>
      <c r="H221" s="18">
        <v>2200000</v>
      </c>
      <c r="I221" s="19">
        <v>1</v>
      </c>
      <c r="J221" s="18">
        <f t="shared" si="16"/>
        <v>2230000</v>
      </c>
      <c r="K221" s="18" t="s">
        <v>477</v>
      </c>
      <c r="L221" s="16" t="str">
        <f t="shared" si="17"/>
        <v>فعال</v>
      </c>
      <c r="M221" s="16">
        <v>194</v>
      </c>
      <c r="N221" s="16" t="s">
        <v>1139</v>
      </c>
      <c r="O221" t="s">
        <v>1141</v>
      </c>
      <c r="P221">
        <f>IFERROR(INDEX($A$2:$A$422,MATCH(ROWS($P$5:P221),$AD$2:$AD$422,0)),"")</f>
      </c>
      <c r="Q221">
        <f>IF($P221="","",INDEX($B$2:$B$422,MATCH(ROWS($P$5:P221),$AD$2:$AD$422,0)))</f>
      </c>
      <c r="R221">
        <f>IF($P221="","",INDEX($C$2:$C$422,MATCH(ROWS($P$5:P221),$AD$2:$AD$422,0)))</f>
      </c>
      <c r="S221">
        <f>IF($P221="","",INDEX($E$2:$E$422,MATCH(ROWS($P$5:P221),$AD$2:$AD$422,0)))</f>
      </c>
      <c r="T221" s="22">
        <f>IF($P221="","",IFERROR(IF(OR(INDEX($H$2:$H$422,MATCH(ROWS($P$5:P221),$AD$2:$AD$422,0))="",INDEX($H$2:$H$422,MATCH(ROWS($P$5:P221),$AD$2:$AD$422,0))="؟",INDEX($H$2:$H$422,MATCH(ROWS($P$5:P221),$AD$2:$AD$422,0))="نامشخص"),"",INDEX($H$2:$H$422,MATCH(ROWS($P$5:P221),$AD$2:$AD$422,0))),""))</f>
      </c>
      <c r="U221">
        <f>IF($P221="","",INDEX($L$2:$L$422,MATCH(ROWS($P$5:P221),$AD$2:$AD$422,0)))</f>
      </c>
      <c r="V221">
        <f>IF($P221="","",INDEX($M$2:$M$422,MATCH(ROWS($P$5:P221),$AD$2:$AD$422,0)))</f>
      </c>
      <c r="AD221">
        <f>IF(AND(LEN($Q$2)&gt;=3,ISNUMBER(SEARCH($Q$2,$B221))),MAX($AD$1:AD220)+1,"")</f>
      </c>
    </row>
    <row r="222" ht="14.4" customHeight="1" spans="1:30" x14ac:dyDescent="0.25">
      <c r="A222" s="16" t="s">
        <v>1142</v>
      </c>
      <c r="B222" s="16" t="s">
        <v>213</v>
      </c>
      <c r="C222" s="16" t="s">
        <v>1143</v>
      </c>
      <c r="D222" s="16" t="s">
        <v>825</v>
      </c>
      <c r="E222" s="16" t="s">
        <v>149</v>
      </c>
      <c r="F222" s="16" t="s">
        <v>149</v>
      </c>
      <c r="G222" s="17">
        <f t="shared" si="15"/>
        <v>90000</v>
      </c>
      <c r="H222" s="18">
        <v>90000</v>
      </c>
      <c r="I222" s="19">
        <v>2</v>
      </c>
      <c r="J222" s="18">
        <f t="shared" si="16"/>
        <v>100000</v>
      </c>
      <c r="K222" s="18" t="s">
        <v>477</v>
      </c>
      <c r="L222" s="16" t="str">
        <f t="shared" si="17"/>
        <v>فعال</v>
      </c>
      <c r="M222" s="16">
        <v>195</v>
      </c>
      <c r="N222" s="16" t="s">
        <v>1142</v>
      </c>
      <c r="O222" t="s">
        <v>1144</v>
      </c>
      <c r="P222">
        <f>IFERROR(INDEX($A$2:$A$422,MATCH(ROWS($P$5:P222),$AD$2:$AD$422,0)),"")</f>
      </c>
      <c r="Q222">
        <f>IF($P222="","",INDEX($B$2:$B$422,MATCH(ROWS($P$5:P222),$AD$2:$AD$422,0)))</f>
      </c>
      <c r="R222">
        <f>IF($P222="","",INDEX($C$2:$C$422,MATCH(ROWS($P$5:P222),$AD$2:$AD$422,0)))</f>
      </c>
      <c r="S222">
        <f>IF($P222="","",INDEX($E$2:$E$422,MATCH(ROWS($P$5:P222),$AD$2:$AD$422,0)))</f>
      </c>
      <c r="T222" s="22">
        <f>IF($P222="","",IFERROR(IF(OR(INDEX($H$2:$H$422,MATCH(ROWS($P$5:P222),$AD$2:$AD$422,0))="",INDEX($H$2:$H$422,MATCH(ROWS($P$5:P222),$AD$2:$AD$422,0))="؟",INDEX($H$2:$H$422,MATCH(ROWS($P$5:P222),$AD$2:$AD$422,0))="نامشخص"),"",INDEX($H$2:$H$422,MATCH(ROWS($P$5:P222),$AD$2:$AD$422,0))),""))</f>
      </c>
      <c r="U222">
        <f>IF($P222="","",INDEX($L$2:$L$422,MATCH(ROWS($P$5:P222),$AD$2:$AD$422,0)))</f>
      </c>
      <c r="V222">
        <f>IF($P222="","",INDEX($M$2:$M$422,MATCH(ROWS($P$5:P222),$AD$2:$AD$422,0)))</f>
      </c>
      <c r="AD222">
        <f>IF(AND(LEN($Q$2)&gt;=3,ISNUMBER(SEARCH($Q$2,$B222))),MAX($AD$1:AD221)+1,"")</f>
      </c>
    </row>
    <row r="223" ht="14.4" customHeight="1" spans="1:30" x14ac:dyDescent="0.25">
      <c r="A223" s="16" t="s">
        <v>1145</v>
      </c>
      <c r="B223" s="16" t="s">
        <v>213</v>
      </c>
      <c r="C223" s="16" t="s">
        <v>1146</v>
      </c>
      <c r="D223" s="16" t="s">
        <v>825</v>
      </c>
      <c r="E223" s="16" t="s">
        <v>150</v>
      </c>
      <c r="F223" s="16" t="s">
        <v>150</v>
      </c>
      <c r="G223" s="17">
        <f t="shared" si="15"/>
        <v>170000</v>
      </c>
      <c r="H223" s="18">
        <v>170000</v>
      </c>
      <c r="I223" s="19">
        <v>1</v>
      </c>
      <c r="J223" s="18">
        <f t="shared" si="16"/>
        <v>180000</v>
      </c>
      <c r="K223" s="18" t="s">
        <v>477</v>
      </c>
      <c r="L223" s="16" t="str">
        <f t="shared" si="17"/>
        <v>فعال</v>
      </c>
      <c r="M223" s="16">
        <v>195</v>
      </c>
      <c r="N223" s="16" t="s">
        <v>1145</v>
      </c>
      <c r="O223" t="s">
        <v>1147</v>
      </c>
      <c r="P223">
        <f>IFERROR(INDEX($A$2:$A$422,MATCH(ROWS($P$5:P223),$AD$2:$AD$422,0)),"")</f>
      </c>
      <c r="Q223">
        <f>IF($P223="","",INDEX($B$2:$B$422,MATCH(ROWS($P$5:P223),$AD$2:$AD$422,0)))</f>
      </c>
      <c r="R223">
        <f>IF($P223="","",INDEX($C$2:$C$422,MATCH(ROWS($P$5:P223),$AD$2:$AD$422,0)))</f>
      </c>
      <c r="S223">
        <f>IF($P223="","",INDEX($E$2:$E$422,MATCH(ROWS($P$5:P223),$AD$2:$AD$422,0)))</f>
      </c>
      <c r="T223" s="22">
        <f>IF($P223="","",IFERROR(IF(OR(INDEX($H$2:$H$422,MATCH(ROWS($P$5:P223),$AD$2:$AD$422,0))="",INDEX($H$2:$H$422,MATCH(ROWS($P$5:P223),$AD$2:$AD$422,0))="؟",INDEX($H$2:$H$422,MATCH(ROWS($P$5:P223),$AD$2:$AD$422,0))="نامشخص"),"",INDEX($H$2:$H$422,MATCH(ROWS($P$5:P223),$AD$2:$AD$422,0))),""))</f>
      </c>
      <c r="U223">
        <f>IF($P223="","",INDEX($L$2:$L$422,MATCH(ROWS($P$5:P223),$AD$2:$AD$422,0)))</f>
      </c>
      <c r="V223">
        <f>IF($P223="","",INDEX($M$2:$M$422,MATCH(ROWS($P$5:P223),$AD$2:$AD$422,0)))</f>
      </c>
      <c r="AD223">
        <f>IF(AND(LEN($Q$2)&gt;=3,ISNUMBER(SEARCH($Q$2,$B223))),MAX($AD$1:AD222)+1,"")</f>
      </c>
    </row>
    <row r="224" ht="14.4" customHeight="1" spans="1:30" x14ac:dyDescent="0.25">
      <c r="A224" s="16" t="s">
        <v>1148</v>
      </c>
      <c r="B224" s="16" t="s">
        <v>214</v>
      </c>
      <c r="C224" s="16" t="s">
        <v>1149</v>
      </c>
      <c r="D224" s="16" t="s">
        <v>825</v>
      </c>
      <c r="E224" s="16" t="s">
        <v>149</v>
      </c>
      <c r="F224" s="16" t="s">
        <v>149</v>
      </c>
      <c r="G224" s="17">
        <f t="shared" si="15"/>
        <v>65000</v>
      </c>
      <c r="H224" s="18">
        <v>65000</v>
      </c>
      <c r="I224" s="19">
        <v>3</v>
      </c>
      <c r="J224" s="18">
        <f t="shared" si="16"/>
        <v>70000</v>
      </c>
      <c r="K224" s="18" t="s">
        <v>477</v>
      </c>
      <c r="L224" s="16" t="str">
        <f t="shared" si="17"/>
        <v>فعال</v>
      </c>
      <c r="M224" s="16">
        <v>196</v>
      </c>
      <c r="N224" s="16" t="s">
        <v>1148</v>
      </c>
      <c r="O224" t="s">
        <v>1150</v>
      </c>
      <c r="P224">
        <f>IFERROR(INDEX($A$2:$A$422,MATCH(ROWS($P$5:P224),$AD$2:$AD$422,0)),"")</f>
      </c>
      <c r="Q224">
        <f>IF($P224="","",INDEX($B$2:$B$422,MATCH(ROWS($P$5:P224),$AD$2:$AD$422,0)))</f>
      </c>
      <c r="R224">
        <f>IF($P224="","",INDEX($C$2:$C$422,MATCH(ROWS($P$5:P224),$AD$2:$AD$422,0)))</f>
      </c>
      <c r="S224">
        <f>IF($P224="","",INDEX($E$2:$E$422,MATCH(ROWS($P$5:P224),$AD$2:$AD$422,0)))</f>
      </c>
      <c r="T224" s="22">
        <f>IF($P224="","",IFERROR(IF(OR(INDEX($H$2:$H$422,MATCH(ROWS($P$5:P224),$AD$2:$AD$422,0))="",INDEX($H$2:$H$422,MATCH(ROWS($P$5:P224),$AD$2:$AD$422,0))="؟",INDEX($H$2:$H$422,MATCH(ROWS($P$5:P224),$AD$2:$AD$422,0))="نامشخص"),"",INDEX($H$2:$H$422,MATCH(ROWS($P$5:P224),$AD$2:$AD$422,0))),""))</f>
      </c>
      <c r="U224">
        <f>IF($P224="","",INDEX($L$2:$L$422,MATCH(ROWS($P$5:P224),$AD$2:$AD$422,0)))</f>
      </c>
      <c r="V224">
        <f>IF($P224="","",INDEX($M$2:$M$422,MATCH(ROWS($P$5:P224),$AD$2:$AD$422,0)))</f>
      </c>
      <c r="AD224">
        <f>IF(AND(LEN($Q$2)&gt;=3,ISNUMBER(SEARCH($Q$2,$B224))),MAX($AD$1:AD223)+1,"")</f>
      </c>
    </row>
    <row r="225" ht="14.4" customHeight="1" spans="1:30" x14ac:dyDescent="0.25">
      <c r="A225" s="16" t="s">
        <v>1151</v>
      </c>
      <c r="B225" s="16" t="s">
        <v>214</v>
      </c>
      <c r="C225" s="16" t="s">
        <v>1152</v>
      </c>
      <c r="D225" s="16" t="s">
        <v>825</v>
      </c>
      <c r="E225" s="16" t="s">
        <v>150</v>
      </c>
      <c r="F225" s="16" t="s">
        <v>150</v>
      </c>
      <c r="G225" s="17">
        <f t="shared" si="15"/>
        <v>120000</v>
      </c>
      <c r="H225" s="18">
        <v>120000</v>
      </c>
      <c r="I225" s="19">
        <v>3</v>
      </c>
      <c r="J225" s="18">
        <f t="shared" si="16"/>
        <v>130000</v>
      </c>
      <c r="K225" s="18" t="s">
        <v>477</v>
      </c>
      <c r="L225" s="16" t="str">
        <f t="shared" si="17"/>
        <v>فعال</v>
      </c>
      <c r="M225" s="16">
        <v>196</v>
      </c>
      <c r="N225" s="16" t="s">
        <v>1151</v>
      </c>
      <c r="O225" t="s">
        <v>1153</v>
      </c>
      <c r="P225">
        <f>IFERROR(INDEX($A$2:$A$422,MATCH(ROWS($P$5:P225),$AD$2:$AD$422,0)),"")</f>
      </c>
      <c r="Q225">
        <f>IF($P225="","",INDEX($B$2:$B$422,MATCH(ROWS($P$5:P225),$AD$2:$AD$422,0)))</f>
      </c>
      <c r="R225">
        <f>IF($P225="","",INDEX($C$2:$C$422,MATCH(ROWS($P$5:P225),$AD$2:$AD$422,0)))</f>
      </c>
      <c r="S225">
        <f>IF($P225="","",INDEX($E$2:$E$422,MATCH(ROWS($P$5:P225),$AD$2:$AD$422,0)))</f>
      </c>
      <c r="T225" s="22">
        <f>IF($P225="","",IFERROR(IF(OR(INDEX($H$2:$H$422,MATCH(ROWS($P$5:P225),$AD$2:$AD$422,0))="",INDEX($H$2:$H$422,MATCH(ROWS($P$5:P225),$AD$2:$AD$422,0))="؟",INDEX($H$2:$H$422,MATCH(ROWS($P$5:P225),$AD$2:$AD$422,0))="نامشخص"),"",INDEX($H$2:$H$422,MATCH(ROWS($P$5:P225),$AD$2:$AD$422,0))),""))</f>
      </c>
      <c r="U225">
        <f>IF($P225="","",INDEX($L$2:$L$422,MATCH(ROWS($P$5:P225),$AD$2:$AD$422,0)))</f>
      </c>
      <c r="V225">
        <f>IF($P225="","",INDEX($M$2:$M$422,MATCH(ROWS($P$5:P225),$AD$2:$AD$422,0)))</f>
      </c>
      <c r="AD225">
        <f>IF(AND(LEN($Q$2)&gt;=3,ISNUMBER(SEARCH($Q$2,$B225))),MAX($AD$1:AD224)+1,"")</f>
      </c>
    </row>
    <row r="226" ht="14.4" customHeight="1" spans="1:30" x14ac:dyDescent="0.25">
      <c r="A226" s="16" t="s">
        <v>1154</v>
      </c>
      <c r="B226" s="16" t="s">
        <v>215</v>
      </c>
      <c r="C226" s="16" t="s">
        <v>1155</v>
      </c>
      <c r="D226" s="16" t="s">
        <v>825</v>
      </c>
      <c r="E226" s="16" t="s">
        <v>216</v>
      </c>
      <c r="F226" s="16" t="s">
        <v>216</v>
      </c>
      <c r="G226" s="17">
        <f t="shared" si="15"/>
        <v>65000</v>
      </c>
      <c r="H226" s="18">
        <v>65000</v>
      </c>
      <c r="I226" s="19">
        <v>1</v>
      </c>
      <c r="J226" s="18">
        <f t="shared" si="16"/>
        <v>70000</v>
      </c>
      <c r="K226" s="18" t="s">
        <v>477</v>
      </c>
      <c r="L226" s="16" t="str">
        <f t="shared" si="17"/>
        <v>فعال</v>
      </c>
      <c r="M226" s="16">
        <v>197</v>
      </c>
      <c r="N226" s="16" t="s">
        <v>1154</v>
      </c>
      <c r="O226" t="s">
        <v>1156</v>
      </c>
      <c r="P226">
        <f>IFERROR(INDEX($A$2:$A$422,MATCH(ROWS($P$5:P226),$AD$2:$AD$422,0)),"")</f>
      </c>
      <c r="Q226">
        <f>IF($P226="","",INDEX($B$2:$B$422,MATCH(ROWS($P$5:P226),$AD$2:$AD$422,0)))</f>
      </c>
      <c r="R226">
        <f>IF($P226="","",INDEX($C$2:$C$422,MATCH(ROWS($P$5:P226),$AD$2:$AD$422,0)))</f>
      </c>
      <c r="S226">
        <f>IF($P226="","",INDEX($E$2:$E$422,MATCH(ROWS($P$5:P226),$AD$2:$AD$422,0)))</f>
      </c>
      <c r="T226" s="22">
        <f>IF($P226="","",IFERROR(IF(OR(INDEX($H$2:$H$422,MATCH(ROWS($P$5:P226),$AD$2:$AD$422,0))="",INDEX($H$2:$H$422,MATCH(ROWS($P$5:P226),$AD$2:$AD$422,0))="؟",INDEX($H$2:$H$422,MATCH(ROWS($P$5:P226),$AD$2:$AD$422,0))="نامشخص"),"",INDEX($H$2:$H$422,MATCH(ROWS($P$5:P226),$AD$2:$AD$422,0))),""))</f>
      </c>
      <c r="U226">
        <f>IF($P226="","",INDEX($L$2:$L$422,MATCH(ROWS($P$5:P226),$AD$2:$AD$422,0)))</f>
      </c>
      <c r="V226">
        <f>IF($P226="","",INDEX($M$2:$M$422,MATCH(ROWS($P$5:P226),$AD$2:$AD$422,0)))</f>
      </c>
      <c r="AD226">
        <f>IF(AND(LEN($Q$2)&gt;=3,ISNUMBER(SEARCH($Q$2,$B226))),MAX($AD$1:AD225)+1,"")</f>
      </c>
    </row>
    <row r="227" ht="14.4" customHeight="1" spans="1:30" x14ac:dyDescent="0.25">
      <c r="A227" s="16" t="s">
        <v>1157</v>
      </c>
      <c r="B227" s="16" t="s">
        <v>215</v>
      </c>
      <c r="C227" s="16" t="s">
        <v>1158</v>
      </c>
      <c r="D227" s="16" t="s">
        <v>825</v>
      </c>
      <c r="E227" s="16" t="s">
        <v>150</v>
      </c>
      <c r="F227" s="16" t="s">
        <v>150</v>
      </c>
      <c r="G227" s="17" t="str">
        <f t="shared" si="15"/>
        <v>؟</v>
      </c>
      <c r="H227" s="18" t="s">
        <v>8</v>
      </c>
      <c r="I227" s="19">
        <v>1</v>
      </c>
      <c r="J227" s="18">
        <f t="shared" si="16"/>
      </c>
      <c r="K227" s="18" t="s">
        <v>477</v>
      </c>
      <c r="L227" s="16" t="str">
        <f t="shared" si="17"/>
        <v>نیاز به استعلام</v>
      </c>
      <c r="M227" s="16">
        <v>197</v>
      </c>
      <c r="N227" s="16" t="s">
        <v>1157</v>
      </c>
      <c r="O227" t="s">
        <v>1159</v>
      </c>
      <c r="P227">
        <f>IFERROR(INDEX($A$2:$A$422,MATCH(ROWS($P$5:P227),$AD$2:$AD$422,0)),"")</f>
      </c>
      <c r="Q227">
        <f>IF($P227="","",INDEX($B$2:$B$422,MATCH(ROWS($P$5:P227),$AD$2:$AD$422,0)))</f>
      </c>
      <c r="R227">
        <f>IF($P227="","",INDEX($C$2:$C$422,MATCH(ROWS($P$5:P227),$AD$2:$AD$422,0)))</f>
      </c>
      <c r="S227">
        <f>IF($P227="","",INDEX($E$2:$E$422,MATCH(ROWS($P$5:P227),$AD$2:$AD$422,0)))</f>
      </c>
      <c r="T227" s="22">
        <f>IF($P227="","",IFERROR(IF(OR(INDEX($H$2:$H$422,MATCH(ROWS($P$5:P227),$AD$2:$AD$422,0))="",INDEX($H$2:$H$422,MATCH(ROWS($P$5:P227),$AD$2:$AD$422,0))="؟",INDEX($H$2:$H$422,MATCH(ROWS($P$5:P227),$AD$2:$AD$422,0))="نامشخص"),"",INDEX($H$2:$H$422,MATCH(ROWS($P$5:P227),$AD$2:$AD$422,0))),""))</f>
      </c>
      <c r="U227">
        <f>IF($P227="","",INDEX($L$2:$L$422,MATCH(ROWS($P$5:P227),$AD$2:$AD$422,0)))</f>
      </c>
      <c r="V227">
        <f>IF($P227="","",INDEX($M$2:$M$422,MATCH(ROWS($P$5:P227),$AD$2:$AD$422,0)))</f>
      </c>
      <c r="AD227">
        <f>IF(AND(LEN($Q$2)&gt;=3,ISNUMBER(SEARCH($Q$2,$B227))),MAX($AD$1:AD226)+1,"")</f>
      </c>
    </row>
    <row r="228" ht="14.4" customHeight="1" spans="1:30" x14ac:dyDescent="0.25">
      <c r="A228" s="16" t="s">
        <v>1160</v>
      </c>
      <c r="B228" s="16" t="s">
        <v>166</v>
      </c>
      <c r="C228" s="16" t="s">
        <v>1161</v>
      </c>
      <c r="D228" s="16" t="s">
        <v>825</v>
      </c>
      <c r="E228" s="16" t="s">
        <v>149</v>
      </c>
      <c r="F228" s="16" t="s">
        <v>149</v>
      </c>
      <c r="G228" s="17">
        <f t="shared" si="15"/>
        <v>65000</v>
      </c>
      <c r="H228" s="18">
        <v>65000</v>
      </c>
      <c r="I228" s="19">
        <v>2</v>
      </c>
      <c r="J228" s="18">
        <f t="shared" si="16"/>
        <v>70000</v>
      </c>
      <c r="K228" s="18" t="s">
        <v>477</v>
      </c>
      <c r="L228" s="16" t="str">
        <f t="shared" si="17"/>
        <v>فعال</v>
      </c>
      <c r="M228" s="16">
        <v>145</v>
      </c>
      <c r="N228" s="16" t="s">
        <v>1160</v>
      </c>
      <c r="O228" t="s">
        <v>1162</v>
      </c>
      <c r="P228">
        <f>IFERROR(INDEX($A$2:$A$422,MATCH(ROWS($P$5:P228),$AD$2:$AD$422,0)),"")</f>
      </c>
      <c r="Q228">
        <f>IF($P228="","",INDEX($B$2:$B$422,MATCH(ROWS($P$5:P228),$AD$2:$AD$422,0)))</f>
      </c>
      <c r="R228">
        <f>IF($P228="","",INDEX($C$2:$C$422,MATCH(ROWS($P$5:P228),$AD$2:$AD$422,0)))</f>
      </c>
      <c r="S228">
        <f>IF($P228="","",INDEX($E$2:$E$422,MATCH(ROWS($P$5:P228),$AD$2:$AD$422,0)))</f>
      </c>
      <c r="T228" s="22">
        <f>IF($P228="","",IFERROR(IF(OR(INDEX($H$2:$H$422,MATCH(ROWS($P$5:P228),$AD$2:$AD$422,0))="",INDEX($H$2:$H$422,MATCH(ROWS($P$5:P228),$AD$2:$AD$422,0))="؟",INDEX($H$2:$H$422,MATCH(ROWS($P$5:P228),$AD$2:$AD$422,0))="نامشخص"),"",INDEX($H$2:$H$422,MATCH(ROWS($P$5:P228),$AD$2:$AD$422,0))),""))</f>
      </c>
      <c r="U228">
        <f>IF($P228="","",INDEX($L$2:$L$422,MATCH(ROWS($P$5:P228),$AD$2:$AD$422,0)))</f>
      </c>
      <c r="V228">
        <f>IF($P228="","",INDEX($M$2:$M$422,MATCH(ROWS($P$5:P228),$AD$2:$AD$422,0)))</f>
      </c>
      <c r="AD228">
        <f>IF(AND(LEN($Q$2)&gt;=3,ISNUMBER(SEARCH($Q$2,$B228))),MAX($AD$1:AD227)+1,"")</f>
      </c>
    </row>
    <row r="229" ht="14.4" customHeight="1" spans="1:30" x14ac:dyDescent="0.25">
      <c r="A229" s="16" t="s">
        <v>1163</v>
      </c>
      <c r="B229" s="16" t="s">
        <v>166</v>
      </c>
      <c r="C229" s="16" t="s">
        <v>1164</v>
      </c>
      <c r="D229" s="16" t="s">
        <v>825</v>
      </c>
      <c r="E229" s="16" t="s">
        <v>150</v>
      </c>
      <c r="F229" s="16" t="s">
        <v>150</v>
      </c>
      <c r="G229" s="17">
        <f t="shared" si="15"/>
        <v>120000</v>
      </c>
      <c r="H229" s="18">
        <v>120000</v>
      </c>
      <c r="I229" s="19">
        <v>2</v>
      </c>
      <c r="J229" s="18">
        <f t="shared" si="16"/>
        <v>130000</v>
      </c>
      <c r="K229" s="18" t="s">
        <v>477</v>
      </c>
      <c r="L229" s="16" t="str">
        <f t="shared" si="17"/>
        <v>فعال</v>
      </c>
      <c r="M229" s="16">
        <v>145</v>
      </c>
      <c r="N229" s="16" t="s">
        <v>1163</v>
      </c>
      <c r="O229" t="s">
        <v>1165</v>
      </c>
      <c r="P229">
        <f>IFERROR(INDEX($A$2:$A$422,MATCH(ROWS($P$5:P229),$AD$2:$AD$422,0)),"")</f>
      </c>
      <c r="Q229">
        <f>IF($P229="","",INDEX($B$2:$B$422,MATCH(ROWS($P$5:P229),$AD$2:$AD$422,0)))</f>
      </c>
      <c r="R229">
        <f>IF($P229="","",INDEX($C$2:$C$422,MATCH(ROWS($P$5:P229),$AD$2:$AD$422,0)))</f>
      </c>
      <c r="S229">
        <f>IF($P229="","",INDEX($E$2:$E$422,MATCH(ROWS($P$5:P229),$AD$2:$AD$422,0)))</f>
      </c>
      <c r="T229" s="22">
        <f>IF($P229="","",IFERROR(IF(OR(INDEX($H$2:$H$422,MATCH(ROWS($P$5:P229),$AD$2:$AD$422,0))="",INDEX($H$2:$H$422,MATCH(ROWS($P$5:P229),$AD$2:$AD$422,0))="؟",INDEX($H$2:$H$422,MATCH(ROWS($P$5:P229),$AD$2:$AD$422,0))="نامشخص"),"",INDEX($H$2:$H$422,MATCH(ROWS($P$5:P229),$AD$2:$AD$422,0))),""))</f>
      </c>
      <c r="U229">
        <f>IF($P229="","",INDEX($L$2:$L$422,MATCH(ROWS($P$5:P229),$AD$2:$AD$422,0)))</f>
      </c>
      <c r="V229">
        <f>IF($P229="","",INDEX($M$2:$M$422,MATCH(ROWS($P$5:P229),$AD$2:$AD$422,0)))</f>
      </c>
      <c r="AD229">
        <f>IF(AND(LEN($Q$2)&gt;=3,ISNUMBER(SEARCH($Q$2,$B229))),MAX($AD$1:AD228)+1,"")</f>
      </c>
    </row>
    <row r="230" ht="14.4" customHeight="1" spans="1:30" x14ac:dyDescent="0.25">
      <c r="A230" s="16" t="s">
        <v>1166</v>
      </c>
      <c r="B230" s="16" t="s">
        <v>195</v>
      </c>
      <c r="C230" s="16" t="s">
        <v>1167</v>
      </c>
      <c r="D230" s="16" t="s">
        <v>825</v>
      </c>
      <c r="E230" s="16" t="s">
        <v>149</v>
      </c>
      <c r="F230" s="16" t="s">
        <v>149</v>
      </c>
      <c r="G230" s="17">
        <f t="shared" si="15"/>
        <v>90000</v>
      </c>
      <c r="H230" s="18">
        <v>90000</v>
      </c>
      <c r="I230" s="19">
        <v>2</v>
      </c>
      <c r="J230" s="18">
        <f t="shared" si="16"/>
        <v>100000</v>
      </c>
      <c r="K230" s="18" t="s">
        <v>477</v>
      </c>
      <c r="L230" s="16" t="str">
        <f t="shared" si="17"/>
        <v>فعال</v>
      </c>
      <c r="M230" s="16">
        <v>175</v>
      </c>
      <c r="N230" s="16" t="s">
        <v>1166</v>
      </c>
      <c r="O230" t="s">
        <v>1168</v>
      </c>
      <c r="P230">
        <f>IFERROR(INDEX($A$2:$A$422,MATCH(ROWS($P$5:P230),$AD$2:$AD$422,0)),"")</f>
      </c>
      <c r="Q230">
        <f>IF($P230="","",INDEX($B$2:$B$422,MATCH(ROWS($P$5:P230),$AD$2:$AD$422,0)))</f>
      </c>
      <c r="R230">
        <f>IF($P230="","",INDEX($C$2:$C$422,MATCH(ROWS($P$5:P230),$AD$2:$AD$422,0)))</f>
      </c>
      <c r="S230">
        <f>IF($P230="","",INDEX($E$2:$E$422,MATCH(ROWS($P$5:P230),$AD$2:$AD$422,0)))</f>
      </c>
      <c r="T230" s="22">
        <f>IF($P230="","",IFERROR(IF(OR(INDEX($H$2:$H$422,MATCH(ROWS($P$5:P230),$AD$2:$AD$422,0))="",INDEX($H$2:$H$422,MATCH(ROWS($P$5:P230),$AD$2:$AD$422,0))="؟",INDEX($H$2:$H$422,MATCH(ROWS($P$5:P230),$AD$2:$AD$422,0))="نامشخص"),"",INDEX($H$2:$H$422,MATCH(ROWS($P$5:P230),$AD$2:$AD$422,0))),""))</f>
      </c>
      <c r="U230">
        <f>IF($P230="","",INDEX($L$2:$L$422,MATCH(ROWS($P$5:P230),$AD$2:$AD$422,0)))</f>
      </c>
      <c r="V230">
        <f>IF($P230="","",INDEX($M$2:$M$422,MATCH(ROWS($P$5:P230),$AD$2:$AD$422,0)))</f>
      </c>
      <c r="AD230">
        <f>IF(AND(LEN($Q$2)&gt;=3,ISNUMBER(SEARCH($Q$2,$B230))),MAX($AD$1:AD229)+1,"")</f>
      </c>
    </row>
    <row r="231" ht="14.4" customHeight="1" spans="1:30" x14ac:dyDescent="0.25">
      <c r="A231" s="16" t="s">
        <v>1169</v>
      </c>
      <c r="B231" s="16" t="s">
        <v>195</v>
      </c>
      <c r="C231" s="16" t="s">
        <v>1170</v>
      </c>
      <c r="D231" s="16" t="s">
        <v>825</v>
      </c>
      <c r="E231" s="16" t="s">
        <v>150</v>
      </c>
      <c r="F231" s="16" t="s">
        <v>150</v>
      </c>
      <c r="G231" s="17">
        <f t="shared" si="15"/>
        <v>170000</v>
      </c>
      <c r="H231" s="18">
        <v>170000</v>
      </c>
      <c r="I231" s="19">
        <v>2</v>
      </c>
      <c r="J231" s="18">
        <f t="shared" si="16"/>
        <v>180000</v>
      </c>
      <c r="K231" s="18" t="s">
        <v>477</v>
      </c>
      <c r="L231" s="16" t="str">
        <f t="shared" si="17"/>
        <v>فعال</v>
      </c>
      <c r="M231" s="16">
        <v>175</v>
      </c>
      <c r="N231" s="16" t="s">
        <v>1169</v>
      </c>
      <c r="O231" t="s">
        <v>1171</v>
      </c>
      <c r="P231">
        <f>IFERROR(INDEX($A$2:$A$422,MATCH(ROWS($P$5:P231),$AD$2:$AD$422,0)),"")</f>
      </c>
      <c r="Q231">
        <f>IF($P231="","",INDEX($B$2:$B$422,MATCH(ROWS($P$5:P231),$AD$2:$AD$422,0)))</f>
      </c>
      <c r="R231">
        <f>IF($P231="","",INDEX($C$2:$C$422,MATCH(ROWS($P$5:P231),$AD$2:$AD$422,0)))</f>
      </c>
      <c r="S231">
        <f>IF($P231="","",INDEX($E$2:$E$422,MATCH(ROWS($P$5:P231),$AD$2:$AD$422,0)))</f>
      </c>
      <c r="T231" s="22">
        <f>IF($P231="","",IFERROR(IF(OR(INDEX($H$2:$H$422,MATCH(ROWS($P$5:P231),$AD$2:$AD$422,0))="",INDEX($H$2:$H$422,MATCH(ROWS($P$5:P231),$AD$2:$AD$422,0))="؟",INDEX($H$2:$H$422,MATCH(ROWS($P$5:P231),$AD$2:$AD$422,0))="نامشخص"),"",INDEX($H$2:$H$422,MATCH(ROWS($P$5:P231),$AD$2:$AD$422,0))),""))</f>
      </c>
      <c r="U231">
        <f>IF($P231="","",INDEX($L$2:$L$422,MATCH(ROWS($P$5:P231),$AD$2:$AD$422,0)))</f>
      </c>
      <c r="V231">
        <f>IF($P231="","",INDEX($M$2:$M$422,MATCH(ROWS($P$5:P231),$AD$2:$AD$422,0)))</f>
      </c>
      <c r="AD231">
        <f>IF(AND(LEN($Q$2)&gt;=3,ISNUMBER(SEARCH($Q$2,$B231))),MAX($AD$1:AD230)+1,"")</f>
      </c>
    </row>
    <row r="232" ht="14.4" customHeight="1" spans="1:30" x14ac:dyDescent="0.25">
      <c r="A232" s="16" t="s">
        <v>1172</v>
      </c>
      <c r="B232" s="16" t="s">
        <v>196</v>
      </c>
      <c r="C232" s="16" t="s">
        <v>1173</v>
      </c>
      <c r="D232" s="16" t="s">
        <v>825</v>
      </c>
      <c r="E232" s="16" t="s">
        <v>11</v>
      </c>
      <c r="F232" s="16" t="s">
        <v>11</v>
      </c>
      <c r="G232" s="17">
        <f t="shared" si="15"/>
        <v>500000</v>
      </c>
      <c r="H232" s="18">
        <v>500000</v>
      </c>
      <c r="I232" s="19">
        <v>1</v>
      </c>
      <c r="J232" s="18">
        <f t="shared" si="16"/>
        <v>510000</v>
      </c>
      <c r="K232" s="18" t="s">
        <v>477</v>
      </c>
      <c r="L232" s="16" t="str">
        <f t="shared" si="17"/>
        <v>فعال</v>
      </c>
      <c r="M232" s="16">
        <v>176</v>
      </c>
      <c r="N232" s="16" t="s">
        <v>1172</v>
      </c>
      <c r="O232" t="s">
        <v>1174</v>
      </c>
      <c r="P232">
        <f>IFERROR(INDEX($A$2:$A$422,MATCH(ROWS($P$5:P232),$AD$2:$AD$422,0)),"")</f>
      </c>
      <c r="Q232">
        <f>IF($P232="","",INDEX($B$2:$B$422,MATCH(ROWS($P$5:P232),$AD$2:$AD$422,0)))</f>
      </c>
      <c r="R232">
        <f>IF($P232="","",INDEX($C$2:$C$422,MATCH(ROWS($P$5:P232),$AD$2:$AD$422,0)))</f>
      </c>
      <c r="S232">
        <f>IF($P232="","",INDEX($E$2:$E$422,MATCH(ROWS($P$5:P232),$AD$2:$AD$422,0)))</f>
      </c>
      <c r="T232" s="22">
        <f>IF($P232="","",IFERROR(IF(OR(INDEX($H$2:$H$422,MATCH(ROWS($P$5:P232),$AD$2:$AD$422,0))="",INDEX($H$2:$H$422,MATCH(ROWS($P$5:P232),$AD$2:$AD$422,0))="؟",INDEX($H$2:$H$422,MATCH(ROWS($P$5:P232),$AD$2:$AD$422,0))="نامشخص"),"",INDEX($H$2:$H$422,MATCH(ROWS($P$5:P232),$AD$2:$AD$422,0))),""))</f>
      </c>
      <c r="U232">
        <f>IF($P232="","",INDEX($L$2:$L$422,MATCH(ROWS($P$5:P232),$AD$2:$AD$422,0)))</f>
      </c>
      <c r="V232">
        <f>IF($P232="","",INDEX($M$2:$M$422,MATCH(ROWS($P$5:P232),$AD$2:$AD$422,0)))</f>
      </c>
      <c r="AD232">
        <f>IF(AND(LEN($Q$2)&gt;=3,ISNUMBER(SEARCH($Q$2,$B232))),MAX($AD$1:AD231)+1,"")</f>
      </c>
    </row>
    <row r="233" ht="14.4" customHeight="1" spans="1:30" x14ac:dyDescent="0.25">
      <c r="A233" s="16" t="s">
        <v>1175</v>
      </c>
      <c r="B233" s="16" t="s">
        <v>196</v>
      </c>
      <c r="C233" s="16" t="s">
        <v>1176</v>
      </c>
      <c r="D233" s="16" t="s">
        <v>825</v>
      </c>
      <c r="E233" s="16" t="s">
        <v>12</v>
      </c>
      <c r="F233" s="16" t="s">
        <v>12</v>
      </c>
      <c r="G233" s="17">
        <f t="shared" si="15"/>
        <v>1000000</v>
      </c>
      <c r="H233" s="18">
        <v>1000000</v>
      </c>
      <c r="I233" s="19">
        <v>3</v>
      </c>
      <c r="J233" s="18">
        <f t="shared" si="16"/>
        <v>1030000</v>
      </c>
      <c r="K233" s="18" t="s">
        <v>477</v>
      </c>
      <c r="L233" s="16" t="str">
        <f t="shared" si="17"/>
        <v>فعال</v>
      </c>
      <c r="M233" s="16">
        <v>176</v>
      </c>
      <c r="N233" s="16" t="s">
        <v>1175</v>
      </c>
      <c r="O233" t="s">
        <v>1177</v>
      </c>
      <c r="P233">
        <f>IFERROR(INDEX($A$2:$A$422,MATCH(ROWS($P$5:P233),$AD$2:$AD$422,0)),"")</f>
      </c>
      <c r="Q233">
        <f>IF($P233="","",INDEX($B$2:$B$422,MATCH(ROWS($P$5:P233),$AD$2:$AD$422,0)))</f>
      </c>
      <c r="R233">
        <f>IF($P233="","",INDEX($C$2:$C$422,MATCH(ROWS($P$5:P233),$AD$2:$AD$422,0)))</f>
      </c>
      <c r="S233">
        <f>IF($P233="","",INDEX($E$2:$E$422,MATCH(ROWS($P$5:P233),$AD$2:$AD$422,0)))</f>
      </c>
      <c r="T233" s="22">
        <f>IF($P233="","",IFERROR(IF(OR(INDEX($H$2:$H$422,MATCH(ROWS($P$5:P233),$AD$2:$AD$422,0))="",INDEX($H$2:$H$422,MATCH(ROWS($P$5:P233),$AD$2:$AD$422,0))="؟",INDEX($H$2:$H$422,MATCH(ROWS($P$5:P233),$AD$2:$AD$422,0))="نامشخص"),"",INDEX($H$2:$H$422,MATCH(ROWS($P$5:P233),$AD$2:$AD$422,0))),""))</f>
      </c>
      <c r="U233">
        <f>IF($P233="","",INDEX($L$2:$L$422,MATCH(ROWS($P$5:P233),$AD$2:$AD$422,0)))</f>
      </c>
      <c r="V233">
        <f>IF($P233="","",INDEX($M$2:$M$422,MATCH(ROWS($P$5:P233),$AD$2:$AD$422,0)))</f>
      </c>
      <c r="AD233">
        <f>IF(AND(LEN($Q$2)&gt;=3,ISNUMBER(SEARCH($Q$2,$B233))),MAX($AD$1:AD232)+1,"")</f>
      </c>
    </row>
    <row r="234" ht="14.4" customHeight="1" spans="1:30" x14ac:dyDescent="0.25">
      <c r="A234" s="16" t="s">
        <v>1178</v>
      </c>
      <c r="B234" s="16" t="s">
        <v>196</v>
      </c>
      <c r="C234" s="16" t="s">
        <v>1179</v>
      </c>
      <c r="D234" s="16" t="s">
        <v>825</v>
      </c>
      <c r="E234" s="16" t="s">
        <v>149</v>
      </c>
      <c r="F234" s="16" t="s">
        <v>149</v>
      </c>
      <c r="G234" s="17">
        <f t="shared" si="15"/>
        <v>65000</v>
      </c>
      <c r="H234" s="18">
        <v>65000</v>
      </c>
      <c r="I234" s="19">
        <v>1</v>
      </c>
      <c r="J234" s="18">
        <f t="shared" si="16"/>
        <v>70000</v>
      </c>
      <c r="K234" s="18" t="s">
        <v>477</v>
      </c>
      <c r="L234" s="16" t="str">
        <f t="shared" si="17"/>
        <v>فعال</v>
      </c>
      <c r="M234" s="16">
        <v>177</v>
      </c>
      <c r="N234" s="16" t="s">
        <v>1178</v>
      </c>
      <c r="O234" t="s">
        <v>1180</v>
      </c>
      <c r="P234">
        <f>IFERROR(INDEX($A$2:$A$422,MATCH(ROWS($P$5:P234),$AD$2:$AD$422,0)),"")</f>
      </c>
      <c r="Q234">
        <f>IF($P234="","",INDEX($B$2:$B$422,MATCH(ROWS($P$5:P234),$AD$2:$AD$422,0)))</f>
      </c>
      <c r="R234">
        <f>IF($P234="","",INDEX($C$2:$C$422,MATCH(ROWS($P$5:P234),$AD$2:$AD$422,0)))</f>
      </c>
      <c r="S234">
        <f>IF($P234="","",INDEX($E$2:$E$422,MATCH(ROWS($P$5:P234),$AD$2:$AD$422,0)))</f>
      </c>
      <c r="T234" s="22">
        <f>IF($P234="","",IFERROR(IF(OR(INDEX($H$2:$H$422,MATCH(ROWS($P$5:P234),$AD$2:$AD$422,0))="",INDEX($H$2:$H$422,MATCH(ROWS($P$5:P234),$AD$2:$AD$422,0))="؟",INDEX($H$2:$H$422,MATCH(ROWS($P$5:P234),$AD$2:$AD$422,0))="نامشخص"),"",INDEX($H$2:$H$422,MATCH(ROWS($P$5:P234),$AD$2:$AD$422,0))),""))</f>
      </c>
      <c r="U234">
        <f>IF($P234="","",INDEX($L$2:$L$422,MATCH(ROWS($P$5:P234),$AD$2:$AD$422,0)))</f>
      </c>
      <c r="V234">
        <f>IF($P234="","",INDEX($M$2:$M$422,MATCH(ROWS($P$5:P234),$AD$2:$AD$422,0)))</f>
      </c>
      <c r="AD234">
        <f>IF(AND(LEN($Q$2)&gt;=3,ISNUMBER(SEARCH($Q$2,$B234))),MAX($AD$1:AD233)+1,"")</f>
      </c>
    </row>
    <row r="235" ht="14.4" customHeight="1" spans="1:30" x14ac:dyDescent="0.25">
      <c r="A235" s="16" t="s">
        <v>1181</v>
      </c>
      <c r="B235" s="16" t="s">
        <v>196</v>
      </c>
      <c r="C235" s="16" t="s">
        <v>1182</v>
      </c>
      <c r="D235" s="16" t="s">
        <v>825</v>
      </c>
      <c r="E235" s="16" t="s">
        <v>150</v>
      </c>
      <c r="F235" s="16" t="s">
        <v>150</v>
      </c>
      <c r="G235" s="17">
        <f t="shared" si="15"/>
        <v>120000</v>
      </c>
      <c r="H235" s="18">
        <v>120000</v>
      </c>
      <c r="I235" s="19">
        <v>2</v>
      </c>
      <c r="J235" s="18">
        <f t="shared" si="16"/>
        <v>130000</v>
      </c>
      <c r="K235" s="18" t="s">
        <v>477</v>
      </c>
      <c r="L235" s="16" t="str">
        <f t="shared" si="17"/>
        <v>فعال</v>
      </c>
      <c r="M235" s="16">
        <v>177</v>
      </c>
      <c r="N235" s="16" t="s">
        <v>1181</v>
      </c>
      <c r="O235" t="s">
        <v>1183</v>
      </c>
      <c r="P235">
        <f>IFERROR(INDEX($A$2:$A$422,MATCH(ROWS($P$5:P235),$AD$2:$AD$422,0)),"")</f>
      </c>
      <c r="Q235">
        <f>IF($P235="","",INDEX($B$2:$B$422,MATCH(ROWS($P$5:P235),$AD$2:$AD$422,0)))</f>
      </c>
      <c r="R235">
        <f>IF($P235="","",INDEX($C$2:$C$422,MATCH(ROWS($P$5:P235),$AD$2:$AD$422,0)))</f>
      </c>
      <c r="S235">
        <f>IF($P235="","",INDEX($E$2:$E$422,MATCH(ROWS($P$5:P235),$AD$2:$AD$422,0)))</f>
      </c>
      <c r="T235" s="22">
        <f>IF($P235="","",IFERROR(IF(OR(INDEX($H$2:$H$422,MATCH(ROWS($P$5:P235),$AD$2:$AD$422,0))="",INDEX($H$2:$H$422,MATCH(ROWS($P$5:P235),$AD$2:$AD$422,0))="؟",INDEX($H$2:$H$422,MATCH(ROWS($P$5:P235),$AD$2:$AD$422,0))="نامشخص"),"",INDEX($H$2:$H$422,MATCH(ROWS($P$5:P235),$AD$2:$AD$422,0))),""))</f>
      </c>
      <c r="U235">
        <f>IF($P235="","",INDEX($L$2:$L$422,MATCH(ROWS($P$5:P235),$AD$2:$AD$422,0)))</f>
      </c>
      <c r="V235">
        <f>IF($P235="","",INDEX($M$2:$M$422,MATCH(ROWS($P$5:P235),$AD$2:$AD$422,0)))</f>
      </c>
      <c r="AD235">
        <f>IF(AND(LEN($Q$2)&gt;=3,ISNUMBER(SEARCH($Q$2,$B235))),MAX($AD$1:AD234)+1,"")</f>
      </c>
    </row>
    <row r="236" ht="14.4" customHeight="1" spans="1:30" x14ac:dyDescent="0.25">
      <c r="A236" s="16" t="s">
        <v>1184</v>
      </c>
      <c r="B236" s="16" t="s">
        <v>197</v>
      </c>
      <c r="C236" s="16" t="s">
        <v>1185</v>
      </c>
      <c r="D236" s="16" t="s">
        <v>825</v>
      </c>
      <c r="E236" s="16" t="s">
        <v>11</v>
      </c>
      <c r="F236" s="16" t="s">
        <v>11</v>
      </c>
      <c r="G236" s="17">
        <f t="shared" si="15"/>
        <v>480000</v>
      </c>
      <c r="H236" s="18">
        <v>480000</v>
      </c>
      <c r="I236" s="19">
        <v>2</v>
      </c>
      <c r="J236" s="18">
        <f t="shared" si="16"/>
        <v>490000</v>
      </c>
      <c r="K236" s="18" t="s">
        <v>477</v>
      </c>
      <c r="L236" s="16" t="str">
        <f t="shared" si="17"/>
        <v>فعال</v>
      </c>
      <c r="M236" s="16">
        <v>178</v>
      </c>
      <c r="N236" s="16" t="s">
        <v>1184</v>
      </c>
      <c r="O236" t="s">
        <v>1186</v>
      </c>
      <c r="P236">
        <f>IFERROR(INDEX($A$2:$A$422,MATCH(ROWS($P$5:P236),$AD$2:$AD$422,0)),"")</f>
      </c>
      <c r="Q236">
        <f>IF($P236="","",INDEX($B$2:$B$422,MATCH(ROWS($P$5:P236),$AD$2:$AD$422,0)))</f>
      </c>
      <c r="R236">
        <f>IF($P236="","",INDEX($C$2:$C$422,MATCH(ROWS($P$5:P236),$AD$2:$AD$422,0)))</f>
      </c>
      <c r="S236">
        <f>IF($P236="","",INDEX($E$2:$E$422,MATCH(ROWS($P$5:P236),$AD$2:$AD$422,0)))</f>
      </c>
      <c r="T236" s="22">
        <f>IF($P236="","",IFERROR(IF(OR(INDEX($H$2:$H$422,MATCH(ROWS($P$5:P236),$AD$2:$AD$422,0))="",INDEX($H$2:$H$422,MATCH(ROWS($P$5:P236),$AD$2:$AD$422,0))="؟",INDEX($H$2:$H$422,MATCH(ROWS($P$5:P236),$AD$2:$AD$422,0))="نامشخص"),"",INDEX($H$2:$H$422,MATCH(ROWS($P$5:P236),$AD$2:$AD$422,0))),""))</f>
      </c>
      <c r="U236">
        <f>IF($P236="","",INDEX($L$2:$L$422,MATCH(ROWS($P$5:P236),$AD$2:$AD$422,0)))</f>
      </c>
      <c r="V236">
        <f>IF($P236="","",INDEX($M$2:$M$422,MATCH(ROWS($P$5:P236),$AD$2:$AD$422,0)))</f>
      </c>
      <c r="AD236">
        <f>IF(AND(LEN($Q$2)&gt;=3,ISNUMBER(SEARCH($Q$2,$B236))),MAX($AD$1:AD235)+1,"")</f>
      </c>
    </row>
    <row r="237" ht="14.4" customHeight="1" spans="1:30" x14ac:dyDescent="0.25">
      <c r="A237" s="16" t="s">
        <v>1187</v>
      </c>
      <c r="B237" s="16" t="s">
        <v>197</v>
      </c>
      <c r="C237" s="16" t="s">
        <v>1188</v>
      </c>
      <c r="D237" s="16" t="s">
        <v>825</v>
      </c>
      <c r="E237" s="16" t="s">
        <v>12</v>
      </c>
      <c r="F237" s="16" t="s">
        <v>12</v>
      </c>
      <c r="G237" s="17">
        <f t="shared" si="15"/>
        <v>950000</v>
      </c>
      <c r="H237" s="18">
        <v>950000</v>
      </c>
      <c r="I237" s="19">
        <v>3</v>
      </c>
      <c r="J237" s="18">
        <f t="shared" si="16"/>
        <v>980000</v>
      </c>
      <c r="K237" s="18" t="s">
        <v>477</v>
      </c>
      <c r="L237" s="16" t="str">
        <f t="shared" si="17"/>
        <v>فعال</v>
      </c>
      <c r="M237" s="16">
        <v>178</v>
      </c>
      <c r="N237" s="16" t="s">
        <v>1187</v>
      </c>
      <c r="O237" t="s">
        <v>1189</v>
      </c>
      <c r="P237">
        <f>IFERROR(INDEX($A$2:$A$422,MATCH(ROWS($P$5:P237),$AD$2:$AD$422,0)),"")</f>
      </c>
      <c r="Q237">
        <f>IF($P237="","",INDEX($B$2:$B$422,MATCH(ROWS($P$5:P237),$AD$2:$AD$422,0)))</f>
      </c>
      <c r="R237">
        <f>IF($P237="","",INDEX($C$2:$C$422,MATCH(ROWS($P$5:P237),$AD$2:$AD$422,0)))</f>
      </c>
      <c r="S237">
        <f>IF($P237="","",INDEX($E$2:$E$422,MATCH(ROWS($P$5:P237),$AD$2:$AD$422,0)))</f>
      </c>
      <c r="T237" s="22">
        <f>IF($P237="","",IFERROR(IF(OR(INDEX($H$2:$H$422,MATCH(ROWS($P$5:P237),$AD$2:$AD$422,0))="",INDEX($H$2:$H$422,MATCH(ROWS($P$5:P237),$AD$2:$AD$422,0))="؟",INDEX($H$2:$H$422,MATCH(ROWS($P$5:P237),$AD$2:$AD$422,0))="نامشخص"),"",INDEX($H$2:$H$422,MATCH(ROWS($P$5:P237),$AD$2:$AD$422,0))),""))</f>
      </c>
      <c r="U237">
        <f>IF($P237="","",INDEX($L$2:$L$422,MATCH(ROWS($P$5:P237),$AD$2:$AD$422,0)))</f>
      </c>
      <c r="V237">
        <f>IF($P237="","",INDEX($M$2:$M$422,MATCH(ROWS($P$5:P237),$AD$2:$AD$422,0)))</f>
      </c>
      <c r="AD237">
        <f>IF(AND(LEN($Q$2)&gt;=3,ISNUMBER(SEARCH($Q$2,$B237))),MAX($AD$1:AD236)+1,"")</f>
      </c>
    </row>
    <row r="238" ht="14.4" customHeight="1" spans="1:30" x14ac:dyDescent="0.25">
      <c r="A238" s="16" t="s">
        <v>1190</v>
      </c>
      <c r="B238" s="16" t="s">
        <v>198</v>
      </c>
      <c r="C238" s="16" t="s">
        <v>1191</v>
      </c>
      <c r="D238" s="16" t="s">
        <v>825</v>
      </c>
      <c r="E238" s="16" t="s">
        <v>11</v>
      </c>
      <c r="F238" s="16" t="s">
        <v>11</v>
      </c>
      <c r="G238" s="17">
        <f t="shared" si="15"/>
        <v>655000</v>
      </c>
      <c r="H238" s="18">
        <v>655000</v>
      </c>
      <c r="I238" s="19">
        <v>1</v>
      </c>
      <c r="J238" s="18">
        <f t="shared" si="16"/>
        <v>670000</v>
      </c>
      <c r="K238" s="18" t="s">
        <v>477</v>
      </c>
      <c r="L238" s="16" t="str">
        <f t="shared" si="17"/>
        <v>فعال</v>
      </c>
      <c r="M238" s="16">
        <v>179</v>
      </c>
      <c r="N238" s="16" t="s">
        <v>1190</v>
      </c>
      <c r="O238" t="s">
        <v>1192</v>
      </c>
      <c r="P238">
        <f>IFERROR(INDEX($A$2:$A$422,MATCH(ROWS($P$5:P238),$AD$2:$AD$422,0)),"")</f>
      </c>
      <c r="Q238">
        <f>IF($P238="","",INDEX($B$2:$B$422,MATCH(ROWS($P$5:P238),$AD$2:$AD$422,0)))</f>
      </c>
      <c r="R238">
        <f>IF($P238="","",INDEX($C$2:$C$422,MATCH(ROWS($P$5:P238),$AD$2:$AD$422,0)))</f>
      </c>
      <c r="S238">
        <f>IF($P238="","",INDEX($E$2:$E$422,MATCH(ROWS($P$5:P238),$AD$2:$AD$422,0)))</f>
      </c>
      <c r="T238" s="22">
        <f>IF($P238="","",IFERROR(IF(OR(INDEX($H$2:$H$422,MATCH(ROWS($P$5:P238),$AD$2:$AD$422,0))="",INDEX($H$2:$H$422,MATCH(ROWS($P$5:P238),$AD$2:$AD$422,0))="؟",INDEX($H$2:$H$422,MATCH(ROWS($P$5:P238),$AD$2:$AD$422,0))="نامشخص"),"",INDEX($H$2:$H$422,MATCH(ROWS($P$5:P238),$AD$2:$AD$422,0))),""))</f>
      </c>
      <c r="U238">
        <f>IF($P238="","",INDEX($L$2:$L$422,MATCH(ROWS($P$5:P238),$AD$2:$AD$422,0)))</f>
      </c>
      <c r="V238">
        <f>IF($P238="","",INDEX($M$2:$M$422,MATCH(ROWS($P$5:P238),$AD$2:$AD$422,0)))</f>
      </c>
      <c r="AD238">
        <f>IF(AND(LEN($Q$2)&gt;=3,ISNUMBER(SEARCH($Q$2,$B238))),MAX($AD$1:AD237)+1,"")</f>
      </c>
    </row>
    <row r="239" ht="14.4" customHeight="1" spans="1:30" x14ac:dyDescent="0.25">
      <c r="A239" s="16" t="s">
        <v>1193</v>
      </c>
      <c r="B239" s="16" t="s">
        <v>198</v>
      </c>
      <c r="C239" s="16" t="s">
        <v>1194</v>
      </c>
      <c r="D239" s="16" t="s">
        <v>825</v>
      </c>
      <c r="E239" s="16" t="s">
        <v>12</v>
      </c>
      <c r="F239" s="16" t="s">
        <v>12</v>
      </c>
      <c r="G239" s="17">
        <f t="shared" si="15"/>
        <v>1300000</v>
      </c>
      <c r="H239" s="18">
        <v>1300000</v>
      </c>
      <c r="I239" s="19">
        <v>1</v>
      </c>
      <c r="J239" s="18">
        <f t="shared" si="16"/>
        <v>1320000</v>
      </c>
      <c r="K239" s="18" t="s">
        <v>477</v>
      </c>
      <c r="L239" s="16" t="str">
        <f t="shared" si="17"/>
        <v>فعال</v>
      </c>
      <c r="M239" s="16">
        <v>179</v>
      </c>
      <c r="N239" s="16" t="s">
        <v>1193</v>
      </c>
      <c r="O239" t="s">
        <v>1195</v>
      </c>
      <c r="P239">
        <f>IFERROR(INDEX($A$2:$A$422,MATCH(ROWS($P$5:P239),$AD$2:$AD$422,0)),"")</f>
      </c>
      <c r="Q239">
        <f>IF($P239="","",INDEX($B$2:$B$422,MATCH(ROWS($P$5:P239),$AD$2:$AD$422,0)))</f>
      </c>
      <c r="R239">
        <f>IF($P239="","",INDEX($C$2:$C$422,MATCH(ROWS($P$5:P239),$AD$2:$AD$422,0)))</f>
      </c>
      <c r="S239">
        <f>IF($P239="","",INDEX($E$2:$E$422,MATCH(ROWS($P$5:P239),$AD$2:$AD$422,0)))</f>
      </c>
      <c r="T239" s="22">
        <f>IF($P239="","",IFERROR(IF(OR(INDEX($H$2:$H$422,MATCH(ROWS($P$5:P239),$AD$2:$AD$422,0))="",INDEX($H$2:$H$422,MATCH(ROWS($P$5:P239),$AD$2:$AD$422,0))="؟",INDEX($H$2:$H$422,MATCH(ROWS($P$5:P239),$AD$2:$AD$422,0))="نامشخص"),"",INDEX($H$2:$H$422,MATCH(ROWS($P$5:P239),$AD$2:$AD$422,0))),""))</f>
      </c>
      <c r="U239">
        <f>IF($P239="","",INDEX($L$2:$L$422,MATCH(ROWS($P$5:P239),$AD$2:$AD$422,0)))</f>
      </c>
      <c r="V239">
        <f>IF($P239="","",INDEX($M$2:$M$422,MATCH(ROWS($P$5:P239),$AD$2:$AD$422,0)))</f>
      </c>
      <c r="AD239">
        <f>IF(AND(LEN($Q$2)&gt;=3,ISNUMBER(SEARCH($Q$2,$B239))),MAX($AD$1:AD238)+1,"")</f>
      </c>
    </row>
    <row r="240" ht="14.4" customHeight="1" spans="1:30" x14ac:dyDescent="0.25">
      <c r="A240" s="16" t="s">
        <v>1196</v>
      </c>
      <c r="B240" s="16" t="s">
        <v>199</v>
      </c>
      <c r="C240" s="16" t="s">
        <v>1197</v>
      </c>
      <c r="D240" s="16" t="s">
        <v>825</v>
      </c>
      <c r="E240" s="16" t="s">
        <v>9</v>
      </c>
      <c r="F240" s="16" t="s">
        <v>9</v>
      </c>
      <c r="G240" s="17" t="str">
        <f t="shared" si="15"/>
        <v>؟</v>
      </c>
      <c r="H240" s="18" t="s">
        <v>8</v>
      </c>
      <c r="I240" s="19">
        <v>3</v>
      </c>
      <c r="J240" s="18">
        <f t="shared" si="16"/>
      </c>
      <c r="K240" s="18" t="s">
        <v>477</v>
      </c>
      <c r="L240" s="16" t="str">
        <f t="shared" si="17"/>
        <v>نیاز به استعلام</v>
      </c>
      <c r="M240" s="16">
        <v>180</v>
      </c>
      <c r="N240" s="16" t="s">
        <v>1196</v>
      </c>
      <c r="O240" t="s">
        <v>1198</v>
      </c>
      <c r="P240">
        <f>IFERROR(INDEX($A$2:$A$422,MATCH(ROWS($P$5:P240),$AD$2:$AD$422,0)),"")</f>
      </c>
      <c r="Q240">
        <f>IF($P240="","",INDEX($B$2:$B$422,MATCH(ROWS($P$5:P240),$AD$2:$AD$422,0)))</f>
      </c>
      <c r="R240">
        <f>IF($P240="","",INDEX($C$2:$C$422,MATCH(ROWS($P$5:P240),$AD$2:$AD$422,0)))</f>
      </c>
      <c r="S240">
        <f>IF($P240="","",INDEX($E$2:$E$422,MATCH(ROWS($P$5:P240),$AD$2:$AD$422,0)))</f>
      </c>
      <c r="T240" s="22">
        <f>IF($P240="","",IFERROR(IF(OR(INDEX($H$2:$H$422,MATCH(ROWS($P$5:P240),$AD$2:$AD$422,0))="",INDEX($H$2:$H$422,MATCH(ROWS($P$5:P240),$AD$2:$AD$422,0))="؟",INDEX($H$2:$H$422,MATCH(ROWS($P$5:P240),$AD$2:$AD$422,0))="نامشخص"),"",INDEX($H$2:$H$422,MATCH(ROWS($P$5:P240),$AD$2:$AD$422,0))),""))</f>
      </c>
      <c r="U240">
        <f>IF($P240="","",INDEX($L$2:$L$422,MATCH(ROWS($P$5:P240),$AD$2:$AD$422,0)))</f>
      </c>
      <c r="V240">
        <f>IF($P240="","",INDEX($M$2:$M$422,MATCH(ROWS($P$5:P240),$AD$2:$AD$422,0)))</f>
      </c>
      <c r="AD240">
        <f>IF(AND(LEN($Q$2)&gt;=3,ISNUMBER(SEARCH($Q$2,$B240))),MAX($AD$1:AD239)+1,"")</f>
      </c>
    </row>
    <row r="241" ht="14.4" customHeight="1" spans="1:30" x14ac:dyDescent="0.25">
      <c r="A241" s="16" t="s">
        <v>1199</v>
      </c>
      <c r="B241" s="16" t="s">
        <v>199</v>
      </c>
      <c r="C241" s="16" t="s">
        <v>1200</v>
      </c>
      <c r="D241" s="16" t="s">
        <v>825</v>
      </c>
      <c r="E241" s="16" t="s">
        <v>9</v>
      </c>
      <c r="F241" s="16" t="s">
        <v>9</v>
      </c>
      <c r="G241" s="17" t="str">
        <f t="shared" si="15"/>
        <v>؟</v>
      </c>
      <c r="H241" s="18" t="s">
        <v>8</v>
      </c>
      <c r="I241" s="19">
        <v>1</v>
      </c>
      <c r="J241" s="18">
        <f t="shared" si="16"/>
      </c>
      <c r="K241" s="18" t="s">
        <v>477</v>
      </c>
      <c r="L241" s="16" t="str">
        <f t="shared" si="17"/>
        <v>نیاز به استعلام</v>
      </c>
      <c r="M241" s="16">
        <v>180</v>
      </c>
      <c r="N241" s="16" t="s">
        <v>1199</v>
      </c>
      <c r="O241" t="s">
        <v>1201</v>
      </c>
      <c r="P241">
        <f>IFERROR(INDEX($A$2:$A$422,MATCH(ROWS($P$5:P241),$AD$2:$AD$422,0)),"")</f>
      </c>
      <c r="Q241">
        <f>IF($P241="","",INDEX($B$2:$B$422,MATCH(ROWS($P$5:P241),$AD$2:$AD$422,0)))</f>
      </c>
      <c r="R241">
        <f>IF($P241="","",INDEX($C$2:$C$422,MATCH(ROWS($P$5:P241),$AD$2:$AD$422,0)))</f>
      </c>
      <c r="S241">
        <f>IF($P241="","",INDEX($E$2:$E$422,MATCH(ROWS($P$5:P241),$AD$2:$AD$422,0)))</f>
      </c>
      <c r="T241" s="22">
        <f>IF($P241="","",IFERROR(IF(OR(INDEX($H$2:$H$422,MATCH(ROWS($P$5:P241),$AD$2:$AD$422,0))="",INDEX($H$2:$H$422,MATCH(ROWS($P$5:P241),$AD$2:$AD$422,0))="؟",INDEX($H$2:$H$422,MATCH(ROWS($P$5:P241),$AD$2:$AD$422,0))="نامشخص"),"",INDEX($H$2:$H$422,MATCH(ROWS($P$5:P241),$AD$2:$AD$422,0))),""))</f>
      </c>
      <c r="U241">
        <f>IF($P241="","",INDEX($L$2:$L$422,MATCH(ROWS($P$5:P241),$AD$2:$AD$422,0)))</f>
      </c>
      <c r="V241">
        <f>IF($P241="","",INDEX($M$2:$M$422,MATCH(ROWS($P$5:P241),$AD$2:$AD$422,0)))</f>
      </c>
      <c r="AD241">
        <f>IF(AND(LEN($Q$2)&gt;=3,ISNUMBER(SEARCH($Q$2,$B241))),MAX($AD$1:AD240)+1,"")</f>
      </c>
    </row>
    <row r="242" ht="14.4" customHeight="1" spans="1:30" x14ac:dyDescent="0.25">
      <c r="A242" s="16" t="s">
        <v>1202</v>
      </c>
      <c r="B242" s="16" t="s">
        <v>200</v>
      </c>
      <c r="C242" s="16" t="s">
        <v>1203</v>
      </c>
      <c r="D242" s="16" t="s">
        <v>825</v>
      </c>
      <c r="E242" s="16" t="s">
        <v>149</v>
      </c>
      <c r="F242" s="16" t="s">
        <v>149</v>
      </c>
      <c r="G242" s="17">
        <f t="shared" si="15"/>
        <v>45000</v>
      </c>
      <c r="H242" s="18">
        <v>45000</v>
      </c>
      <c r="I242" s="19">
        <v>1</v>
      </c>
      <c r="J242" s="18">
        <f t="shared" si="16"/>
        <v>50000</v>
      </c>
      <c r="K242" s="18" t="s">
        <v>477</v>
      </c>
      <c r="L242" s="16" t="str">
        <f t="shared" si="17"/>
        <v>فعال</v>
      </c>
      <c r="M242" s="16">
        <v>181</v>
      </c>
      <c r="N242" s="16" t="s">
        <v>1202</v>
      </c>
      <c r="O242" t="s">
        <v>1204</v>
      </c>
      <c r="P242">
        <f>IFERROR(INDEX($A$2:$A$422,MATCH(ROWS($P$5:P242),$AD$2:$AD$422,0)),"")</f>
      </c>
      <c r="Q242">
        <f>IF($P242="","",INDEX($B$2:$B$422,MATCH(ROWS($P$5:P242),$AD$2:$AD$422,0)))</f>
      </c>
      <c r="R242">
        <f>IF($P242="","",INDEX($C$2:$C$422,MATCH(ROWS($P$5:P242),$AD$2:$AD$422,0)))</f>
      </c>
      <c r="S242">
        <f>IF($P242="","",INDEX($E$2:$E$422,MATCH(ROWS($P$5:P242),$AD$2:$AD$422,0)))</f>
      </c>
      <c r="T242" s="22">
        <f>IF($P242="","",IFERROR(IF(OR(INDEX($H$2:$H$422,MATCH(ROWS($P$5:P242),$AD$2:$AD$422,0))="",INDEX($H$2:$H$422,MATCH(ROWS($P$5:P242),$AD$2:$AD$422,0))="؟",INDEX($H$2:$H$422,MATCH(ROWS($P$5:P242),$AD$2:$AD$422,0))="نامشخص"),"",INDEX($H$2:$H$422,MATCH(ROWS($P$5:P242),$AD$2:$AD$422,0))),""))</f>
      </c>
      <c r="U242">
        <f>IF($P242="","",INDEX($L$2:$L$422,MATCH(ROWS($P$5:P242),$AD$2:$AD$422,0)))</f>
      </c>
      <c r="V242">
        <f>IF($P242="","",INDEX($M$2:$M$422,MATCH(ROWS($P$5:P242),$AD$2:$AD$422,0)))</f>
      </c>
      <c r="AD242">
        <f>IF(AND(LEN($Q$2)&gt;=3,ISNUMBER(SEARCH($Q$2,$B242))),MAX($AD$1:AD241)+1,"")</f>
      </c>
    </row>
    <row r="243" ht="14.4" customHeight="1" spans="1:30" x14ac:dyDescent="0.25">
      <c r="A243" s="16" t="s">
        <v>1205</v>
      </c>
      <c r="B243" s="16" t="s">
        <v>200</v>
      </c>
      <c r="C243" s="16" t="s">
        <v>1206</v>
      </c>
      <c r="D243" s="16" t="s">
        <v>825</v>
      </c>
      <c r="E243" s="16" t="s">
        <v>150</v>
      </c>
      <c r="F243" s="16" t="s">
        <v>150</v>
      </c>
      <c r="G243" s="17">
        <f t="shared" si="15"/>
        <v>80000</v>
      </c>
      <c r="H243" s="18">
        <v>80000</v>
      </c>
      <c r="I243" s="19">
        <v>2</v>
      </c>
      <c r="J243" s="18">
        <f t="shared" si="16"/>
        <v>90000</v>
      </c>
      <c r="K243" s="18" t="s">
        <v>477</v>
      </c>
      <c r="L243" s="16" t="str">
        <f t="shared" si="17"/>
        <v>فعال</v>
      </c>
      <c r="M243" s="16">
        <v>181</v>
      </c>
      <c r="N243" s="16" t="s">
        <v>1205</v>
      </c>
      <c r="O243" t="s">
        <v>1207</v>
      </c>
      <c r="P243">
        <f>IFERROR(INDEX($A$2:$A$422,MATCH(ROWS($P$5:P243),$AD$2:$AD$422,0)),"")</f>
      </c>
      <c r="Q243">
        <f>IF($P243="","",INDEX($B$2:$B$422,MATCH(ROWS($P$5:P243),$AD$2:$AD$422,0)))</f>
      </c>
      <c r="R243">
        <f>IF($P243="","",INDEX($C$2:$C$422,MATCH(ROWS($P$5:P243),$AD$2:$AD$422,0)))</f>
      </c>
      <c r="S243">
        <f>IF($P243="","",INDEX($E$2:$E$422,MATCH(ROWS($P$5:P243),$AD$2:$AD$422,0)))</f>
      </c>
      <c r="T243" s="22">
        <f>IF($P243="","",IFERROR(IF(OR(INDEX($H$2:$H$422,MATCH(ROWS($P$5:P243),$AD$2:$AD$422,0))="",INDEX($H$2:$H$422,MATCH(ROWS($P$5:P243),$AD$2:$AD$422,0))="؟",INDEX($H$2:$H$422,MATCH(ROWS($P$5:P243),$AD$2:$AD$422,0))="نامشخص"),"",INDEX($H$2:$H$422,MATCH(ROWS($P$5:P243),$AD$2:$AD$422,0))),""))</f>
      </c>
      <c r="U243">
        <f>IF($P243="","",INDEX($L$2:$L$422,MATCH(ROWS($P$5:P243),$AD$2:$AD$422,0)))</f>
      </c>
      <c r="V243">
        <f>IF($P243="","",INDEX($M$2:$M$422,MATCH(ROWS($P$5:P243),$AD$2:$AD$422,0)))</f>
      </c>
      <c r="AD243">
        <f>IF(AND(LEN($Q$2)&gt;=3,ISNUMBER(SEARCH($Q$2,$B243))),MAX($AD$1:AD242)+1,"")</f>
      </c>
    </row>
    <row r="244" ht="14.4" customHeight="1" spans="1:30" x14ac:dyDescent="0.25">
      <c r="A244" s="16" t="s">
        <v>1208</v>
      </c>
      <c r="B244" s="16" t="s">
        <v>201</v>
      </c>
      <c r="C244" s="16" t="s">
        <v>1209</v>
      </c>
      <c r="D244" s="16" t="s">
        <v>825</v>
      </c>
      <c r="E244" s="16" t="s">
        <v>149</v>
      </c>
      <c r="F244" s="16" t="s">
        <v>149</v>
      </c>
      <c r="G244" s="17">
        <f t="shared" si="15"/>
        <v>85000</v>
      </c>
      <c r="H244" s="18">
        <v>85000</v>
      </c>
      <c r="I244" s="19">
        <v>1</v>
      </c>
      <c r="J244" s="18">
        <f t="shared" si="16"/>
        <v>90000</v>
      </c>
      <c r="K244" s="18" t="s">
        <v>477</v>
      </c>
      <c r="L244" s="16" t="str">
        <f t="shared" si="17"/>
        <v>فعال</v>
      </c>
      <c r="M244" s="16">
        <v>182</v>
      </c>
      <c r="N244" s="16" t="s">
        <v>1208</v>
      </c>
      <c r="O244" t="s">
        <v>1210</v>
      </c>
      <c r="P244">
        <f>IFERROR(INDEX($A$2:$A$422,MATCH(ROWS($P$5:P244),$AD$2:$AD$422,0)),"")</f>
      </c>
      <c r="Q244">
        <f>IF($P244="","",INDEX($B$2:$B$422,MATCH(ROWS($P$5:P244),$AD$2:$AD$422,0)))</f>
      </c>
      <c r="R244">
        <f>IF($P244="","",INDEX($C$2:$C$422,MATCH(ROWS($P$5:P244),$AD$2:$AD$422,0)))</f>
      </c>
      <c r="S244">
        <f>IF($P244="","",INDEX($E$2:$E$422,MATCH(ROWS($P$5:P244),$AD$2:$AD$422,0)))</f>
      </c>
      <c r="T244" s="22">
        <f>IF($P244="","",IFERROR(IF(OR(INDEX($H$2:$H$422,MATCH(ROWS($P$5:P244),$AD$2:$AD$422,0))="",INDEX($H$2:$H$422,MATCH(ROWS($P$5:P244),$AD$2:$AD$422,0))="؟",INDEX($H$2:$H$422,MATCH(ROWS($P$5:P244),$AD$2:$AD$422,0))="نامشخص"),"",INDEX($H$2:$H$422,MATCH(ROWS($P$5:P244),$AD$2:$AD$422,0))),""))</f>
      </c>
      <c r="U244">
        <f>IF($P244="","",INDEX($L$2:$L$422,MATCH(ROWS($P$5:P244),$AD$2:$AD$422,0)))</f>
      </c>
      <c r="V244">
        <f>IF($P244="","",INDEX($M$2:$M$422,MATCH(ROWS($P$5:P244),$AD$2:$AD$422,0)))</f>
      </c>
      <c r="AD244">
        <f>IF(AND(LEN($Q$2)&gt;=3,ISNUMBER(SEARCH($Q$2,$B244))),MAX($AD$1:AD243)+1,"")</f>
      </c>
    </row>
    <row r="245" ht="14.4" customHeight="1" spans="1:30" x14ac:dyDescent="0.25">
      <c r="A245" s="16" t="s">
        <v>1211</v>
      </c>
      <c r="B245" s="16" t="s">
        <v>201</v>
      </c>
      <c r="C245" s="16" t="s">
        <v>1212</v>
      </c>
      <c r="D245" s="16" t="s">
        <v>825</v>
      </c>
      <c r="E245" s="16" t="s">
        <v>150</v>
      </c>
      <c r="F245" s="16" t="s">
        <v>150</v>
      </c>
      <c r="G245" s="17">
        <f t="shared" si="15"/>
        <v>160000</v>
      </c>
      <c r="H245" s="18">
        <v>160000</v>
      </c>
      <c r="I245" s="19">
        <v>1</v>
      </c>
      <c r="J245" s="18">
        <f t="shared" si="16"/>
        <v>170000</v>
      </c>
      <c r="K245" s="18" t="s">
        <v>477</v>
      </c>
      <c r="L245" s="16" t="str">
        <f t="shared" si="17"/>
        <v>فعال</v>
      </c>
      <c r="M245" s="16">
        <v>182</v>
      </c>
      <c r="N245" s="16" t="s">
        <v>1211</v>
      </c>
      <c r="O245" t="s">
        <v>1213</v>
      </c>
      <c r="P245">
        <f>IFERROR(INDEX($A$2:$A$422,MATCH(ROWS($P$5:P245),$AD$2:$AD$422,0)),"")</f>
      </c>
      <c r="Q245">
        <f>IF($P245="","",INDEX($B$2:$B$422,MATCH(ROWS($P$5:P245),$AD$2:$AD$422,0)))</f>
      </c>
      <c r="R245">
        <f>IF($P245="","",INDEX($C$2:$C$422,MATCH(ROWS($P$5:P245),$AD$2:$AD$422,0)))</f>
      </c>
      <c r="S245">
        <f>IF($P245="","",INDEX($E$2:$E$422,MATCH(ROWS($P$5:P245),$AD$2:$AD$422,0)))</f>
      </c>
      <c r="T245" s="22">
        <f>IF($P245="","",IFERROR(IF(OR(INDEX($H$2:$H$422,MATCH(ROWS($P$5:P245),$AD$2:$AD$422,0))="",INDEX($H$2:$H$422,MATCH(ROWS($P$5:P245),$AD$2:$AD$422,0))="؟",INDEX($H$2:$H$422,MATCH(ROWS($P$5:P245),$AD$2:$AD$422,0))="نامشخص"),"",INDEX($H$2:$H$422,MATCH(ROWS($P$5:P245),$AD$2:$AD$422,0))),""))</f>
      </c>
      <c r="U245">
        <f>IF($P245="","",INDEX($L$2:$L$422,MATCH(ROWS($P$5:P245),$AD$2:$AD$422,0)))</f>
      </c>
      <c r="V245">
        <f>IF($P245="","",INDEX($M$2:$M$422,MATCH(ROWS($P$5:P245),$AD$2:$AD$422,0)))</f>
      </c>
      <c r="AD245">
        <f>IF(AND(LEN($Q$2)&gt;=3,ISNUMBER(SEARCH($Q$2,$B245))),MAX($AD$1:AD244)+1,"")</f>
      </c>
    </row>
    <row r="246" ht="14.4" customHeight="1" spans="1:30" x14ac:dyDescent="0.25">
      <c r="A246" s="16" t="s">
        <v>1214</v>
      </c>
      <c r="B246" s="16" t="s">
        <v>202</v>
      </c>
      <c r="C246" s="16" t="s">
        <v>1215</v>
      </c>
      <c r="D246" s="16" t="s">
        <v>825</v>
      </c>
      <c r="E246" s="16" t="s">
        <v>149</v>
      </c>
      <c r="F246" s="16" t="s">
        <v>149</v>
      </c>
      <c r="G246" s="17">
        <f t="shared" si="15"/>
        <v>125000</v>
      </c>
      <c r="H246" s="18">
        <v>125000</v>
      </c>
      <c r="I246" s="19">
        <v>1</v>
      </c>
      <c r="J246" s="18">
        <f t="shared" si="16"/>
        <v>130000</v>
      </c>
      <c r="K246" s="18" t="s">
        <v>477</v>
      </c>
      <c r="L246" s="16" t="str">
        <f t="shared" si="17"/>
        <v>فعال</v>
      </c>
      <c r="M246" s="16">
        <v>183</v>
      </c>
      <c r="N246" s="16" t="s">
        <v>1214</v>
      </c>
      <c r="O246" t="s">
        <v>1216</v>
      </c>
      <c r="P246">
        <f>IFERROR(INDEX($A$2:$A$422,MATCH(ROWS($P$5:P246),$AD$2:$AD$422,0)),"")</f>
      </c>
      <c r="Q246">
        <f>IF($P246="","",INDEX($B$2:$B$422,MATCH(ROWS($P$5:P246),$AD$2:$AD$422,0)))</f>
      </c>
      <c r="R246">
        <f>IF($P246="","",INDEX($C$2:$C$422,MATCH(ROWS($P$5:P246),$AD$2:$AD$422,0)))</f>
      </c>
      <c r="S246">
        <f>IF($P246="","",INDEX($E$2:$E$422,MATCH(ROWS($P$5:P246),$AD$2:$AD$422,0)))</f>
      </c>
      <c r="T246" s="22">
        <f>IF($P246="","",IFERROR(IF(OR(INDEX($H$2:$H$422,MATCH(ROWS($P$5:P246),$AD$2:$AD$422,0))="",INDEX($H$2:$H$422,MATCH(ROWS($P$5:P246),$AD$2:$AD$422,0))="؟",INDEX($H$2:$H$422,MATCH(ROWS($P$5:P246),$AD$2:$AD$422,0))="نامشخص"),"",INDEX($H$2:$H$422,MATCH(ROWS($P$5:P246),$AD$2:$AD$422,0))),""))</f>
      </c>
      <c r="U246">
        <f>IF($P246="","",INDEX($L$2:$L$422,MATCH(ROWS($P$5:P246),$AD$2:$AD$422,0)))</f>
      </c>
      <c r="V246">
        <f>IF($P246="","",INDEX($M$2:$M$422,MATCH(ROWS($P$5:P246),$AD$2:$AD$422,0)))</f>
      </c>
      <c r="AD246">
        <f>IF(AND(LEN($Q$2)&gt;=3,ISNUMBER(SEARCH($Q$2,$B246))),MAX($AD$1:AD245)+1,"")</f>
      </c>
    </row>
    <row r="247" ht="14.4" customHeight="1" spans="1:30" x14ac:dyDescent="0.25">
      <c r="A247" s="16" t="s">
        <v>1217</v>
      </c>
      <c r="B247" s="16" t="s">
        <v>202</v>
      </c>
      <c r="C247" s="16" t="s">
        <v>1218</v>
      </c>
      <c r="D247" s="16" t="s">
        <v>825</v>
      </c>
      <c r="E247" s="16" t="s">
        <v>150</v>
      </c>
      <c r="F247" s="16" t="s">
        <v>150</v>
      </c>
      <c r="G247" s="17">
        <f t="shared" si="15"/>
        <v>245000</v>
      </c>
      <c r="H247" s="18">
        <v>245000</v>
      </c>
      <c r="I247" s="19">
        <v>2</v>
      </c>
      <c r="J247" s="18">
        <f t="shared" si="16"/>
        <v>250000</v>
      </c>
      <c r="K247" s="18" t="s">
        <v>477</v>
      </c>
      <c r="L247" s="16" t="str">
        <f t="shared" si="17"/>
        <v>فعال</v>
      </c>
      <c r="M247" s="16">
        <v>183</v>
      </c>
      <c r="N247" s="16" t="s">
        <v>1217</v>
      </c>
      <c r="O247" t="s">
        <v>1219</v>
      </c>
      <c r="P247">
        <f>IFERROR(INDEX($A$2:$A$422,MATCH(ROWS($P$5:P247),$AD$2:$AD$422,0)),"")</f>
      </c>
      <c r="Q247">
        <f>IF($P247="","",INDEX($B$2:$B$422,MATCH(ROWS($P$5:P247),$AD$2:$AD$422,0)))</f>
      </c>
      <c r="R247">
        <f>IF($P247="","",INDEX($C$2:$C$422,MATCH(ROWS($P$5:P247),$AD$2:$AD$422,0)))</f>
      </c>
      <c r="S247">
        <f>IF($P247="","",INDEX($E$2:$E$422,MATCH(ROWS($P$5:P247),$AD$2:$AD$422,0)))</f>
      </c>
      <c r="T247" s="22">
        <f>IF($P247="","",IFERROR(IF(OR(INDEX($H$2:$H$422,MATCH(ROWS($P$5:P247),$AD$2:$AD$422,0))="",INDEX($H$2:$H$422,MATCH(ROWS($P$5:P247),$AD$2:$AD$422,0))="؟",INDEX($H$2:$H$422,MATCH(ROWS($P$5:P247),$AD$2:$AD$422,0))="نامشخص"),"",INDEX($H$2:$H$422,MATCH(ROWS($P$5:P247),$AD$2:$AD$422,0))),""))</f>
      </c>
      <c r="U247">
        <f>IF($P247="","",INDEX($L$2:$L$422,MATCH(ROWS($P$5:P247),$AD$2:$AD$422,0)))</f>
      </c>
      <c r="V247">
        <f>IF($P247="","",INDEX($M$2:$M$422,MATCH(ROWS($P$5:P247),$AD$2:$AD$422,0)))</f>
      </c>
      <c r="AD247">
        <f>IF(AND(LEN($Q$2)&gt;=3,ISNUMBER(SEARCH($Q$2,$B247))),MAX($AD$1:AD246)+1,"")</f>
      </c>
    </row>
    <row r="248" ht="14.4" customHeight="1" spans="1:30" x14ac:dyDescent="0.25">
      <c r="A248" s="16" t="s">
        <v>1220</v>
      </c>
      <c r="B248" s="16" t="s">
        <v>203</v>
      </c>
      <c r="C248" s="16" t="s">
        <v>1221</v>
      </c>
      <c r="D248" s="16" t="s">
        <v>825</v>
      </c>
      <c r="E248" s="16" t="s">
        <v>149</v>
      </c>
      <c r="F248" s="16" t="s">
        <v>149</v>
      </c>
      <c r="G248" s="17">
        <f t="shared" si="15"/>
        <v>90000</v>
      </c>
      <c r="H248" s="18">
        <v>90000</v>
      </c>
      <c r="I248" s="19">
        <v>1</v>
      </c>
      <c r="J248" s="18">
        <f t="shared" si="16"/>
        <v>100000</v>
      </c>
      <c r="K248" s="18" t="s">
        <v>477</v>
      </c>
      <c r="L248" s="16" t="str">
        <f t="shared" si="17"/>
        <v>فعال</v>
      </c>
      <c r="M248" s="16">
        <v>184</v>
      </c>
      <c r="N248" s="16" t="s">
        <v>1220</v>
      </c>
      <c r="O248" t="s">
        <v>1222</v>
      </c>
      <c r="P248">
        <f>IFERROR(INDEX($A$2:$A$422,MATCH(ROWS($P$5:P248),$AD$2:$AD$422,0)),"")</f>
      </c>
      <c r="Q248">
        <f>IF($P248="","",INDEX($B$2:$B$422,MATCH(ROWS($P$5:P248),$AD$2:$AD$422,0)))</f>
      </c>
      <c r="R248">
        <f>IF($P248="","",INDEX($C$2:$C$422,MATCH(ROWS($P$5:P248),$AD$2:$AD$422,0)))</f>
      </c>
      <c r="S248">
        <f>IF($P248="","",INDEX($E$2:$E$422,MATCH(ROWS($P$5:P248),$AD$2:$AD$422,0)))</f>
      </c>
      <c r="T248" s="22">
        <f>IF($P248="","",IFERROR(IF(OR(INDEX($H$2:$H$422,MATCH(ROWS($P$5:P248),$AD$2:$AD$422,0))="",INDEX($H$2:$H$422,MATCH(ROWS($P$5:P248),$AD$2:$AD$422,0))="؟",INDEX($H$2:$H$422,MATCH(ROWS($P$5:P248),$AD$2:$AD$422,0))="نامشخص"),"",INDEX($H$2:$H$422,MATCH(ROWS($P$5:P248),$AD$2:$AD$422,0))),""))</f>
      </c>
      <c r="U248">
        <f>IF($P248="","",INDEX($L$2:$L$422,MATCH(ROWS($P$5:P248),$AD$2:$AD$422,0)))</f>
      </c>
      <c r="V248">
        <f>IF($P248="","",INDEX($M$2:$M$422,MATCH(ROWS($P$5:P248),$AD$2:$AD$422,0)))</f>
      </c>
      <c r="AD248">
        <f>IF(AND(LEN($Q$2)&gt;=3,ISNUMBER(SEARCH($Q$2,$B248))),MAX($AD$1:AD247)+1,"")</f>
      </c>
    </row>
    <row r="249" ht="14.4" customHeight="1" spans="1:30" x14ac:dyDescent="0.25">
      <c r="A249" s="16" t="s">
        <v>1223</v>
      </c>
      <c r="B249" s="16" t="s">
        <v>203</v>
      </c>
      <c r="C249" s="16" t="s">
        <v>1224</v>
      </c>
      <c r="D249" s="16" t="s">
        <v>825</v>
      </c>
      <c r="E249" s="16" t="s">
        <v>150</v>
      </c>
      <c r="F249" s="16" t="s">
        <v>150</v>
      </c>
      <c r="G249" s="17">
        <f t="shared" si="15"/>
        <v>170000</v>
      </c>
      <c r="H249" s="18">
        <v>170000</v>
      </c>
      <c r="I249" s="19">
        <v>1</v>
      </c>
      <c r="J249" s="18">
        <f t="shared" si="16"/>
        <v>180000</v>
      </c>
      <c r="K249" s="18" t="s">
        <v>477</v>
      </c>
      <c r="L249" s="16" t="str">
        <f t="shared" si="17"/>
        <v>فعال</v>
      </c>
      <c r="M249" s="16">
        <v>184</v>
      </c>
      <c r="N249" s="16" t="s">
        <v>1223</v>
      </c>
      <c r="O249" t="s">
        <v>1225</v>
      </c>
      <c r="P249">
        <f>IFERROR(INDEX($A$2:$A$422,MATCH(ROWS($P$5:P249),$AD$2:$AD$422,0)),"")</f>
      </c>
      <c r="Q249">
        <f>IF($P249="","",INDEX($B$2:$B$422,MATCH(ROWS($P$5:P249),$AD$2:$AD$422,0)))</f>
      </c>
      <c r="R249">
        <f>IF($P249="","",INDEX($C$2:$C$422,MATCH(ROWS($P$5:P249),$AD$2:$AD$422,0)))</f>
      </c>
      <c r="S249">
        <f>IF($P249="","",INDEX($E$2:$E$422,MATCH(ROWS($P$5:P249),$AD$2:$AD$422,0)))</f>
      </c>
      <c r="T249" s="22">
        <f>IF($P249="","",IFERROR(IF(OR(INDEX($H$2:$H$422,MATCH(ROWS($P$5:P249),$AD$2:$AD$422,0))="",INDEX($H$2:$H$422,MATCH(ROWS($P$5:P249),$AD$2:$AD$422,0))="؟",INDEX($H$2:$H$422,MATCH(ROWS($P$5:P249),$AD$2:$AD$422,0))="نامشخص"),"",INDEX($H$2:$H$422,MATCH(ROWS($P$5:P249),$AD$2:$AD$422,0))),""))</f>
      </c>
      <c r="U249">
        <f>IF($P249="","",INDEX($L$2:$L$422,MATCH(ROWS($P$5:P249),$AD$2:$AD$422,0)))</f>
      </c>
      <c r="V249">
        <f>IF($P249="","",INDEX($M$2:$M$422,MATCH(ROWS($P$5:P249),$AD$2:$AD$422,0)))</f>
      </c>
      <c r="AD249">
        <f>IF(AND(LEN($Q$2)&gt;=3,ISNUMBER(SEARCH($Q$2,$B249))),MAX($AD$1:AD248)+1,"")</f>
      </c>
    </row>
    <row r="250" ht="14.4" customHeight="1" spans="1:30" x14ac:dyDescent="0.25">
      <c r="A250" s="16" t="s">
        <v>1226</v>
      </c>
      <c r="B250" s="16" t="s">
        <v>204</v>
      </c>
      <c r="C250" s="16" t="s">
        <v>1227</v>
      </c>
      <c r="D250" s="16" t="s">
        <v>825</v>
      </c>
      <c r="E250" s="16" t="s">
        <v>149</v>
      </c>
      <c r="F250" s="16" t="s">
        <v>149</v>
      </c>
      <c r="G250" s="17">
        <f t="shared" si="15"/>
        <v>90000</v>
      </c>
      <c r="H250" s="18">
        <v>90000</v>
      </c>
      <c r="I250" s="19">
        <v>3</v>
      </c>
      <c r="J250" s="18">
        <f t="shared" si="16"/>
        <v>100000</v>
      </c>
      <c r="K250" s="18" t="s">
        <v>477</v>
      </c>
      <c r="L250" s="16" t="str">
        <f t="shared" si="17"/>
        <v>فعال</v>
      </c>
      <c r="M250" s="16">
        <v>185</v>
      </c>
      <c r="N250" s="16" t="s">
        <v>1226</v>
      </c>
      <c r="O250" t="s">
        <v>1228</v>
      </c>
      <c r="P250">
        <f>IFERROR(INDEX($A$2:$A$422,MATCH(ROWS($P$5:P250),$AD$2:$AD$422,0)),"")</f>
      </c>
      <c r="Q250">
        <f>IF($P250="","",INDEX($B$2:$B$422,MATCH(ROWS($P$5:P250),$AD$2:$AD$422,0)))</f>
      </c>
      <c r="R250">
        <f>IF($P250="","",INDEX($C$2:$C$422,MATCH(ROWS($P$5:P250),$AD$2:$AD$422,0)))</f>
      </c>
      <c r="S250">
        <f>IF($P250="","",INDEX($E$2:$E$422,MATCH(ROWS($P$5:P250),$AD$2:$AD$422,0)))</f>
      </c>
      <c r="T250" s="22">
        <f>IF($P250="","",IFERROR(IF(OR(INDEX($H$2:$H$422,MATCH(ROWS($P$5:P250),$AD$2:$AD$422,0))="",INDEX($H$2:$H$422,MATCH(ROWS($P$5:P250),$AD$2:$AD$422,0))="؟",INDEX($H$2:$H$422,MATCH(ROWS($P$5:P250),$AD$2:$AD$422,0))="نامشخص"),"",INDEX($H$2:$H$422,MATCH(ROWS($P$5:P250),$AD$2:$AD$422,0))),""))</f>
      </c>
      <c r="U250">
        <f>IF($P250="","",INDEX($L$2:$L$422,MATCH(ROWS($P$5:P250),$AD$2:$AD$422,0)))</f>
      </c>
      <c r="V250">
        <f>IF($P250="","",INDEX($M$2:$M$422,MATCH(ROWS($P$5:P250),$AD$2:$AD$422,0)))</f>
      </c>
      <c r="AD250">
        <f>IF(AND(LEN($Q$2)&gt;=3,ISNUMBER(SEARCH($Q$2,$B250))),MAX($AD$1:AD249)+1,"")</f>
      </c>
    </row>
    <row r="251" ht="14.4" customHeight="1" spans="1:30" x14ac:dyDescent="0.25">
      <c r="A251" s="16" t="s">
        <v>1229</v>
      </c>
      <c r="B251" s="16" t="s">
        <v>204</v>
      </c>
      <c r="C251" s="16" t="s">
        <v>1230</v>
      </c>
      <c r="D251" s="16" t="s">
        <v>825</v>
      </c>
      <c r="E251" s="16" t="s">
        <v>150</v>
      </c>
      <c r="F251" s="16" t="s">
        <v>150</v>
      </c>
      <c r="G251" s="17">
        <f t="shared" si="15"/>
        <v>170000</v>
      </c>
      <c r="H251" s="18">
        <v>170000</v>
      </c>
      <c r="I251" s="19">
        <v>2</v>
      </c>
      <c r="J251" s="18">
        <f t="shared" si="16"/>
        <v>180000</v>
      </c>
      <c r="K251" s="18" t="s">
        <v>477</v>
      </c>
      <c r="L251" s="16" t="str">
        <f t="shared" si="17"/>
        <v>فعال</v>
      </c>
      <c r="M251" s="16">
        <v>185</v>
      </c>
      <c r="N251" s="16" t="s">
        <v>1229</v>
      </c>
      <c r="O251" t="s">
        <v>1231</v>
      </c>
      <c r="P251">
        <f>IFERROR(INDEX($A$2:$A$422,MATCH(ROWS($P$5:P251),$AD$2:$AD$422,0)),"")</f>
      </c>
      <c r="Q251">
        <f>IF($P251="","",INDEX($B$2:$B$422,MATCH(ROWS($P$5:P251),$AD$2:$AD$422,0)))</f>
      </c>
      <c r="R251">
        <f>IF($P251="","",INDEX($C$2:$C$422,MATCH(ROWS($P$5:P251),$AD$2:$AD$422,0)))</f>
      </c>
      <c r="S251">
        <f>IF($P251="","",INDEX($E$2:$E$422,MATCH(ROWS($P$5:P251),$AD$2:$AD$422,0)))</f>
      </c>
      <c r="T251" s="22">
        <f>IF($P251="","",IFERROR(IF(OR(INDEX($H$2:$H$422,MATCH(ROWS($P$5:P251),$AD$2:$AD$422,0))="",INDEX($H$2:$H$422,MATCH(ROWS($P$5:P251),$AD$2:$AD$422,0))="؟",INDEX($H$2:$H$422,MATCH(ROWS($P$5:P251),$AD$2:$AD$422,0))="نامشخص"),"",INDEX($H$2:$H$422,MATCH(ROWS($P$5:P251),$AD$2:$AD$422,0))),""))</f>
      </c>
      <c r="U251">
        <f>IF($P251="","",INDEX($L$2:$L$422,MATCH(ROWS($P$5:P251),$AD$2:$AD$422,0)))</f>
      </c>
      <c r="V251">
        <f>IF($P251="","",INDEX($M$2:$M$422,MATCH(ROWS($P$5:P251),$AD$2:$AD$422,0)))</f>
      </c>
      <c r="AD251">
        <f>IF(AND(LEN($Q$2)&gt;=3,ISNUMBER(SEARCH($Q$2,$B251))),MAX($AD$1:AD250)+1,"")</f>
      </c>
    </row>
    <row r="252" ht="14.4" customHeight="1" spans="1:30" x14ac:dyDescent="0.25">
      <c r="A252" s="16" t="s">
        <v>1232</v>
      </c>
      <c r="B252" s="16" t="s">
        <v>205</v>
      </c>
      <c r="C252" s="16" t="s">
        <v>1233</v>
      </c>
      <c r="D252" s="16" t="s">
        <v>825</v>
      </c>
      <c r="E252" s="16" t="s">
        <v>149</v>
      </c>
      <c r="F252" s="16" t="s">
        <v>149</v>
      </c>
      <c r="G252" s="17">
        <f t="shared" si="15"/>
        <v>115000</v>
      </c>
      <c r="H252" s="18">
        <v>115000</v>
      </c>
      <c r="I252" s="19">
        <v>2</v>
      </c>
      <c r="J252" s="18">
        <f t="shared" si="16"/>
        <v>120000</v>
      </c>
      <c r="K252" s="18" t="s">
        <v>477</v>
      </c>
      <c r="L252" s="16" t="str">
        <f t="shared" si="17"/>
        <v>فعال</v>
      </c>
      <c r="M252" s="16">
        <v>186</v>
      </c>
      <c r="N252" s="16" t="s">
        <v>1232</v>
      </c>
      <c r="O252" t="s">
        <v>1234</v>
      </c>
      <c r="P252">
        <f>IFERROR(INDEX($A$2:$A$422,MATCH(ROWS($P$5:P252),$AD$2:$AD$422,0)),"")</f>
      </c>
      <c r="Q252">
        <f>IF($P252="","",INDEX($B$2:$B$422,MATCH(ROWS($P$5:P252),$AD$2:$AD$422,0)))</f>
      </c>
      <c r="R252">
        <f>IF($P252="","",INDEX($C$2:$C$422,MATCH(ROWS($P$5:P252),$AD$2:$AD$422,0)))</f>
      </c>
      <c r="S252">
        <f>IF($P252="","",INDEX($E$2:$E$422,MATCH(ROWS($P$5:P252),$AD$2:$AD$422,0)))</f>
      </c>
      <c r="T252" s="22">
        <f>IF($P252="","",IFERROR(IF(OR(INDEX($H$2:$H$422,MATCH(ROWS($P$5:P252),$AD$2:$AD$422,0))="",INDEX($H$2:$H$422,MATCH(ROWS($P$5:P252),$AD$2:$AD$422,0))="؟",INDEX($H$2:$H$422,MATCH(ROWS($P$5:P252),$AD$2:$AD$422,0))="نامشخص"),"",INDEX($H$2:$H$422,MATCH(ROWS($P$5:P252),$AD$2:$AD$422,0))),""))</f>
      </c>
      <c r="U252">
        <f>IF($P252="","",INDEX($L$2:$L$422,MATCH(ROWS($P$5:P252),$AD$2:$AD$422,0)))</f>
      </c>
      <c r="V252">
        <f>IF($P252="","",INDEX($M$2:$M$422,MATCH(ROWS($P$5:P252),$AD$2:$AD$422,0)))</f>
      </c>
      <c r="AD252">
        <f>IF(AND(LEN($Q$2)&gt;=3,ISNUMBER(SEARCH($Q$2,$B252))),MAX($AD$1:AD251)+1,"")</f>
      </c>
    </row>
    <row r="253" ht="14.4" customHeight="1" spans="1:30" x14ac:dyDescent="0.25">
      <c r="A253" s="16" t="s">
        <v>1235</v>
      </c>
      <c r="B253" s="16" t="s">
        <v>205</v>
      </c>
      <c r="C253" s="16" t="s">
        <v>1236</v>
      </c>
      <c r="D253" s="16" t="s">
        <v>825</v>
      </c>
      <c r="E253" s="16" t="s">
        <v>150</v>
      </c>
      <c r="F253" s="16" t="s">
        <v>150</v>
      </c>
      <c r="G253" s="17">
        <f t="shared" si="15"/>
        <v>220000</v>
      </c>
      <c r="H253" s="18">
        <v>220000</v>
      </c>
      <c r="I253" s="19">
        <v>1</v>
      </c>
      <c r="J253" s="18">
        <f t="shared" si="16"/>
        <v>230000</v>
      </c>
      <c r="K253" s="18" t="s">
        <v>477</v>
      </c>
      <c r="L253" s="16" t="str">
        <f t="shared" si="17"/>
        <v>فعال</v>
      </c>
      <c r="M253" s="16">
        <v>186</v>
      </c>
      <c r="N253" s="16" t="s">
        <v>1235</v>
      </c>
      <c r="O253" t="s">
        <v>1237</v>
      </c>
      <c r="P253">
        <f>IFERROR(INDEX($A$2:$A$422,MATCH(ROWS($P$5:P253),$AD$2:$AD$422,0)),"")</f>
      </c>
      <c r="Q253">
        <f>IF($P253="","",INDEX($B$2:$B$422,MATCH(ROWS($P$5:P253),$AD$2:$AD$422,0)))</f>
      </c>
      <c r="R253">
        <f>IF($P253="","",INDEX($C$2:$C$422,MATCH(ROWS($P$5:P253),$AD$2:$AD$422,0)))</f>
      </c>
      <c r="S253">
        <f>IF($P253="","",INDEX($E$2:$E$422,MATCH(ROWS($P$5:P253),$AD$2:$AD$422,0)))</f>
      </c>
      <c r="T253" s="22">
        <f>IF($P253="","",IFERROR(IF(OR(INDEX($H$2:$H$422,MATCH(ROWS($P$5:P253),$AD$2:$AD$422,0))="",INDEX($H$2:$H$422,MATCH(ROWS($P$5:P253),$AD$2:$AD$422,0))="؟",INDEX($H$2:$H$422,MATCH(ROWS($P$5:P253),$AD$2:$AD$422,0))="نامشخص"),"",INDEX($H$2:$H$422,MATCH(ROWS($P$5:P253),$AD$2:$AD$422,0))),""))</f>
      </c>
      <c r="U253">
        <f>IF($P253="","",INDEX($L$2:$L$422,MATCH(ROWS($P$5:P253),$AD$2:$AD$422,0)))</f>
      </c>
      <c r="V253">
        <f>IF($P253="","",INDEX($M$2:$M$422,MATCH(ROWS($P$5:P253),$AD$2:$AD$422,0)))</f>
      </c>
      <c r="AD253">
        <f>IF(AND(LEN($Q$2)&gt;=3,ISNUMBER(SEARCH($Q$2,$B253))),MAX($AD$1:AD252)+1,"")</f>
      </c>
    </row>
    <row r="254" ht="14.4" customHeight="1" spans="1:30" x14ac:dyDescent="0.25">
      <c r="A254" s="16" t="s">
        <v>1238</v>
      </c>
      <c r="B254" s="16" t="s">
        <v>206</v>
      </c>
      <c r="C254" s="16" t="s">
        <v>1239</v>
      </c>
      <c r="D254" s="16" t="s">
        <v>825</v>
      </c>
      <c r="E254" s="16" t="s">
        <v>149</v>
      </c>
      <c r="F254" s="16" t="s">
        <v>149</v>
      </c>
      <c r="G254" s="17">
        <f t="shared" si="15"/>
        <v>90000</v>
      </c>
      <c r="H254" s="18">
        <v>90000</v>
      </c>
      <c r="I254" s="19">
        <v>3</v>
      </c>
      <c r="J254" s="18">
        <f t="shared" si="16"/>
        <v>100000</v>
      </c>
      <c r="K254" s="18" t="s">
        <v>477</v>
      </c>
      <c r="L254" s="16" t="str">
        <f t="shared" si="17"/>
        <v>فعال</v>
      </c>
      <c r="M254" s="16">
        <v>187</v>
      </c>
      <c r="N254" s="16" t="s">
        <v>1238</v>
      </c>
      <c r="O254" t="s">
        <v>1240</v>
      </c>
      <c r="P254">
        <f>IFERROR(INDEX($A$2:$A$422,MATCH(ROWS($P$5:P254),$AD$2:$AD$422,0)),"")</f>
      </c>
      <c r="Q254">
        <f>IF($P254="","",INDEX($B$2:$B$422,MATCH(ROWS($P$5:P254),$AD$2:$AD$422,0)))</f>
      </c>
      <c r="R254">
        <f>IF($P254="","",INDEX($C$2:$C$422,MATCH(ROWS($P$5:P254),$AD$2:$AD$422,0)))</f>
      </c>
      <c r="S254">
        <f>IF($P254="","",INDEX($E$2:$E$422,MATCH(ROWS($P$5:P254),$AD$2:$AD$422,0)))</f>
      </c>
      <c r="T254" s="22">
        <f>IF($P254="","",IFERROR(IF(OR(INDEX($H$2:$H$422,MATCH(ROWS($P$5:P254),$AD$2:$AD$422,0))="",INDEX($H$2:$H$422,MATCH(ROWS($P$5:P254),$AD$2:$AD$422,0))="؟",INDEX($H$2:$H$422,MATCH(ROWS($P$5:P254),$AD$2:$AD$422,0))="نامشخص"),"",INDEX($H$2:$H$422,MATCH(ROWS($P$5:P254),$AD$2:$AD$422,0))),""))</f>
      </c>
      <c r="U254">
        <f>IF($P254="","",INDEX($L$2:$L$422,MATCH(ROWS($P$5:P254),$AD$2:$AD$422,0)))</f>
      </c>
      <c r="V254">
        <f>IF($P254="","",INDEX($M$2:$M$422,MATCH(ROWS($P$5:P254),$AD$2:$AD$422,0)))</f>
      </c>
      <c r="AD254">
        <f>IF(AND(LEN($Q$2)&gt;=3,ISNUMBER(SEARCH($Q$2,$B254))),MAX($AD$1:AD253)+1,"")</f>
      </c>
    </row>
    <row r="255" ht="14.4" customHeight="1" spans="1:30" x14ac:dyDescent="0.25">
      <c r="A255" s="16" t="s">
        <v>1241</v>
      </c>
      <c r="B255" s="16" t="s">
        <v>206</v>
      </c>
      <c r="C255" s="16" t="s">
        <v>1242</v>
      </c>
      <c r="D255" s="16" t="s">
        <v>825</v>
      </c>
      <c r="E255" s="16" t="s">
        <v>150</v>
      </c>
      <c r="F255" s="16" t="s">
        <v>150</v>
      </c>
      <c r="G255" s="17">
        <f t="shared" si="15"/>
        <v>170000</v>
      </c>
      <c r="H255" s="18">
        <v>170000</v>
      </c>
      <c r="I255" s="19">
        <v>3</v>
      </c>
      <c r="J255" s="18">
        <f t="shared" si="16"/>
        <v>180000</v>
      </c>
      <c r="K255" s="18" t="s">
        <v>477</v>
      </c>
      <c r="L255" s="16" t="str">
        <f t="shared" si="17"/>
        <v>فعال</v>
      </c>
      <c r="M255" s="16">
        <v>187</v>
      </c>
      <c r="N255" s="16" t="s">
        <v>1241</v>
      </c>
      <c r="O255" t="s">
        <v>1243</v>
      </c>
      <c r="P255">
        <f>IFERROR(INDEX($A$2:$A$422,MATCH(ROWS($P$5:P255),$AD$2:$AD$422,0)),"")</f>
      </c>
      <c r="Q255">
        <f>IF($P255="","",INDEX($B$2:$B$422,MATCH(ROWS($P$5:P255),$AD$2:$AD$422,0)))</f>
      </c>
      <c r="R255">
        <f>IF($P255="","",INDEX($C$2:$C$422,MATCH(ROWS($P$5:P255),$AD$2:$AD$422,0)))</f>
      </c>
      <c r="S255">
        <f>IF($P255="","",INDEX($E$2:$E$422,MATCH(ROWS($P$5:P255),$AD$2:$AD$422,0)))</f>
      </c>
      <c r="T255" s="22">
        <f>IF($P255="","",IFERROR(IF(OR(INDEX($H$2:$H$422,MATCH(ROWS($P$5:P255),$AD$2:$AD$422,0))="",INDEX($H$2:$H$422,MATCH(ROWS($P$5:P255),$AD$2:$AD$422,0))="؟",INDEX($H$2:$H$422,MATCH(ROWS($P$5:P255),$AD$2:$AD$422,0))="نامشخص"),"",INDEX($H$2:$H$422,MATCH(ROWS($P$5:P255),$AD$2:$AD$422,0))),""))</f>
      </c>
      <c r="U255">
        <f>IF($P255="","",INDEX($L$2:$L$422,MATCH(ROWS($P$5:P255),$AD$2:$AD$422,0)))</f>
      </c>
      <c r="V255">
        <f>IF($P255="","",INDEX($M$2:$M$422,MATCH(ROWS($P$5:P255),$AD$2:$AD$422,0)))</f>
      </c>
      <c r="AD255">
        <f>IF(AND(LEN($Q$2)&gt;=3,ISNUMBER(SEARCH($Q$2,$B255))),MAX($AD$1:AD254)+1,"")</f>
      </c>
    </row>
    <row r="256" ht="14.4" customHeight="1" spans="1:30" x14ac:dyDescent="0.25">
      <c r="A256" s="16" t="s">
        <v>1244</v>
      </c>
      <c r="B256" s="16" t="s">
        <v>207</v>
      </c>
      <c r="C256" s="16" t="s">
        <v>1245</v>
      </c>
      <c r="D256" s="16" t="s">
        <v>825</v>
      </c>
      <c r="E256" s="16" t="s">
        <v>149</v>
      </c>
      <c r="F256" s="16" t="s">
        <v>149</v>
      </c>
      <c r="G256" s="17">
        <f t="shared" si="15"/>
        <v>75000</v>
      </c>
      <c r="H256" s="18">
        <v>75000</v>
      </c>
      <c r="I256" s="19">
        <v>2</v>
      </c>
      <c r="J256" s="18">
        <f t="shared" si="16"/>
        <v>80000</v>
      </c>
      <c r="K256" s="18" t="s">
        <v>477</v>
      </c>
      <c r="L256" s="16" t="str">
        <f t="shared" si="17"/>
        <v>فعال</v>
      </c>
      <c r="M256" s="16">
        <v>188</v>
      </c>
      <c r="N256" s="16" t="s">
        <v>1244</v>
      </c>
      <c r="O256" t="s">
        <v>1246</v>
      </c>
      <c r="P256">
        <f>IFERROR(INDEX($A$2:$A$422,MATCH(ROWS($P$5:P256),$AD$2:$AD$422,0)),"")</f>
      </c>
      <c r="Q256">
        <f>IF($P256="","",INDEX($B$2:$B$422,MATCH(ROWS($P$5:P256),$AD$2:$AD$422,0)))</f>
      </c>
      <c r="R256">
        <f>IF($P256="","",INDEX($C$2:$C$422,MATCH(ROWS($P$5:P256),$AD$2:$AD$422,0)))</f>
      </c>
      <c r="S256">
        <f>IF($P256="","",INDEX($E$2:$E$422,MATCH(ROWS($P$5:P256),$AD$2:$AD$422,0)))</f>
      </c>
      <c r="T256" s="22">
        <f>IF($P256="","",IFERROR(IF(OR(INDEX($H$2:$H$422,MATCH(ROWS($P$5:P256),$AD$2:$AD$422,0))="",INDEX($H$2:$H$422,MATCH(ROWS($P$5:P256),$AD$2:$AD$422,0))="؟",INDEX($H$2:$H$422,MATCH(ROWS($P$5:P256),$AD$2:$AD$422,0))="نامشخص"),"",INDEX($H$2:$H$422,MATCH(ROWS($P$5:P256),$AD$2:$AD$422,0))),""))</f>
      </c>
      <c r="U256">
        <f>IF($P256="","",INDEX($L$2:$L$422,MATCH(ROWS($P$5:P256),$AD$2:$AD$422,0)))</f>
      </c>
      <c r="V256">
        <f>IF($P256="","",INDEX($M$2:$M$422,MATCH(ROWS($P$5:P256),$AD$2:$AD$422,0)))</f>
      </c>
      <c r="AD256">
        <f>IF(AND(LEN($Q$2)&gt;=3,ISNUMBER(SEARCH($Q$2,$B256))),MAX($AD$1:AD255)+1,"")</f>
      </c>
    </row>
    <row r="257" ht="14.4" customHeight="1" spans="1:30" x14ac:dyDescent="0.25">
      <c r="A257" s="16" t="s">
        <v>1247</v>
      </c>
      <c r="B257" s="16" t="s">
        <v>207</v>
      </c>
      <c r="C257" s="16" t="s">
        <v>1248</v>
      </c>
      <c r="D257" s="16" t="s">
        <v>825</v>
      </c>
      <c r="E257" s="16" t="s">
        <v>150</v>
      </c>
      <c r="F257" s="16" t="s">
        <v>150</v>
      </c>
      <c r="G257" s="17">
        <f t="shared" si="15"/>
        <v>140000</v>
      </c>
      <c r="H257" s="18">
        <v>140000</v>
      </c>
      <c r="I257" s="19">
        <v>3</v>
      </c>
      <c r="J257" s="18">
        <f t="shared" si="16"/>
        <v>150000</v>
      </c>
      <c r="K257" s="18" t="s">
        <v>477</v>
      </c>
      <c r="L257" s="16" t="str">
        <f t="shared" si="17"/>
        <v>فعال</v>
      </c>
      <c r="M257" s="16">
        <v>188</v>
      </c>
      <c r="N257" s="16" t="s">
        <v>1247</v>
      </c>
      <c r="O257" t="s">
        <v>1249</v>
      </c>
      <c r="P257">
        <f>IFERROR(INDEX($A$2:$A$422,MATCH(ROWS($P$5:P257),$AD$2:$AD$422,0)),"")</f>
      </c>
      <c r="Q257">
        <f>IF($P257="","",INDEX($B$2:$B$422,MATCH(ROWS($P$5:P257),$AD$2:$AD$422,0)))</f>
      </c>
      <c r="R257">
        <f>IF($P257="","",INDEX($C$2:$C$422,MATCH(ROWS($P$5:P257),$AD$2:$AD$422,0)))</f>
      </c>
      <c r="S257">
        <f>IF($P257="","",INDEX($E$2:$E$422,MATCH(ROWS($P$5:P257),$AD$2:$AD$422,0)))</f>
      </c>
      <c r="T257" s="22">
        <f>IF($P257="","",IFERROR(IF(OR(INDEX($H$2:$H$422,MATCH(ROWS($P$5:P257),$AD$2:$AD$422,0))="",INDEX($H$2:$H$422,MATCH(ROWS($P$5:P257),$AD$2:$AD$422,0))="؟",INDEX($H$2:$H$422,MATCH(ROWS($P$5:P257),$AD$2:$AD$422,0))="نامشخص"),"",INDEX($H$2:$H$422,MATCH(ROWS($P$5:P257),$AD$2:$AD$422,0))),""))</f>
      </c>
      <c r="U257">
        <f>IF($P257="","",INDEX($L$2:$L$422,MATCH(ROWS($P$5:P257),$AD$2:$AD$422,0)))</f>
      </c>
      <c r="V257">
        <f>IF($P257="","",INDEX($M$2:$M$422,MATCH(ROWS($P$5:P257),$AD$2:$AD$422,0)))</f>
      </c>
      <c r="AD257">
        <f>IF(AND(LEN($Q$2)&gt;=3,ISNUMBER(SEARCH($Q$2,$B257))),MAX($AD$1:AD256)+1,"")</f>
      </c>
    </row>
    <row r="258" ht="14.4" customHeight="1" spans="1:30" x14ac:dyDescent="0.25">
      <c r="A258" s="16" t="s">
        <v>1250</v>
      </c>
      <c r="B258" s="16" t="s">
        <v>48</v>
      </c>
      <c r="C258" s="16" t="s">
        <v>1251</v>
      </c>
      <c r="D258" s="16" t="s">
        <v>1252</v>
      </c>
      <c r="E258" s="16" t="s">
        <v>9</v>
      </c>
      <c r="F258" s="16" t="s">
        <v>9</v>
      </c>
      <c r="G258" s="17">
        <f t="shared" ref="G258:G321" si="18">H258</f>
        <v>1100000</v>
      </c>
      <c r="H258" s="18">
        <v>1100000</v>
      </c>
      <c r="I258" s="19">
        <v>3</v>
      </c>
      <c r="J258" s="18">
        <f t="shared" si="16"/>
        <v>1140000</v>
      </c>
      <c r="K258" s="18" t="s">
        <v>477</v>
      </c>
      <c r="L258" s="16" t="str">
        <f t="shared" si="17"/>
        <v>فعال</v>
      </c>
      <c r="M258" s="16">
        <v>39</v>
      </c>
      <c r="N258" s="16" t="s">
        <v>1250</v>
      </c>
      <c r="O258" t="s">
        <v>1253</v>
      </c>
      <c r="P258">
        <f>IFERROR(INDEX($A$2:$A$422,MATCH(ROWS($P$5:P258),$AD$2:$AD$422,0)),"")</f>
      </c>
      <c r="Q258">
        <f>IF($P258="","",INDEX($B$2:$B$422,MATCH(ROWS($P$5:P258),$AD$2:$AD$422,0)))</f>
      </c>
      <c r="R258">
        <f>IF($P258="","",INDEX($C$2:$C$422,MATCH(ROWS($P$5:P258),$AD$2:$AD$422,0)))</f>
      </c>
      <c r="S258">
        <f>IF($P258="","",INDEX($E$2:$E$422,MATCH(ROWS($P$5:P258),$AD$2:$AD$422,0)))</f>
      </c>
      <c r="T258" s="22">
        <f>IF($P258="","",IFERROR(IF(OR(INDEX($H$2:$H$422,MATCH(ROWS($P$5:P258),$AD$2:$AD$422,0))="",INDEX($H$2:$H$422,MATCH(ROWS($P$5:P258),$AD$2:$AD$422,0))="؟",INDEX($H$2:$H$422,MATCH(ROWS($P$5:P258),$AD$2:$AD$422,0))="نامشخص"),"",INDEX($H$2:$H$422,MATCH(ROWS($P$5:P258),$AD$2:$AD$422,0))),""))</f>
      </c>
      <c r="U258">
        <f>IF($P258="","",INDEX($L$2:$L$422,MATCH(ROWS($P$5:P258),$AD$2:$AD$422,0)))</f>
      </c>
      <c r="V258">
        <f>IF($P258="","",INDEX($M$2:$M$422,MATCH(ROWS($P$5:P258),$AD$2:$AD$422,0)))</f>
      </c>
      <c r="AD258">
        <f>IF(AND(LEN($Q$2)&gt;=3,ISNUMBER(SEARCH($Q$2,$B258))),MAX($AD$1:AD257)+1,"")</f>
      </c>
    </row>
    <row r="259" ht="14.4" customHeight="1" spans="1:30" x14ac:dyDescent="0.25">
      <c r="A259" s="16" t="s">
        <v>1254</v>
      </c>
      <c r="B259" s="16" t="s">
        <v>59</v>
      </c>
      <c r="C259" s="16" t="s">
        <v>1255</v>
      </c>
      <c r="D259" s="16" t="s">
        <v>1252</v>
      </c>
      <c r="E259" s="16" t="s">
        <v>9</v>
      </c>
      <c r="F259" s="16" t="s">
        <v>9</v>
      </c>
      <c r="G259" s="17">
        <f t="shared" si="18"/>
        <v>1100000</v>
      </c>
      <c r="H259" s="18">
        <v>1100000</v>
      </c>
      <c r="I259" s="19">
        <v>1</v>
      </c>
      <c r="J259" s="18">
        <f t="shared" si="16"/>
        <v>1120000</v>
      </c>
      <c r="K259" s="18" t="s">
        <v>477</v>
      </c>
      <c r="L259" s="16" t="str">
        <f t="shared" si="17"/>
        <v>فعال</v>
      </c>
      <c r="M259" s="16">
        <v>50</v>
      </c>
      <c r="N259" s="16" t="s">
        <v>1254</v>
      </c>
      <c r="O259" t="s">
        <v>1256</v>
      </c>
      <c r="P259">
        <f>IFERROR(INDEX($A$2:$A$422,MATCH(ROWS($P$5:P259),$AD$2:$AD$422,0)),"")</f>
      </c>
      <c r="Q259">
        <f>IF($P259="","",INDEX($B$2:$B$422,MATCH(ROWS($P$5:P259),$AD$2:$AD$422,0)))</f>
      </c>
      <c r="R259">
        <f>IF($P259="","",INDEX($C$2:$C$422,MATCH(ROWS($P$5:P259),$AD$2:$AD$422,0)))</f>
      </c>
      <c r="S259">
        <f>IF($P259="","",INDEX($E$2:$E$422,MATCH(ROWS($P$5:P259),$AD$2:$AD$422,0)))</f>
      </c>
      <c r="T259" s="22">
        <f>IF($P259="","",IFERROR(IF(OR(INDEX($H$2:$H$422,MATCH(ROWS($P$5:P259),$AD$2:$AD$422,0))="",INDEX($H$2:$H$422,MATCH(ROWS($P$5:P259),$AD$2:$AD$422,0))="؟",INDEX($H$2:$H$422,MATCH(ROWS($P$5:P259),$AD$2:$AD$422,0))="نامشخص"),"",INDEX($H$2:$H$422,MATCH(ROWS($P$5:P259),$AD$2:$AD$422,0))),""))</f>
      </c>
      <c r="U259">
        <f>IF($P259="","",INDEX($L$2:$L$422,MATCH(ROWS($P$5:P259),$AD$2:$AD$422,0)))</f>
      </c>
      <c r="V259">
        <f>IF($P259="","",INDEX($M$2:$M$422,MATCH(ROWS($P$5:P259),$AD$2:$AD$422,0)))</f>
      </c>
      <c r="AD259">
        <f>IF(AND(LEN($Q$2)&gt;=3,ISNUMBER(SEARCH($Q$2,$B259))),MAX($AD$1:AD258)+1,"")</f>
      </c>
    </row>
    <row r="260" ht="14.4" customHeight="1" spans="1:30" x14ac:dyDescent="0.25">
      <c r="A260" s="16" t="s">
        <v>1257</v>
      </c>
      <c r="B260" s="16" t="s">
        <v>62</v>
      </c>
      <c r="C260" s="16" t="s">
        <v>1258</v>
      </c>
      <c r="D260" s="16" t="s">
        <v>1252</v>
      </c>
      <c r="E260" s="16" t="s">
        <v>9</v>
      </c>
      <c r="F260" s="16" t="s">
        <v>9</v>
      </c>
      <c r="G260" s="17">
        <f t="shared" si="18"/>
        <v>800000</v>
      </c>
      <c r="H260" s="18">
        <v>800000</v>
      </c>
      <c r="I260" s="19">
        <v>3</v>
      </c>
      <c r="J260" s="18">
        <f t="shared" si="16"/>
        <v>830000</v>
      </c>
      <c r="K260" s="18" t="s">
        <v>477</v>
      </c>
      <c r="L260" s="16" t="str">
        <f t="shared" si="17"/>
        <v>فعال</v>
      </c>
      <c r="M260" s="16">
        <v>53</v>
      </c>
      <c r="N260" s="16" t="s">
        <v>1257</v>
      </c>
      <c r="O260" t="s">
        <v>1259</v>
      </c>
      <c r="P260">
        <f>IFERROR(INDEX($A$2:$A$422,MATCH(ROWS($P$5:P260),$AD$2:$AD$422,0)),"")</f>
      </c>
      <c r="Q260">
        <f>IF($P260="","",INDEX($B$2:$B$422,MATCH(ROWS($P$5:P260),$AD$2:$AD$422,0)))</f>
      </c>
      <c r="R260">
        <f>IF($P260="","",INDEX($C$2:$C$422,MATCH(ROWS($P$5:P260),$AD$2:$AD$422,0)))</f>
      </c>
      <c r="S260">
        <f>IF($P260="","",INDEX($E$2:$E$422,MATCH(ROWS($P$5:P260),$AD$2:$AD$422,0)))</f>
      </c>
      <c r="T260" s="22">
        <f>IF($P260="","",IFERROR(IF(OR(INDEX($H$2:$H$422,MATCH(ROWS($P$5:P260),$AD$2:$AD$422,0))="",INDEX($H$2:$H$422,MATCH(ROWS($P$5:P260),$AD$2:$AD$422,0))="؟",INDEX($H$2:$H$422,MATCH(ROWS($P$5:P260),$AD$2:$AD$422,0))="نامشخص"),"",INDEX($H$2:$H$422,MATCH(ROWS($P$5:P260),$AD$2:$AD$422,0))),""))</f>
      </c>
      <c r="U260">
        <f>IF($P260="","",INDEX($L$2:$L$422,MATCH(ROWS($P$5:P260),$AD$2:$AD$422,0)))</f>
      </c>
      <c r="V260">
        <f>IF($P260="","",INDEX($M$2:$M$422,MATCH(ROWS($P$5:P260),$AD$2:$AD$422,0)))</f>
      </c>
      <c r="AD260">
        <f>IF(AND(LEN($Q$2)&gt;=3,ISNUMBER(SEARCH($Q$2,$B260))),MAX($AD$1:AD259)+1,"")</f>
      </c>
    </row>
    <row r="261" ht="14.4" customHeight="1" spans="1:30" x14ac:dyDescent="0.25">
      <c r="A261" s="16" t="s">
        <v>1260</v>
      </c>
      <c r="B261" s="16" t="s">
        <v>82</v>
      </c>
      <c r="C261" s="16" t="s">
        <v>1261</v>
      </c>
      <c r="D261" s="16" t="s">
        <v>1252</v>
      </c>
      <c r="E261" s="16" t="s">
        <v>9</v>
      </c>
      <c r="F261" s="16" t="s">
        <v>9</v>
      </c>
      <c r="G261" s="17">
        <f t="shared" si="18"/>
        <v>550000</v>
      </c>
      <c r="H261" s="18">
        <v>550000</v>
      </c>
      <c r="I261" s="19">
        <v>1</v>
      </c>
      <c r="J261" s="18">
        <f t="shared" si="16"/>
        <v>560000</v>
      </c>
      <c r="K261" s="18" t="s">
        <v>477</v>
      </c>
      <c r="L261" s="16" t="str">
        <f t="shared" si="17"/>
        <v>فعال</v>
      </c>
      <c r="M261" s="16">
        <v>69</v>
      </c>
      <c r="N261" s="16" t="s">
        <v>1260</v>
      </c>
      <c r="O261" t="s">
        <v>1262</v>
      </c>
      <c r="P261">
        <f>IFERROR(INDEX($A$2:$A$422,MATCH(ROWS($P$5:P261),$AD$2:$AD$422,0)),"")</f>
      </c>
      <c r="Q261">
        <f>IF($P261="","",INDEX($B$2:$B$422,MATCH(ROWS($P$5:P261),$AD$2:$AD$422,0)))</f>
      </c>
      <c r="R261">
        <f>IF($P261="","",INDEX($C$2:$C$422,MATCH(ROWS($P$5:P261),$AD$2:$AD$422,0)))</f>
      </c>
      <c r="S261">
        <f>IF($P261="","",INDEX($E$2:$E$422,MATCH(ROWS($P$5:P261),$AD$2:$AD$422,0)))</f>
      </c>
      <c r="T261" s="22">
        <f>IF($P261="","",IFERROR(IF(OR(INDEX($H$2:$H$422,MATCH(ROWS($P$5:P261),$AD$2:$AD$422,0))="",INDEX($H$2:$H$422,MATCH(ROWS($P$5:P261),$AD$2:$AD$422,0))="؟",INDEX($H$2:$H$422,MATCH(ROWS($P$5:P261),$AD$2:$AD$422,0))="نامشخص"),"",INDEX($H$2:$H$422,MATCH(ROWS($P$5:P261),$AD$2:$AD$422,0))),""))</f>
      </c>
      <c r="U261">
        <f>IF($P261="","",INDEX($L$2:$L$422,MATCH(ROWS($P$5:P261),$AD$2:$AD$422,0)))</f>
      </c>
      <c r="V261">
        <f>IF($P261="","",INDEX($M$2:$M$422,MATCH(ROWS($P$5:P261),$AD$2:$AD$422,0)))</f>
      </c>
      <c r="AD261">
        <f>IF(AND(LEN($Q$2)&gt;=3,ISNUMBER(SEARCH($Q$2,$B261))),MAX($AD$1:AD260)+1,"")</f>
      </c>
    </row>
    <row r="262" ht="14.4" customHeight="1" spans="1:30" x14ac:dyDescent="0.25">
      <c r="A262" s="16" t="s">
        <v>1263</v>
      </c>
      <c r="B262" s="16" t="s">
        <v>85</v>
      </c>
      <c r="C262" s="16" t="s">
        <v>1264</v>
      </c>
      <c r="D262" s="16" t="s">
        <v>1252</v>
      </c>
      <c r="E262" s="16" t="s">
        <v>9</v>
      </c>
      <c r="F262" s="16" t="s">
        <v>9</v>
      </c>
      <c r="G262" s="17">
        <f t="shared" si="18"/>
        <v>1100000</v>
      </c>
      <c r="H262" s="18">
        <v>1100000</v>
      </c>
      <c r="I262" s="19">
        <v>3</v>
      </c>
      <c r="J262" s="18">
        <f t="shared" si="16"/>
        <v>1140000</v>
      </c>
      <c r="K262" s="18" t="s">
        <v>477</v>
      </c>
      <c r="L262" s="16" t="str">
        <f t="shared" si="17"/>
        <v>فعال</v>
      </c>
      <c r="M262" s="16">
        <v>72</v>
      </c>
      <c r="N262" s="16" t="s">
        <v>1263</v>
      </c>
      <c r="O262" t="s">
        <v>1265</v>
      </c>
      <c r="P262">
        <f>IFERROR(INDEX($A$2:$A$422,MATCH(ROWS($P$5:P262),$AD$2:$AD$422,0)),"")</f>
      </c>
      <c r="Q262">
        <f>IF($P262="","",INDEX($B$2:$B$422,MATCH(ROWS($P$5:P262),$AD$2:$AD$422,0)))</f>
      </c>
      <c r="R262">
        <f>IF($P262="","",INDEX($C$2:$C$422,MATCH(ROWS($P$5:P262),$AD$2:$AD$422,0)))</f>
      </c>
      <c r="S262">
        <f>IF($P262="","",INDEX($E$2:$E$422,MATCH(ROWS($P$5:P262),$AD$2:$AD$422,0)))</f>
      </c>
      <c r="T262" s="22">
        <f>IF($P262="","",IFERROR(IF(OR(INDEX($H$2:$H$422,MATCH(ROWS($P$5:P262),$AD$2:$AD$422,0))="",INDEX($H$2:$H$422,MATCH(ROWS($P$5:P262),$AD$2:$AD$422,0))="؟",INDEX($H$2:$H$422,MATCH(ROWS($P$5:P262),$AD$2:$AD$422,0))="نامشخص"),"",INDEX($H$2:$H$422,MATCH(ROWS($P$5:P262),$AD$2:$AD$422,0))),""))</f>
      </c>
      <c r="U262">
        <f>IF($P262="","",INDEX($L$2:$L$422,MATCH(ROWS($P$5:P262),$AD$2:$AD$422,0)))</f>
      </c>
      <c r="V262">
        <f>IF($P262="","",INDEX($M$2:$M$422,MATCH(ROWS($P$5:P262),$AD$2:$AD$422,0)))</f>
      </c>
      <c r="AD262">
        <f>IF(AND(LEN($Q$2)&gt;=3,ISNUMBER(SEARCH($Q$2,$B262))),MAX($AD$1:AD261)+1,"")</f>
      </c>
    </row>
    <row r="263" ht="14.4" customHeight="1" spans="1:30" x14ac:dyDescent="0.25">
      <c r="A263" s="16" t="s">
        <v>1266</v>
      </c>
      <c r="B263" s="16" t="s">
        <v>86</v>
      </c>
      <c r="C263" s="16" t="s">
        <v>1267</v>
      </c>
      <c r="D263" s="16" t="s">
        <v>1252</v>
      </c>
      <c r="E263" s="16" t="s">
        <v>9</v>
      </c>
      <c r="F263" s="16" t="s">
        <v>9</v>
      </c>
      <c r="G263" s="17">
        <f t="shared" si="18"/>
        <v>1800000</v>
      </c>
      <c r="H263" s="18">
        <v>1800000</v>
      </c>
      <c r="I263" s="19">
        <v>1</v>
      </c>
      <c r="J263" s="18">
        <f t="shared" si="16"/>
        <v>1820000</v>
      </c>
      <c r="K263" s="18" t="s">
        <v>477</v>
      </c>
      <c r="L263" s="16" t="str">
        <f t="shared" si="17"/>
        <v>فعال</v>
      </c>
      <c r="M263" s="16">
        <v>73</v>
      </c>
      <c r="N263" s="16" t="s">
        <v>1266</v>
      </c>
      <c r="O263" t="s">
        <v>1268</v>
      </c>
      <c r="P263">
        <f>IFERROR(INDEX($A$2:$A$422,MATCH(ROWS($P$5:P263),$AD$2:$AD$422,0)),"")</f>
      </c>
      <c r="Q263">
        <f>IF($P263="","",INDEX($B$2:$B$422,MATCH(ROWS($P$5:P263),$AD$2:$AD$422,0)))</f>
      </c>
      <c r="R263">
        <f>IF($P263="","",INDEX($C$2:$C$422,MATCH(ROWS($P$5:P263),$AD$2:$AD$422,0)))</f>
      </c>
      <c r="S263">
        <f>IF($P263="","",INDEX($E$2:$E$422,MATCH(ROWS($P$5:P263),$AD$2:$AD$422,0)))</f>
      </c>
      <c r="T263" s="22">
        <f>IF($P263="","",IFERROR(IF(OR(INDEX($H$2:$H$422,MATCH(ROWS($P$5:P263),$AD$2:$AD$422,0))="",INDEX($H$2:$H$422,MATCH(ROWS($P$5:P263),$AD$2:$AD$422,0))="؟",INDEX($H$2:$H$422,MATCH(ROWS($P$5:P263),$AD$2:$AD$422,0))="نامشخص"),"",INDEX($H$2:$H$422,MATCH(ROWS($P$5:P263),$AD$2:$AD$422,0))),""))</f>
      </c>
      <c r="U263">
        <f>IF($P263="","",INDEX($L$2:$L$422,MATCH(ROWS($P$5:P263),$AD$2:$AD$422,0)))</f>
      </c>
      <c r="V263">
        <f>IF($P263="","",INDEX($M$2:$M$422,MATCH(ROWS($P$5:P263),$AD$2:$AD$422,0)))</f>
      </c>
      <c r="AD263">
        <f>IF(AND(LEN($Q$2)&gt;=3,ISNUMBER(SEARCH($Q$2,$B263))),MAX($AD$1:AD262)+1,"")</f>
      </c>
    </row>
    <row r="264" ht="14.4" customHeight="1" spans="1:30" x14ac:dyDescent="0.25">
      <c r="A264" s="16" t="s">
        <v>1269</v>
      </c>
      <c r="B264" s="16" t="s">
        <v>84</v>
      </c>
      <c r="C264" s="16" t="s">
        <v>1270</v>
      </c>
      <c r="D264" s="16" t="s">
        <v>1252</v>
      </c>
      <c r="E264" s="16" t="s">
        <v>9</v>
      </c>
      <c r="F264" s="16" t="s">
        <v>9</v>
      </c>
      <c r="G264" s="17">
        <f t="shared" si="18"/>
        <v>400000</v>
      </c>
      <c r="H264" s="18">
        <v>400000</v>
      </c>
      <c r="I264" s="19">
        <v>2</v>
      </c>
      <c r="J264" s="18">
        <f t="shared" si="16"/>
        <v>410000</v>
      </c>
      <c r="K264" s="18" t="s">
        <v>477</v>
      </c>
      <c r="L264" s="16" t="str">
        <f t="shared" si="17"/>
        <v>فعال</v>
      </c>
      <c r="M264" s="16">
        <v>71</v>
      </c>
      <c r="N264" s="16" t="s">
        <v>1269</v>
      </c>
      <c r="O264" t="s">
        <v>1271</v>
      </c>
      <c r="P264">
        <f>IFERROR(INDEX($A$2:$A$422,MATCH(ROWS($P$5:P264),$AD$2:$AD$422,0)),"")</f>
      </c>
      <c r="Q264">
        <f>IF($P264="","",INDEX($B$2:$B$422,MATCH(ROWS($P$5:P264),$AD$2:$AD$422,0)))</f>
      </c>
      <c r="R264">
        <f>IF($P264="","",INDEX($C$2:$C$422,MATCH(ROWS($P$5:P264),$AD$2:$AD$422,0)))</f>
      </c>
      <c r="S264">
        <f>IF($P264="","",INDEX($E$2:$E$422,MATCH(ROWS($P$5:P264),$AD$2:$AD$422,0)))</f>
      </c>
      <c r="T264" s="22">
        <f>IF($P264="","",IFERROR(IF(OR(INDEX($H$2:$H$422,MATCH(ROWS($P$5:P264),$AD$2:$AD$422,0))="",INDEX($H$2:$H$422,MATCH(ROWS($P$5:P264),$AD$2:$AD$422,0))="؟",INDEX($H$2:$H$422,MATCH(ROWS($P$5:P264),$AD$2:$AD$422,0))="نامشخص"),"",INDEX($H$2:$H$422,MATCH(ROWS($P$5:P264),$AD$2:$AD$422,0))),""))</f>
      </c>
      <c r="U264">
        <f>IF($P264="","",INDEX($L$2:$L$422,MATCH(ROWS($P$5:P264),$AD$2:$AD$422,0)))</f>
      </c>
      <c r="V264">
        <f>IF($P264="","",INDEX($M$2:$M$422,MATCH(ROWS($P$5:P264),$AD$2:$AD$422,0)))</f>
      </c>
      <c r="AD264">
        <f>IF(AND(LEN($Q$2)&gt;=3,ISNUMBER(SEARCH($Q$2,$B264))),MAX($AD$1:AD263)+1,"")</f>
      </c>
    </row>
    <row r="265" ht="14.4" customHeight="1" spans="1:30" x14ac:dyDescent="0.25">
      <c r="A265" s="16" t="s">
        <v>1272</v>
      </c>
      <c r="B265" s="16" t="s">
        <v>88</v>
      </c>
      <c r="C265" s="16" t="s">
        <v>1273</v>
      </c>
      <c r="D265" s="16" t="s">
        <v>1252</v>
      </c>
      <c r="E265" s="16" t="s">
        <v>9</v>
      </c>
      <c r="F265" s="16" t="s">
        <v>9</v>
      </c>
      <c r="G265" s="17">
        <f t="shared" si="18"/>
        <v>130000</v>
      </c>
      <c r="H265" s="18">
        <v>130000</v>
      </c>
      <c r="I265" s="19">
        <v>3</v>
      </c>
      <c r="J265" s="18">
        <f t="shared" si="16"/>
        <v>140000</v>
      </c>
      <c r="K265" s="18" t="s">
        <v>477</v>
      </c>
      <c r="L265" s="16" t="str">
        <f t="shared" si="17"/>
        <v>فعال</v>
      </c>
      <c r="M265" s="16">
        <v>75</v>
      </c>
      <c r="N265" s="16" t="s">
        <v>1272</v>
      </c>
      <c r="O265" t="s">
        <v>1274</v>
      </c>
      <c r="P265">
        <f>IFERROR(INDEX($A$2:$A$422,MATCH(ROWS($P$5:P265),$AD$2:$AD$422,0)),"")</f>
      </c>
      <c r="Q265">
        <f>IF($P265="","",INDEX($B$2:$B$422,MATCH(ROWS($P$5:P265),$AD$2:$AD$422,0)))</f>
      </c>
      <c r="R265">
        <f>IF($P265="","",INDEX($C$2:$C$422,MATCH(ROWS($P$5:P265),$AD$2:$AD$422,0)))</f>
      </c>
      <c r="S265">
        <f>IF($P265="","",INDEX($E$2:$E$422,MATCH(ROWS($P$5:P265),$AD$2:$AD$422,0)))</f>
      </c>
      <c r="T265" s="22">
        <f>IF($P265="","",IFERROR(IF(OR(INDEX($H$2:$H$422,MATCH(ROWS($P$5:P265),$AD$2:$AD$422,0))="",INDEX($H$2:$H$422,MATCH(ROWS($P$5:P265),$AD$2:$AD$422,0))="؟",INDEX($H$2:$H$422,MATCH(ROWS($P$5:P265),$AD$2:$AD$422,0))="نامشخص"),"",INDEX($H$2:$H$422,MATCH(ROWS($P$5:P265),$AD$2:$AD$422,0))),""))</f>
      </c>
      <c r="U265">
        <f>IF($P265="","",INDEX($L$2:$L$422,MATCH(ROWS($P$5:P265),$AD$2:$AD$422,0)))</f>
      </c>
      <c r="V265">
        <f>IF($P265="","",INDEX($M$2:$M$422,MATCH(ROWS($P$5:P265),$AD$2:$AD$422,0)))</f>
      </c>
      <c r="AD265">
        <f>IF(AND(LEN($Q$2)&gt;=3,ISNUMBER(SEARCH($Q$2,$B265))),MAX($AD$1:AD264)+1,"")</f>
      </c>
    </row>
    <row r="266" ht="14.4" customHeight="1" spans="1:30" x14ac:dyDescent="0.25">
      <c r="A266" s="16" t="s">
        <v>1275</v>
      </c>
      <c r="B266" s="16" t="s">
        <v>96</v>
      </c>
      <c r="C266" s="16" t="s">
        <v>1276</v>
      </c>
      <c r="D266" s="16" t="s">
        <v>1252</v>
      </c>
      <c r="E266" s="16" t="s">
        <v>9</v>
      </c>
      <c r="F266" s="16" t="s">
        <v>9</v>
      </c>
      <c r="G266" s="17">
        <f t="shared" si="18"/>
        <v>1200000</v>
      </c>
      <c r="H266" s="18">
        <v>1200000</v>
      </c>
      <c r="I266" s="19">
        <v>3</v>
      </c>
      <c r="J266" s="18">
        <f t="shared" si="16"/>
        <v>1240000</v>
      </c>
      <c r="K266" s="18" t="s">
        <v>477</v>
      </c>
      <c r="L266" s="16" t="str">
        <f t="shared" si="17"/>
        <v>فعال</v>
      </c>
      <c r="M266" s="16">
        <v>82</v>
      </c>
      <c r="N266" s="16" t="s">
        <v>1275</v>
      </c>
      <c r="O266" t="s">
        <v>1277</v>
      </c>
      <c r="P266">
        <f>IFERROR(INDEX($A$2:$A$422,MATCH(ROWS($P$5:P266),$AD$2:$AD$422,0)),"")</f>
      </c>
      <c r="Q266">
        <f>IF($P266="","",INDEX($B$2:$B$422,MATCH(ROWS($P$5:P266),$AD$2:$AD$422,0)))</f>
      </c>
      <c r="R266">
        <f>IF($P266="","",INDEX($C$2:$C$422,MATCH(ROWS($P$5:P266),$AD$2:$AD$422,0)))</f>
      </c>
      <c r="S266">
        <f>IF($P266="","",INDEX($E$2:$E$422,MATCH(ROWS($P$5:P266),$AD$2:$AD$422,0)))</f>
      </c>
      <c r="T266" s="22">
        <f>IF($P266="","",IFERROR(IF(OR(INDEX($H$2:$H$422,MATCH(ROWS($P$5:P266),$AD$2:$AD$422,0))="",INDEX($H$2:$H$422,MATCH(ROWS($P$5:P266),$AD$2:$AD$422,0))="؟",INDEX($H$2:$H$422,MATCH(ROWS($P$5:P266),$AD$2:$AD$422,0))="نامشخص"),"",INDEX($H$2:$H$422,MATCH(ROWS($P$5:P266),$AD$2:$AD$422,0))),""))</f>
      </c>
      <c r="U266">
        <f>IF($P266="","",INDEX($L$2:$L$422,MATCH(ROWS($P$5:P266),$AD$2:$AD$422,0)))</f>
      </c>
      <c r="V266">
        <f>IF($P266="","",INDEX($M$2:$M$422,MATCH(ROWS($P$5:P266),$AD$2:$AD$422,0)))</f>
      </c>
      <c r="AD266">
        <f>IF(AND(LEN($Q$2)&gt;=3,ISNUMBER(SEARCH($Q$2,$B266))),MAX($AD$1:AD265)+1,"")</f>
      </c>
    </row>
    <row r="267" ht="14.4" customHeight="1" spans="1:30" x14ac:dyDescent="0.25">
      <c r="A267" s="16" t="s">
        <v>1278</v>
      </c>
      <c r="B267" s="16" t="s">
        <v>130</v>
      </c>
      <c r="C267" s="16" t="s">
        <v>1279</v>
      </c>
      <c r="D267" s="16" t="s">
        <v>1252</v>
      </c>
      <c r="E267" s="16" t="s">
        <v>9</v>
      </c>
      <c r="F267" s="16" t="s">
        <v>9</v>
      </c>
      <c r="G267" s="17" t="str">
        <f t="shared" si="18"/>
        <v>؟</v>
      </c>
      <c r="H267" s="18" t="s">
        <v>8</v>
      </c>
      <c r="I267" s="19">
        <v>3</v>
      </c>
      <c r="J267" s="18">
        <f t="shared" si="16"/>
      </c>
      <c r="K267" s="18" t="s">
        <v>477</v>
      </c>
      <c r="L267" s="16" t="str">
        <f t="shared" si="17"/>
        <v>نیاز به استعلام</v>
      </c>
      <c r="M267" s="16">
        <v>112</v>
      </c>
      <c r="N267" s="16" t="s">
        <v>1278</v>
      </c>
      <c r="O267" t="s">
        <v>1280</v>
      </c>
      <c r="P267">
        <f>IFERROR(INDEX($A$2:$A$422,MATCH(ROWS($P$5:P267),$AD$2:$AD$422,0)),"")</f>
      </c>
      <c r="Q267">
        <f>IF($P267="","",INDEX($B$2:$B$422,MATCH(ROWS($P$5:P267),$AD$2:$AD$422,0)))</f>
      </c>
      <c r="R267">
        <f>IF($P267="","",INDEX($C$2:$C$422,MATCH(ROWS($P$5:P267),$AD$2:$AD$422,0)))</f>
      </c>
      <c r="S267">
        <f>IF($P267="","",INDEX($E$2:$E$422,MATCH(ROWS($P$5:P267),$AD$2:$AD$422,0)))</f>
      </c>
      <c r="T267" s="22">
        <f>IF($P267="","",IFERROR(IF(OR(INDEX($H$2:$H$422,MATCH(ROWS($P$5:P267),$AD$2:$AD$422,0))="",INDEX($H$2:$H$422,MATCH(ROWS($P$5:P267),$AD$2:$AD$422,0))="؟",INDEX($H$2:$H$422,MATCH(ROWS($P$5:P267),$AD$2:$AD$422,0))="نامشخص"),"",INDEX($H$2:$H$422,MATCH(ROWS($P$5:P267),$AD$2:$AD$422,0))),""))</f>
      </c>
      <c r="U267">
        <f>IF($P267="","",INDEX($L$2:$L$422,MATCH(ROWS($P$5:P267),$AD$2:$AD$422,0)))</f>
      </c>
      <c r="V267">
        <f>IF($P267="","",INDEX($M$2:$M$422,MATCH(ROWS($P$5:P267),$AD$2:$AD$422,0)))</f>
      </c>
      <c r="AD267">
        <f>IF(AND(LEN($Q$2)&gt;=3,ISNUMBER(SEARCH($Q$2,$B267))),MAX($AD$1:AD266)+1,"")</f>
      </c>
    </row>
    <row r="268" ht="14.4" customHeight="1" spans="1:30" x14ac:dyDescent="0.25">
      <c r="A268" s="16" t="s">
        <v>1281</v>
      </c>
      <c r="B268" s="16" t="s">
        <v>131</v>
      </c>
      <c r="C268" s="16" t="s">
        <v>1282</v>
      </c>
      <c r="D268" s="16" t="s">
        <v>1252</v>
      </c>
      <c r="E268" s="16" t="s">
        <v>132</v>
      </c>
      <c r="F268" s="16" t="s">
        <v>132</v>
      </c>
      <c r="G268" s="17">
        <f t="shared" si="18"/>
        <v>150000</v>
      </c>
      <c r="H268" s="18">
        <v>150000</v>
      </c>
      <c r="I268" s="19">
        <v>3</v>
      </c>
      <c r="J268" s="18">
        <f t="shared" si="16"/>
        <v>160000</v>
      </c>
      <c r="K268" s="18" t="s">
        <v>477</v>
      </c>
      <c r="L268" s="16" t="str">
        <f t="shared" si="17"/>
        <v>فعال</v>
      </c>
      <c r="M268" s="16">
        <v>113</v>
      </c>
      <c r="N268" s="16" t="s">
        <v>1281</v>
      </c>
      <c r="O268" t="s">
        <v>1283</v>
      </c>
      <c r="P268">
        <f>IFERROR(INDEX($A$2:$A$422,MATCH(ROWS($P$5:P268),$AD$2:$AD$422,0)),"")</f>
      </c>
      <c r="Q268">
        <f>IF($P268="","",INDEX($B$2:$B$422,MATCH(ROWS($P$5:P268),$AD$2:$AD$422,0)))</f>
      </c>
      <c r="R268">
        <f>IF($P268="","",INDEX($C$2:$C$422,MATCH(ROWS($P$5:P268),$AD$2:$AD$422,0)))</f>
      </c>
      <c r="S268">
        <f>IF($P268="","",INDEX($E$2:$E$422,MATCH(ROWS($P$5:P268),$AD$2:$AD$422,0)))</f>
      </c>
      <c r="T268" s="22">
        <f>IF($P268="","",IFERROR(IF(OR(INDEX($H$2:$H$422,MATCH(ROWS($P$5:P268),$AD$2:$AD$422,0))="",INDEX($H$2:$H$422,MATCH(ROWS($P$5:P268),$AD$2:$AD$422,0))="؟",INDEX($H$2:$H$422,MATCH(ROWS($P$5:P268),$AD$2:$AD$422,0))="نامشخص"),"",INDEX($H$2:$H$422,MATCH(ROWS($P$5:P268),$AD$2:$AD$422,0))),""))</f>
      </c>
      <c r="U268">
        <f>IF($P268="","",INDEX($L$2:$L$422,MATCH(ROWS($P$5:P268),$AD$2:$AD$422,0)))</f>
      </c>
      <c r="V268">
        <f>IF($P268="","",INDEX($M$2:$M$422,MATCH(ROWS($P$5:P268),$AD$2:$AD$422,0)))</f>
      </c>
      <c r="AD268">
        <f>IF(AND(LEN($Q$2)&gt;=3,ISNUMBER(SEARCH($Q$2,$B268))),MAX($AD$1:AD267)+1,"")</f>
      </c>
    </row>
    <row r="269" ht="14.4" customHeight="1" spans="1:30" x14ac:dyDescent="0.25">
      <c r="A269" s="16" t="s">
        <v>1284</v>
      </c>
      <c r="B269" s="16" t="s">
        <v>135</v>
      </c>
      <c r="C269" s="16" t="s">
        <v>1285</v>
      </c>
      <c r="D269" s="16" t="s">
        <v>1252</v>
      </c>
      <c r="E269" s="16" t="s">
        <v>9</v>
      </c>
      <c r="F269" s="16" t="s">
        <v>9</v>
      </c>
      <c r="G269" s="17">
        <f t="shared" si="18"/>
        <v>700000</v>
      </c>
      <c r="H269" s="18">
        <v>700000</v>
      </c>
      <c r="I269" s="19">
        <v>1</v>
      </c>
      <c r="J269" s="18">
        <f t="shared" si="16"/>
        <v>710000</v>
      </c>
      <c r="K269" s="18" t="s">
        <v>477</v>
      </c>
      <c r="L269" s="16" t="str">
        <f t="shared" si="17"/>
        <v>فعال</v>
      </c>
      <c r="M269" s="16">
        <v>116</v>
      </c>
      <c r="N269" s="16" t="s">
        <v>1284</v>
      </c>
      <c r="O269" t="s">
        <v>1286</v>
      </c>
      <c r="P269">
        <f>IFERROR(INDEX($A$2:$A$422,MATCH(ROWS($P$5:P269),$AD$2:$AD$422,0)),"")</f>
      </c>
      <c r="Q269">
        <f>IF($P269="","",INDEX($B$2:$B$422,MATCH(ROWS($P$5:P269),$AD$2:$AD$422,0)))</f>
      </c>
      <c r="R269">
        <f>IF($P269="","",INDEX($C$2:$C$422,MATCH(ROWS($P$5:P269),$AD$2:$AD$422,0)))</f>
      </c>
      <c r="S269">
        <f>IF($P269="","",INDEX($E$2:$E$422,MATCH(ROWS($P$5:P269),$AD$2:$AD$422,0)))</f>
      </c>
      <c r="T269" s="22">
        <f>IF($P269="","",IFERROR(IF(OR(INDEX($H$2:$H$422,MATCH(ROWS($P$5:P269),$AD$2:$AD$422,0))="",INDEX($H$2:$H$422,MATCH(ROWS($P$5:P269),$AD$2:$AD$422,0))="؟",INDEX($H$2:$H$422,MATCH(ROWS($P$5:P269),$AD$2:$AD$422,0))="نامشخص"),"",INDEX($H$2:$H$422,MATCH(ROWS($P$5:P269),$AD$2:$AD$422,0))),""))</f>
      </c>
      <c r="U269">
        <f>IF($P269="","",INDEX($L$2:$L$422,MATCH(ROWS($P$5:P269),$AD$2:$AD$422,0)))</f>
      </c>
      <c r="V269">
        <f>IF($P269="","",INDEX($M$2:$M$422,MATCH(ROWS($P$5:P269),$AD$2:$AD$422,0)))</f>
      </c>
      <c r="AD269">
        <f>IF(AND(LEN($Q$2)&gt;=3,ISNUMBER(SEARCH($Q$2,$B269))),MAX($AD$1:AD268)+1,"")</f>
      </c>
    </row>
    <row r="270" ht="14.4" customHeight="1" spans="1:30" x14ac:dyDescent="0.25">
      <c r="A270" s="16" t="s">
        <v>1287</v>
      </c>
      <c r="B270" s="16" t="s">
        <v>136</v>
      </c>
      <c r="C270" s="16" t="s">
        <v>1288</v>
      </c>
      <c r="D270" s="16" t="s">
        <v>1252</v>
      </c>
      <c r="E270" s="16" t="s">
        <v>9</v>
      </c>
      <c r="F270" s="16" t="s">
        <v>9</v>
      </c>
      <c r="G270" s="17">
        <f t="shared" si="18"/>
        <v>480000</v>
      </c>
      <c r="H270" s="18">
        <v>480000</v>
      </c>
      <c r="I270" s="19">
        <v>2</v>
      </c>
      <c r="J270" s="18">
        <f t="shared" si="16"/>
        <v>490000</v>
      </c>
      <c r="K270" s="18" t="s">
        <v>477</v>
      </c>
      <c r="L270" s="16" t="str">
        <f t="shared" si="17"/>
        <v>فعال</v>
      </c>
      <c r="M270" s="16">
        <v>117</v>
      </c>
      <c r="N270" s="16" t="s">
        <v>1287</v>
      </c>
      <c r="O270" t="s">
        <v>1289</v>
      </c>
      <c r="P270">
        <f>IFERROR(INDEX($A$2:$A$422,MATCH(ROWS($P$5:P270),$AD$2:$AD$422,0)),"")</f>
      </c>
      <c r="Q270">
        <f>IF($P270="","",INDEX($B$2:$B$422,MATCH(ROWS($P$5:P270),$AD$2:$AD$422,0)))</f>
      </c>
      <c r="R270">
        <f>IF($P270="","",INDEX($C$2:$C$422,MATCH(ROWS($P$5:P270),$AD$2:$AD$422,0)))</f>
      </c>
      <c r="S270">
        <f>IF($P270="","",INDEX($E$2:$E$422,MATCH(ROWS($P$5:P270),$AD$2:$AD$422,0)))</f>
      </c>
      <c r="T270" s="22">
        <f>IF($P270="","",IFERROR(IF(OR(INDEX($H$2:$H$422,MATCH(ROWS($P$5:P270),$AD$2:$AD$422,0))="",INDEX($H$2:$H$422,MATCH(ROWS($P$5:P270),$AD$2:$AD$422,0))="؟",INDEX($H$2:$H$422,MATCH(ROWS($P$5:P270),$AD$2:$AD$422,0))="نامشخص"),"",INDEX($H$2:$H$422,MATCH(ROWS($P$5:P270),$AD$2:$AD$422,0))),""))</f>
      </c>
      <c r="U270">
        <f>IF($P270="","",INDEX($L$2:$L$422,MATCH(ROWS($P$5:P270),$AD$2:$AD$422,0)))</f>
      </c>
      <c r="V270">
        <f>IF($P270="","",INDEX($M$2:$M$422,MATCH(ROWS($P$5:P270),$AD$2:$AD$422,0)))</f>
      </c>
      <c r="AD270">
        <f>IF(AND(LEN($Q$2)&gt;=3,ISNUMBER(SEARCH($Q$2,$B270))),MAX($AD$1:AD269)+1,"")</f>
      </c>
    </row>
    <row r="271" ht="14.4" customHeight="1" spans="1:30" x14ac:dyDescent="0.25">
      <c r="A271" s="16" t="s">
        <v>1290</v>
      </c>
      <c r="B271" s="16" t="s">
        <v>144</v>
      </c>
      <c r="C271" s="16" t="s">
        <v>1291</v>
      </c>
      <c r="D271" s="16" t="s">
        <v>1252</v>
      </c>
      <c r="E271" s="16" t="s">
        <v>9</v>
      </c>
      <c r="F271" s="16" t="s">
        <v>9</v>
      </c>
      <c r="G271" s="17">
        <f t="shared" si="18"/>
        <v>490000</v>
      </c>
      <c r="H271" s="18">
        <v>490000</v>
      </c>
      <c r="I271" s="19">
        <v>2</v>
      </c>
      <c r="J271" s="18">
        <f t="shared" si="16"/>
        <v>500000</v>
      </c>
      <c r="K271" s="18" t="s">
        <v>477</v>
      </c>
      <c r="L271" s="16" t="str">
        <f t="shared" si="17"/>
        <v>فعال</v>
      </c>
      <c r="M271" s="16">
        <v>125</v>
      </c>
      <c r="N271" s="16" t="s">
        <v>1290</v>
      </c>
      <c r="O271" t="s">
        <v>1292</v>
      </c>
      <c r="P271">
        <f>IFERROR(INDEX($A$2:$A$422,MATCH(ROWS($P$5:P271),$AD$2:$AD$422,0)),"")</f>
      </c>
      <c r="Q271">
        <f>IF($P271="","",INDEX($B$2:$B$422,MATCH(ROWS($P$5:P271),$AD$2:$AD$422,0)))</f>
      </c>
      <c r="R271">
        <f>IF($P271="","",INDEX($C$2:$C$422,MATCH(ROWS($P$5:P271),$AD$2:$AD$422,0)))</f>
      </c>
      <c r="S271">
        <f>IF($P271="","",INDEX($E$2:$E$422,MATCH(ROWS($P$5:P271),$AD$2:$AD$422,0)))</f>
      </c>
      <c r="T271" s="22">
        <f>IF($P271="","",IFERROR(IF(OR(INDEX($H$2:$H$422,MATCH(ROWS($P$5:P271),$AD$2:$AD$422,0))="",INDEX($H$2:$H$422,MATCH(ROWS($P$5:P271),$AD$2:$AD$422,0))="؟",INDEX($H$2:$H$422,MATCH(ROWS($P$5:P271),$AD$2:$AD$422,0))="نامشخص"),"",INDEX($H$2:$H$422,MATCH(ROWS($P$5:P271),$AD$2:$AD$422,0))),""))</f>
      </c>
      <c r="U271">
        <f>IF($P271="","",INDEX($L$2:$L$422,MATCH(ROWS($P$5:P271),$AD$2:$AD$422,0)))</f>
      </c>
      <c r="V271">
        <f>IF($P271="","",INDEX($M$2:$M$422,MATCH(ROWS($P$5:P271),$AD$2:$AD$422,0)))</f>
      </c>
      <c r="AD271">
        <f>IF(AND(LEN($Q$2)&gt;=3,ISNUMBER(SEARCH($Q$2,$B271))),MAX($AD$1:AD270)+1,"")</f>
      </c>
    </row>
    <row r="272" ht="14.4" customHeight="1" spans="1:30" x14ac:dyDescent="0.25">
      <c r="A272" s="16" t="s">
        <v>1293</v>
      </c>
      <c r="B272" s="16" t="s">
        <v>145</v>
      </c>
      <c r="C272" s="16" t="s">
        <v>1294</v>
      </c>
      <c r="D272" s="16" t="s">
        <v>1252</v>
      </c>
      <c r="E272" s="16" t="s">
        <v>146</v>
      </c>
      <c r="F272" s="16" t="s">
        <v>146</v>
      </c>
      <c r="G272" s="17">
        <f t="shared" si="18"/>
        <v>800000</v>
      </c>
      <c r="H272" s="18">
        <v>800000</v>
      </c>
      <c r="I272" s="19">
        <v>2</v>
      </c>
      <c r="J272" s="18">
        <f t="shared" si="16"/>
        <v>820000</v>
      </c>
      <c r="K272" s="18" t="s">
        <v>477</v>
      </c>
      <c r="L272" s="16" t="str">
        <f t="shared" si="17"/>
        <v>فعال</v>
      </c>
      <c r="M272" s="16">
        <v>126</v>
      </c>
      <c r="N272" s="16" t="s">
        <v>1293</v>
      </c>
      <c r="O272" t="s">
        <v>1295</v>
      </c>
      <c r="P272">
        <f>IFERROR(INDEX($A$2:$A$422,MATCH(ROWS($P$5:P272),$AD$2:$AD$422,0)),"")</f>
      </c>
      <c r="Q272">
        <f>IF($P272="","",INDEX($B$2:$B$422,MATCH(ROWS($P$5:P272),$AD$2:$AD$422,0)))</f>
      </c>
      <c r="R272">
        <f>IF($P272="","",INDEX($C$2:$C$422,MATCH(ROWS($P$5:P272),$AD$2:$AD$422,0)))</f>
      </c>
      <c r="S272">
        <f>IF($P272="","",INDEX($E$2:$E$422,MATCH(ROWS($P$5:P272),$AD$2:$AD$422,0)))</f>
      </c>
      <c r="T272" s="22">
        <f>IF($P272="","",IFERROR(IF(OR(INDEX($H$2:$H$422,MATCH(ROWS($P$5:P272),$AD$2:$AD$422,0))="",INDEX($H$2:$H$422,MATCH(ROWS($P$5:P272),$AD$2:$AD$422,0))="؟",INDEX($H$2:$H$422,MATCH(ROWS($P$5:P272),$AD$2:$AD$422,0))="نامشخص"),"",INDEX($H$2:$H$422,MATCH(ROWS($P$5:P272),$AD$2:$AD$422,0))),""))</f>
      </c>
      <c r="U272">
        <f>IF($P272="","",INDEX($L$2:$L$422,MATCH(ROWS($P$5:P272),$AD$2:$AD$422,0)))</f>
      </c>
      <c r="V272">
        <f>IF($P272="","",INDEX($M$2:$M$422,MATCH(ROWS($P$5:P272),$AD$2:$AD$422,0)))</f>
      </c>
      <c r="AD272">
        <f>IF(AND(LEN($Q$2)&gt;=3,ISNUMBER(SEARCH($Q$2,$B272))),MAX($AD$1:AD271)+1,"")</f>
      </c>
    </row>
    <row r="273" ht="14.4" customHeight="1" spans="1:30" x14ac:dyDescent="0.25">
      <c r="A273" s="16" t="s">
        <v>1296</v>
      </c>
      <c r="B273" s="16" t="s">
        <v>223</v>
      </c>
      <c r="C273" s="16" t="s">
        <v>1297</v>
      </c>
      <c r="D273" s="16" t="s">
        <v>1252</v>
      </c>
      <c r="E273" s="16" t="s">
        <v>9</v>
      </c>
      <c r="F273" s="16" t="s">
        <v>9</v>
      </c>
      <c r="G273" s="17">
        <f t="shared" si="18"/>
        <v>500000</v>
      </c>
      <c r="H273" s="18">
        <v>500000</v>
      </c>
      <c r="I273" s="19">
        <v>1</v>
      </c>
      <c r="J273" s="18">
        <f t="shared" si="16"/>
        <v>510000</v>
      </c>
      <c r="K273" s="18" t="s">
        <v>477</v>
      </c>
      <c r="L273" s="16" t="str">
        <f t="shared" si="17"/>
        <v>فعال</v>
      </c>
      <c r="M273" s="16">
        <v>201</v>
      </c>
      <c r="N273" s="16" t="s">
        <v>1296</v>
      </c>
      <c r="O273" t="s">
        <v>1298</v>
      </c>
      <c r="P273">
        <f>IFERROR(INDEX($A$2:$A$422,MATCH(ROWS($P$5:P273),$AD$2:$AD$422,0)),"")</f>
      </c>
      <c r="Q273">
        <f>IF($P273="","",INDEX($B$2:$B$422,MATCH(ROWS($P$5:P273),$AD$2:$AD$422,0)))</f>
      </c>
      <c r="R273">
        <f>IF($P273="","",INDEX($C$2:$C$422,MATCH(ROWS($P$5:P273),$AD$2:$AD$422,0)))</f>
      </c>
      <c r="S273">
        <f>IF($P273="","",INDEX($E$2:$E$422,MATCH(ROWS($P$5:P273),$AD$2:$AD$422,0)))</f>
      </c>
      <c r="T273" s="22">
        <f>IF($P273="","",IFERROR(IF(OR(INDEX($H$2:$H$422,MATCH(ROWS($P$5:P273),$AD$2:$AD$422,0))="",INDEX($H$2:$H$422,MATCH(ROWS($P$5:P273),$AD$2:$AD$422,0))="؟",INDEX($H$2:$H$422,MATCH(ROWS($P$5:P273),$AD$2:$AD$422,0))="نامشخص"),"",INDEX($H$2:$H$422,MATCH(ROWS($P$5:P273),$AD$2:$AD$422,0))),""))</f>
      </c>
      <c r="U273">
        <f>IF($P273="","",INDEX($L$2:$L$422,MATCH(ROWS($P$5:P273),$AD$2:$AD$422,0)))</f>
      </c>
      <c r="V273">
        <f>IF($P273="","",INDEX($M$2:$M$422,MATCH(ROWS($P$5:P273),$AD$2:$AD$422,0)))</f>
      </c>
      <c r="AD273">
        <f>IF(AND(LEN($Q$2)&gt;=3,ISNUMBER(SEARCH($Q$2,$B273))),MAX($AD$1:AD272)+1,"")</f>
      </c>
    </row>
    <row r="274" ht="14.4" customHeight="1" spans="1:30" x14ac:dyDescent="0.25">
      <c r="A274" s="16" t="s">
        <v>1299</v>
      </c>
      <c r="B274" s="16" t="s">
        <v>234</v>
      </c>
      <c r="C274" s="16" t="s">
        <v>1300</v>
      </c>
      <c r="D274" s="16" t="s">
        <v>1252</v>
      </c>
      <c r="E274" s="16" t="s">
        <v>9</v>
      </c>
      <c r="F274" s="16" t="s">
        <v>9</v>
      </c>
      <c r="G274" s="17">
        <f t="shared" si="18"/>
        <v>500000</v>
      </c>
      <c r="H274" s="18">
        <v>500000</v>
      </c>
      <c r="I274" s="19">
        <v>3</v>
      </c>
      <c r="J274" s="18">
        <f t="shared" si="16"/>
        <v>520000</v>
      </c>
      <c r="K274" s="18" t="s">
        <v>477</v>
      </c>
      <c r="L274" s="16" t="str">
        <f t="shared" si="17"/>
        <v>فعال</v>
      </c>
      <c r="M274" s="16">
        <v>212</v>
      </c>
      <c r="N274" s="16" t="s">
        <v>1299</v>
      </c>
      <c r="O274" t="s">
        <v>1301</v>
      </c>
      <c r="P274">
        <f>IFERROR(INDEX($A$2:$A$422,MATCH(ROWS($P$5:P274),$AD$2:$AD$422,0)),"")</f>
      </c>
      <c r="Q274">
        <f>IF($P274="","",INDEX($B$2:$B$422,MATCH(ROWS($P$5:P274),$AD$2:$AD$422,0)))</f>
      </c>
      <c r="R274">
        <f>IF($P274="","",INDEX($C$2:$C$422,MATCH(ROWS($P$5:P274),$AD$2:$AD$422,0)))</f>
      </c>
      <c r="S274">
        <f>IF($P274="","",INDEX($E$2:$E$422,MATCH(ROWS($P$5:P274),$AD$2:$AD$422,0)))</f>
      </c>
      <c r="T274" s="22">
        <f>IF($P274="","",IFERROR(IF(OR(INDEX($H$2:$H$422,MATCH(ROWS($P$5:P274),$AD$2:$AD$422,0))="",INDEX($H$2:$H$422,MATCH(ROWS($P$5:P274),$AD$2:$AD$422,0))="؟",INDEX($H$2:$H$422,MATCH(ROWS($P$5:P274),$AD$2:$AD$422,0))="نامشخص"),"",INDEX($H$2:$H$422,MATCH(ROWS($P$5:P274),$AD$2:$AD$422,0))),""))</f>
      </c>
      <c r="U274">
        <f>IF($P274="","",INDEX($L$2:$L$422,MATCH(ROWS($P$5:P274),$AD$2:$AD$422,0)))</f>
      </c>
      <c r="V274">
        <f>IF($P274="","",INDEX($M$2:$M$422,MATCH(ROWS($P$5:P274),$AD$2:$AD$422,0)))</f>
      </c>
      <c r="AD274">
        <f>IF(AND(LEN($Q$2)&gt;=3,ISNUMBER(SEARCH($Q$2,$B274))),MAX($AD$1:AD273)+1,"")</f>
      </c>
    </row>
    <row r="275" ht="14.4" customHeight="1" spans="1:30" x14ac:dyDescent="0.25">
      <c r="A275" s="16" t="s">
        <v>1302</v>
      </c>
      <c r="B275" s="16" t="s">
        <v>239</v>
      </c>
      <c r="C275" s="16" t="s">
        <v>1303</v>
      </c>
      <c r="D275" s="16" t="s">
        <v>1252</v>
      </c>
      <c r="E275" s="16" t="s">
        <v>9</v>
      </c>
      <c r="F275" s="16" t="s">
        <v>9</v>
      </c>
      <c r="G275" s="17">
        <f t="shared" si="18"/>
        <v>80000</v>
      </c>
      <c r="H275" s="18">
        <v>80000</v>
      </c>
      <c r="I275" s="19">
        <v>2</v>
      </c>
      <c r="J275" s="18">
        <f t="shared" si="16"/>
        <v>90000</v>
      </c>
      <c r="K275" s="18" t="s">
        <v>477</v>
      </c>
      <c r="L275" s="16" t="str">
        <f t="shared" si="17"/>
        <v>فعال</v>
      </c>
      <c r="M275" s="16">
        <v>215</v>
      </c>
      <c r="N275" s="16" t="s">
        <v>1302</v>
      </c>
      <c r="O275" t="s">
        <v>1304</v>
      </c>
      <c r="P275">
        <f>IFERROR(INDEX($A$2:$A$422,MATCH(ROWS($P$5:P275),$AD$2:$AD$422,0)),"")</f>
      </c>
      <c r="Q275">
        <f>IF($P275="","",INDEX($B$2:$B$422,MATCH(ROWS($P$5:P275),$AD$2:$AD$422,0)))</f>
      </c>
      <c r="R275">
        <f>IF($P275="","",INDEX($C$2:$C$422,MATCH(ROWS($P$5:P275),$AD$2:$AD$422,0)))</f>
      </c>
      <c r="S275">
        <f>IF($P275="","",INDEX($E$2:$E$422,MATCH(ROWS($P$5:P275),$AD$2:$AD$422,0)))</f>
      </c>
      <c r="T275" s="22">
        <f>IF($P275="","",IFERROR(IF(OR(INDEX($H$2:$H$422,MATCH(ROWS($P$5:P275),$AD$2:$AD$422,0))="",INDEX($H$2:$H$422,MATCH(ROWS($P$5:P275),$AD$2:$AD$422,0))="؟",INDEX($H$2:$H$422,MATCH(ROWS($P$5:P275),$AD$2:$AD$422,0))="نامشخص"),"",INDEX($H$2:$H$422,MATCH(ROWS($P$5:P275),$AD$2:$AD$422,0))),""))</f>
      </c>
      <c r="U275">
        <f>IF($P275="","",INDEX($L$2:$L$422,MATCH(ROWS($P$5:P275),$AD$2:$AD$422,0)))</f>
      </c>
      <c r="V275">
        <f>IF($P275="","",INDEX($M$2:$M$422,MATCH(ROWS($P$5:P275),$AD$2:$AD$422,0)))</f>
      </c>
      <c r="AD275">
        <f>IF(AND(LEN($Q$2)&gt;=3,ISNUMBER(SEARCH($Q$2,$B275))),MAX($AD$1:AD274)+1,"")</f>
      </c>
    </row>
    <row r="276" ht="14.4" customHeight="1" spans="1:30" x14ac:dyDescent="0.25">
      <c r="A276" s="16" t="s">
        <v>1305</v>
      </c>
      <c r="B276" s="16" t="s">
        <v>245</v>
      </c>
      <c r="C276" s="16" t="s">
        <v>1306</v>
      </c>
      <c r="D276" s="16" t="s">
        <v>1252</v>
      </c>
      <c r="E276" s="16" t="s">
        <v>9</v>
      </c>
      <c r="F276" s="16" t="s">
        <v>9</v>
      </c>
      <c r="G276" s="17">
        <f t="shared" si="18"/>
        <v>180000</v>
      </c>
      <c r="H276" s="18">
        <v>180000</v>
      </c>
      <c r="I276" s="19">
        <v>3</v>
      </c>
      <c r="J276" s="18">
        <f t="shared" si="16"/>
        <v>190000</v>
      </c>
      <c r="K276" s="18" t="s">
        <v>477</v>
      </c>
      <c r="L276" s="16" t="str">
        <f t="shared" si="17"/>
        <v>فعال</v>
      </c>
      <c r="M276" s="16">
        <v>221</v>
      </c>
      <c r="N276" s="16" t="s">
        <v>1305</v>
      </c>
      <c r="O276" t="s">
        <v>1307</v>
      </c>
      <c r="P276">
        <f>IFERROR(INDEX($A$2:$A$422,MATCH(ROWS($P$5:P276),$AD$2:$AD$422,0)),"")</f>
      </c>
      <c r="Q276">
        <f>IF($P276="","",INDEX($B$2:$B$422,MATCH(ROWS($P$5:P276),$AD$2:$AD$422,0)))</f>
      </c>
      <c r="R276">
        <f>IF($P276="","",INDEX($C$2:$C$422,MATCH(ROWS($P$5:P276),$AD$2:$AD$422,0)))</f>
      </c>
      <c r="S276">
        <f>IF($P276="","",INDEX($E$2:$E$422,MATCH(ROWS($P$5:P276),$AD$2:$AD$422,0)))</f>
      </c>
      <c r="T276" s="22">
        <f>IF($P276="","",IFERROR(IF(OR(INDEX($H$2:$H$422,MATCH(ROWS($P$5:P276),$AD$2:$AD$422,0))="",INDEX($H$2:$H$422,MATCH(ROWS($P$5:P276),$AD$2:$AD$422,0))="؟",INDEX($H$2:$H$422,MATCH(ROWS($P$5:P276),$AD$2:$AD$422,0))="نامشخص"),"",INDEX($H$2:$H$422,MATCH(ROWS($P$5:P276),$AD$2:$AD$422,0))),""))</f>
      </c>
      <c r="U276">
        <f>IF($P276="","",INDEX($L$2:$L$422,MATCH(ROWS($P$5:P276),$AD$2:$AD$422,0)))</f>
      </c>
      <c r="V276">
        <f>IF($P276="","",INDEX($M$2:$M$422,MATCH(ROWS($P$5:P276),$AD$2:$AD$422,0)))</f>
      </c>
      <c r="AD276">
        <f>IF(AND(LEN($Q$2)&gt;=3,ISNUMBER(SEARCH($Q$2,$B276))),MAX($AD$1:AD275)+1,"")</f>
      </c>
    </row>
    <row r="277" ht="14.4" customHeight="1" spans="1:30" x14ac:dyDescent="0.25">
      <c r="A277" s="16" t="s">
        <v>1308</v>
      </c>
      <c r="B277" s="16" t="s">
        <v>249</v>
      </c>
      <c r="C277" s="16" t="s">
        <v>1309</v>
      </c>
      <c r="D277" s="16" t="s">
        <v>1252</v>
      </c>
      <c r="E277" s="16" t="s">
        <v>9</v>
      </c>
      <c r="F277" s="16" t="s">
        <v>9</v>
      </c>
      <c r="G277" s="17">
        <f t="shared" si="18"/>
        <v>500000</v>
      </c>
      <c r="H277" s="18">
        <v>500000</v>
      </c>
      <c r="I277" s="19">
        <v>2</v>
      </c>
      <c r="J277" s="18">
        <f t="shared" si="16"/>
        <v>510000</v>
      </c>
      <c r="K277" s="18" t="s">
        <v>477</v>
      </c>
      <c r="L277" s="16" t="str">
        <f t="shared" si="17"/>
        <v>فعال</v>
      </c>
      <c r="M277" s="16">
        <v>225</v>
      </c>
      <c r="N277" s="16" t="s">
        <v>1308</v>
      </c>
      <c r="O277" t="s">
        <v>1310</v>
      </c>
      <c r="P277">
        <f>IFERROR(INDEX($A$2:$A$422,MATCH(ROWS($P$5:P277),$AD$2:$AD$422,0)),"")</f>
      </c>
      <c r="Q277">
        <f>IF($P277="","",INDEX($B$2:$B$422,MATCH(ROWS($P$5:P277),$AD$2:$AD$422,0)))</f>
      </c>
      <c r="R277">
        <f>IF($P277="","",INDEX($C$2:$C$422,MATCH(ROWS($P$5:P277),$AD$2:$AD$422,0)))</f>
      </c>
      <c r="S277">
        <f>IF($P277="","",INDEX($E$2:$E$422,MATCH(ROWS($P$5:P277),$AD$2:$AD$422,0)))</f>
      </c>
      <c r="T277" s="22">
        <f>IF($P277="","",IFERROR(IF(OR(INDEX($H$2:$H$422,MATCH(ROWS($P$5:P277),$AD$2:$AD$422,0))="",INDEX($H$2:$H$422,MATCH(ROWS($P$5:P277),$AD$2:$AD$422,0))="؟",INDEX($H$2:$H$422,MATCH(ROWS($P$5:P277),$AD$2:$AD$422,0))="نامشخص"),"",INDEX($H$2:$H$422,MATCH(ROWS($P$5:P277),$AD$2:$AD$422,0))),""))</f>
      </c>
      <c r="U277">
        <f>IF($P277="","",INDEX($L$2:$L$422,MATCH(ROWS($P$5:P277),$AD$2:$AD$422,0)))</f>
      </c>
      <c r="V277">
        <f>IF($P277="","",INDEX($M$2:$M$422,MATCH(ROWS($P$5:P277),$AD$2:$AD$422,0)))</f>
      </c>
      <c r="AD277">
        <f>IF(AND(LEN($Q$2)&gt;=3,ISNUMBER(SEARCH($Q$2,$B277))),MAX($AD$1:AD276)+1,"")</f>
      </c>
    </row>
    <row r="278" ht="14.4" customHeight="1" spans="1:30" x14ac:dyDescent="0.25">
      <c r="A278" s="16" t="s">
        <v>1311</v>
      </c>
      <c r="B278" s="16" t="s">
        <v>254</v>
      </c>
      <c r="C278" s="16" t="s">
        <v>1312</v>
      </c>
      <c r="D278" s="16" t="s">
        <v>1252</v>
      </c>
      <c r="E278" s="16" t="s">
        <v>9</v>
      </c>
      <c r="F278" s="16" t="s">
        <v>9</v>
      </c>
      <c r="G278" s="17">
        <f t="shared" si="18"/>
        <v>1300000</v>
      </c>
      <c r="H278" s="18">
        <v>1300000</v>
      </c>
      <c r="I278" s="19">
        <v>1</v>
      </c>
      <c r="J278" s="18">
        <f t="shared" si="16"/>
        <v>1320000</v>
      </c>
      <c r="K278" s="18" t="s">
        <v>477</v>
      </c>
      <c r="L278" s="16" t="str">
        <f t="shared" si="17"/>
        <v>فعال</v>
      </c>
      <c r="M278" s="16">
        <v>230</v>
      </c>
      <c r="N278" s="16" t="s">
        <v>1311</v>
      </c>
      <c r="O278" t="s">
        <v>1313</v>
      </c>
      <c r="P278">
        <f>IFERROR(INDEX($A$2:$A$422,MATCH(ROWS($P$5:P278),$AD$2:$AD$422,0)),"")</f>
      </c>
      <c r="Q278">
        <f>IF($P278="","",INDEX($B$2:$B$422,MATCH(ROWS($P$5:P278),$AD$2:$AD$422,0)))</f>
      </c>
      <c r="R278">
        <f>IF($P278="","",INDEX($C$2:$C$422,MATCH(ROWS($P$5:P278),$AD$2:$AD$422,0)))</f>
      </c>
      <c r="S278">
        <f>IF($P278="","",INDEX($E$2:$E$422,MATCH(ROWS($P$5:P278),$AD$2:$AD$422,0)))</f>
      </c>
      <c r="T278" s="22">
        <f>IF($P278="","",IFERROR(IF(OR(INDEX($H$2:$H$422,MATCH(ROWS($P$5:P278),$AD$2:$AD$422,0))="",INDEX($H$2:$H$422,MATCH(ROWS($P$5:P278),$AD$2:$AD$422,0))="؟",INDEX($H$2:$H$422,MATCH(ROWS($P$5:P278),$AD$2:$AD$422,0))="نامشخص"),"",INDEX($H$2:$H$422,MATCH(ROWS($P$5:P278),$AD$2:$AD$422,0))),""))</f>
      </c>
      <c r="U278">
        <f>IF($P278="","",INDEX($L$2:$L$422,MATCH(ROWS($P$5:P278),$AD$2:$AD$422,0)))</f>
      </c>
      <c r="V278">
        <f>IF($P278="","",INDEX($M$2:$M$422,MATCH(ROWS($P$5:P278),$AD$2:$AD$422,0)))</f>
      </c>
      <c r="AD278">
        <f>IF(AND(LEN($Q$2)&gt;=3,ISNUMBER(SEARCH($Q$2,$B278))),MAX($AD$1:AD277)+1,"")</f>
      </c>
    </row>
    <row r="279" ht="14.4" customHeight="1" spans="1:30" x14ac:dyDescent="0.25">
      <c r="A279" s="16" t="s">
        <v>1314</v>
      </c>
      <c r="B279" s="16" t="s">
        <v>266</v>
      </c>
      <c r="C279" s="16" t="s">
        <v>1315</v>
      </c>
      <c r="D279" s="16" t="s">
        <v>1252</v>
      </c>
      <c r="E279" s="16" t="s">
        <v>9</v>
      </c>
      <c r="F279" s="16" t="s">
        <v>9</v>
      </c>
      <c r="G279" s="17" t="str">
        <f t="shared" si="18"/>
        <v>؟</v>
      </c>
      <c r="H279" s="18" t="s">
        <v>8</v>
      </c>
      <c r="I279" s="19">
        <v>2</v>
      </c>
      <c r="J279" s="18">
        <f t="shared" si="16"/>
      </c>
      <c r="K279" s="18" t="s">
        <v>477</v>
      </c>
      <c r="L279" s="16" t="str">
        <f t="shared" si="17"/>
        <v>نیاز به استعلام</v>
      </c>
      <c r="M279" s="16">
        <v>242</v>
      </c>
      <c r="N279" s="16" t="s">
        <v>1314</v>
      </c>
      <c r="O279" t="s">
        <v>1316</v>
      </c>
      <c r="P279">
        <f>IFERROR(INDEX($A$2:$A$422,MATCH(ROWS($P$5:P279),$AD$2:$AD$422,0)),"")</f>
      </c>
      <c r="Q279">
        <f>IF($P279="","",INDEX($B$2:$B$422,MATCH(ROWS($P$5:P279),$AD$2:$AD$422,0)))</f>
      </c>
      <c r="R279">
        <f>IF($P279="","",INDEX($C$2:$C$422,MATCH(ROWS($P$5:P279),$AD$2:$AD$422,0)))</f>
      </c>
      <c r="S279">
        <f>IF($P279="","",INDEX($E$2:$E$422,MATCH(ROWS($P$5:P279),$AD$2:$AD$422,0)))</f>
      </c>
      <c r="T279" s="22">
        <f>IF($P279="","",IFERROR(IF(OR(INDEX($H$2:$H$422,MATCH(ROWS($P$5:P279),$AD$2:$AD$422,0))="",INDEX($H$2:$H$422,MATCH(ROWS($P$5:P279),$AD$2:$AD$422,0))="؟",INDEX($H$2:$H$422,MATCH(ROWS($P$5:P279),$AD$2:$AD$422,0))="نامشخص"),"",INDEX($H$2:$H$422,MATCH(ROWS($P$5:P279),$AD$2:$AD$422,0))),""))</f>
      </c>
      <c r="U279">
        <f>IF($P279="","",INDEX($L$2:$L$422,MATCH(ROWS($P$5:P279),$AD$2:$AD$422,0)))</f>
      </c>
      <c r="V279">
        <f>IF($P279="","",INDEX($M$2:$M$422,MATCH(ROWS($P$5:P279),$AD$2:$AD$422,0)))</f>
      </c>
      <c r="AD279">
        <f>IF(AND(LEN($Q$2)&gt;=3,ISNUMBER(SEARCH($Q$2,$B279))),MAX($AD$1:AD278)+1,"")</f>
      </c>
    </row>
    <row r="280" ht="14.4" customHeight="1" spans="1:30" x14ac:dyDescent="0.25">
      <c r="A280" s="16" t="s">
        <v>1317</v>
      </c>
      <c r="B280" s="16" t="s">
        <v>267</v>
      </c>
      <c r="C280" s="16" t="s">
        <v>1318</v>
      </c>
      <c r="D280" s="16" t="s">
        <v>1252</v>
      </c>
      <c r="E280" s="16" t="s">
        <v>9</v>
      </c>
      <c r="F280" s="16" t="s">
        <v>9</v>
      </c>
      <c r="G280" s="17">
        <f t="shared" si="18"/>
        <v>650000</v>
      </c>
      <c r="H280" s="18">
        <v>650000</v>
      </c>
      <c r="I280" s="19">
        <v>2</v>
      </c>
      <c r="J280" s="18">
        <f t="shared" si="16"/>
        <v>670000</v>
      </c>
      <c r="K280" s="18" t="s">
        <v>477</v>
      </c>
      <c r="L280" s="16" t="str">
        <f t="shared" si="17"/>
        <v>فعال</v>
      </c>
      <c r="M280" s="16">
        <v>243</v>
      </c>
      <c r="N280" s="16" t="s">
        <v>1317</v>
      </c>
      <c r="O280" t="s">
        <v>1319</v>
      </c>
      <c r="P280">
        <f>IFERROR(INDEX($A$2:$A$422,MATCH(ROWS($P$5:P280),$AD$2:$AD$422,0)),"")</f>
      </c>
      <c r="Q280">
        <f>IF($P280="","",INDEX($B$2:$B$422,MATCH(ROWS($P$5:P280),$AD$2:$AD$422,0)))</f>
      </c>
      <c r="R280">
        <f>IF($P280="","",INDEX($C$2:$C$422,MATCH(ROWS($P$5:P280),$AD$2:$AD$422,0)))</f>
      </c>
      <c r="S280">
        <f>IF($P280="","",INDEX($E$2:$E$422,MATCH(ROWS($P$5:P280),$AD$2:$AD$422,0)))</f>
      </c>
      <c r="T280" s="22">
        <f>IF($P280="","",IFERROR(IF(OR(INDEX($H$2:$H$422,MATCH(ROWS($P$5:P280),$AD$2:$AD$422,0))="",INDEX($H$2:$H$422,MATCH(ROWS($P$5:P280),$AD$2:$AD$422,0))="؟",INDEX($H$2:$H$422,MATCH(ROWS($P$5:P280),$AD$2:$AD$422,0))="نامشخص"),"",INDEX($H$2:$H$422,MATCH(ROWS($P$5:P280),$AD$2:$AD$422,0))),""))</f>
      </c>
      <c r="U280">
        <f>IF($P280="","",INDEX($L$2:$L$422,MATCH(ROWS($P$5:P280),$AD$2:$AD$422,0)))</f>
      </c>
      <c r="V280">
        <f>IF($P280="","",INDEX($M$2:$M$422,MATCH(ROWS($P$5:P280),$AD$2:$AD$422,0)))</f>
      </c>
      <c r="AD280">
        <f>IF(AND(LEN($Q$2)&gt;=3,ISNUMBER(SEARCH($Q$2,$B280))),MAX($AD$1:AD279)+1,"")</f>
      </c>
    </row>
    <row r="281" ht="14.4" customHeight="1" spans="1:30" x14ac:dyDescent="0.25">
      <c r="A281" s="16" t="s">
        <v>1320</v>
      </c>
      <c r="B281" s="16" t="s">
        <v>268</v>
      </c>
      <c r="C281" s="16" t="s">
        <v>1321</v>
      </c>
      <c r="D281" s="16" t="s">
        <v>1252</v>
      </c>
      <c r="E281" s="16" t="s">
        <v>9</v>
      </c>
      <c r="F281" s="16" t="s">
        <v>9</v>
      </c>
      <c r="G281" s="17">
        <f t="shared" si="18"/>
        <v>700000</v>
      </c>
      <c r="H281" s="18">
        <v>700000</v>
      </c>
      <c r="I281" s="19">
        <v>1</v>
      </c>
      <c r="J281" s="18">
        <f t="shared" si="16"/>
        <v>710000</v>
      </c>
      <c r="K281" s="18" t="s">
        <v>477</v>
      </c>
      <c r="L281" s="16" t="str">
        <f t="shared" si="17"/>
        <v>فعال</v>
      </c>
      <c r="M281" s="16">
        <v>244</v>
      </c>
      <c r="N281" s="16" t="s">
        <v>1320</v>
      </c>
      <c r="O281" t="s">
        <v>1322</v>
      </c>
      <c r="P281">
        <f>IFERROR(INDEX($A$2:$A$422,MATCH(ROWS($P$5:P281),$AD$2:$AD$422,0)),"")</f>
      </c>
      <c r="Q281">
        <f>IF($P281="","",INDEX($B$2:$B$422,MATCH(ROWS($P$5:P281),$AD$2:$AD$422,0)))</f>
      </c>
      <c r="R281">
        <f>IF($P281="","",INDEX($C$2:$C$422,MATCH(ROWS($P$5:P281),$AD$2:$AD$422,0)))</f>
      </c>
      <c r="S281">
        <f>IF($P281="","",INDEX($E$2:$E$422,MATCH(ROWS($P$5:P281),$AD$2:$AD$422,0)))</f>
      </c>
      <c r="T281" s="22">
        <f>IF($P281="","",IFERROR(IF(OR(INDEX($H$2:$H$422,MATCH(ROWS($P$5:P281),$AD$2:$AD$422,0))="",INDEX($H$2:$H$422,MATCH(ROWS($P$5:P281),$AD$2:$AD$422,0))="؟",INDEX($H$2:$H$422,MATCH(ROWS($P$5:P281),$AD$2:$AD$422,0))="نامشخص"),"",INDEX($H$2:$H$422,MATCH(ROWS($P$5:P281),$AD$2:$AD$422,0))),""))</f>
      </c>
      <c r="U281">
        <f>IF($P281="","",INDEX($L$2:$L$422,MATCH(ROWS($P$5:P281),$AD$2:$AD$422,0)))</f>
      </c>
      <c r="V281">
        <f>IF($P281="","",INDEX($M$2:$M$422,MATCH(ROWS($P$5:P281),$AD$2:$AD$422,0)))</f>
      </c>
      <c r="AD281">
        <f>IF(AND(LEN($Q$2)&gt;=3,ISNUMBER(SEARCH($Q$2,$B281))),MAX($AD$1:AD280)+1,"")</f>
      </c>
    </row>
    <row r="282" ht="14.4" customHeight="1" spans="1:30" x14ac:dyDescent="0.25">
      <c r="A282" s="16" t="s">
        <v>1323</v>
      </c>
      <c r="B282" s="16" t="s">
        <v>269</v>
      </c>
      <c r="C282" s="16" t="s">
        <v>1324</v>
      </c>
      <c r="D282" s="16" t="s">
        <v>1252</v>
      </c>
      <c r="E282" s="16" t="s">
        <v>9</v>
      </c>
      <c r="F282" s="16" t="s">
        <v>9</v>
      </c>
      <c r="G282" s="17">
        <f t="shared" si="18"/>
        <v>950000</v>
      </c>
      <c r="H282" s="18">
        <v>950000</v>
      </c>
      <c r="I282" s="19">
        <v>2</v>
      </c>
      <c r="J282" s="18">
        <f t="shared" si="16"/>
        <v>970000</v>
      </c>
      <c r="K282" s="18" t="s">
        <v>477</v>
      </c>
      <c r="L282" s="16" t="str">
        <f t="shared" si="17"/>
        <v>فعال</v>
      </c>
      <c r="M282" s="16">
        <v>245</v>
      </c>
      <c r="N282" s="16" t="s">
        <v>1323</v>
      </c>
      <c r="O282" t="s">
        <v>1325</v>
      </c>
      <c r="P282">
        <f>IFERROR(INDEX($A$2:$A$422,MATCH(ROWS($P$5:P282),$AD$2:$AD$422,0)),"")</f>
      </c>
      <c r="Q282">
        <f>IF($P282="","",INDEX($B$2:$B$422,MATCH(ROWS($P$5:P282),$AD$2:$AD$422,0)))</f>
      </c>
      <c r="R282">
        <f>IF($P282="","",INDEX($C$2:$C$422,MATCH(ROWS($P$5:P282),$AD$2:$AD$422,0)))</f>
      </c>
      <c r="S282">
        <f>IF($P282="","",INDEX($E$2:$E$422,MATCH(ROWS($P$5:P282),$AD$2:$AD$422,0)))</f>
      </c>
      <c r="T282" s="22">
        <f>IF($P282="","",IFERROR(IF(OR(INDEX($H$2:$H$422,MATCH(ROWS($P$5:P282),$AD$2:$AD$422,0))="",INDEX($H$2:$H$422,MATCH(ROWS($P$5:P282),$AD$2:$AD$422,0))="؟",INDEX($H$2:$H$422,MATCH(ROWS($P$5:P282),$AD$2:$AD$422,0))="نامشخص"),"",INDEX($H$2:$H$422,MATCH(ROWS($P$5:P282),$AD$2:$AD$422,0))),""))</f>
      </c>
      <c r="U282">
        <f>IF($P282="","",INDEX($L$2:$L$422,MATCH(ROWS($P$5:P282),$AD$2:$AD$422,0)))</f>
      </c>
      <c r="V282">
        <f>IF($P282="","",INDEX($M$2:$M$422,MATCH(ROWS($P$5:P282),$AD$2:$AD$422,0)))</f>
      </c>
      <c r="AD282">
        <f>IF(AND(LEN($Q$2)&gt;=3,ISNUMBER(SEARCH($Q$2,$B282))),MAX($AD$1:AD281)+1,"")</f>
      </c>
    </row>
    <row r="283" ht="14.4" customHeight="1" spans="1:30" x14ac:dyDescent="0.25">
      <c r="A283" s="16" t="s">
        <v>1326</v>
      </c>
      <c r="B283" s="16" t="s">
        <v>270</v>
      </c>
      <c r="C283" s="16" t="s">
        <v>1327</v>
      </c>
      <c r="D283" s="16" t="s">
        <v>1252</v>
      </c>
      <c r="E283" s="16" t="s">
        <v>9</v>
      </c>
      <c r="F283" s="16" t="s">
        <v>9</v>
      </c>
      <c r="G283" s="17">
        <f t="shared" si="18"/>
        <v>980000</v>
      </c>
      <c r="H283" s="18">
        <v>980000</v>
      </c>
      <c r="I283" s="19">
        <v>2</v>
      </c>
      <c r="J283" s="18">
        <f t="shared" si="16"/>
        <v>1000000</v>
      </c>
      <c r="K283" s="18" t="s">
        <v>477</v>
      </c>
      <c r="L283" s="16" t="str">
        <f t="shared" si="17"/>
        <v>فعال</v>
      </c>
      <c r="M283" s="16">
        <v>246</v>
      </c>
      <c r="N283" s="16" t="s">
        <v>1326</v>
      </c>
      <c r="O283" t="s">
        <v>1328</v>
      </c>
      <c r="P283">
        <f>IFERROR(INDEX($A$2:$A$422,MATCH(ROWS($P$5:P283),$AD$2:$AD$422,0)),"")</f>
      </c>
      <c r="Q283">
        <f>IF($P283="","",INDEX($B$2:$B$422,MATCH(ROWS($P$5:P283),$AD$2:$AD$422,0)))</f>
      </c>
      <c r="R283">
        <f>IF($P283="","",INDEX($C$2:$C$422,MATCH(ROWS($P$5:P283),$AD$2:$AD$422,0)))</f>
      </c>
      <c r="S283">
        <f>IF($P283="","",INDEX($E$2:$E$422,MATCH(ROWS($P$5:P283),$AD$2:$AD$422,0)))</f>
      </c>
      <c r="T283" s="22">
        <f>IF($P283="","",IFERROR(IF(OR(INDEX($H$2:$H$422,MATCH(ROWS($P$5:P283),$AD$2:$AD$422,0))="",INDEX($H$2:$H$422,MATCH(ROWS($P$5:P283),$AD$2:$AD$422,0))="؟",INDEX($H$2:$H$422,MATCH(ROWS($P$5:P283),$AD$2:$AD$422,0))="نامشخص"),"",INDEX($H$2:$H$422,MATCH(ROWS($P$5:P283),$AD$2:$AD$422,0))),""))</f>
      </c>
      <c r="U283">
        <f>IF($P283="","",INDEX($L$2:$L$422,MATCH(ROWS($P$5:P283),$AD$2:$AD$422,0)))</f>
      </c>
      <c r="V283">
        <f>IF($P283="","",INDEX($M$2:$M$422,MATCH(ROWS($P$5:P283),$AD$2:$AD$422,0)))</f>
      </c>
      <c r="AD283">
        <f>IF(AND(LEN($Q$2)&gt;=3,ISNUMBER(SEARCH($Q$2,$B283))),MAX($AD$1:AD282)+1,"")</f>
      </c>
    </row>
    <row r="284" ht="14.4" customHeight="1" spans="1:30" x14ac:dyDescent="0.25">
      <c r="A284" s="16" t="s">
        <v>1329</v>
      </c>
      <c r="B284" s="16" t="s">
        <v>271</v>
      </c>
      <c r="C284" s="16" t="s">
        <v>1330</v>
      </c>
      <c r="D284" s="16" t="s">
        <v>1252</v>
      </c>
      <c r="E284" s="16" t="s">
        <v>272</v>
      </c>
      <c r="F284" s="16" t="s">
        <v>272</v>
      </c>
      <c r="G284" s="17">
        <f t="shared" si="18"/>
        <v>250000</v>
      </c>
      <c r="H284" s="18">
        <v>250000</v>
      </c>
      <c r="I284" s="19">
        <v>3</v>
      </c>
      <c r="J284" s="18">
        <f t="shared" ref="J284:J347" si="19">IF(OR(H284="",H284="؟",H284="نامشخص"),"",CEILING(H284*(1+I284/100),10000))</f>
        <v>260000</v>
      </c>
      <c r="K284" s="18" t="s">
        <v>477</v>
      </c>
      <c r="L284" s="16" t="str">
        <f t="shared" ref="L284:L347" si="20">IF(OR($H284="",$H284="؟",$H284="نامشخص"),"نیاز به استعلام","فعال")</f>
        <v>فعال</v>
      </c>
      <c r="M284" s="16">
        <v>247</v>
      </c>
      <c r="N284" s="16" t="s">
        <v>1329</v>
      </c>
      <c r="O284" t="s">
        <v>1331</v>
      </c>
      <c r="P284">
        <f>IFERROR(INDEX($A$2:$A$422,MATCH(ROWS($P$5:P284),$AD$2:$AD$422,0)),"")</f>
      </c>
      <c r="Q284">
        <f>IF($P284="","",INDEX($B$2:$B$422,MATCH(ROWS($P$5:P284),$AD$2:$AD$422,0)))</f>
      </c>
      <c r="R284">
        <f>IF($P284="","",INDEX($C$2:$C$422,MATCH(ROWS($P$5:P284),$AD$2:$AD$422,0)))</f>
      </c>
      <c r="S284">
        <f>IF($P284="","",INDEX($E$2:$E$422,MATCH(ROWS($P$5:P284),$AD$2:$AD$422,0)))</f>
      </c>
      <c r="T284" s="22">
        <f>IF($P284="","",IFERROR(IF(OR(INDEX($H$2:$H$422,MATCH(ROWS($P$5:P284),$AD$2:$AD$422,0))="",INDEX($H$2:$H$422,MATCH(ROWS($P$5:P284),$AD$2:$AD$422,0))="؟",INDEX($H$2:$H$422,MATCH(ROWS($P$5:P284),$AD$2:$AD$422,0))="نامشخص"),"",INDEX($H$2:$H$422,MATCH(ROWS($P$5:P284),$AD$2:$AD$422,0))),""))</f>
      </c>
      <c r="U284">
        <f>IF($P284="","",INDEX($L$2:$L$422,MATCH(ROWS($P$5:P284),$AD$2:$AD$422,0)))</f>
      </c>
      <c r="V284">
        <f>IF($P284="","",INDEX($M$2:$M$422,MATCH(ROWS($P$5:P284),$AD$2:$AD$422,0)))</f>
      </c>
      <c r="AD284">
        <f>IF(AND(LEN($Q$2)&gt;=3,ISNUMBER(SEARCH($Q$2,$B284))),MAX($AD$1:AD283)+1,"")</f>
      </c>
    </row>
    <row r="285" ht="14.4" customHeight="1" spans="1:30" x14ac:dyDescent="0.25">
      <c r="A285" s="16" t="s">
        <v>1332</v>
      </c>
      <c r="B285" s="16" t="s">
        <v>273</v>
      </c>
      <c r="C285" s="16" t="s">
        <v>1333</v>
      </c>
      <c r="D285" s="16" t="s">
        <v>1252</v>
      </c>
      <c r="E285" s="16" t="s">
        <v>272</v>
      </c>
      <c r="F285" s="16" t="s">
        <v>272</v>
      </c>
      <c r="G285" s="17">
        <f t="shared" si="18"/>
        <v>250000</v>
      </c>
      <c r="H285" s="18">
        <v>250000</v>
      </c>
      <c r="I285" s="19">
        <v>1</v>
      </c>
      <c r="J285" s="18">
        <f t="shared" si="19"/>
        <v>260000</v>
      </c>
      <c r="K285" s="18" t="s">
        <v>477</v>
      </c>
      <c r="L285" s="16" t="str">
        <f t="shared" si="20"/>
        <v>فعال</v>
      </c>
      <c r="M285" s="16">
        <v>248</v>
      </c>
      <c r="N285" s="16" t="s">
        <v>1332</v>
      </c>
      <c r="O285" t="s">
        <v>1334</v>
      </c>
      <c r="P285">
        <f>IFERROR(INDEX($A$2:$A$422,MATCH(ROWS($P$5:P285),$AD$2:$AD$422,0)),"")</f>
      </c>
      <c r="Q285">
        <f>IF($P285="","",INDEX($B$2:$B$422,MATCH(ROWS($P$5:P285),$AD$2:$AD$422,0)))</f>
      </c>
      <c r="R285">
        <f>IF($P285="","",INDEX($C$2:$C$422,MATCH(ROWS($P$5:P285),$AD$2:$AD$422,0)))</f>
      </c>
      <c r="S285">
        <f>IF($P285="","",INDEX($E$2:$E$422,MATCH(ROWS($P$5:P285),$AD$2:$AD$422,0)))</f>
      </c>
      <c r="T285" s="22">
        <f>IF($P285="","",IFERROR(IF(OR(INDEX($H$2:$H$422,MATCH(ROWS($P$5:P285),$AD$2:$AD$422,0))="",INDEX($H$2:$H$422,MATCH(ROWS($P$5:P285),$AD$2:$AD$422,0))="؟",INDEX($H$2:$H$422,MATCH(ROWS($P$5:P285),$AD$2:$AD$422,0))="نامشخص"),"",INDEX($H$2:$H$422,MATCH(ROWS($P$5:P285),$AD$2:$AD$422,0))),""))</f>
      </c>
      <c r="U285">
        <f>IF($P285="","",INDEX($L$2:$L$422,MATCH(ROWS($P$5:P285),$AD$2:$AD$422,0)))</f>
      </c>
      <c r="V285">
        <f>IF($P285="","",INDEX($M$2:$M$422,MATCH(ROWS($P$5:P285),$AD$2:$AD$422,0)))</f>
      </c>
      <c r="AD285">
        <f>IF(AND(LEN($Q$2)&gt;=3,ISNUMBER(SEARCH($Q$2,$B285))),MAX($AD$1:AD284)+1,"")</f>
      </c>
    </row>
    <row r="286" ht="14.4" customHeight="1" spans="1:30" x14ac:dyDescent="0.25">
      <c r="A286" s="16" t="s">
        <v>1335</v>
      </c>
      <c r="B286" s="16" t="s">
        <v>275</v>
      </c>
      <c r="C286" s="16" t="s">
        <v>1336</v>
      </c>
      <c r="D286" s="16" t="s">
        <v>1252</v>
      </c>
      <c r="E286" s="16" t="s">
        <v>272</v>
      </c>
      <c r="F286" s="16" t="s">
        <v>272</v>
      </c>
      <c r="G286" s="17">
        <f t="shared" si="18"/>
        <v>250000</v>
      </c>
      <c r="H286" s="18">
        <v>250000</v>
      </c>
      <c r="I286" s="19">
        <v>3</v>
      </c>
      <c r="J286" s="18">
        <f t="shared" si="19"/>
        <v>260000</v>
      </c>
      <c r="K286" s="18" t="s">
        <v>477</v>
      </c>
      <c r="L286" s="16" t="str">
        <f t="shared" si="20"/>
        <v>فعال</v>
      </c>
      <c r="M286" s="16">
        <v>250</v>
      </c>
      <c r="N286" s="16" t="s">
        <v>1335</v>
      </c>
      <c r="O286" t="s">
        <v>1337</v>
      </c>
      <c r="P286">
        <f>IFERROR(INDEX($A$2:$A$422,MATCH(ROWS($P$5:P286),$AD$2:$AD$422,0)),"")</f>
      </c>
      <c r="Q286">
        <f>IF($P286="","",INDEX($B$2:$B$422,MATCH(ROWS($P$5:P286),$AD$2:$AD$422,0)))</f>
      </c>
      <c r="R286">
        <f>IF($P286="","",INDEX($C$2:$C$422,MATCH(ROWS($P$5:P286),$AD$2:$AD$422,0)))</f>
      </c>
      <c r="S286">
        <f>IF($P286="","",INDEX($E$2:$E$422,MATCH(ROWS($P$5:P286),$AD$2:$AD$422,0)))</f>
      </c>
      <c r="T286" s="22">
        <f>IF($P286="","",IFERROR(IF(OR(INDEX($H$2:$H$422,MATCH(ROWS($P$5:P286),$AD$2:$AD$422,0))="",INDEX($H$2:$H$422,MATCH(ROWS($P$5:P286),$AD$2:$AD$422,0))="؟",INDEX($H$2:$H$422,MATCH(ROWS($P$5:P286),$AD$2:$AD$422,0))="نامشخص"),"",INDEX($H$2:$H$422,MATCH(ROWS($P$5:P286),$AD$2:$AD$422,0))),""))</f>
      </c>
      <c r="U286">
        <f>IF($P286="","",INDEX($L$2:$L$422,MATCH(ROWS($P$5:P286),$AD$2:$AD$422,0)))</f>
      </c>
      <c r="V286">
        <f>IF($P286="","",INDEX($M$2:$M$422,MATCH(ROWS($P$5:P286),$AD$2:$AD$422,0)))</f>
      </c>
      <c r="AD286">
        <f>IF(AND(LEN($Q$2)&gt;=3,ISNUMBER(SEARCH($Q$2,$B286))),MAX($AD$1:AD285)+1,"")</f>
      </c>
    </row>
    <row r="287" ht="14.4" customHeight="1" spans="1:30" x14ac:dyDescent="0.25">
      <c r="A287" s="16" t="s">
        <v>1338</v>
      </c>
      <c r="B287" s="16" t="s">
        <v>276</v>
      </c>
      <c r="C287" s="16" t="s">
        <v>1339</v>
      </c>
      <c r="D287" s="16" t="s">
        <v>1252</v>
      </c>
      <c r="E287" s="16" t="s">
        <v>272</v>
      </c>
      <c r="F287" s="16" t="s">
        <v>272</v>
      </c>
      <c r="G287" s="17">
        <f t="shared" si="18"/>
        <v>250000</v>
      </c>
      <c r="H287" s="18">
        <v>250000</v>
      </c>
      <c r="I287" s="19">
        <v>2</v>
      </c>
      <c r="J287" s="18">
        <f t="shared" si="19"/>
        <v>260000</v>
      </c>
      <c r="K287" s="18" t="s">
        <v>477</v>
      </c>
      <c r="L287" s="16" t="str">
        <f t="shared" si="20"/>
        <v>فعال</v>
      </c>
      <c r="M287" s="16">
        <v>251</v>
      </c>
      <c r="N287" s="16" t="s">
        <v>1338</v>
      </c>
      <c r="O287" t="s">
        <v>1340</v>
      </c>
      <c r="P287">
        <f>IFERROR(INDEX($A$2:$A$422,MATCH(ROWS($P$5:P287),$AD$2:$AD$422,0)),"")</f>
      </c>
      <c r="Q287">
        <f>IF($P287="","",INDEX($B$2:$B$422,MATCH(ROWS($P$5:P287),$AD$2:$AD$422,0)))</f>
      </c>
      <c r="R287">
        <f>IF($P287="","",INDEX($C$2:$C$422,MATCH(ROWS($P$5:P287),$AD$2:$AD$422,0)))</f>
      </c>
      <c r="S287">
        <f>IF($P287="","",INDEX($E$2:$E$422,MATCH(ROWS($P$5:P287),$AD$2:$AD$422,0)))</f>
      </c>
      <c r="T287" s="22">
        <f>IF($P287="","",IFERROR(IF(OR(INDEX($H$2:$H$422,MATCH(ROWS($P$5:P287),$AD$2:$AD$422,0))="",INDEX($H$2:$H$422,MATCH(ROWS($P$5:P287),$AD$2:$AD$422,0))="؟",INDEX($H$2:$H$422,MATCH(ROWS($P$5:P287),$AD$2:$AD$422,0))="نامشخص"),"",INDEX($H$2:$H$422,MATCH(ROWS($P$5:P287),$AD$2:$AD$422,0))),""))</f>
      </c>
      <c r="U287">
        <f>IF($P287="","",INDEX($L$2:$L$422,MATCH(ROWS($P$5:P287),$AD$2:$AD$422,0)))</f>
      </c>
      <c r="V287">
        <f>IF($P287="","",INDEX($M$2:$M$422,MATCH(ROWS($P$5:P287),$AD$2:$AD$422,0)))</f>
      </c>
      <c r="AD287">
        <f>IF(AND(LEN($Q$2)&gt;=3,ISNUMBER(SEARCH($Q$2,$B287))),MAX($AD$1:AD286)+1,"")</f>
      </c>
    </row>
    <row r="288" ht="14.4" customHeight="1" spans="1:30" x14ac:dyDescent="0.25">
      <c r="A288" s="16" t="s">
        <v>1341</v>
      </c>
      <c r="B288" s="16" t="s">
        <v>278</v>
      </c>
      <c r="C288" s="16" t="s">
        <v>1342</v>
      </c>
      <c r="D288" s="16" t="s">
        <v>1252</v>
      </c>
      <c r="E288" s="16" t="s">
        <v>272</v>
      </c>
      <c r="F288" s="16" t="s">
        <v>272</v>
      </c>
      <c r="G288" s="17">
        <f t="shared" si="18"/>
        <v>380000</v>
      </c>
      <c r="H288" s="18">
        <v>380000</v>
      </c>
      <c r="I288" s="19">
        <v>3</v>
      </c>
      <c r="J288" s="18">
        <f t="shared" si="19"/>
        <v>400000</v>
      </c>
      <c r="K288" s="18" t="s">
        <v>477</v>
      </c>
      <c r="L288" s="16" t="str">
        <f t="shared" si="20"/>
        <v>فعال</v>
      </c>
      <c r="M288" s="16">
        <v>253</v>
      </c>
      <c r="N288" s="16" t="s">
        <v>1341</v>
      </c>
      <c r="O288" t="s">
        <v>1343</v>
      </c>
      <c r="P288">
        <f>IFERROR(INDEX($A$2:$A$422,MATCH(ROWS($P$5:P288),$AD$2:$AD$422,0)),"")</f>
      </c>
      <c r="Q288">
        <f>IF($P288="","",INDEX($B$2:$B$422,MATCH(ROWS($P$5:P288),$AD$2:$AD$422,0)))</f>
      </c>
      <c r="R288">
        <f>IF($P288="","",INDEX($C$2:$C$422,MATCH(ROWS($P$5:P288),$AD$2:$AD$422,0)))</f>
      </c>
      <c r="S288">
        <f>IF($P288="","",INDEX($E$2:$E$422,MATCH(ROWS($P$5:P288),$AD$2:$AD$422,0)))</f>
      </c>
      <c r="T288" s="22">
        <f>IF($P288="","",IFERROR(IF(OR(INDEX($H$2:$H$422,MATCH(ROWS($P$5:P288),$AD$2:$AD$422,0))="",INDEX($H$2:$H$422,MATCH(ROWS($P$5:P288),$AD$2:$AD$422,0))="؟",INDEX($H$2:$H$422,MATCH(ROWS($P$5:P288),$AD$2:$AD$422,0))="نامشخص"),"",INDEX($H$2:$H$422,MATCH(ROWS($P$5:P288),$AD$2:$AD$422,0))),""))</f>
      </c>
      <c r="U288">
        <f>IF($P288="","",INDEX($L$2:$L$422,MATCH(ROWS($P$5:P288),$AD$2:$AD$422,0)))</f>
      </c>
      <c r="V288">
        <f>IF($P288="","",INDEX($M$2:$M$422,MATCH(ROWS($P$5:P288),$AD$2:$AD$422,0)))</f>
      </c>
      <c r="AD288">
        <f>IF(AND(LEN($Q$2)&gt;=3,ISNUMBER(SEARCH($Q$2,$B288))),MAX($AD$1:AD287)+1,"")</f>
      </c>
    </row>
    <row r="289" ht="14.4" customHeight="1" spans="1:30" x14ac:dyDescent="0.25">
      <c r="A289" s="16" t="s">
        <v>1344</v>
      </c>
      <c r="B289" s="16" t="s">
        <v>278</v>
      </c>
      <c r="C289" s="16" t="s">
        <v>1345</v>
      </c>
      <c r="D289" s="16" t="s">
        <v>1252</v>
      </c>
      <c r="E289" s="16" t="s">
        <v>279</v>
      </c>
      <c r="F289" s="16" t="s">
        <v>279</v>
      </c>
      <c r="G289" s="17">
        <f t="shared" si="18"/>
        <v>760000</v>
      </c>
      <c r="H289" s="18">
        <v>760000</v>
      </c>
      <c r="I289" s="19">
        <v>2</v>
      </c>
      <c r="J289" s="18">
        <f t="shared" si="19"/>
        <v>780000</v>
      </c>
      <c r="K289" s="18" t="s">
        <v>477</v>
      </c>
      <c r="L289" s="16" t="str">
        <f t="shared" si="20"/>
        <v>فعال</v>
      </c>
      <c r="M289" s="16">
        <v>253</v>
      </c>
      <c r="N289" s="16" t="s">
        <v>1344</v>
      </c>
      <c r="O289" t="s">
        <v>1346</v>
      </c>
      <c r="P289">
        <f>IFERROR(INDEX($A$2:$A$422,MATCH(ROWS($P$5:P289),$AD$2:$AD$422,0)),"")</f>
      </c>
      <c r="Q289">
        <f>IF($P289="","",INDEX($B$2:$B$422,MATCH(ROWS($P$5:P289),$AD$2:$AD$422,0)))</f>
      </c>
      <c r="R289">
        <f>IF($P289="","",INDEX($C$2:$C$422,MATCH(ROWS($P$5:P289),$AD$2:$AD$422,0)))</f>
      </c>
      <c r="S289">
        <f>IF($P289="","",INDEX($E$2:$E$422,MATCH(ROWS($P$5:P289),$AD$2:$AD$422,0)))</f>
      </c>
      <c r="T289" s="22">
        <f>IF($P289="","",IFERROR(IF(OR(INDEX($H$2:$H$422,MATCH(ROWS($P$5:P289),$AD$2:$AD$422,0))="",INDEX($H$2:$H$422,MATCH(ROWS($P$5:P289),$AD$2:$AD$422,0))="؟",INDEX($H$2:$H$422,MATCH(ROWS($P$5:P289),$AD$2:$AD$422,0))="نامشخص"),"",INDEX($H$2:$H$422,MATCH(ROWS($P$5:P289),$AD$2:$AD$422,0))),""))</f>
      </c>
      <c r="U289">
        <f>IF($P289="","",INDEX($L$2:$L$422,MATCH(ROWS($P$5:P289),$AD$2:$AD$422,0)))</f>
      </c>
      <c r="V289">
        <f>IF($P289="","",INDEX($M$2:$M$422,MATCH(ROWS($P$5:P289),$AD$2:$AD$422,0)))</f>
      </c>
      <c r="AD289">
        <f>IF(AND(LEN($Q$2)&gt;=3,ISNUMBER(SEARCH($Q$2,$B289))),MAX($AD$1:AD288)+1,"")</f>
      </c>
    </row>
    <row r="290" ht="14.4" customHeight="1" spans="1:30" x14ac:dyDescent="0.25">
      <c r="A290" s="16" t="s">
        <v>1347</v>
      </c>
      <c r="B290" s="16" t="s">
        <v>280</v>
      </c>
      <c r="C290" s="16" t="s">
        <v>1348</v>
      </c>
      <c r="D290" s="16" t="s">
        <v>1252</v>
      </c>
      <c r="E290" s="16" t="s">
        <v>272</v>
      </c>
      <c r="F290" s="16" t="s">
        <v>272</v>
      </c>
      <c r="G290" s="17">
        <f t="shared" si="18"/>
        <v>300000</v>
      </c>
      <c r="H290" s="18">
        <v>300000</v>
      </c>
      <c r="I290" s="19">
        <v>3</v>
      </c>
      <c r="J290" s="18">
        <f t="shared" si="19"/>
        <v>310000</v>
      </c>
      <c r="K290" s="18" t="s">
        <v>477</v>
      </c>
      <c r="L290" s="16" t="str">
        <f t="shared" si="20"/>
        <v>فعال</v>
      </c>
      <c r="M290" s="16">
        <v>254</v>
      </c>
      <c r="N290" s="16" t="s">
        <v>1347</v>
      </c>
      <c r="O290" t="s">
        <v>1349</v>
      </c>
      <c r="P290">
        <f>IFERROR(INDEX($A$2:$A$422,MATCH(ROWS($P$5:P290),$AD$2:$AD$422,0)),"")</f>
      </c>
      <c r="Q290">
        <f>IF($P290="","",INDEX($B$2:$B$422,MATCH(ROWS($P$5:P290),$AD$2:$AD$422,0)))</f>
      </c>
      <c r="R290">
        <f>IF($P290="","",INDEX($C$2:$C$422,MATCH(ROWS($P$5:P290),$AD$2:$AD$422,0)))</f>
      </c>
      <c r="S290">
        <f>IF($P290="","",INDEX($E$2:$E$422,MATCH(ROWS($P$5:P290),$AD$2:$AD$422,0)))</f>
      </c>
      <c r="T290" s="22">
        <f>IF($P290="","",IFERROR(IF(OR(INDEX($H$2:$H$422,MATCH(ROWS($P$5:P290),$AD$2:$AD$422,0))="",INDEX($H$2:$H$422,MATCH(ROWS($P$5:P290),$AD$2:$AD$422,0))="؟",INDEX($H$2:$H$422,MATCH(ROWS($P$5:P290),$AD$2:$AD$422,0))="نامشخص"),"",INDEX($H$2:$H$422,MATCH(ROWS($P$5:P290),$AD$2:$AD$422,0))),""))</f>
      </c>
      <c r="U290">
        <f>IF($P290="","",INDEX($L$2:$L$422,MATCH(ROWS($P$5:P290),$AD$2:$AD$422,0)))</f>
      </c>
      <c r="V290">
        <f>IF($P290="","",INDEX($M$2:$M$422,MATCH(ROWS($P$5:P290),$AD$2:$AD$422,0)))</f>
      </c>
      <c r="AD290">
        <f>IF(AND(LEN($Q$2)&gt;=3,ISNUMBER(SEARCH($Q$2,$B290))),MAX($AD$1:AD289)+1,"")</f>
      </c>
    </row>
    <row r="291" ht="14.4" customHeight="1" spans="1:30" x14ac:dyDescent="0.25">
      <c r="A291" s="16" t="s">
        <v>1350</v>
      </c>
      <c r="B291" s="16" t="s">
        <v>283</v>
      </c>
      <c r="C291" s="16" t="s">
        <v>1351</v>
      </c>
      <c r="D291" s="16" t="s">
        <v>1252</v>
      </c>
      <c r="E291" s="16" t="s">
        <v>9</v>
      </c>
      <c r="F291" s="16" t="s">
        <v>9</v>
      </c>
      <c r="G291" s="17">
        <f t="shared" si="18"/>
        <v>120000</v>
      </c>
      <c r="H291" s="18">
        <v>120000</v>
      </c>
      <c r="I291" s="19">
        <v>2</v>
      </c>
      <c r="J291" s="18">
        <f t="shared" si="19"/>
        <v>130000</v>
      </c>
      <c r="K291" s="18" t="s">
        <v>477</v>
      </c>
      <c r="L291" s="16" t="str">
        <f t="shared" si="20"/>
        <v>فعال</v>
      </c>
      <c r="M291" s="16">
        <v>257</v>
      </c>
      <c r="N291" s="16" t="s">
        <v>1350</v>
      </c>
      <c r="O291" t="s">
        <v>1352</v>
      </c>
      <c r="P291">
        <f>IFERROR(INDEX($A$2:$A$422,MATCH(ROWS($P$5:P291),$AD$2:$AD$422,0)),"")</f>
      </c>
      <c r="Q291">
        <f>IF($P291="","",INDEX($B$2:$B$422,MATCH(ROWS($P$5:P291),$AD$2:$AD$422,0)))</f>
      </c>
      <c r="R291">
        <f>IF($P291="","",INDEX($C$2:$C$422,MATCH(ROWS($P$5:P291),$AD$2:$AD$422,0)))</f>
      </c>
      <c r="S291">
        <f>IF($P291="","",INDEX($E$2:$E$422,MATCH(ROWS($P$5:P291),$AD$2:$AD$422,0)))</f>
      </c>
      <c r="T291" s="22">
        <f>IF($P291="","",IFERROR(IF(OR(INDEX($H$2:$H$422,MATCH(ROWS($P$5:P291),$AD$2:$AD$422,0))="",INDEX($H$2:$H$422,MATCH(ROWS($P$5:P291),$AD$2:$AD$422,0))="؟",INDEX($H$2:$H$422,MATCH(ROWS($P$5:P291),$AD$2:$AD$422,0))="نامشخص"),"",INDEX($H$2:$H$422,MATCH(ROWS($P$5:P291),$AD$2:$AD$422,0))),""))</f>
      </c>
      <c r="U291">
        <f>IF($P291="","",INDEX($L$2:$L$422,MATCH(ROWS($P$5:P291),$AD$2:$AD$422,0)))</f>
      </c>
      <c r="V291">
        <f>IF($P291="","",INDEX($M$2:$M$422,MATCH(ROWS($P$5:P291),$AD$2:$AD$422,0)))</f>
      </c>
      <c r="AD291">
        <f>IF(AND(LEN($Q$2)&gt;=3,ISNUMBER(SEARCH($Q$2,$B291))),MAX($AD$1:AD290)+1,"")</f>
      </c>
    </row>
    <row r="292" ht="14.4" customHeight="1" spans="1:30" x14ac:dyDescent="0.25">
      <c r="A292" s="16" t="s">
        <v>1353</v>
      </c>
      <c r="B292" s="16" t="s">
        <v>284</v>
      </c>
      <c r="C292" s="16" t="s">
        <v>1354</v>
      </c>
      <c r="D292" s="16" t="s">
        <v>1252</v>
      </c>
      <c r="E292" s="16" t="s">
        <v>9</v>
      </c>
      <c r="F292" s="16" t="s">
        <v>9</v>
      </c>
      <c r="G292" s="17">
        <f t="shared" si="18"/>
        <v>240000</v>
      </c>
      <c r="H292" s="18">
        <v>240000</v>
      </c>
      <c r="I292" s="19">
        <v>3</v>
      </c>
      <c r="J292" s="18">
        <f t="shared" si="19"/>
        <v>250000</v>
      </c>
      <c r="K292" s="18" t="s">
        <v>477</v>
      </c>
      <c r="L292" s="16" t="str">
        <f t="shared" si="20"/>
        <v>فعال</v>
      </c>
      <c r="M292" s="16">
        <v>258</v>
      </c>
      <c r="N292" s="16" t="s">
        <v>1353</v>
      </c>
      <c r="O292" t="s">
        <v>1355</v>
      </c>
      <c r="P292">
        <f>IFERROR(INDEX($A$2:$A$422,MATCH(ROWS($P$5:P292),$AD$2:$AD$422,0)),"")</f>
      </c>
      <c r="Q292">
        <f>IF($P292="","",INDEX($B$2:$B$422,MATCH(ROWS($P$5:P292),$AD$2:$AD$422,0)))</f>
      </c>
      <c r="R292">
        <f>IF($P292="","",INDEX($C$2:$C$422,MATCH(ROWS($P$5:P292),$AD$2:$AD$422,0)))</f>
      </c>
      <c r="S292">
        <f>IF($P292="","",INDEX($E$2:$E$422,MATCH(ROWS($P$5:P292),$AD$2:$AD$422,0)))</f>
      </c>
      <c r="T292" s="22">
        <f>IF($P292="","",IFERROR(IF(OR(INDEX($H$2:$H$422,MATCH(ROWS($P$5:P292),$AD$2:$AD$422,0))="",INDEX($H$2:$H$422,MATCH(ROWS($P$5:P292),$AD$2:$AD$422,0))="؟",INDEX($H$2:$H$422,MATCH(ROWS($P$5:P292),$AD$2:$AD$422,0))="نامشخص"),"",INDEX($H$2:$H$422,MATCH(ROWS($P$5:P292),$AD$2:$AD$422,0))),""))</f>
      </c>
      <c r="U292">
        <f>IF($P292="","",INDEX($L$2:$L$422,MATCH(ROWS($P$5:P292),$AD$2:$AD$422,0)))</f>
      </c>
      <c r="V292">
        <f>IF($P292="","",INDEX($M$2:$M$422,MATCH(ROWS($P$5:P292),$AD$2:$AD$422,0)))</f>
      </c>
      <c r="AD292">
        <f>IF(AND(LEN($Q$2)&gt;=3,ISNUMBER(SEARCH($Q$2,$B292))),MAX($AD$1:AD291)+1,"")</f>
      </c>
    </row>
    <row r="293" ht="14.4" customHeight="1" spans="1:30" x14ac:dyDescent="0.25">
      <c r="A293" s="16" t="s">
        <v>1356</v>
      </c>
      <c r="B293" s="16" t="s">
        <v>285</v>
      </c>
      <c r="C293" s="16" t="s">
        <v>1357</v>
      </c>
      <c r="D293" s="16" t="s">
        <v>1252</v>
      </c>
      <c r="E293" s="16" t="s">
        <v>9</v>
      </c>
      <c r="F293" s="16" t="s">
        <v>9</v>
      </c>
      <c r="G293" s="17">
        <f t="shared" si="18"/>
        <v>120000</v>
      </c>
      <c r="H293" s="18">
        <v>120000</v>
      </c>
      <c r="I293" s="19">
        <v>2</v>
      </c>
      <c r="J293" s="18">
        <f t="shared" si="19"/>
        <v>130000</v>
      </c>
      <c r="K293" s="18" t="s">
        <v>477</v>
      </c>
      <c r="L293" s="16" t="str">
        <f t="shared" si="20"/>
        <v>فعال</v>
      </c>
      <c r="M293" s="16">
        <v>259</v>
      </c>
      <c r="N293" s="16" t="s">
        <v>1356</v>
      </c>
      <c r="O293" t="s">
        <v>1358</v>
      </c>
      <c r="P293">
        <f>IFERROR(INDEX($A$2:$A$422,MATCH(ROWS($P$5:P293),$AD$2:$AD$422,0)),"")</f>
      </c>
      <c r="Q293">
        <f>IF($P293="","",INDEX($B$2:$B$422,MATCH(ROWS($P$5:P293),$AD$2:$AD$422,0)))</f>
      </c>
      <c r="R293">
        <f>IF($P293="","",INDEX($C$2:$C$422,MATCH(ROWS($P$5:P293),$AD$2:$AD$422,0)))</f>
      </c>
      <c r="S293">
        <f>IF($P293="","",INDEX($E$2:$E$422,MATCH(ROWS($P$5:P293),$AD$2:$AD$422,0)))</f>
      </c>
      <c r="T293" s="22">
        <f>IF($P293="","",IFERROR(IF(OR(INDEX($H$2:$H$422,MATCH(ROWS($P$5:P293),$AD$2:$AD$422,0))="",INDEX($H$2:$H$422,MATCH(ROWS($P$5:P293),$AD$2:$AD$422,0))="؟",INDEX($H$2:$H$422,MATCH(ROWS($P$5:P293),$AD$2:$AD$422,0))="نامشخص"),"",INDEX($H$2:$H$422,MATCH(ROWS($P$5:P293),$AD$2:$AD$422,0))),""))</f>
      </c>
      <c r="U293">
        <f>IF($P293="","",INDEX($L$2:$L$422,MATCH(ROWS($P$5:P293),$AD$2:$AD$422,0)))</f>
      </c>
      <c r="V293">
        <f>IF($P293="","",INDEX($M$2:$M$422,MATCH(ROWS($P$5:P293),$AD$2:$AD$422,0)))</f>
      </c>
      <c r="AD293">
        <f>IF(AND(LEN($Q$2)&gt;=3,ISNUMBER(SEARCH($Q$2,$B293))),MAX($AD$1:AD292)+1,"")</f>
      </c>
    </row>
    <row r="294" ht="14.4" customHeight="1" spans="1:30" x14ac:dyDescent="0.25">
      <c r="A294" s="16" t="s">
        <v>1359</v>
      </c>
      <c r="B294" s="16" t="s">
        <v>286</v>
      </c>
      <c r="C294" s="16" t="s">
        <v>1360</v>
      </c>
      <c r="D294" s="16" t="s">
        <v>1252</v>
      </c>
      <c r="E294" s="16" t="s">
        <v>9</v>
      </c>
      <c r="F294" s="16" t="s">
        <v>9</v>
      </c>
      <c r="G294" s="17">
        <f t="shared" si="18"/>
        <v>120000</v>
      </c>
      <c r="H294" s="18">
        <v>120000</v>
      </c>
      <c r="I294" s="19">
        <v>1</v>
      </c>
      <c r="J294" s="18">
        <f t="shared" si="19"/>
        <v>130000</v>
      </c>
      <c r="K294" s="18" t="s">
        <v>477</v>
      </c>
      <c r="L294" s="16" t="str">
        <f t="shared" si="20"/>
        <v>فعال</v>
      </c>
      <c r="M294" s="16">
        <v>260</v>
      </c>
      <c r="N294" s="16" t="s">
        <v>1359</v>
      </c>
      <c r="O294" t="s">
        <v>1361</v>
      </c>
      <c r="P294">
        <f>IFERROR(INDEX($A$2:$A$422,MATCH(ROWS($P$5:P294),$AD$2:$AD$422,0)),"")</f>
      </c>
      <c r="Q294">
        <f>IF($P294="","",INDEX($B$2:$B$422,MATCH(ROWS($P$5:P294),$AD$2:$AD$422,0)))</f>
      </c>
      <c r="R294">
        <f>IF($P294="","",INDEX($C$2:$C$422,MATCH(ROWS($P$5:P294),$AD$2:$AD$422,0)))</f>
      </c>
      <c r="S294">
        <f>IF($P294="","",INDEX($E$2:$E$422,MATCH(ROWS($P$5:P294),$AD$2:$AD$422,0)))</f>
      </c>
      <c r="T294" s="22">
        <f>IF($P294="","",IFERROR(IF(OR(INDEX($H$2:$H$422,MATCH(ROWS($P$5:P294),$AD$2:$AD$422,0))="",INDEX($H$2:$H$422,MATCH(ROWS($P$5:P294),$AD$2:$AD$422,0))="؟",INDEX($H$2:$H$422,MATCH(ROWS($P$5:P294),$AD$2:$AD$422,0))="نامشخص"),"",INDEX($H$2:$H$422,MATCH(ROWS($P$5:P294),$AD$2:$AD$422,0))),""))</f>
      </c>
      <c r="U294">
        <f>IF($P294="","",INDEX($L$2:$L$422,MATCH(ROWS($P$5:P294),$AD$2:$AD$422,0)))</f>
      </c>
      <c r="V294">
        <f>IF($P294="","",INDEX($M$2:$M$422,MATCH(ROWS($P$5:P294),$AD$2:$AD$422,0)))</f>
      </c>
      <c r="AD294">
        <f>IF(AND(LEN($Q$2)&gt;=3,ISNUMBER(SEARCH($Q$2,$B294))),MAX($AD$1:AD293)+1,"")</f>
      </c>
    </row>
    <row r="295" ht="14.4" customHeight="1" spans="1:30" x14ac:dyDescent="0.25">
      <c r="A295" s="16" t="s">
        <v>1362</v>
      </c>
      <c r="B295" s="16" t="s">
        <v>287</v>
      </c>
      <c r="C295" s="16" t="s">
        <v>1363</v>
      </c>
      <c r="D295" s="16" t="s">
        <v>1252</v>
      </c>
      <c r="E295" s="16" t="s">
        <v>9</v>
      </c>
      <c r="F295" s="16" t="s">
        <v>9</v>
      </c>
      <c r="G295" s="17">
        <f t="shared" si="18"/>
        <v>120000</v>
      </c>
      <c r="H295" s="18">
        <v>120000</v>
      </c>
      <c r="I295" s="19">
        <v>2</v>
      </c>
      <c r="J295" s="18">
        <f t="shared" si="19"/>
        <v>130000</v>
      </c>
      <c r="K295" s="18" t="s">
        <v>477</v>
      </c>
      <c r="L295" s="16" t="str">
        <f t="shared" si="20"/>
        <v>فعال</v>
      </c>
      <c r="M295" s="16">
        <v>261</v>
      </c>
      <c r="N295" s="16" t="s">
        <v>1362</v>
      </c>
      <c r="O295" t="s">
        <v>1364</v>
      </c>
      <c r="P295">
        <f>IFERROR(INDEX($A$2:$A$422,MATCH(ROWS($P$5:P295),$AD$2:$AD$422,0)),"")</f>
      </c>
      <c r="Q295">
        <f>IF($P295="","",INDEX($B$2:$B$422,MATCH(ROWS($P$5:P295),$AD$2:$AD$422,0)))</f>
      </c>
      <c r="R295">
        <f>IF($P295="","",INDEX($C$2:$C$422,MATCH(ROWS($P$5:P295),$AD$2:$AD$422,0)))</f>
      </c>
      <c r="S295">
        <f>IF($P295="","",INDEX($E$2:$E$422,MATCH(ROWS($P$5:P295),$AD$2:$AD$422,0)))</f>
      </c>
      <c r="T295" s="22">
        <f>IF($P295="","",IFERROR(IF(OR(INDEX($H$2:$H$422,MATCH(ROWS($P$5:P295),$AD$2:$AD$422,0))="",INDEX($H$2:$H$422,MATCH(ROWS($P$5:P295),$AD$2:$AD$422,0))="؟",INDEX($H$2:$H$422,MATCH(ROWS($P$5:P295),$AD$2:$AD$422,0))="نامشخص"),"",INDEX($H$2:$H$422,MATCH(ROWS($P$5:P295),$AD$2:$AD$422,0))),""))</f>
      </c>
      <c r="U295">
        <f>IF($P295="","",INDEX($L$2:$L$422,MATCH(ROWS($P$5:P295),$AD$2:$AD$422,0)))</f>
      </c>
      <c r="V295">
        <f>IF($P295="","",INDEX($M$2:$M$422,MATCH(ROWS($P$5:P295),$AD$2:$AD$422,0)))</f>
      </c>
      <c r="AD295">
        <f>IF(AND(LEN($Q$2)&gt;=3,ISNUMBER(SEARCH($Q$2,$B295))),MAX($AD$1:AD294)+1,"")</f>
      </c>
    </row>
    <row r="296" ht="14.4" customHeight="1" spans="1:30" x14ac:dyDescent="0.25">
      <c r="A296" s="16" t="s">
        <v>1365</v>
      </c>
      <c r="B296" s="16" t="s">
        <v>288</v>
      </c>
      <c r="C296" s="16" t="s">
        <v>1366</v>
      </c>
      <c r="D296" s="16" t="s">
        <v>1252</v>
      </c>
      <c r="E296" s="16" t="s">
        <v>9</v>
      </c>
      <c r="F296" s="16" t="s">
        <v>9</v>
      </c>
      <c r="G296" s="17">
        <f t="shared" si="18"/>
        <v>250000</v>
      </c>
      <c r="H296" s="18">
        <v>250000</v>
      </c>
      <c r="I296" s="19">
        <v>3</v>
      </c>
      <c r="J296" s="18">
        <f t="shared" si="19"/>
        <v>260000</v>
      </c>
      <c r="K296" s="18" t="s">
        <v>477</v>
      </c>
      <c r="L296" s="16" t="str">
        <f t="shared" si="20"/>
        <v>فعال</v>
      </c>
      <c r="M296" s="16">
        <v>262</v>
      </c>
      <c r="N296" s="16" t="s">
        <v>1365</v>
      </c>
      <c r="O296" t="s">
        <v>1367</v>
      </c>
      <c r="P296">
        <f>IFERROR(INDEX($A$2:$A$422,MATCH(ROWS($P$5:P296),$AD$2:$AD$422,0)),"")</f>
      </c>
      <c r="Q296">
        <f>IF($P296="","",INDEX($B$2:$B$422,MATCH(ROWS($P$5:P296),$AD$2:$AD$422,0)))</f>
      </c>
      <c r="R296">
        <f>IF($P296="","",INDEX($C$2:$C$422,MATCH(ROWS($P$5:P296),$AD$2:$AD$422,0)))</f>
      </c>
      <c r="S296">
        <f>IF($P296="","",INDEX($E$2:$E$422,MATCH(ROWS($P$5:P296),$AD$2:$AD$422,0)))</f>
      </c>
      <c r="T296" s="22">
        <f>IF($P296="","",IFERROR(IF(OR(INDEX($H$2:$H$422,MATCH(ROWS($P$5:P296),$AD$2:$AD$422,0))="",INDEX($H$2:$H$422,MATCH(ROWS($P$5:P296),$AD$2:$AD$422,0))="؟",INDEX($H$2:$H$422,MATCH(ROWS($P$5:P296),$AD$2:$AD$422,0))="نامشخص"),"",INDEX($H$2:$H$422,MATCH(ROWS($P$5:P296),$AD$2:$AD$422,0))),""))</f>
      </c>
      <c r="U296">
        <f>IF($P296="","",INDEX($L$2:$L$422,MATCH(ROWS($P$5:P296),$AD$2:$AD$422,0)))</f>
      </c>
      <c r="V296">
        <f>IF($P296="","",INDEX($M$2:$M$422,MATCH(ROWS($P$5:P296),$AD$2:$AD$422,0)))</f>
      </c>
      <c r="AD296">
        <f>IF(AND(LEN($Q$2)&gt;=3,ISNUMBER(SEARCH($Q$2,$B296))),MAX($AD$1:AD295)+1,"")</f>
      </c>
    </row>
    <row r="297" ht="14.4" customHeight="1" spans="1:30" x14ac:dyDescent="0.25">
      <c r="A297" s="16" t="s">
        <v>1368</v>
      </c>
      <c r="B297" s="16" t="s">
        <v>290</v>
      </c>
      <c r="C297" s="16" t="s">
        <v>1369</v>
      </c>
      <c r="D297" s="16" t="s">
        <v>1252</v>
      </c>
      <c r="E297" s="16" t="s">
        <v>9</v>
      </c>
      <c r="F297" s="16" t="s">
        <v>9</v>
      </c>
      <c r="G297" s="17">
        <f t="shared" si="18"/>
        <v>150000</v>
      </c>
      <c r="H297" s="18">
        <v>150000</v>
      </c>
      <c r="I297" s="19">
        <v>1</v>
      </c>
      <c r="J297" s="18">
        <f t="shared" si="19"/>
        <v>160000</v>
      </c>
      <c r="K297" s="18" t="s">
        <v>477</v>
      </c>
      <c r="L297" s="16" t="str">
        <f t="shared" si="20"/>
        <v>فعال</v>
      </c>
      <c r="M297" s="16">
        <v>264</v>
      </c>
      <c r="N297" s="16" t="s">
        <v>1368</v>
      </c>
      <c r="O297" t="s">
        <v>1370</v>
      </c>
      <c r="P297">
        <f>IFERROR(INDEX($A$2:$A$422,MATCH(ROWS($P$5:P297),$AD$2:$AD$422,0)),"")</f>
      </c>
      <c r="Q297">
        <f>IF($P297="","",INDEX($B$2:$B$422,MATCH(ROWS($P$5:P297),$AD$2:$AD$422,0)))</f>
      </c>
      <c r="R297">
        <f>IF($P297="","",INDEX($C$2:$C$422,MATCH(ROWS($P$5:P297),$AD$2:$AD$422,0)))</f>
      </c>
      <c r="S297">
        <f>IF($P297="","",INDEX($E$2:$E$422,MATCH(ROWS($P$5:P297),$AD$2:$AD$422,0)))</f>
      </c>
      <c r="T297" s="22">
        <f>IF($P297="","",IFERROR(IF(OR(INDEX($H$2:$H$422,MATCH(ROWS($P$5:P297),$AD$2:$AD$422,0))="",INDEX($H$2:$H$422,MATCH(ROWS($P$5:P297),$AD$2:$AD$422,0))="؟",INDEX($H$2:$H$422,MATCH(ROWS($P$5:P297),$AD$2:$AD$422,0))="نامشخص"),"",INDEX($H$2:$H$422,MATCH(ROWS($P$5:P297),$AD$2:$AD$422,0))),""))</f>
      </c>
      <c r="U297">
        <f>IF($P297="","",INDEX($L$2:$L$422,MATCH(ROWS($P$5:P297),$AD$2:$AD$422,0)))</f>
      </c>
      <c r="V297">
        <f>IF($P297="","",INDEX($M$2:$M$422,MATCH(ROWS($P$5:P297),$AD$2:$AD$422,0)))</f>
      </c>
      <c r="AD297">
        <f>IF(AND(LEN($Q$2)&gt;=3,ISNUMBER(SEARCH($Q$2,$B297))),MAX($AD$1:AD296)+1,"")</f>
      </c>
    </row>
    <row r="298" ht="14.4" customHeight="1" spans="1:30" x14ac:dyDescent="0.25">
      <c r="A298" s="16" t="s">
        <v>1371</v>
      </c>
      <c r="B298" s="16" t="s">
        <v>293</v>
      </c>
      <c r="C298" s="16" t="s">
        <v>1372</v>
      </c>
      <c r="D298" s="16" t="s">
        <v>1252</v>
      </c>
      <c r="E298" s="16" t="s">
        <v>9</v>
      </c>
      <c r="F298" s="16" t="s">
        <v>9</v>
      </c>
      <c r="G298" s="17">
        <f t="shared" si="18"/>
        <v>120000</v>
      </c>
      <c r="H298" s="18">
        <v>120000</v>
      </c>
      <c r="I298" s="19">
        <v>2</v>
      </c>
      <c r="J298" s="18">
        <f t="shared" si="19"/>
        <v>130000</v>
      </c>
      <c r="K298" s="18" t="s">
        <v>477</v>
      </c>
      <c r="L298" s="16" t="str">
        <f t="shared" si="20"/>
        <v>فعال</v>
      </c>
      <c r="M298" s="16">
        <v>267</v>
      </c>
      <c r="N298" s="16" t="s">
        <v>1371</v>
      </c>
      <c r="O298" t="s">
        <v>1373</v>
      </c>
      <c r="P298">
        <f>IFERROR(INDEX($A$2:$A$422,MATCH(ROWS($P$5:P298),$AD$2:$AD$422,0)),"")</f>
      </c>
      <c r="Q298">
        <f>IF($P298="","",INDEX($B$2:$B$422,MATCH(ROWS($P$5:P298),$AD$2:$AD$422,0)))</f>
      </c>
      <c r="R298">
        <f>IF($P298="","",INDEX($C$2:$C$422,MATCH(ROWS($P$5:P298),$AD$2:$AD$422,0)))</f>
      </c>
      <c r="S298">
        <f>IF($P298="","",INDEX($E$2:$E$422,MATCH(ROWS($P$5:P298),$AD$2:$AD$422,0)))</f>
      </c>
      <c r="T298" s="22">
        <f>IF($P298="","",IFERROR(IF(OR(INDEX($H$2:$H$422,MATCH(ROWS($P$5:P298),$AD$2:$AD$422,0))="",INDEX($H$2:$H$422,MATCH(ROWS($P$5:P298),$AD$2:$AD$422,0))="؟",INDEX($H$2:$H$422,MATCH(ROWS($P$5:P298),$AD$2:$AD$422,0))="نامشخص"),"",INDEX($H$2:$H$422,MATCH(ROWS($P$5:P298),$AD$2:$AD$422,0))),""))</f>
      </c>
      <c r="U298">
        <f>IF($P298="","",INDEX($L$2:$L$422,MATCH(ROWS($P$5:P298),$AD$2:$AD$422,0)))</f>
      </c>
      <c r="V298">
        <f>IF($P298="","",INDEX($M$2:$M$422,MATCH(ROWS($P$5:P298),$AD$2:$AD$422,0)))</f>
      </c>
      <c r="AD298">
        <f>IF(AND(LEN($Q$2)&gt;=3,ISNUMBER(SEARCH($Q$2,$B298))),MAX($AD$1:AD297)+1,"")</f>
      </c>
    </row>
    <row r="299" ht="14.4" customHeight="1" spans="1:30" x14ac:dyDescent="0.25">
      <c r="A299" s="16" t="s">
        <v>1374</v>
      </c>
      <c r="B299" s="16" t="s">
        <v>294</v>
      </c>
      <c r="C299" s="16" t="s">
        <v>1375</v>
      </c>
      <c r="D299" s="16" t="s">
        <v>1252</v>
      </c>
      <c r="E299" s="16" t="s">
        <v>9</v>
      </c>
      <c r="F299" s="16" t="s">
        <v>9</v>
      </c>
      <c r="G299" s="17">
        <f t="shared" si="18"/>
        <v>100000</v>
      </c>
      <c r="H299" s="18">
        <v>100000</v>
      </c>
      <c r="I299" s="19">
        <v>2</v>
      </c>
      <c r="J299" s="18">
        <f t="shared" si="19"/>
        <v>110000</v>
      </c>
      <c r="K299" s="18" t="s">
        <v>477</v>
      </c>
      <c r="L299" s="16" t="str">
        <f t="shared" si="20"/>
        <v>فعال</v>
      </c>
      <c r="M299" s="16">
        <v>268</v>
      </c>
      <c r="N299" s="16" t="s">
        <v>1374</v>
      </c>
      <c r="O299" t="s">
        <v>1376</v>
      </c>
      <c r="P299">
        <f>IFERROR(INDEX($A$2:$A$422,MATCH(ROWS($P$5:P299),$AD$2:$AD$422,0)),"")</f>
      </c>
      <c r="Q299">
        <f>IF($P299="","",INDEX($B$2:$B$422,MATCH(ROWS($P$5:P299),$AD$2:$AD$422,0)))</f>
      </c>
      <c r="R299">
        <f>IF($P299="","",INDEX($C$2:$C$422,MATCH(ROWS($P$5:P299),$AD$2:$AD$422,0)))</f>
      </c>
      <c r="S299">
        <f>IF($P299="","",INDEX($E$2:$E$422,MATCH(ROWS($P$5:P299),$AD$2:$AD$422,0)))</f>
      </c>
      <c r="T299" s="22">
        <f>IF($P299="","",IFERROR(IF(OR(INDEX($H$2:$H$422,MATCH(ROWS($P$5:P299),$AD$2:$AD$422,0))="",INDEX($H$2:$H$422,MATCH(ROWS($P$5:P299),$AD$2:$AD$422,0))="؟",INDEX($H$2:$H$422,MATCH(ROWS($P$5:P299),$AD$2:$AD$422,0))="نامشخص"),"",INDEX($H$2:$H$422,MATCH(ROWS($P$5:P299),$AD$2:$AD$422,0))),""))</f>
      </c>
      <c r="U299">
        <f>IF($P299="","",INDEX($L$2:$L$422,MATCH(ROWS($P$5:P299),$AD$2:$AD$422,0)))</f>
      </c>
      <c r="V299">
        <f>IF($P299="","",INDEX($M$2:$M$422,MATCH(ROWS($P$5:P299),$AD$2:$AD$422,0)))</f>
      </c>
      <c r="AD299">
        <f>IF(AND(LEN($Q$2)&gt;=3,ISNUMBER(SEARCH($Q$2,$B299))),MAX($AD$1:AD298)+1,"")</f>
      </c>
    </row>
    <row r="300" ht="14.4" customHeight="1" spans="1:30" x14ac:dyDescent="0.25">
      <c r="A300" s="16" t="s">
        <v>1377</v>
      </c>
      <c r="B300" s="16" t="s">
        <v>295</v>
      </c>
      <c r="C300" s="16" t="s">
        <v>1378</v>
      </c>
      <c r="D300" s="16" t="s">
        <v>1252</v>
      </c>
      <c r="E300" s="16" t="s">
        <v>9</v>
      </c>
      <c r="F300" s="16" t="s">
        <v>9</v>
      </c>
      <c r="G300" s="17">
        <f t="shared" si="18"/>
        <v>120000</v>
      </c>
      <c r="H300" s="18">
        <v>120000</v>
      </c>
      <c r="I300" s="19">
        <v>3</v>
      </c>
      <c r="J300" s="18">
        <f t="shared" si="19"/>
        <v>130000</v>
      </c>
      <c r="K300" s="18" t="s">
        <v>477</v>
      </c>
      <c r="L300" s="16" t="str">
        <f t="shared" si="20"/>
        <v>فعال</v>
      </c>
      <c r="M300" s="16">
        <v>269</v>
      </c>
      <c r="N300" s="16" t="s">
        <v>1377</v>
      </c>
      <c r="O300" t="s">
        <v>1379</v>
      </c>
      <c r="P300">
        <f>IFERROR(INDEX($A$2:$A$422,MATCH(ROWS($P$5:P300),$AD$2:$AD$422,0)),"")</f>
      </c>
      <c r="Q300">
        <f>IF($P300="","",INDEX($B$2:$B$422,MATCH(ROWS($P$5:P300),$AD$2:$AD$422,0)))</f>
      </c>
      <c r="R300">
        <f>IF($P300="","",INDEX($C$2:$C$422,MATCH(ROWS($P$5:P300),$AD$2:$AD$422,0)))</f>
      </c>
      <c r="S300">
        <f>IF($P300="","",INDEX($E$2:$E$422,MATCH(ROWS($P$5:P300),$AD$2:$AD$422,0)))</f>
      </c>
      <c r="T300" s="22">
        <f>IF($P300="","",IFERROR(IF(OR(INDEX($H$2:$H$422,MATCH(ROWS($P$5:P300),$AD$2:$AD$422,0))="",INDEX($H$2:$H$422,MATCH(ROWS($P$5:P300),$AD$2:$AD$422,0))="؟",INDEX($H$2:$H$422,MATCH(ROWS($P$5:P300),$AD$2:$AD$422,0))="نامشخص"),"",INDEX($H$2:$H$422,MATCH(ROWS($P$5:P300),$AD$2:$AD$422,0))),""))</f>
      </c>
      <c r="U300">
        <f>IF($P300="","",INDEX($L$2:$L$422,MATCH(ROWS($P$5:P300),$AD$2:$AD$422,0)))</f>
      </c>
      <c r="V300">
        <f>IF($P300="","",INDEX($M$2:$M$422,MATCH(ROWS($P$5:P300),$AD$2:$AD$422,0)))</f>
      </c>
      <c r="AD300">
        <f>IF(AND(LEN($Q$2)&gt;=3,ISNUMBER(SEARCH($Q$2,$B300))),MAX($AD$1:AD299)+1,"")</f>
      </c>
    </row>
    <row r="301" ht="14.4" customHeight="1" spans="1:30" x14ac:dyDescent="0.25">
      <c r="A301" s="16" t="s">
        <v>1380</v>
      </c>
      <c r="B301" s="16" t="s">
        <v>296</v>
      </c>
      <c r="C301" s="16" t="s">
        <v>1381</v>
      </c>
      <c r="D301" s="16" t="s">
        <v>1252</v>
      </c>
      <c r="E301" s="16" t="s">
        <v>9</v>
      </c>
      <c r="F301" s="16" t="s">
        <v>9</v>
      </c>
      <c r="G301" s="17">
        <f t="shared" si="18"/>
        <v>250000</v>
      </c>
      <c r="H301" s="18">
        <v>250000</v>
      </c>
      <c r="I301" s="19">
        <v>3</v>
      </c>
      <c r="J301" s="18">
        <f t="shared" si="19"/>
        <v>260000</v>
      </c>
      <c r="K301" s="18" t="s">
        <v>477</v>
      </c>
      <c r="L301" s="16" t="str">
        <f t="shared" si="20"/>
        <v>فعال</v>
      </c>
      <c r="M301" s="16">
        <v>270</v>
      </c>
      <c r="N301" s="16" t="s">
        <v>1380</v>
      </c>
      <c r="O301" t="s">
        <v>1382</v>
      </c>
      <c r="P301">
        <f>IFERROR(INDEX($A$2:$A$422,MATCH(ROWS($P$5:P301),$AD$2:$AD$422,0)),"")</f>
      </c>
      <c r="Q301">
        <f>IF($P301="","",INDEX($B$2:$B$422,MATCH(ROWS($P$5:P301),$AD$2:$AD$422,0)))</f>
      </c>
      <c r="R301">
        <f>IF($P301="","",INDEX($C$2:$C$422,MATCH(ROWS($P$5:P301),$AD$2:$AD$422,0)))</f>
      </c>
      <c r="S301">
        <f>IF($P301="","",INDEX($E$2:$E$422,MATCH(ROWS($P$5:P301),$AD$2:$AD$422,0)))</f>
      </c>
      <c r="T301" s="22">
        <f>IF($P301="","",IFERROR(IF(OR(INDEX($H$2:$H$422,MATCH(ROWS($P$5:P301),$AD$2:$AD$422,0))="",INDEX($H$2:$H$422,MATCH(ROWS($P$5:P301),$AD$2:$AD$422,0))="؟",INDEX($H$2:$H$422,MATCH(ROWS($P$5:P301),$AD$2:$AD$422,0))="نامشخص"),"",INDEX($H$2:$H$422,MATCH(ROWS($P$5:P301),$AD$2:$AD$422,0))),""))</f>
      </c>
      <c r="U301">
        <f>IF($P301="","",INDEX($L$2:$L$422,MATCH(ROWS($P$5:P301),$AD$2:$AD$422,0)))</f>
      </c>
      <c r="V301">
        <f>IF($P301="","",INDEX($M$2:$M$422,MATCH(ROWS($P$5:P301),$AD$2:$AD$422,0)))</f>
      </c>
      <c r="AD301">
        <f>IF(AND(LEN($Q$2)&gt;=3,ISNUMBER(SEARCH($Q$2,$B301))),MAX($AD$1:AD300)+1,"")</f>
      </c>
    </row>
    <row r="302" ht="14.4" customHeight="1" spans="1:30" x14ac:dyDescent="0.25">
      <c r="A302" s="16" t="s">
        <v>1383</v>
      </c>
      <c r="B302" s="16" t="s">
        <v>298</v>
      </c>
      <c r="C302" s="16" t="s">
        <v>1384</v>
      </c>
      <c r="D302" s="16" t="s">
        <v>1252</v>
      </c>
      <c r="E302" s="16" t="s">
        <v>9</v>
      </c>
      <c r="F302" s="16" t="s">
        <v>9</v>
      </c>
      <c r="G302" s="17">
        <f t="shared" si="18"/>
        <v>220000</v>
      </c>
      <c r="H302" s="18">
        <v>220000</v>
      </c>
      <c r="I302" s="19">
        <v>1</v>
      </c>
      <c r="J302" s="18">
        <f t="shared" si="19"/>
        <v>230000</v>
      </c>
      <c r="K302" s="18" t="s">
        <v>477</v>
      </c>
      <c r="L302" s="16" t="str">
        <f t="shared" si="20"/>
        <v>فعال</v>
      </c>
      <c r="M302" s="16">
        <v>272</v>
      </c>
      <c r="N302" s="16" t="s">
        <v>1383</v>
      </c>
      <c r="O302" t="s">
        <v>1385</v>
      </c>
      <c r="P302">
        <f>IFERROR(INDEX($A$2:$A$422,MATCH(ROWS($P$5:P302),$AD$2:$AD$422,0)),"")</f>
      </c>
      <c r="Q302">
        <f>IF($P302="","",INDEX($B$2:$B$422,MATCH(ROWS($P$5:P302),$AD$2:$AD$422,0)))</f>
      </c>
      <c r="R302">
        <f>IF($P302="","",INDEX($C$2:$C$422,MATCH(ROWS($P$5:P302),$AD$2:$AD$422,0)))</f>
      </c>
      <c r="S302">
        <f>IF($P302="","",INDEX($E$2:$E$422,MATCH(ROWS($P$5:P302),$AD$2:$AD$422,0)))</f>
      </c>
      <c r="T302" s="22">
        <f>IF($P302="","",IFERROR(IF(OR(INDEX($H$2:$H$422,MATCH(ROWS($P$5:P302),$AD$2:$AD$422,0))="",INDEX($H$2:$H$422,MATCH(ROWS($P$5:P302),$AD$2:$AD$422,0))="؟",INDEX($H$2:$H$422,MATCH(ROWS($P$5:P302),$AD$2:$AD$422,0))="نامشخص"),"",INDEX($H$2:$H$422,MATCH(ROWS($P$5:P302),$AD$2:$AD$422,0))),""))</f>
      </c>
      <c r="U302">
        <f>IF($P302="","",INDEX($L$2:$L$422,MATCH(ROWS($P$5:P302),$AD$2:$AD$422,0)))</f>
      </c>
      <c r="V302">
        <f>IF($P302="","",INDEX($M$2:$M$422,MATCH(ROWS($P$5:P302),$AD$2:$AD$422,0)))</f>
      </c>
      <c r="AD302">
        <f>IF(AND(LEN($Q$2)&gt;=3,ISNUMBER(SEARCH($Q$2,$B302))),MAX($AD$1:AD301)+1,"")</f>
      </c>
    </row>
    <row r="303" ht="14.4" customHeight="1" spans="1:30" x14ac:dyDescent="0.25">
      <c r="A303" s="16" t="s">
        <v>1386</v>
      </c>
      <c r="B303" s="16" t="s">
        <v>299</v>
      </c>
      <c r="C303" s="16" t="s">
        <v>1387</v>
      </c>
      <c r="D303" s="16" t="s">
        <v>1252</v>
      </c>
      <c r="E303" s="16" t="s">
        <v>9</v>
      </c>
      <c r="F303" s="16" t="s">
        <v>9</v>
      </c>
      <c r="G303" s="17">
        <f t="shared" si="18"/>
        <v>900000</v>
      </c>
      <c r="H303" s="18">
        <v>900000</v>
      </c>
      <c r="I303" s="19">
        <v>2</v>
      </c>
      <c r="J303" s="18">
        <f t="shared" si="19"/>
        <v>920000</v>
      </c>
      <c r="K303" s="18" t="s">
        <v>477</v>
      </c>
      <c r="L303" s="16" t="str">
        <f t="shared" si="20"/>
        <v>فعال</v>
      </c>
      <c r="M303" s="16">
        <v>273</v>
      </c>
      <c r="N303" s="16" t="s">
        <v>1386</v>
      </c>
      <c r="O303" t="s">
        <v>1388</v>
      </c>
      <c r="P303">
        <f>IFERROR(INDEX($A$2:$A$422,MATCH(ROWS($P$5:P303),$AD$2:$AD$422,0)),"")</f>
      </c>
      <c r="Q303">
        <f>IF($P303="","",INDEX($B$2:$B$422,MATCH(ROWS($P$5:P303),$AD$2:$AD$422,0)))</f>
      </c>
      <c r="R303">
        <f>IF($P303="","",INDEX($C$2:$C$422,MATCH(ROWS($P$5:P303),$AD$2:$AD$422,0)))</f>
      </c>
      <c r="S303">
        <f>IF($P303="","",INDEX($E$2:$E$422,MATCH(ROWS($P$5:P303),$AD$2:$AD$422,0)))</f>
      </c>
      <c r="T303" s="22">
        <f>IF($P303="","",IFERROR(IF(OR(INDEX($H$2:$H$422,MATCH(ROWS($P$5:P303),$AD$2:$AD$422,0))="",INDEX($H$2:$H$422,MATCH(ROWS($P$5:P303),$AD$2:$AD$422,0))="؟",INDEX($H$2:$H$422,MATCH(ROWS($P$5:P303),$AD$2:$AD$422,0))="نامشخص"),"",INDEX($H$2:$H$422,MATCH(ROWS($P$5:P303),$AD$2:$AD$422,0))),""))</f>
      </c>
      <c r="U303">
        <f>IF($P303="","",INDEX($L$2:$L$422,MATCH(ROWS($P$5:P303),$AD$2:$AD$422,0)))</f>
      </c>
      <c r="V303">
        <f>IF($P303="","",INDEX($M$2:$M$422,MATCH(ROWS($P$5:P303),$AD$2:$AD$422,0)))</f>
      </c>
      <c r="AD303">
        <f>IF(AND(LEN($Q$2)&gt;=3,ISNUMBER(SEARCH($Q$2,$B303))),MAX($AD$1:AD302)+1,"")</f>
      </c>
    </row>
    <row r="304" ht="14.4" customHeight="1" spans="1:30" x14ac:dyDescent="0.25">
      <c r="A304" s="16" t="s">
        <v>1389</v>
      </c>
      <c r="B304" s="16" t="s">
        <v>367</v>
      </c>
      <c r="C304" s="16" t="s">
        <v>1390</v>
      </c>
      <c r="D304" s="16" t="s">
        <v>1252</v>
      </c>
      <c r="E304" s="16" t="s">
        <v>368</v>
      </c>
      <c r="F304" s="16" t="s">
        <v>368</v>
      </c>
      <c r="G304" s="17">
        <f t="shared" si="18"/>
        <v>30000</v>
      </c>
      <c r="H304" s="18">
        <v>30000</v>
      </c>
      <c r="I304" s="19">
        <v>2</v>
      </c>
      <c r="J304" s="18">
        <f t="shared" si="19"/>
        <v>40000</v>
      </c>
      <c r="K304" s="18" t="s">
        <v>477</v>
      </c>
      <c r="L304" s="16" t="str">
        <f t="shared" si="20"/>
        <v>فعال</v>
      </c>
      <c r="M304" s="16">
        <v>327</v>
      </c>
      <c r="N304" s="16" t="s">
        <v>1389</v>
      </c>
      <c r="O304" t="s">
        <v>1391</v>
      </c>
      <c r="P304">
        <f>IFERROR(INDEX($A$2:$A$422,MATCH(ROWS($P$5:P304),$AD$2:$AD$422,0)),"")</f>
      </c>
      <c r="Q304">
        <f>IF($P304="","",INDEX($B$2:$B$422,MATCH(ROWS($P$5:P304),$AD$2:$AD$422,0)))</f>
      </c>
      <c r="R304">
        <f>IF($P304="","",INDEX($C$2:$C$422,MATCH(ROWS($P$5:P304),$AD$2:$AD$422,0)))</f>
      </c>
      <c r="S304">
        <f>IF($P304="","",INDEX($E$2:$E$422,MATCH(ROWS($P$5:P304),$AD$2:$AD$422,0)))</f>
      </c>
      <c r="T304" s="22">
        <f>IF($P304="","",IFERROR(IF(OR(INDEX($H$2:$H$422,MATCH(ROWS($P$5:P304),$AD$2:$AD$422,0))="",INDEX($H$2:$H$422,MATCH(ROWS($P$5:P304),$AD$2:$AD$422,0))="؟",INDEX($H$2:$H$422,MATCH(ROWS($P$5:P304),$AD$2:$AD$422,0))="نامشخص"),"",INDEX($H$2:$H$422,MATCH(ROWS($P$5:P304),$AD$2:$AD$422,0))),""))</f>
      </c>
      <c r="U304">
        <f>IF($P304="","",INDEX($L$2:$L$422,MATCH(ROWS($P$5:P304),$AD$2:$AD$422,0)))</f>
      </c>
      <c r="V304">
        <f>IF($P304="","",INDEX($M$2:$M$422,MATCH(ROWS($P$5:P304),$AD$2:$AD$422,0)))</f>
      </c>
      <c r="AD304">
        <f>IF(AND(LEN($Q$2)&gt;=3,ISNUMBER(SEARCH($Q$2,$B304))),MAX($AD$1:AD303)+1,"")</f>
      </c>
    </row>
    <row r="305" ht="14.4" customHeight="1" spans="1:30" x14ac:dyDescent="0.25">
      <c r="A305" s="16" t="s">
        <v>1392</v>
      </c>
      <c r="B305" s="16" t="s">
        <v>369</v>
      </c>
      <c r="C305" s="16" t="s">
        <v>1393</v>
      </c>
      <c r="D305" s="16" t="s">
        <v>1252</v>
      </c>
      <c r="E305" s="16" t="s">
        <v>9</v>
      </c>
      <c r="F305" s="16" t="s">
        <v>9</v>
      </c>
      <c r="G305" s="17">
        <f t="shared" si="18"/>
        <v>1500000</v>
      </c>
      <c r="H305" s="18">
        <v>1500000</v>
      </c>
      <c r="I305" s="19">
        <v>2</v>
      </c>
      <c r="J305" s="18">
        <f t="shared" si="19"/>
        <v>1530000</v>
      </c>
      <c r="K305" s="18" t="s">
        <v>477</v>
      </c>
      <c r="L305" s="16" t="str">
        <f t="shared" si="20"/>
        <v>فعال</v>
      </c>
      <c r="M305" s="16">
        <v>328</v>
      </c>
      <c r="N305" s="16" t="s">
        <v>1392</v>
      </c>
      <c r="O305" t="s">
        <v>1394</v>
      </c>
      <c r="P305">
        <f>IFERROR(INDEX($A$2:$A$422,MATCH(ROWS($P$5:P305),$AD$2:$AD$422,0)),"")</f>
      </c>
      <c r="Q305">
        <f>IF($P305="","",INDEX($B$2:$B$422,MATCH(ROWS($P$5:P305),$AD$2:$AD$422,0)))</f>
      </c>
      <c r="R305">
        <f>IF($P305="","",INDEX($C$2:$C$422,MATCH(ROWS($P$5:P305),$AD$2:$AD$422,0)))</f>
      </c>
      <c r="S305">
        <f>IF($P305="","",INDEX($E$2:$E$422,MATCH(ROWS($P$5:P305),$AD$2:$AD$422,0)))</f>
      </c>
      <c r="T305" s="22">
        <f>IF($P305="","",IFERROR(IF(OR(INDEX($H$2:$H$422,MATCH(ROWS($P$5:P305),$AD$2:$AD$422,0))="",INDEX($H$2:$H$422,MATCH(ROWS($P$5:P305),$AD$2:$AD$422,0))="؟",INDEX($H$2:$H$422,MATCH(ROWS($P$5:P305),$AD$2:$AD$422,0))="نامشخص"),"",INDEX($H$2:$H$422,MATCH(ROWS($P$5:P305),$AD$2:$AD$422,0))),""))</f>
      </c>
      <c r="U305">
        <f>IF($P305="","",INDEX($L$2:$L$422,MATCH(ROWS($P$5:P305),$AD$2:$AD$422,0)))</f>
      </c>
      <c r="V305">
        <f>IF($P305="","",INDEX($M$2:$M$422,MATCH(ROWS($P$5:P305),$AD$2:$AD$422,0)))</f>
      </c>
      <c r="AD305">
        <f>IF(AND(LEN($Q$2)&gt;=3,ISNUMBER(SEARCH($Q$2,$B305))),MAX($AD$1:AD304)+1,"")</f>
      </c>
    </row>
    <row r="306" ht="14.4" customHeight="1" spans="1:30" x14ac:dyDescent="0.25">
      <c r="A306" s="16" t="s">
        <v>1395</v>
      </c>
      <c r="B306" s="16" t="s">
        <v>375</v>
      </c>
      <c r="C306" s="16" t="s">
        <v>1396</v>
      </c>
      <c r="D306" s="16" t="s">
        <v>1252</v>
      </c>
      <c r="E306" s="16" t="s">
        <v>9</v>
      </c>
      <c r="F306" s="16" t="s">
        <v>9</v>
      </c>
      <c r="G306" s="17">
        <f t="shared" si="18"/>
        <v>500000</v>
      </c>
      <c r="H306" s="18">
        <v>500000</v>
      </c>
      <c r="I306" s="19">
        <v>2</v>
      </c>
      <c r="J306" s="18">
        <f t="shared" si="19"/>
        <v>510000</v>
      </c>
      <c r="K306" s="18" t="s">
        <v>477</v>
      </c>
      <c r="L306" s="16" t="str">
        <f t="shared" si="20"/>
        <v>فعال</v>
      </c>
      <c r="M306" s="16">
        <v>334</v>
      </c>
      <c r="N306" s="16" t="s">
        <v>1395</v>
      </c>
      <c r="O306" t="s">
        <v>1397</v>
      </c>
      <c r="P306">
        <f>IFERROR(INDEX($A$2:$A$422,MATCH(ROWS($P$5:P306),$AD$2:$AD$422,0)),"")</f>
      </c>
      <c r="Q306">
        <f>IF($P306="","",INDEX($B$2:$B$422,MATCH(ROWS($P$5:P306),$AD$2:$AD$422,0)))</f>
      </c>
      <c r="R306">
        <f>IF($P306="","",INDEX($C$2:$C$422,MATCH(ROWS($P$5:P306),$AD$2:$AD$422,0)))</f>
      </c>
      <c r="S306">
        <f>IF($P306="","",INDEX($E$2:$E$422,MATCH(ROWS($P$5:P306),$AD$2:$AD$422,0)))</f>
      </c>
      <c r="T306" s="22">
        <f>IF($P306="","",IFERROR(IF(OR(INDEX($H$2:$H$422,MATCH(ROWS($P$5:P306),$AD$2:$AD$422,0))="",INDEX($H$2:$H$422,MATCH(ROWS($P$5:P306),$AD$2:$AD$422,0))="؟",INDEX($H$2:$H$422,MATCH(ROWS($P$5:P306),$AD$2:$AD$422,0))="نامشخص"),"",INDEX($H$2:$H$422,MATCH(ROWS($P$5:P306),$AD$2:$AD$422,0))),""))</f>
      </c>
      <c r="U306">
        <f>IF($P306="","",INDEX($L$2:$L$422,MATCH(ROWS($P$5:P306),$AD$2:$AD$422,0)))</f>
      </c>
      <c r="V306">
        <f>IF($P306="","",INDEX($M$2:$M$422,MATCH(ROWS($P$5:P306),$AD$2:$AD$422,0)))</f>
      </c>
      <c r="AD306">
        <f>IF(AND(LEN($Q$2)&gt;=3,ISNUMBER(SEARCH($Q$2,$B306))),MAX($AD$1:AD305)+1,"")</f>
      </c>
    </row>
    <row r="307" ht="14.4" customHeight="1" spans="1:30" x14ac:dyDescent="0.25">
      <c r="A307" s="16" t="s">
        <v>1398</v>
      </c>
      <c r="B307" s="16" t="s">
        <v>376</v>
      </c>
      <c r="C307" s="16" t="s">
        <v>1399</v>
      </c>
      <c r="D307" s="16" t="s">
        <v>1252</v>
      </c>
      <c r="E307" s="16" t="s">
        <v>9</v>
      </c>
      <c r="F307" s="16" t="s">
        <v>9</v>
      </c>
      <c r="G307" s="17">
        <f t="shared" si="18"/>
        <v>250000</v>
      </c>
      <c r="H307" s="18">
        <v>250000</v>
      </c>
      <c r="I307" s="19">
        <v>2</v>
      </c>
      <c r="J307" s="18">
        <f t="shared" si="19"/>
        <v>260000</v>
      </c>
      <c r="K307" s="18" t="s">
        <v>477</v>
      </c>
      <c r="L307" s="16" t="str">
        <f t="shared" si="20"/>
        <v>فعال</v>
      </c>
      <c r="M307" s="16">
        <v>335</v>
      </c>
      <c r="N307" s="16" t="s">
        <v>1398</v>
      </c>
      <c r="O307" t="s">
        <v>1400</v>
      </c>
      <c r="P307">
        <f>IFERROR(INDEX($A$2:$A$422,MATCH(ROWS($P$5:P307),$AD$2:$AD$422,0)),"")</f>
      </c>
      <c r="Q307">
        <f>IF($P307="","",INDEX($B$2:$B$422,MATCH(ROWS($P$5:P307),$AD$2:$AD$422,0)))</f>
      </c>
      <c r="R307">
        <f>IF($P307="","",INDEX($C$2:$C$422,MATCH(ROWS($P$5:P307),$AD$2:$AD$422,0)))</f>
      </c>
      <c r="S307">
        <f>IF($P307="","",INDEX($E$2:$E$422,MATCH(ROWS($P$5:P307),$AD$2:$AD$422,0)))</f>
      </c>
      <c r="T307" s="22">
        <f>IF($P307="","",IFERROR(IF(OR(INDEX($H$2:$H$422,MATCH(ROWS($P$5:P307),$AD$2:$AD$422,0))="",INDEX($H$2:$H$422,MATCH(ROWS($P$5:P307),$AD$2:$AD$422,0))="؟",INDEX($H$2:$H$422,MATCH(ROWS($P$5:P307),$AD$2:$AD$422,0))="نامشخص"),"",INDEX($H$2:$H$422,MATCH(ROWS($P$5:P307),$AD$2:$AD$422,0))),""))</f>
      </c>
      <c r="U307">
        <f>IF($P307="","",INDEX($L$2:$L$422,MATCH(ROWS($P$5:P307),$AD$2:$AD$422,0)))</f>
      </c>
      <c r="V307">
        <f>IF($P307="","",INDEX($M$2:$M$422,MATCH(ROWS($P$5:P307),$AD$2:$AD$422,0)))</f>
      </c>
      <c r="AD307">
        <f>IF(AND(LEN($Q$2)&gt;=3,ISNUMBER(SEARCH($Q$2,$B307))),MAX($AD$1:AD306)+1,"")</f>
      </c>
    </row>
    <row r="308" ht="14.4" customHeight="1" spans="1:30" x14ac:dyDescent="0.25">
      <c r="A308" s="16" t="s">
        <v>1401</v>
      </c>
      <c r="B308" s="16" t="s">
        <v>377</v>
      </c>
      <c r="C308" s="16" t="s">
        <v>1402</v>
      </c>
      <c r="D308" s="16" t="s">
        <v>1252</v>
      </c>
      <c r="E308" s="16" t="s">
        <v>9</v>
      </c>
      <c r="F308" s="16" t="s">
        <v>9</v>
      </c>
      <c r="G308" s="17">
        <f t="shared" si="18"/>
        <v>2750000</v>
      </c>
      <c r="H308" s="18">
        <v>2750000</v>
      </c>
      <c r="I308" s="19">
        <v>3</v>
      </c>
      <c r="J308" s="18">
        <f t="shared" si="19"/>
        <v>2840000</v>
      </c>
      <c r="K308" s="18" t="s">
        <v>477</v>
      </c>
      <c r="L308" s="16" t="str">
        <f t="shared" si="20"/>
        <v>فعال</v>
      </c>
      <c r="M308" s="16">
        <v>336</v>
      </c>
      <c r="N308" s="16" t="s">
        <v>1401</v>
      </c>
      <c r="O308" t="s">
        <v>1403</v>
      </c>
      <c r="P308">
        <f>IFERROR(INDEX($A$2:$A$422,MATCH(ROWS($P$5:P308),$AD$2:$AD$422,0)),"")</f>
      </c>
      <c r="Q308">
        <f>IF($P308="","",INDEX($B$2:$B$422,MATCH(ROWS($P$5:P308),$AD$2:$AD$422,0)))</f>
      </c>
      <c r="R308">
        <f>IF($P308="","",INDEX($C$2:$C$422,MATCH(ROWS($P$5:P308),$AD$2:$AD$422,0)))</f>
      </c>
      <c r="S308">
        <f>IF($P308="","",INDEX($E$2:$E$422,MATCH(ROWS($P$5:P308),$AD$2:$AD$422,0)))</f>
      </c>
      <c r="T308" s="22">
        <f>IF($P308="","",IFERROR(IF(OR(INDEX($H$2:$H$422,MATCH(ROWS($P$5:P308),$AD$2:$AD$422,0))="",INDEX($H$2:$H$422,MATCH(ROWS($P$5:P308),$AD$2:$AD$422,0))="؟",INDEX($H$2:$H$422,MATCH(ROWS($P$5:P308),$AD$2:$AD$422,0))="نامشخص"),"",INDEX($H$2:$H$422,MATCH(ROWS($P$5:P308),$AD$2:$AD$422,0))),""))</f>
      </c>
      <c r="U308">
        <f>IF($P308="","",INDEX($L$2:$L$422,MATCH(ROWS($P$5:P308),$AD$2:$AD$422,0)))</f>
      </c>
      <c r="V308">
        <f>IF($P308="","",INDEX($M$2:$M$422,MATCH(ROWS($P$5:P308),$AD$2:$AD$422,0)))</f>
      </c>
      <c r="AD308">
        <f>IF(AND(LEN($Q$2)&gt;=3,ISNUMBER(SEARCH($Q$2,$B308))),MAX($AD$1:AD307)+1,"")</f>
      </c>
    </row>
    <row r="309" ht="14.4" customHeight="1" spans="1:30" x14ac:dyDescent="0.25">
      <c r="A309" s="16" t="s">
        <v>1404</v>
      </c>
      <c r="B309" s="16" t="s">
        <v>377</v>
      </c>
      <c r="C309" s="16" t="s">
        <v>1405</v>
      </c>
      <c r="D309" s="16" t="s">
        <v>1252</v>
      </c>
      <c r="E309" s="16" t="s">
        <v>378</v>
      </c>
      <c r="F309" s="16" t="s">
        <v>378</v>
      </c>
      <c r="G309" s="17">
        <f t="shared" si="18"/>
        <v>225000</v>
      </c>
      <c r="H309" s="18">
        <v>225000</v>
      </c>
      <c r="I309" s="19">
        <v>2</v>
      </c>
      <c r="J309" s="18">
        <f t="shared" si="19"/>
        <v>230000</v>
      </c>
      <c r="K309" s="18" t="s">
        <v>477</v>
      </c>
      <c r="L309" s="16" t="str">
        <f t="shared" si="20"/>
        <v>فعال</v>
      </c>
      <c r="M309" s="16">
        <v>336</v>
      </c>
      <c r="N309" s="16" t="s">
        <v>1404</v>
      </c>
      <c r="O309" t="s">
        <v>1406</v>
      </c>
      <c r="P309">
        <f>IFERROR(INDEX($A$2:$A$422,MATCH(ROWS($P$5:P309),$AD$2:$AD$422,0)),"")</f>
      </c>
      <c r="Q309">
        <f>IF($P309="","",INDEX($B$2:$B$422,MATCH(ROWS($P$5:P309),$AD$2:$AD$422,0)))</f>
      </c>
      <c r="R309">
        <f>IF($P309="","",INDEX($C$2:$C$422,MATCH(ROWS($P$5:P309),$AD$2:$AD$422,0)))</f>
      </c>
      <c r="S309">
        <f>IF($P309="","",INDEX($E$2:$E$422,MATCH(ROWS($P$5:P309),$AD$2:$AD$422,0)))</f>
      </c>
      <c r="T309" s="22">
        <f>IF($P309="","",IFERROR(IF(OR(INDEX($H$2:$H$422,MATCH(ROWS($P$5:P309),$AD$2:$AD$422,0))="",INDEX($H$2:$H$422,MATCH(ROWS($P$5:P309),$AD$2:$AD$422,0))="؟",INDEX($H$2:$H$422,MATCH(ROWS($P$5:P309),$AD$2:$AD$422,0))="نامشخص"),"",INDEX($H$2:$H$422,MATCH(ROWS($P$5:P309),$AD$2:$AD$422,0))),""))</f>
      </c>
      <c r="U309">
        <f>IF($P309="","",INDEX($L$2:$L$422,MATCH(ROWS($P$5:P309),$AD$2:$AD$422,0)))</f>
      </c>
      <c r="V309">
        <f>IF($P309="","",INDEX($M$2:$M$422,MATCH(ROWS($P$5:P309),$AD$2:$AD$422,0)))</f>
      </c>
      <c r="AD309">
        <f>IF(AND(LEN($Q$2)&gt;=3,ISNUMBER(SEARCH($Q$2,$B309))),MAX($AD$1:AD308)+1,"")</f>
      </c>
    </row>
    <row r="310" ht="14.4" customHeight="1" spans="1:30" x14ac:dyDescent="0.25">
      <c r="A310" s="16" t="s">
        <v>1407</v>
      </c>
      <c r="B310" s="16" t="s">
        <v>379</v>
      </c>
      <c r="C310" s="16" t="s">
        <v>1408</v>
      </c>
      <c r="D310" s="16" t="s">
        <v>1252</v>
      </c>
      <c r="E310" s="16" t="s">
        <v>9</v>
      </c>
      <c r="F310" s="16" t="s">
        <v>9</v>
      </c>
      <c r="G310" s="17">
        <f t="shared" si="18"/>
        <v>2750000</v>
      </c>
      <c r="H310" s="18">
        <v>2750000</v>
      </c>
      <c r="I310" s="19">
        <v>1</v>
      </c>
      <c r="J310" s="18">
        <f t="shared" si="19"/>
        <v>2780000</v>
      </c>
      <c r="K310" s="18" t="s">
        <v>477</v>
      </c>
      <c r="L310" s="16" t="str">
        <f t="shared" si="20"/>
        <v>فعال</v>
      </c>
      <c r="M310" s="16">
        <v>337</v>
      </c>
      <c r="N310" s="16" t="s">
        <v>1407</v>
      </c>
      <c r="O310" t="s">
        <v>1409</v>
      </c>
      <c r="P310">
        <f>IFERROR(INDEX($A$2:$A$422,MATCH(ROWS($P$5:P310),$AD$2:$AD$422,0)),"")</f>
      </c>
      <c r="Q310">
        <f>IF($P310="","",INDEX($B$2:$B$422,MATCH(ROWS($P$5:P310),$AD$2:$AD$422,0)))</f>
      </c>
      <c r="R310">
        <f>IF($P310="","",INDEX($C$2:$C$422,MATCH(ROWS($P$5:P310),$AD$2:$AD$422,0)))</f>
      </c>
      <c r="S310">
        <f>IF($P310="","",INDEX($E$2:$E$422,MATCH(ROWS($P$5:P310),$AD$2:$AD$422,0)))</f>
      </c>
      <c r="T310" s="22">
        <f>IF($P310="","",IFERROR(IF(OR(INDEX($H$2:$H$422,MATCH(ROWS($P$5:P310),$AD$2:$AD$422,0))="",INDEX($H$2:$H$422,MATCH(ROWS($P$5:P310),$AD$2:$AD$422,0))="؟",INDEX($H$2:$H$422,MATCH(ROWS($P$5:P310),$AD$2:$AD$422,0))="نامشخص"),"",INDEX($H$2:$H$422,MATCH(ROWS($P$5:P310),$AD$2:$AD$422,0))),""))</f>
      </c>
      <c r="U310">
        <f>IF($P310="","",INDEX($L$2:$L$422,MATCH(ROWS($P$5:P310),$AD$2:$AD$422,0)))</f>
      </c>
      <c r="V310">
        <f>IF($P310="","",INDEX($M$2:$M$422,MATCH(ROWS($P$5:P310),$AD$2:$AD$422,0)))</f>
      </c>
      <c r="AD310">
        <f>IF(AND(LEN($Q$2)&gt;=3,ISNUMBER(SEARCH($Q$2,$B310))),MAX($AD$1:AD309)+1,"")</f>
      </c>
    </row>
    <row r="311" ht="14.4" customHeight="1" spans="1:30" x14ac:dyDescent="0.25">
      <c r="A311" s="16" t="s">
        <v>1410</v>
      </c>
      <c r="B311" s="16" t="s">
        <v>379</v>
      </c>
      <c r="C311" s="16" t="s">
        <v>1411</v>
      </c>
      <c r="D311" s="16" t="s">
        <v>1252</v>
      </c>
      <c r="E311" s="16" t="s">
        <v>378</v>
      </c>
      <c r="F311" s="16" t="s">
        <v>378</v>
      </c>
      <c r="G311" s="17">
        <f t="shared" si="18"/>
        <v>225000</v>
      </c>
      <c r="H311" s="18">
        <v>225000</v>
      </c>
      <c r="I311" s="19">
        <v>1</v>
      </c>
      <c r="J311" s="18">
        <f t="shared" si="19"/>
        <v>230000</v>
      </c>
      <c r="K311" s="18" t="s">
        <v>477</v>
      </c>
      <c r="L311" s="16" t="str">
        <f t="shared" si="20"/>
        <v>فعال</v>
      </c>
      <c r="M311" s="16">
        <v>337</v>
      </c>
      <c r="N311" s="16" t="s">
        <v>1410</v>
      </c>
      <c r="O311" t="s">
        <v>1412</v>
      </c>
      <c r="P311">
        <f>IFERROR(INDEX($A$2:$A$422,MATCH(ROWS($P$5:P311),$AD$2:$AD$422,0)),"")</f>
      </c>
      <c r="Q311">
        <f>IF($P311="","",INDEX($B$2:$B$422,MATCH(ROWS($P$5:P311),$AD$2:$AD$422,0)))</f>
      </c>
      <c r="R311">
        <f>IF($P311="","",INDEX($C$2:$C$422,MATCH(ROWS($P$5:P311),$AD$2:$AD$422,0)))</f>
      </c>
      <c r="S311">
        <f>IF($P311="","",INDEX($E$2:$E$422,MATCH(ROWS($P$5:P311),$AD$2:$AD$422,0)))</f>
      </c>
      <c r="T311" s="22">
        <f>IF($P311="","",IFERROR(IF(OR(INDEX($H$2:$H$422,MATCH(ROWS($P$5:P311),$AD$2:$AD$422,0))="",INDEX($H$2:$H$422,MATCH(ROWS($P$5:P311),$AD$2:$AD$422,0))="؟",INDEX($H$2:$H$422,MATCH(ROWS($P$5:P311),$AD$2:$AD$422,0))="نامشخص"),"",INDEX($H$2:$H$422,MATCH(ROWS($P$5:P311),$AD$2:$AD$422,0))),""))</f>
      </c>
      <c r="U311">
        <f>IF($P311="","",INDEX($L$2:$L$422,MATCH(ROWS($P$5:P311),$AD$2:$AD$422,0)))</f>
      </c>
      <c r="V311">
        <f>IF($P311="","",INDEX($M$2:$M$422,MATCH(ROWS($P$5:P311),$AD$2:$AD$422,0)))</f>
      </c>
      <c r="AD311">
        <f>IF(AND(LEN($Q$2)&gt;=3,ISNUMBER(SEARCH($Q$2,$B311))),MAX($AD$1:AD310)+1,"")</f>
      </c>
    </row>
    <row r="312" ht="14.4" customHeight="1" spans="1:30" x14ac:dyDescent="0.25">
      <c r="A312" s="16" t="s">
        <v>1413</v>
      </c>
      <c r="B312" s="16" t="s">
        <v>380</v>
      </c>
      <c r="C312" s="16" t="s">
        <v>1414</v>
      </c>
      <c r="D312" s="16" t="s">
        <v>1252</v>
      </c>
      <c r="E312" s="16" t="s">
        <v>9</v>
      </c>
      <c r="F312" s="16" t="s">
        <v>9</v>
      </c>
      <c r="G312" s="17">
        <f t="shared" si="18"/>
        <v>4900000</v>
      </c>
      <c r="H312" s="18">
        <v>4900000</v>
      </c>
      <c r="I312" s="19">
        <v>2</v>
      </c>
      <c r="J312" s="18">
        <f t="shared" si="19"/>
        <v>5000000</v>
      </c>
      <c r="K312" s="18" t="s">
        <v>477</v>
      </c>
      <c r="L312" s="16" t="str">
        <f t="shared" si="20"/>
        <v>فعال</v>
      </c>
      <c r="M312" s="16">
        <v>338</v>
      </c>
      <c r="N312" s="16" t="s">
        <v>1413</v>
      </c>
      <c r="O312" t="s">
        <v>1415</v>
      </c>
      <c r="P312">
        <f>IFERROR(INDEX($A$2:$A$422,MATCH(ROWS($P$5:P312),$AD$2:$AD$422,0)),"")</f>
      </c>
      <c r="Q312">
        <f>IF($P312="","",INDEX($B$2:$B$422,MATCH(ROWS($P$5:P312),$AD$2:$AD$422,0)))</f>
      </c>
      <c r="R312">
        <f>IF($P312="","",INDEX($C$2:$C$422,MATCH(ROWS($P$5:P312),$AD$2:$AD$422,0)))</f>
      </c>
      <c r="S312">
        <f>IF($P312="","",INDEX($E$2:$E$422,MATCH(ROWS($P$5:P312),$AD$2:$AD$422,0)))</f>
      </c>
      <c r="T312" s="22">
        <f>IF($P312="","",IFERROR(IF(OR(INDEX($H$2:$H$422,MATCH(ROWS($P$5:P312),$AD$2:$AD$422,0))="",INDEX($H$2:$H$422,MATCH(ROWS($P$5:P312),$AD$2:$AD$422,0))="؟",INDEX($H$2:$H$422,MATCH(ROWS($P$5:P312),$AD$2:$AD$422,0))="نامشخص"),"",INDEX($H$2:$H$422,MATCH(ROWS($P$5:P312),$AD$2:$AD$422,0))),""))</f>
      </c>
      <c r="U312">
        <f>IF($P312="","",INDEX($L$2:$L$422,MATCH(ROWS($P$5:P312),$AD$2:$AD$422,0)))</f>
      </c>
      <c r="V312">
        <f>IF($P312="","",INDEX($M$2:$M$422,MATCH(ROWS($P$5:P312),$AD$2:$AD$422,0)))</f>
      </c>
      <c r="AD312">
        <f>IF(AND(LEN($Q$2)&gt;=3,ISNUMBER(SEARCH($Q$2,$B312))),MAX($AD$1:AD311)+1,"")</f>
      </c>
    </row>
    <row r="313" ht="14.4" customHeight="1" spans="1:30" x14ac:dyDescent="0.25">
      <c r="A313" s="16" t="s">
        <v>1416</v>
      </c>
      <c r="B313" s="16" t="s">
        <v>424</v>
      </c>
      <c r="C313" s="16" t="s">
        <v>1417</v>
      </c>
      <c r="D313" s="16" t="s">
        <v>1252</v>
      </c>
      <c r="E313" s="16" t="s">
        <v>9</v>
      </c>
      <c r="F313" s="16" t="s">
        <v>9</v>
      </c>
      <c r="G313" s="17" t="str">
        <f t="shared" si="18"/>
        <v>؟</v>
      </c>
      <c r="H313" s="18" t="s">
        <v>8</v>
      </c>
      <c r="I313" s="19">
        <v>3</v>
      </c>
      <c r="J313" s="18">
        <f t="shared" si="19"/>
      </c>
      <c r="K313" s="18" t="s">
        <v>477</v>
      </c>
      <c r="L313" s="16" t="str">
        <f t="shared" si="20"/>
        <v>نیاز به استعلام</v>
      </c>
      <c r="M313" s="16">
        <v>375</v>
      </c>
      <c r="N313" s="16" t="s">
        <v>1416</v>
      </c>
      <c r="O313" t="s">
        <v>1418</v>
      </c>
      <c r="P313">
        <f>IFERROR(INDEX($A$2:$A$422,MATCH(ROWS($P$5:P313),$AD$2:$AD$422,0)),"")</f>
      </c>
      <c r="Q313">
        <f>IF($P313="","",INDEX($B$2:$B$422,MATCH(ROWS($P$5:P313),$AD$2:$AD$422,0)))</f>
      </c>
      <c r="R313">
        <f>IF($P313="","",INDEX($C$2:$C$422,MATCH(ROWS($P$5:P313),$AD$2:$AD$422,0)))</f>
      </c>
      <c r="S313">
        <f>IF($P313="","",INDEX($E$2:$E$422,MATCH(ROWS($P$5:P313),$AD$2:$AD$422,0)))</f>
      </c>
      <c r="T313" s="22">
        <f>IF($P313="","",IFERROR(IF(OR(INDEX($H$2:$H$422,MATCH(ROWS($P$5:P313),$AD$2:$AD$422,0))="",INDEX($H$2:$H$422,MATCH(ROWS($P$5:P313),$AD$2:$AD$422,0))="؟",INDEX($H$2:$H$422,MATCH(ROWS($P$5:P313),$AD$2:$AD$422,0))="نامشخص"),"",INDEX($H$2:$H$422,MATCH(ROWS($P$5:P313),$AD$2:$AD$422,0))),""))</f>
      </c>
      <c r="U313">
        <f>IF($P313="","",INDEX($L$2:$L$422,MATCH(ROWS($P$5:P313),$AD$2:$AD$422,0)))</f>
      </c>
      <c r="V313">
        <f>IF($P313="","",INDEX($M$2:$M$422,MATCH(ROWS($P$5:P313),$AD$2:$AD$422,0)))</f>
      </c>
      <c r="AD313">
        <f>IF(AND(LEN($Q$2)&gt;=3,ISNUMBER(SEARCH($Q$2,$B313))),MAX($AD$1:AD312)+1,"")</f>
      </c>
    </row>
    <row r="314" ht="14.4" customHeight="1" spans="1:30" x14ac:dyDescent="0.25">
      <c r="A314" s="16" t="s">
        <v>1419</v>
      </c>
      <c r="B314" s="16" t="s">
        <v>425</v>
      </c>
      <c r="C314" s="16" t="s">
        <v>1420</v>
      </c>
      <c r="D314" s="16" t="s">
        <v>1252</v>
      </c>
      <c r="E314" s="16" t="s">
        <v>9</v>
      </c>
      <c r="F314" s="16" t="s">
        <v>9</v>
      </c>
      <c r="G314" s="17" t="str">
        <f t="shared" si="18"/>
        <v>؟</v>
      </c>
      <c r="H314" s="18" t="s">
        <v>8</v>
      </c>
      <c r="I314" s="19">
        <v>1</v>
      </c>
      <c r="J314" s="18">
        <f t="shared" si="19"/>
      </c>
      <c r="K314" s="18" t="s">
        <v>477</v>
      </c>
      <c r="L314" s="16" t="str">
        <f t="shared" si="20"/>
        <v>نیاز به استعلام</v>
      </c>
      <c r="M314" s="16">
        <v>376</v>
      </c>
      <c r="N314" s="16" t="s">
        <v>1419</v>
      </c>
      <c r="O314" t="s">
        <v>1421</v>
      </c>
      <c r="P314">
        <f>IFERROR(INDEX($A$2:$A$422,MATCH(ROWS($P$5:P314),$AD$2:$AD$422,0)),"")</f>
      </c>
      <c r="Q314">
        <f>IF($P314="","",INDEX($B$2:$B$422,MATCH(ROWS($P$5:P314),$AD$2:$AD$422,0)))</f>
      </c>
      <c r="R314">
        <f>IF($P314="","",INDEX($C$2:$C$422,MATCH(ROWS($P$5:P314),$AD$2:$AD$422,0)))</f>
      </c>
      <c r="S314">
        <f>IF($P314="","",INDEX($E$2:$E$422,MATCH(ROWS($P$5:P314),$AD$2:$AD$422,0)))</f>
      </c>
      <c r="T314" s="22">
        <f>IF($P314="","",IFERROR(IF(OR(INDEX($H$2:$H$422,MATCH(ROWS($P$5:P314),$AD$2:$AD$422,0))="",INDEX($H$2:$H$422,MATCH(ROWS($P$5:P314),$AD$2:$AD$422,0))="؟",INDEX($H$2:$H$422,MATCH(ROWS($P$5:P314),$AD$2:$AD$422,0))="نامشخص"),"",INDEX($H$2:$H$422,MATCH(ROWS($P$5:P314),$AD$2:$AD$422,0))),""))</f>
      </c>
      <c r="U314">
        <f>IF($P314="","",INDEX($L$2:$L$422,MATCH(ROWS($P$5:P314),$AD$2:$AD$422,0)))</f>
      </c>
      <c r="V314">
        <f>IF($P314="","",INDEX($M$2:$M$422,MATCH(ROWS($P$5:P314),$AD$2:$AD$422,0)))</f>
      </c>
      <c r="AD314">
        <f>IF(AND(LEN($Q$2)&gt;=3,ISNUMBER(SEARCH($Q$2,$B314))),MAX($AD$1:AD313)+1,"")</f>
      </c>
    </row>
    <row r="315" ht="14.4" customHeight="1" spans="1:30" x14ac:dyDescent="0.25">
      <c r="A315" s="16" t="s">
        <v>1422</v>
      </c>
      <c r="B315" s="16" t="s">
        <v>426</v>
      </c>
      <c r="C315" s="16" t="s">
        <v>1423</v>
      </c>
      <c r="D315" s="16" t="s">
        <v>1252</v>
      </c>
      <c r="E315" s="16" t="s">
        <v>9</v>
      </c>
      <c r="F315" s="16" t="s">
        <v>9</v>
      </c>
      <c r="G315" s="17">
        <f t="shared" si="18"/>
        <v>1800000</v>
      </c>
      <c r="H315" s="18">
        <v>1800000</v>
      </c>
      <c r="I315" s="19">
        <v>2</v>
      </c>
      <c r="J315" s="18">
        <f t="shared" si="19"/>
        <v>1840000</v>
      </c>
      <c r="K315" s="18" t="s">
        <v>477</v>
      </c>
      <c r="L315" s="16" t="str">
        <f t="shared" si="20"/>
        <v>فعال</v>
      </c>
      <c r="M315" s="16">
        <v>377</v>
      </c>
      <c r="N315" s="16" t="s">
        <v>1422</v>
      </c>
      <c r="O315" t="s">
        <v>1424</v>
      </c>
      <c r="P315">
        <f>IFERROR(INDEX($A$2:$A$422,MATCH(ROWS($P$5:P315),$AD$2:$AD$422,0)),"")</f>
      </c>
      <c r="Q315">
        <f>IF($P315="","",INDEX($B$2:$B$422,MATCH(ROWS($P$5:P315),$AD$2:$AD$422,0)))</f>
      </c>
      <c r="R315">
        <f>IF($P315="","",INDEX($C$2:$C$422,MATCH(ROWS($P$5:P315),$AD$2:$AD$422,0)))</f>
      </c>
      <c r="S315">
        <f>IF($P315="","",INDEX($E$2:$E$422,MATCH(ROWS($P$5:P315),$AD$2:$AD$422,0)))</f>
      </c>
      <c r="T315" s="22">
        <f>IF($P315="","",IFERROR(IF(OR(INDEX($H$2:$H$422,MATCH(ROWS($P$5:P315),$AD$2:$AD$422,0))="",INDEX($H$2:$H$422,MATCH(ROWS($P$5:P315),$AD$2:$AD$422,0))="؟",INDEX($H$2:$H$422,MATCH(ROWS($P$5:P315),$AD$2:$AD$422,0))="نامشخص"),"",INDEX($H$2:$H$422,MATCH(ROWS($P$5:P315),$AD$2:$AD$422,0))),""))</f>
      </c>
      <c r="U315">
        <f>IF($P315="","",INDEX($L$2:$L$422,MATCH(ROWS($P$5:P315),$AD$2:$AD$422,0)))</f>
      </c>
      <c r="V315">
        <f>IF($P315="","",INDEX($M$2:$M$422,MATCH(ROWS($P$5:P315),$AD$2:$AD$422,0)))</f>
      </c>
      <c r="AD315">
        <f>IF(AND(LEN($Q$2)&gt;=3,ISNUMBER(SEARCH($Q$2,$B315))),MAX($AD$1:AD314)+1,"")</f>
      </c>
    </row>
    <row r="316" ht="14.4" customHeight="1" spans="1:30" x14ac:dyDescent="0.25">
      <c r="A316" s="16" t="s">
        <v>1425</v>
      </c>
      <c r="B316" s="16" t="s">
        <v>427</v>
      </c>
      <c r="C316" s="16" t="s">
        <v>1426</v>
      </c>
      <c r="D316" s="16" t="s">
        <v>1252</v>
      </c>
      <c r="E316" s="16" t="s">
        <v>9</v>
      </c>
      <c r="F316" s="16" t="s">
        <v>9</v>
      </c>
      <c r="G316" s="17">
        <f t="shared" si="18"/>
        <v>1950000</v>
      </c>
      <c r="H316" s="18">
        <v>1950000</v>
      </c>
      <c r="I316" s="19">
        <v>1</v>
      </c>
      <c r="J316" s="18">
        <f t="shared" si="19"/>
        <v>1970000</v>
      </c>
      <c r="K316" s="18" t="s">
        <v>477</v>
      </c>
      <c r="L316" s="16" t="str">
        <f t="shared" si="20"/>
        <v>فعال</v>
      </c>
      <c r="M316" s="16">
        <v>378</v>
      </c>
      <c r="N316" s="16" t="s">
        <v>1425</v>
      </c>
      <c r="O316" t="s">
        <v>1427</v>
      </c>
      <c r="P316">
        <f>IFERROR(INDEX($A$2:$A$422,MATCH(ROWS($P$5:P316),$AD$2:$AD$422,0)),"")</f>
      </c>
      <c r="Q316">
        <f>IF($P316="","",INDEX($B$2:$B$422,MATCH(ROWS($P$5:P316),$AD$2:$AD$422,0)))</f>
      </c>
      <c r="R316">
        <f>IF($P316="","",INDEX($C$2:$C$422,MATCH(ROWS($P$5:P316),$AD$2:$AD$422,0)))</f>
      </c>
      <c r="S316">
        <f>IF($P316="","",INDEX($E$2:$E$422,MATCH(ROWS($P$5:P316),$AD$2:$AD$422,0)))</f>
      </c>
      <c r="T316" s="22">
        <f>IF($P316="","",IFERROR(IF(OR(INDEX($H$2:$H$422,MATCH(ROWS($P$5:P316),$AD$2:$AD$422,0))="",INDEX($H$2:$H$422,MATCH(ROWS($P$5:P316),$AD$2:$AD$422,0))="؟",INDEX($H$2:$H$422,MATCH(ROWS($P$5:P316),$AD$2:$AD$422,0))="نامشخص"),"",INDEX($H$2:$H$422,MATCH(ROWS($P$5:P316),$AD$2:$AD$422,0))),""))</f>
      </c>
      <c r="U316">
        <f>IF($P316="","",INDEX($L$2:$L$422,MATCH(ROWS($P$5:P316),$AD$2:$AD$422,0)))</f>
      </c>
      <c r="V316">
        <f>IF($P316="","",INDEX($M$2:$M$422,MATCH(ROWS($P$5:P316),$AD$2:$AD$422,0)))</f>
      </c>
      <c r="AD316">
        <f>IF(AND(LEN($Q$2)&gt;=3,ISNUMBER(SEARCH($Q$2,$B316))),MAX($AD$1:AD315)+1,"")</f>
      </c>
    </row>
    <row r="317" ht="14.4" customHeight="1" spans="1:30" x14ac:dyDescent="0.25">
      <c r="A317" s="16" t="s">
        <v>1428</v>
      </c>
      <c r="B317" s="16" t="s">
        <v>431</v>
      </c>
      <c r="C317" s="16" t="s">
        <v>1429</v>
      </c>
      <c r="D317" s="16" t="s">
        <v>1252</v>
      </c>
      <c r="E317" s="16" t="s">
        <v>9</v>
      </c>
      <c r="F317" s="16" t="s">
        <v>9</v>
      </c>
      <c r="G317" s="17" t="str">
        <f t="shared" si="18"/>
        <v>؟</v>
      </c>
      <c r="H317" s="18" t="s">
        <v>8</v>
      </c>
      <c r="I317" s="19">
        <v>3</v>
      </c>
      <c r="J317" s="18">
        <f t="shared" si="19"/>
      </c>
      <c r="K317" s="18" t="s">
        <v>477</v>
      </c>
      <c r="L317" s="16" t="str">
        <f t="shared" si="20"/>
        <v>نیاز به استعلام</v>
      </c>
      <c r="M317" s="16">
        <v>382</v>
      </c>
      <c r="N317" s="16" t="s">
        <v>1428</v>
      </c>
      <c r="O317" t="s">
        <v>1430</v>
      </c>
      <c r="P317">
        <f>IFERROR(INDEX($A$2:$A$422,MATCH(ROWS($P$5:P317),$AD$2:$AD$422,0)),"")</f>
      </c>
      <c r="Q317">
        <f>IF($P317="","",INDEX($B$2:$B$422,MATCH(ROWS($P$5:P317),$AD$2:$AD$422,0)))</f>
      </c>
      <c r="R317">
        <f>IF($P317="","",INDEX($C$2:$C$422,MATCH(ROWS($P$5:P317),$AD$2:$AD$422,0)))</f>
      </c>
      <c r="S317">
        <f>IF($P317="","",INDEX($E$2:$E$422,MATCH(ROWS($P$5:P317),$AD$2:$AD$422,0)))</f>
      </c>
      <c r="T317" s="22">
        <f>IF($P317="","",IFERROR(IF(OR(INDEX($H$2:$H$422,MATCH(ROWS($P$5:P317),$AD$2:$AD$422,0))="",INDEX($H$2:$H$422,MATCH(ROWS($P$5:P317),$AD$2:$AD$422,0))="؟",INDEX($H$2:$H$422,MATCH(ROWS($P$5:P317),$AD$2:$AD$422,0))="نامشخص"),"",INDEX($H$2:$H$422,MATCH(ROWS($P$5:P317),$AD$2:$AD$422,0))),""))</f>
      </c>
      <c r="U317">
        <f>IF($P317="","",INDEX($L$2:$L$422,MATCH(ROWS($P$5:P317),$AD$2:$AD$422,0)))</f>
      </c>
      <c r="V317">
        <f>IF($P317="","",INDEX($M$2:$M$422,MATCH(ROWS($P$5:P317),$AD$2:$AD$422,0)))</f>
      </c>
      <c r="AD317">
        <f>IF(AND(LEN($Q$2)&gt;=3,ISNUMBER(SEARCH($Q$2,$B317))),MAX($AD$1:AD316)+1,"")</f>
      </c>
    </row>
    <row r="318" ht="14.4" customHeight="1" spans="1:30" x14ac:dyDescent="0.25">
      <c r="A318" s="16" t="s">
        <v>1431</v>
      </c>
      <c r="B318" s="16" t="s">
        <v>434</v>
      </c>
      <c r="C318" s="16" t="s">
        <v>1432</v>
      </c>
      <c r="D318" s="16" t="s">
        <v>1252</v>
      </c>
      <c r="E318" s="16" t="s">
        <v>9</v>
      </c>
      <c r="F318" s="16" t="s">
        <v>9</v>
      </c>
      <c r="G318" s="17">
        <f t="shared" si="18"/>
        <v>1750000</v>
      </c>
      <c r="H318" s="18">
        <v>1750000</v>
      </c>
      <c r="I318" s="19">
        <v>1</v>
      </c>
      <c r="J318" s="18">
        <f t="shared" si="19"/>
        <v>1770000</v>
      </c>
      <c r="K318" s="18" t="s">
        <v>477</v>
      </c>
      <c r="L318" s="16" t="str">
        <f t="shared" si="20"/>
        <v>فعال</v>
      </c>
      <c r="M318" s="16">
        <v>385</v>
      </c>
      <c r="N318" s="16" t="s">
        <v>1431</v>
      </c>
      <c r="O318" t="s">
        <v>1433</v>
      </c>
      <c r="P318">
        <f>IFERROR(INDEX($A$2:$A$422,MATCH(ROWS($P$5:P318),$AD$2:$AD$422,0)),"")</f>
      </c>
      <c r="Q318">
        <f>IF($P318="","",INDEX($B$2:$B$422,MATCH(ROWS($P$5:P318),$AD$2:$AD$422,0)))</f>
      </c>
      <c r="R318">
        <f>IF($P318="","",INDEX($C$2:$C$422,MATCH(ROWS($P$5:P318),$AD$2:$AD$422,0)))</f>
      </c>
      <c r="S318">
        <f>IF($P318="","",INDEX($E$2:$E$422,MATCH(ROWS($P$5:P318),$AD$2:$AD$422,0)))</f>
      </c>
      <c r="T318" s="22">
        <f>IF($P318="","",IFERROR(IF(OR(INDEX($H$2:$H$422,MATCH(ROWS($P$5:P318),$AD$2:$AD$422,0))="",INDEX($H$2:$H$422,MATCH(ROWS($P$5:P318),$AD$2:$AD$422,0))="؟",INDEX($H$2:$H$422,MATCH(ROWS($P$5:P318),$AD$2:$AD$422,0))="نامشخص"),"",INDEX($H$2:$H$422,MATCH(ROWS($P$5:P318),$AD$2:$AD$422,0))),""))</f>
      </c>
      <c r="U318">
        <f>IF($P318="","",INDEX($L$2:$L$422,MATCH(ROWS($P$5:P318),$AD$2:$AD$422,0)))</f>
      </c>
      <c r="V318">
        <f>IF($P318="","",INDEX($M$2:$M$422,MATCH(ROWS($P$5:P318),$AD$2:$AD$422,0)))</f>
      </c>
      <c r="AD318">
        <f>IF(AND(LEN($Q$2)&gt;=3,ISNUMBER(SEARCH($Q$2,$B318))),MAX($AD$1:AD317)+1,"")</f>
      </c>
    </row>
    <row r="319" ht="14.4" customHeight="1" spans="1:30" x14ac:dyDescent="0.25">
      <c r="A319" s="16" t="s">
        <v>1434</v>
      </c>
      <c r="B319" s="16" t="s">
        <v>450</v>
      </c>
      <c r="C319" s="16" t="s">
        <v>1435</v>
      </c>
      <c r="D319" s="16" t="s">
        <v>1252</v>
      </c>
      <c r="E319" s="16" t="s">
        <v>236</v>
      </c>
      <c r="F319" s="16" t="s">
        <v>236</v>
      </c>
      <c r="G319" s="17">
        <f t="shared" si="18"/>
        <v>120000</v>
      </c>
      <c r="H319" s="18">
        <v>120000</v>
      </c>
      <c r="I319" s="19">
        <v>3</v>
      </c>
      <c r="J319" s="18">
        <f t="shared" si="19"/>
        <v>130000</v>
      </c>
      <c r="K319" s="18" t="s">
        <v>477</v>
      </c>
      <c r="L319" s="16" t="str">
        <f t="shared" si="20"/>
        <v>فعال</v>
      </c>
      <c r="M319" s="16">
        <v>400</v>
      </c>
      <c r="N319" s="16" t="s">
        <v>1434</v>
      </c>
      <c r="O319" t="s">
        <v>1436</v>
      </c>
      <c r="P319">
        <f>IFERROR(INDEX($A$2:$A$422,MATCH(ROWS($P$5:P319),$AD$2:$AD$422,0)),"")</f>
      </c>
      <c r="Q319">
        <f>IF($P319="","",INDEX($B$2:$B$422,MATCH(ROWS($P$5:P319),$AD$2:$AD$422,0)))</f>
      </c>
      <c r="R319">
        <f>IF($P319="","",INDEX($C$2:$C$422,MATCH(ROWS($P$5:P319),$AD$2:$AD$422,0)))</f>
      </c>
      <c r="S319">
        <f>IF($P319="","",INDEX($E$2:$E$422,MATCH(ROWS($P$5:P319),$AD$2:$AD$422,0)))</f>
      </c>
      <c r="T319" s="22">
        <f>IF($P319="","",IFERROR(IF(OR(INDEX($H$2:$H$422,MATCH(ROWS($P$5:P319),$AD$2:$AD$422,0))="",INDEX($H$2:$H$422,MATCH(ROWS($P$5:P319),$AD$2:$AD$422,0))="؟",INDEX($H$2:$H$422,MATCH(ROWS($P$5:P319),$AD$2:$AD$422,0))="نامشخص"),"",INDEX($H$2:$H$422,MATCH(ROWS($P$5:P319),$AD$2:$AD$422,0))),""))</f>
      </c>
      <c r="U319">
        <f>IF($P319="","",INDEX($L$2:$L$422,MATCH(ROWS($P$5:P319),$AD$2:$AD$422,0)))</f>
      </c>
      <c r="V319">
        <f>IF($P319="","",INDEX($M$2:$M$422,MATCH(ROWS($P$5:P319),$AD$2:$AD$422,0)))</f>
      </c>
      <c r="AD319">
        <f>IF(AND(LEN($Q$2)&gt;=3,ISNUMBER(SEARCH($Q$2,$B319))),MAX($AD$1:AD318)+1,"")</f>
      </c>
    </row>
    <row r="320" ht="14.4" customHeight="1" spans="1:30" x14ac:dyDescent="0.25">
      <c r="A320" s="16" t="s">
        <v>1437</v>
      </c>
      <c r="B320" s="16" t="s">
        <v>71</v>
      </c>
      <c r="C320" s="16" t="s">
        <v>1438</v>
      </c>
      <c r="D320" s="16" t="s">
        <v>1252</v>
      </c>
      <c r="E320" s="16" t="s">
        <v>67</v>
      </c>
      <c r="F320" s="16" t="s">
        <v>67</v>
      </c>
      <c r="G320" s="17">
        <f t="shared" si="18"/>
        <v>250000</v>
      </c>
      <c r="H320" s="18">
        <v>250000</v>
      </c>
      <c r="I320" s="19">
        <v>2</v>
      </c>
      <c r="J320" s="18">
        <f t="shared" si="19"/>
        <v>260000</v>
      </c>
      <c r="K320" s="18" t="s">
        <v>477</v>
      </c>
      <c r="L320" s="16" t="str">
        <f t="shared" si="20"/>
        <v>فعال</v>
      </c>
      <c r="M320" s="16">
        <v>59</v>
      </c>
      <c r="N320" s="16" t="s">
        <v>1437</v>
      </c>
      <c r="O320" t="s">
        <v>1439</v>
      </c>
      <c r="P320">
        <f>IFERROR(INDEX($A$2:$A$422,MATCH(ROWS($P$5:P320),$AD$2:$AD$422,0)),"")</f>
      </c>
      <c r="Q320">
        <f>IF($P320="","",INDEX($B$2:$B$422,MATCH(ROWS($P$5:P320),$AD$2:$AD$422,0)))</f>
      </c>
      <c r="R320">
        <f>IF($P320="","",INDEX($C$2:$C$422,MATCH(ROWS($P$5:P320),$AD$2:$AD$422,0)))</f>
      </c>
      <c r="S320">
        <f>IF($P320="","",INDEX($E$2:$E$422,MATCH(ROWS($P$5:P320),$AD$2:$AD$422,0)))</f>
      </c>
      <c r="T320" s="22">
        <f>IF($P320="","",IFERROR(IF(OR(INDEX($H$2:$H$422,MATCH(ROWS($P$5:P320),$AD$2:$AD$422,0))="",INDEX($H$2:$H$422,MATCH(ROWS($P$5:P320),$AD$2:$AD$422,0))="؟",INDEX($H$2:$H$422,MATCH(ROWS($P$5:P320),$AD$2:$AD$422,0))="نامشخص"),"",INDEX($H$2:$H$422,MATCH(ROWS($P$5:P320),$AD$2:$AD$422,0))),""))</f>
      </c>
      <c r="U320">
        <f>IF($P320="","",INDEX($L$2:$L$422,MATCH(ROWS($P$5:P320),$AD$2:$AD$422,0)))</f>
      </c>
      <c r="V320">
        <f>IF($P320="","",INDEX($M$2:$M$422,MATCH(ROWS($P$5:P320),$AD$2:$AD$422,0)))</f>
      </c>
      <c r="AD320">
        <f>IF(AND(LEN($Q$2)&gt;=3,ISNUMBER(SEARCH($Q$2,$B320))),MAX($AD$1:AD319)+1,"")</f>
      </c>
    </row>
    <row r="321" ht="14.4" customHeight="1" spans="1:30" x14ac:dyDescent="0.25">
      <c r="A321" s="16" t="s">
        <v>1440</v>
      </c>
      <c r="B321" s="16" t="s">
        <v>71</v>
      </c>
      <c r="C321" s="16" t="s">
        <v>1441</v>
      </c>
      <c r="D321" s="16" t="s">
        <v>1252</v>
      </c>
      <c r="E321" s="16" t="s">
        <v>68</v>
      </c>
      <c r="F321" s="16" t="s">
        <v>68</v>
      </c>
      <c r="G321" s="17">
        <f t="shared" si="18"/>
        <v>360000</v>
      </c>
      <c r="H321" s="18">
        <v>360000</v>
      </c>
      <c r="I321" s="19">
        <v>1</v>
      </c>
      <c r="J321" s="18">
        <f t="shared" si="19"/>
        <v>370000</v>
      </c>
      <c r="K321" s="18" t="s">
        <v>477</v>
      </c>
      <c r="L321" s="16" t="str">
        <f t="shared" si="20"/>
        <v>فعال</v>
      </c>
      <c r="M321" s="16">
        <v>59</v>
      </c>
      <c r="N321" s="16" t="s">
        <v>1440</v>
      </c>
      <c r="O321" t="s">
        <v>1442</v>
      </c>
      <c r="P321">
        <f>IFERROR(INDEX($A$2:$A$422,MATCH(ROWS($P$5:P321),$AD$2:$AD$422,0)),"")</f>
      </c>
      <c r="Q321">
        <f>IF($P321="","",INDEX($B$2:$B$422,MATCH(ROWS($P$5:P321),$AD$2:$AD$422,0)))</f>
      </c>
      <c r="R321">
        <f>IF($P321="","",INDEX($C$2:$C$422,MATCH(ROWS($P$5:P321),$AD$2:$AD$422,0)))</f>
      </c>
      <c r="S321">
        <f>IF($P321="","",INDEX($E$2:$E$422,MATCH(ROWS($P$5:P321),$AD$2:$AD$422,0)))</f>
      </c>
      <c r="T321" s="22">
        <f>IF($P321="","",IFERROR(IF(OR(INDEX($H$2:$H$422,MATCH(ROWS($P$5:P321),$AD$2:$AD$422,0))="",INDEX($H$2:$H$422,MATCH(ROWS($P$5:P321),$AD$2:$AD$422,0))="؟",INDEX($H$2:$H$422,MATCH(ROWS($P$5:P321),$AD$2:$AD$422,0))="نامشخص"),"",INDEX($H$2:$H$422,MATCH(ROWS($P$5:P321),$AD$2:$AD$422,0))),""))</f>
      </c>
      <c r="U321">
        <f>IF($P321="","",INDEX($L$2:$L$422,MATCH(ROWS($P$5:P321),$AD$2:$AD$422,0)))</f>
      </c>
      <c r="V321">
        <f>IF($P321="","",INDEX($M$2:$M$422,MATCH(ROWS($P$5:P321),$AD$2:$AD$422,0)))</f>
      </c>
      <c r="AD321">
        <f>IF(AND(LEN($Q$2)&gt;=3,ISNUMBER(SEARCH($Q$2,$B321))),MAX($AD$1:AD320)+1,"")</f>
      </c>
    </row>
    <row r="322" ht="14.4" customHeight="1" spans="1:30" x14ac:dyDescent="0.25">
      <c r="A322" s="16" t="s">
        <v>1443</v>
      </c>
      <c r="B322" s="16" t="s">
        <v>73</v>
      </c>
      <c r="C322" s="16" t="s">
        <v>1444</v>
      </c>
      <c r="D322" s="16" t="s">
        <v>1252</v>
      </c>
      <c r="E322" s="16" t="s">
        <v>9</v>
      </c>
      <c r="F322" s="16" t="s">
        <v>9</v>
      </c>
      <c r="G322" s="17">
        <f t="shared" ref="G322:G385" si="21">H322</f>
        <v>120000</v>
      </c>
      <c r="H322" s="18">
        <v>120000</v>
      </c>
      <c r="I322" s="19">
        <v>1</v>
      </c>
      <c r="J322" s="18">
        <f t="shared" si="19"/>
        <v>130000</v>
      </c>
      <c r="K322" s="18" t="s">
        <v>477</v>
      </c>
      <c r="L322" s="16" t="str">
        <f t="shared" si="20"/>
        <v>فعال</v>
      </c>
      <c r="M322" s="16">
        <v>60</v>
      </c>
      <c r="N322" s="16" t="s">
        <v>1443</v>
      </c>
      <c r="O322" t="s">
        <v>1445</v>
      </c>
      <c r="P322">
        <f>IFERROR(INDEX($A$2:$A$422,MATCH(ROWS($P$5:P322),$AD$2:$AD$422,0)),"")</f>
      </c>
      <c r="Q322">
        <f>IF($P322="","",INDEX($B$2:$B$422,MATCH(ROWS($P$5:P322),$AD$2:$AD$422,0)))</f>
      </c>
      <c r="R322">
        <f>IF($P322="","",INDEX($C$2:$C$422,MATCH(ROWS($P$5:P322),$AD$2:$AD$422,0)))</f>
      </c>
      <c r="S322">
        <f>IF($P322="","",INDEX($E$2:$E$422,MATCH(ROWS($P$5:P322),$AD$2:$AD$422,0)))</f>
      </c>
      <c r="T322" s="22">
        <f>IF($P322="","",IFERROR(IF(OR(INDEX($H$2:$H$422,MATCH(ROWS($P$5:P322),$AD$2:$AD$422,0))="",INDEX($H$2:$H$422,MATCH(ROWS($P$5:P322),$AD$2:$AD$422,0))="؟",INDEX($H$2:$H$422,MATCH(ROWS($P$5:P322),$AD$2:$AD$422,0))="نامشخص"),"",INDEX($H$2:$H$422,MATCH(ROWS($P$5:P322),$AD$2:$AD$422,0))),""))</f>
      </c>
      <c r="U322">
        <f>IF($P322="","",INDEX($L$2:$L$422,MATCH(ROWS($P$5:P322),$AD$2:$AD$422,0)))</f>
      </c>
      <c r="V322">
        <f>IF($P322="","",INDEX($M$2:$M$422,MATCH(ROWS($P$5:P322),$AD$2:$AD$422,0)))</f>
      </c>
      <c r="AD322">
        <f>IF(AND(LEN($Q$2)&gt;=3,ISNUMBER(SEARCH($Q$2,$B322))),MAX($AD$1:AD321)+1,"")</f>
      </c>
    </row>
    <row r="323" ht="14.4" customHeight="1" spans="1:30" x14ac:dyDescent="0.25">
      <c r="A323" s="16" t="s">
        <v>1446</v>
      </c>
      <c r="B323" s="16" t="s">
        <v>75</v>
      </c>
      <c r="C323" s="16" t="s">
        <v>1447</v>
      </c>
      <c r="D323" s="16" t="s">
        <v>1252</v>
      </c>
      <c r="E323" s="16" t="s">
        <v>68</v>
      </c>
      <c r="F323" s="16" t="s">
        <v>68</v>
      </c>
      <c r="G323" s="17">
        <f t="shared" si="21"/>
        <v>250000</v>
      </c>
      <c r="H323" s="18">
        <v>250000</v>
      </c>
      <c r="I323" s="19">
        <v>3</v>
      </c>
      <c r="J323" s="18">
        <f t="shared" si="19"/>
        <v>260000</v>
      </c>
      <c r="K323" s="18" t="s">
        <v>477</v>
      </c>
      <c r="L323" s="16" t="str">
        <f t="shared" si="20"/>
        <v>فعال</v>
      </c>
      <c r="M323" s="16">
        <v>62</v>
      </c>
      <c r="N323" s="16" t="s">
        <v>1446</v>
      </c>
      <c r="O323" t="s">
        <v>1448</v>
      </c>
      <c r="P323">
        <f>IFERROR(INDEX($A$2:$A$422,MATCH(ROWS($P$5:P323),$AD$2:$AD$422,0)),"")</f>
      </c>
      <c r="Q323">
        <f>IF($P323="","",INDEX($B$2:$B$422,MATCH(ROWS($P$5:P323),$AD$2:$AD$422,0)))</f>
      </c>
      <c r="R323">
        <f>IF($P323="","",INDEX($C$2:$C$422,MATCH(ROWS($P$5:P323),$AD$2:$AD$422,0)))</f>
      </c>
      <c r="S323">
        <f>IF($P323="","",INDEX($E$2:$E$422,MATCH(ROWS($P$5:P323),$AD$2:$AD$422,0)))</f>
      </c>
      <c r="T323" s="22">
        <f>IF($P323="","",IFERROR(IF(OR(INDEX($H$2:$H$422,MATCH(ROWS($P$5:P323),$AD$2:$AD$422,0))="",INDEX($H$2:$H$422,MATCH(ROWS($P$5:P323),$AD$2:$AD$422,0))="؟",INDEX($H$2:$H$422,MATCH(ROWS($P$5:P323),$AD$2:$AD$422,0))="نامشخص"),"",INDEX($H$2:$H$422,MATCH(ROWS($P$5:P323),$AD$2:$AD$422,0))),""))</f>
      </c>
      <c r="U323">
        <f>IF($P323="","",INDEX($L$2:$L$422,MATCH(ROWS($P$5:P323),$AD$2:$AD$422,0)))</f>
      </c>
      <c r="V323">
        <f>IF($P323="","",INDEX($M$2:$M$422,MATCH(ROWS($P$5:P323),$AD$2:$AD$422,0)))</f>
      </c>
      <c r="AD323">
        <f>IF(AND(LEN($Q$2)&gt;=3,ISNUMBER(SEARCH($Q$2,$B323))),MAX($AD$1:AD322)+1,"")</f>
      </c>
    </row>
    <row r="324" ht="14.4" customHeight="1" spans="1:30" x14ac:dyDescent="0.25">
      <c r="A324" s="16" t="s">
        <v>1449</v>
      </c>
      <c r="B324" s="16" t="s">
        <v>75</v>
      </c>
      <c r="C324" s="16" t="s">
        <v>1450</v>
      </c>
      <c r="D324" s="16" t="s">
        <v>1252</v>
      </c>
      <c r="E324" s="16" t="s">
        <v>72</v>
      </c>
      <c r="F324" s="16" t="s">
        <v>72</v>
      </c>
      <c r="G324" s="17">
        <f t="shared" si="21"/>
        <v>360000</v>
      </c>
      <c r="H324" s="18">
        <v>360000</v>
      </c>
      <c r="I324" s="19">
        <v>3</v>
      </c>
      <c r="J324" s="18">
        <f t="shared" si="19"/>
        <v>380000</v>
      </c>
      <c r="K324" s="18" t="s">
        <v>477</v>
      </c>
      <c r="L324" s="16" t="str">
        <f t="shared" si="20"/>
        <v>فعال</v>
      </c>
      <c r="M324" s="16">
        <v>62</v>
      </c>
      <c r="N324" s="16" t="s">
        <v>1449</v>
      </c>
      <c r="O324" t="s">
        <v>1451</v>
      </c>
      <c r="P324">
        <f>IFERROR(INDEX($A$2:$A$422,MATCH(ROWS($P$5:P324),$AD$2:$AD$422,0)),"")</f>
      </c>
      <c r="Q324">
        <f>IF($P324="","",INDEX($B$2:$B$422,MATCH(ROWS($P$5:P324),$AD$2:$AD$422,0)))</f>
      </c>
      <c r="R324">
        <f>IF($P324="","",INDEX($C$2:$C$422,MATCH(ROWS($P$5:P324),$AD$2:$AD$422,0)))</f>
      </c>
      <c r="S324">
        <f>IF($P324="","",INDEX($E$2:$E$422,MATCH(ROWS($P$5:P324),$AD$2:$AD$422,0)))</f>
      </c>
      <c r="T324" s="22">
        <f>IF($P324="","",IFERROR(IF(OR(INDEX($H$2:$H$422,MATCH(ROWS($P$5:P324),$AD$2:$AD$422,0))="",INDEX($H$2:$H$422,MATCH(ROWS($P$5:P324),$AD$2:$AD$422,0))="؟",INDEX($H$2:$H$422,MATCH(ROWS($P$5:P324),$AD$2:$AD$422,0))="نامشخص"),"",INDEX($H$2:$H$422,MATCH(ROWS($P$5:P324),$AD$2:$AD$422,0))),""))</f>
      </c>
      <c r="U324">
        <f>IF($P324="","",INDEX($L$2:$L$422,MATCH(ROWS($P$5:P324),$AD$2:$AD$422,0)))</f>
      </c>
      <c r="V324">
        <f>IF($P324="","",INDEX($M$2:$M$422,MATCH(ROWS($P$5:P324),$AD$2:$AD$422,0)))</f>
      </c>
      <c r="AD324">
        <f>IF(AND(LEN($Q$2)&gt;=3,ISNUMBER(SEARCH($Q$2,$B324))),MAX($AD$1:AD323)+1,"")</f>
      </c>
    </row>
    <row r="325" ht="14.4" customHeight="1" spans="1:30" x14ac:dyDescent="0.25">
      <c r="A325" s="16" t="s">
        <v>1452</v>
      </c>
      <c r="B325" s="16" t="s">
        <v>74</v>
      </c>
      <c r="C325" s="16" t="s">
        <v>1453</v>
      </c>
      <c r="D325" s="16" t="s">
        <v>1252</v>
      </c>
      <c r="E325" s="16" t="s">
        <v>67</v>
      </c>
      <c r="F325" s="16" t="s">
        <v>67</v>
      </c>
      <c r="G325" s="17">
        <f t="shared" si="21"/>
        <v>250000</v>
      </c>
      <c r="H325" s="18">
        <v>250000</v>
      </c>
      <c r="I325" s="19">
        <v>3</v>
      </c>
      <c r="J325" s="18">
        <f t="shared" si="19"/>
        <v>260000</v>
      </c>
      <c r="K325" s="18" t="s">
        <v>477</v>
      </c>
      <c r="L325" s="16" t="str">
        <f t="shared" si="20"/>
        <v>فعال</v>
      </c>
      <c r="M325" s="16">
        <v>61</v>
      </c>
      <c r="N325" s="16" t="s">
        <v>1452</v>
      </c>
      <c r="O325" t="s">
        <v>1454</v>
      </c>
      <c r="P325">
        <f>IFERROR(INDEX($A$2:$A$422,MATCH(ROWS($P$5:P325),$AD$2:$AD$422,0)),"")</f>
      </c>
      <c r="Q325">
        <f>IF($P325="","",INDEX($B$2:$B$422,MATCH(ROWS($P$5:P325),$AD$2:$AD$422,0)))</f>
      </c>
      <c r="R325">
        <f>IF($P325="","",INDEX($C$2:$C$422,MATCH(ROWS($P$5:P325),$AD$2:$AD$422,0)))</f>
      </c>
      <c r="S325">
        <f>IF($P325="","",INDEX($E$2:$E$422,MATCH(ROWS($P$5:P325),$AD$2:$AD$422,0)))</f>
      </c>
      <c r="T325" s="22">
        <f>IF($P325="","",IFERROR(IF(OR(INDEX($H$2:$H$422,MATCH(ROWS($P$5:P325),$AD$2:$AD$422,0))="",INDEX($H$2:$H$422,MATCH(ROWS($P$5:P325),$AD$2:$AD$422,0))="؟",INDEX($H$2:$H$422,MATCH(ROWS($P$5:P325),$AD$2:$AD$422,0))="نامشخص"),"",INDEX($H$2:$H$422,MATCH(ROWS($P$5:P325),$AD$2:$AD$422,0))),""))</f>
      </c>
      <c r="U325">
        <f>IF($P325="","",INDEX($L$2:$L$422,MATCH(ROWS($P$5:P325),$AD$2:$AD$422,0)))</f>
      </c>
      <c r="V325">
        <f>IF($P325="","",INDEX($M$2:$M$422,MATCH(ROWS($P$5:P325),$AD$2:$AD$422,0)))</f>
      </c>
      <c r="AD325">
        <f>IF(AND(LEN($Q$2)&gt;=3,ISNUMBER(SEARCH($Q$2,$B325))),MAX($AD$1:AD324)+1,"")</f>
      </c>
    </row>
    <row r="326" ht="14.4" customHeight="1" spans="1:30" x14ac:dyDescent="0.25">
      <c r="A326" s="16" t="s">
        <v>1455</v>
      </c>
      <c r="B326" s="16" t="s">
        <v>74</v>
      </c>
      <c r="C326" s="16" t="s">
        <v>1456</v>
      </c>
      <c r="D326" s="16" t="s">
        <v>1252</v>
      </c>
      <c r="E326" s="16" t="s">
        <v>68</v>
      </c>
      <c r="F326" s="16" t="s">
        <v>68</v>
      </c>
      <c r="G326" s="17">
        <f t="shared" si="21"/>
        <v>360000</v>
      </c>
      <c r="H326" s="18">
        <v>360000</v>
      </c>
      <c r="I326" s="19">
        <v>1</v>
      </c>
      <c r="J326" s="18">
        <f t="shared" si="19"/>
        <v>370000</v>
      </c>
      <c r="K326" s="18" t="s">
        <v>477</v>
      </c>
      <c r="L326" s="16" t="str">
        <f t="shared" si="20"/>
        <v>فعال</v>
      </c>
      <c r="M326" s="16">
        <v>61</v>
      </c>
      <c r="N326" s="16" t="s">
        <v>1455</v>
      </c>
      <c r="O326" t="s">
        <v>1457</v>
      </c>
      <c r="P326">
        <f>IFERROR(INDEX($A$2:$A$422,MATCH(ROWS($P$5:P326),$AD$2:$AD$422,0)),"")</f>
      </c>
      <c r="Q326">
        <f>IF($P326="","",INDEX($B$2:$B$422,MATCH(ROWS($P$5:P326),$AD$2:$AD$422,0)))</f>
      </c>
      <c r="R326">
        <f>IF($P326="","",INDEX($C$2:$C$422,MATCH(ROWS($P$5:P326),$AD$2:$AD$422,0)))</f>
      </c>
      <c r="S326">
        <f>IF($P326="","",INDEX($E$2:$E$422,MATCH(ROWS($P$5:P326),$AD$2:$AD$422,0)))</f>
      </c>
      <c r="T326" s="22">
        <f>IF($P326="","",IFERROR(IF(OR(INDEX($H$2:$H$422,MATCH(ROWS($P$5:P326),$AD$2:$AD$422,0))="",INDEX($H$2:$H$422,MATCH(ROWS($P$5:P326),$AD$2:$AD$422,0))="؟",INDEX($H$2:$H$422,MATCH(ROWS($P$5:P326),$AD$2:$AD$422,0))="نامشخص"),"",INDEX($H$2:$H$422,MATCH(ROWS($P$5:P326),$AD$2:$AD$422,0))),""))</f>
      </c>
      <c r="U326">
        <f>IF($P326="","",INDEX($L$2:$L$422,MATCH(ROWS($P$5:P326),$AD$2:$AD$422,0)))</f>
      </c>
      <c r="V326">
        <f>IF($P326="","",INDEX($M$2:$M$422,MATCH(ROWS($P$5:P326),$AD$2:$AD$422,0)))</f>
      </c>
      <c r="AD326">
        <f>IF(AND(LEN($Q$2)&gt;=3,ISNUMBER(SEARCH($Q$2,$B326))),MAX($AD$1:AD325)+1,"")</f>
      </c>
    </row>
    <row r="327" ht="14.4" customHeight="1" spans="1:30" x14ac:dyDescent="0.25">
      <c r="A327" s="16" t="s">
        <v>1458</v>
      </c>
      <c r="B327" s="16" t="s">
        <v>66</v>
      </c>
      <c r="C327" s="16" t="s">
        <v>1459</v>
      </c>
      <c r="D327" s="16" t="s">
        <v>1252</v>
      </c>
      <c r="E327" s="16" t="s">
        <v>67</v>
      </c>
      <c r="F327" s="16" t="s">
        <v>67</v>
      </c>
      <c r="G327" s="17">
        <f t="shared" si="21"/>
        <v>250000</v>
      </c>
      <c r="H327" s="18">
        <v>250000</v>
      </c>
      <c r="I327" s="19">
        <v>3</v>
      </c>
      <c r="J327" s="18">
        <f t="shared" si="19"/>
        <v>260000</v>
      </c>
      <c r="K327" s="18" t="s">
        <v>477</v>
      </c>
      <c r="L327" s="16" t="str">
        <f t="shared" si="20"/>
        <v>فعال</v>
      </c>
      <c r="M327" s="16">
        <v>57</v>
      </c>
      <c r="N327" s="16" t="s">
        <v>1458</v>
      </c>
      <c r="O327" t="s">
        <v>1460</v>
      </c>
      <c r="P327">
        <f>IFERROR(INDEX($A$2:$A$422,MATCH(ROWS($P$5:P327),$AD$2:$AD$422,0)),"")</f>
      </c>
      <c r="Q327">
        <f>IF($P327="","",INDEX($B$2:$B$422,MATCH(ROWS($P$5:P327),$AD$2:$AD$422,0)))</f>
      </c>
      <c r="R327">
        <f>IF($P327="","",INDEX($C$2:$C$422,MATCH(ROWS($P$5:P327),$AD$2:$AD$422,0)))</f>
      </c>
      <c r="S327">
        <f>IF($P327="","",INDEX($E$2:$E$422,MATCH(ROWS($P$5:P327),$AD$2:$AD$422,0)))</f>
      </c>
      <c r="T327" s="22">
        <f>IF($P327="","",IFERROR(IF(OR(INDEX($H$2:$H$422,MATCH(ROWS($P$5:P327),$AD$2:$AD$422,0))="",INDEX($H$2:$H$422,MATCH(ROWS($P$5:P327),$AD$2:$AD$422,0))="؟",INDEX($H$2:$H$422,MATCH(ROWS($P$5:P327),$AD$2:$AD$422,0))="نامشخص"),"",INDEX($H$2:$H$422,MATCH(ROWS($P$5:P327),$AD$2:$AD$422,0))),""))</f>
      </c>
      <c r="U327">
        <f>IF($P327="","",INDEX($L$2:$L$422,MATCH(ROWS($P$5:P327),$AD$2:$AD$422,0)))</f>
      </c>
      <c r="V327">
        <f>IF($P327="","",INDEX($M$2:$M$422,MATCH(ROWS($P$5:P327),$AD$2:$AD$422,0)))</f>
      </c>
      <c r="AD327">
        <f>IF(AND(LEN($Q$2)&gt;=3,ISNUMBER(SEARCH($Q$2,$B327))),MAX($AD$1:AD326)+1,"")</f>
      </c>
    </row>
    <row r="328" ht="14.4" customHeight="1" spans="1:30" x14ac:dyDescent="0.25">
      <c r="A328" s="16" t="s">
        <v>1461</v>
      </c>
      <c r="B328" s="16" t="s">
        <v>66</v>
      </c>
      <c r="C328" s="16" t="s">
        <v>1462</v>
      </c>
      <c r="D328" s="16" t="s">
        <v>1252</v>
      </c>
      <c r="E328" s="16" t="s">
        <v>68</v>
      </c>
      <c r="F328" s="16" t="s">
        <v>68</v>
      </c>
      <c r="G328" s="17">
        <f t="shared" si="21"/>
        <v>360000</v>
      </c>
      <c r="H328" s="18">
        <v>360000</v>
      </c>
      <c r="I328" s="19">
        <v>1</v>
      </c>
      <c r="J328" s="18">
        <f t="shared" si="19"/>
        <v>370000</v>
      </c>
      <c r="K328" s="18" t="s">
        <v>477</v>
      </c>
      <c r="L328" s="16" t="str">
        <f t="shared" si="20"/>
        <v>فعال</v>
      </c>
      <c r="M328" s="16">
        <v>57</v>
      </c>
      <c r="N328" s="16" t="s">
        <v>1461</v>
      </c>
      <c r="O328" t="s">
        <v>1463</v>
      </c>
      <c r="P328">
        <f>IFERROR(INDEX($A$2:$A$422,MATCH(ROWS($P$5:P328),$AD$2:$AD$422,0)),"")</f>
      </c>
      <c r="Q328">
        <f>IF($P328="","",INDEX($B$2:$B$422,MATCH(ROWS($P$5:P328),$AD$2:$AD$422,0)))</f>
      </c>
      <c r="R328">
        <f>IF($P328="","",INDEX($C$2:$C$422,MATCH(ROWS($P$5:P328),$AD$2:$AD$422,0)))</f>
      </c>
      <c r="S328">
        <f>IF($P328="","",INDEX($E$2:$E$422,MATCH(ROWS($P$5:P328),$AD$2:$AD$422,0)))</f>
      </c>
      <c r="T328" s="22">
        <f>IF($P328="","",IFERROR(IF(OR(INDEX($H$2:$H$422,MATCH(ROWS($P$5:P328),$AD$2:$AD$422,0))="",INDEX($H$2:$H$422,MATCH(ROWS($P$5:P328),$AD$2:$AD$422,0))="؟",INDEX($H$2:$H$422,MATCH(ROWS($P$5:P328),$AD$2:$AD$422,0))="نامشخص"),"",INDEX($H$2:$H$422,MATCH(ROWS($P$5:P328),$AD$2:$AD$422,0))),""))</f>
      </c>
      <c r="U328">
        <f>IF($P328="","",INDEX($L$2:$L$422,MATCH(ROWS($P$5:P328),$AD$2:$AD$422,0)))</f>
      </c>
      <c r="V328">
        <f>IF($P328="","",INDEX($M$2:$M$422,MATCH(ROWS($P$5:P328),$AD$2:$AD$422,0)))</f>
      </c>
      <c r="AD328">
        <f>IF(AND(LEN($Q$2)&gt;=3,ISNUMBER(SEARCH($Q$2,$B328))),MAX($AD$1:AD327)+1,"")</f>
      </c>
    </row>
    <row r="329" ht="14.4" customHeight="1" spans="1:30" x14ac:dyDescent="0.25">
      <c r="A329" s="16" t="s">
        <v>1464</v>
      </c>
      <c r="B329" s="16" t="s">
        <v>70</v>
      </c>
      <c r="C329" s="16" t="s">
        <v>1465</v>
      </c>
      <c r="D329" s="16" t="s">
        <v>1252</v>
      </c>
      <c r="E329" s="16" t="s">
        <v>9</v>
      </c>
      <c r="F329" s="16" t="s">
        <v>9</v>
      </c>
      <c r="G329" s="17">
        <f t="shared" si="21"/>
        <v>240000</v>
      </c>
      <c r="H329" s="18">
        <v>240000</v>
      </c>
      <c r="I329" s="19">
        <v>1</v>
      </c>
      <c r="J329" s="18">
        <f t="shared" si="19"/>
        <v>250000</v>
      </c>
      <c r="K329" s="18" t="s">
        <v>477</v>
      </c>
      <c r="L329" s="16" t="str">
        <f t="shared" si="20"/>
        <v>فعال</v>
      </c>
      <c r="M329" s="16">
        <v>58</v>
      </c>
      <c r="N329" s="16" t="s">
        <v>1464</v>
      </c>
      <c r="O329" t="s">
        <v>1466</v>
      </c>
      <c r="P329">
        <f>IFERROR(INDEX($A$2:$A$422,MATCH(ROWS($P$5:P329),$AD$2:$AD$422,0)),"")</f>
      </c>
      <c r="Q329">
        <f>IF($P329="","",INDEX($B$2:$B$422,MATCH(ROWS($P$5:P329),$AD$2:$AD$422,0)))</f>
      </c>
      <c r="R329">
        <f>IF($P329="","",INDEX($C$2:$C$422,MATCH(ROWS($P$5:P329),$AD$2:$AD$422,0)))</f>
      </c>
      <c r="S329">
        <f>IF($P329="","",INDEX($E$2:$E$422,MATCH(ROWS($P$5:P329),$AD$2:$AD$422,0)))</f>
      </c>
      <c r="T329" s="22">
        <f>IF($P329="","",IFERROR(IF(OR(INDEX($H$2:$H$422,MATCH(ROWS($P$5:P329),$AD$2:$AD$422,0))="",INDEX($H$2:$H$422,MATCH(ROWS($P$5:P329),$AD$2:$AD$422,0))="؟",INDEX($H$2:$H$422,MATCH(ROWS($P$5:P329),$AD$2:$AD$422,0))="نامشخص"),"",INDEX($H$2:$H$422,MATCH(ROWS($P$5:P329),$AD$2:$AD$422,0))),""))</f>
      </c>
      <c r="U329">
        <f>IF($P329="","",INDEX($L$2:$L$422,MATCH(ROWS($P$5:P329),$AD$2:$AD$422,0)))</f>
      </c>
      <c r="V329">
        <f>IF($P329="","",INDEX($M$2:$M$422,MATCH(ROWS($P$5:P329),$AD$2:$AD$422,0)))</f>
      </c>
      <c r="AD329">
        <f>IF(AND(LEN($Q$2)&gt;=3,ISNUMBER(SEARCH($Q$2,$B329))),MAX($AD$1:AD328)+1,"")</f>
      </c>
    </row>
    <row r="330" ht="14.4" customHeight="1" spans="1:30" x14ac:dyDescent="0.25">
      <c r="A330" s="16" t="s">
        <v>1467</v>
      </c>
      <c r="B330" s="16" t="s">
        <v>76</v>
      </c>
      <c r="C330" s="16" t="s">
        <v>1468</v>
      </c>
      <c r="D330" s="16" t="s">
        <v>1252</v>
      </c>
      <c r="E330" s="16" t="s">
        <v>9</v>
      </c>
      <c r="F330" s="16" t="s">
        <v>9</v>
      </c>
      <c r="G330" s="17" t="str">
        <f t="shared" si="21"/>
        <v>؟</v>
      </c>
      <c r="H330" s="18" t="s">
        <v>8</v>
      </c>
      <c r="I330" s="19">
        <v>2</v>
      </c>
      <c r="J330" s="18">
        <f t="shared" si="19"/>
      </c>
      <c r="K330" s="18" t="s">
        <v>477</v>
      </c>
      <c r="L330" s="16" t="str">
        <f t="shared" si="20"/>
        <v>نیاز به استعلام</v>
      </c>
      <c r="M330" s="16">
        <v>63</v>
      </c>
      <c r="N330" s="16" t="s">
        <v>1467</v>
      </c>
      <c r="O330" t="s">
        <v>1469</v>
      </c>
      <c r="P330">
        <f>IFERROR(INDEX($A$2:$A$422,MATCH(ROWS($P$5:P330),$AD$2:$AD$422,0)),"")</f>
      </c>
      <c r="Q330">
        <f>IF($P330="","",INDEX($B$2:$B$422,MATCH(ROWS($P$5:P330),$AD$2:$AD$422,0)))</f>
      </c>
      <c r="R330">
        <f>IF($P330="","",INDEX($C$2:$C$422,MATCH(ROWS($P$5:P330),$AD$2:$AD$422,0)))</f>
      </c>
      <c r="S330">
        <f>IF($P330="","",INDEX($E$2:$E$422,MATCH(ROWS($P$5:P330),$AD$2:$AD$422,0)))</f>
      </c>
      <c r="T330" s="22">
        <f>IF($P330="","",IFERROR(IF(OR(INDEX($H$2:$H$422,MATCH(ROWS($P$5:P330),$AD$2:$AD$422,0))="",INDEX($H$2:$H$422,MATCH(ROWS($P$5:P330),$AD$2:$AD$422,0))="؟",INDEX($H$2:$H$422,MATCH(ROWS($P$5:P330),$AD$2:$AD$422,0))="نامشخص"),"",INDEX($H$2:$H$422,MATCH(ROWS($P$5:P330),$AD$2:$AD$422,0))),""))</f>
      </c>
      <c r="U330">
        <f>IF($P330="","",INDEX($L$2:$L$422,MATCH(ROWS($P$5:P330),$AD$2:$AD$422,0)))</f>
      </c>
      <c r="V330">
        <f>IF($P330="","",INDEX($M$2:$M$422,MATCH(ROWS($P$5:P330),$AD$2:$AD$422,0)))</f>
      </c>
      <c r="AD330">
        <f>IF(AND(LEN($Q$2)&gt;=3,ISNUMBER(SEARCH($Q$2,$B330))),MAX($AD$1:AD329)+1,"")</f>
      </c>
    </row>
    <row r="331" ht="14.4" customHeight="1" spans="1:30" x14ac:dyDescent="0.25">
      <c r="A331" s="16" t="s">
        <v>1470</v>
      </c>
      <c r="B331" s="16" t="s">
        <v>77</v>
      </c>
      <c r="C331" s="16" t="s">
        <v>1471</v>
      </c>
      <c r="D331" s="16" t="s">
        <v>1252</v>
      </c>
      <c r="E331" s="16" t="s">
        <v>9</v>
      </c>
      <c r="F331" s="16" t="s">
        <v>9</v>
      </c>
      <c r="G331" s="17">
        <f t="shared" si="21"/>
        <v>320000</v>
      </c>
      <c r="H331" s="18">
        <v>320000</v>
      </c>
      <c r="I331" s="19">
        <v>3</v>
      </c>
      <c r="J331" s="18">
        <f t="shared" si="19"/>
        <v>330000</v>
      </c>
      <c r="K331" s="18" t="s">
        <v>477</v>
      </c>
      <c r="L331" s="16" t="str">
        <f t="shared" si="20"/>
        <v>فعال</v>
      </c>
      <c r="M331" s="16">
        <v>64</v>
      </c>
      <c r="N331" s="16" t="s">
        <v>1470</v>
      </c>
      <c r="O331" t="s">
        <v>1472</v>
      </c>
      <c r="P331">
        <f>IFERROR(INDEX($A$2:$A$422,MATCH(ROWS($P$5:P331),$AD$2:$AD$422,0)),"")</f>
      </c>
      <c r="Q331">
        <f>IF($P331="","",INDEX($B$2:$B$422,MATCH(ROWS($P$5:P331),$AD$2:$AD$422,0)))</f>
      </c>
      <c r="R331">
        <f>IF($P331="","",INDEX($C$2:$C$422,MATCH(ROWS($P$5:P331),$AD$2:$AD$422,0)))</f>
      </c>
      <c r="S331">
        <f>IF($P331="","",INDEX($E$2:$E$422,MATCH(ROWS($P$5:P331),$AD$2:$AD$422,0)))</f>
      </c>
      <c r="T331" s="22">
        <f>IF($P331="","",IFERROR(IF(OR(INDEX($H$2:$H$422,MATCH(ROWS($P$5:P331),$AD$2:$AD$422,0))="",INDEX($H$2:$H$422,MATCH(ROWS($P$5:P331),$AD$2:$AD$422,0))="؟",INDEX($H$2:$H$422,MATCH(ROWS($P$5:P331),$AD$2:$AD$422,0))="نامشخص"),"",INDEX($H$2:$H$422,MATCH(ROWS($P$5:P331),$AD$2:$AD$422,0))),""))</f>
      </c>
      <c r="U331">
        <f>IF($P331="","",INDEX($L$2:$L$422,MATCH(ROWS($P$5:P331),$AD$2:$AD$422,0)))</f>
      </c>
      <c r="V331">
        <f>IF($P331="","",INDEX($M$2:$M$422,MATCH(ROWS($P$5:P331),$AD$2:$AD$422,0)))</f>
      </c>
      <c r="AD331">
        <f>IF(AND(LEN($Q$2)&gt;=3,ISNUMBER(SEARCH($Q$2,$B331))),MAX($AD$1:AD330)+1,"")</f>
      </c>
    </row>
    <row r="332" ht="14.4" customHeight="1" spans="1:30" x14ac:dyDescent="0.25">
      <c r="A332" s="16" t="s">
        <v>1473</v>
      </c>
      <c r="B332" s="16" t="s">
        <v>79</v>
      </c>
      <c r="C332" s="16" t="s">
        <v>1474</v>
      </c>
      <c r="D332" s="16" t="s">
        <v>1252</v>
      </c>
      <c r="E332" s="16" t="s">
        <v>9</v>
      </c>
      <c r="F332" s="16" t="s">
        <v>9</v>
      </c>
      <c r="G332" s="17">
        <f t="shared" si="21"/>
        <v>1100000</v>
      </c>
      <c r="H332" s="18">
        <v>1100000</v>
      </c>
      <c r="I332" s="19">
        <v>3</v>
      </c>
      <c r="J332" s="18">
        <f t="shared" si="19"/>
        <v>1140000</v>
      </c>
      <c r="K332" s="18" t="s">
        <v>477</v>
      </c>
      <c r="L332" s="16" t="str">
        <f t="shared" si="20"/>
        <v>فعال</v>
      </c>
      <c r="M332" s="16">
        <v>66</v>
      </c>
      <c r="N332" s="16" t="s">
        <v>1473</v>
      </c>
      <c r="O332" t="s">
        <v>1475</v>
      </c>
      <c r="P332">
        <f>IFERROR(INDEX($A$2:$A$422,MATCH(ROWS($P$5:P332),$AD$2:$AD$422,0)),"")</f>
      </c>
      <c r="Q332">
        <f>IF($P332="","",INDEX($B$2:$B$422,MATCH(ROWS($P$5:P332),$AD$2:$AD$422,0)))</f>
      </c>
      <c r="R332">
        <f>IF($P332="","",INDEX($C$2:$C$422,MATCH(ROWS($P$5:P332),$AD$2:$AD$422,0)))</f>
      </c>
      <c r="S332">
        <f>IF($P332="","",INDEX($E$2:$E$422,MATCH(ROWS($P$5:P332),$AD$2:$AD$422,0)))</f>
      </c>
      <c r="T332" s="22">
        <f>IF($P332="","",IFERROR(IF(OR(INDEX($H$2:$H$422,MATCH(ROWS($P$5:P332),$AD$2:$AD$422,0))="",INDEX($H$2:$H$422,MATCH(ROWS($P$5:P332),$AD$2:$AD$422,0))="؟",INDEX($H$2:$H$422,MATCH(ROWS($P$5:P332),$AD$2:$AD$422,0))="نامشخص"),"",INDEX($H$2:$H$422,MATCH(ROWS($P$5:P332),$AD$2:$AD$422,0))),""))</f>
      </c>
      <c r="U332">
        <f>IF($P332="","",INDEX($L$2:$L$422,MATCH(ROWS($P$5:P332),$AD$2:$AD$422,0)))</f>
      </c>
      <c r="V332">
        <f>IF($P332="","",INDEX($M$2:$M$422,MATCH(ROWS($P$5:P332),$AD$2:$AD$422,0)))</f>
      </c>
      <c r="AD332">
        <f>IF(AND(LEN($Q$2)&gt;=3,ISNUMBER(SEARCH($Q$2,$B332))),MAX($AD$1:AD331)+1,"")</f>
      </c>
    </row>
    <row r="333" ht="14.4" customHeight="1" spans="1:30" x14ac:dyDescent="0.25">
      <c r="A333" s="16" t="s">
        <v>1476</v>
      </c>
      <c r="B333" s="16" t="s">
        <v>80</v>
      </c>
      <c r="C333" s="16" t="s">
        <v>1477</v>
      </c>
      <c r="D333" s="16" t="s">
        <v>1252</v>
      </c>
      <c r="E333" s="16" t="s">
        <v>9</v>
      </c>
      <c r="F333" s="16" t="s">
        <v>9</v>
      </c>
      <c r="G333" s="17">
        <f t="shared" si="21"/>
        <v>700000</v>
      </c>
      <c r="H333" s="18">
        <v>700000</v>
      </c>
      <c r="I333" s="19">
        <v>3</v>
      </c>
      <c r="J333" s="18">
        <f t="shared" si="19"/>
        <v>730000</v>
      </c>
      <c r="K333" s="18" t="s">
        <v>477</v>
      </c>
      <c r="L333" s="16" t="str">
        <f t="shared" si="20"/>
        <v>فعال</v>
      </c>
      <c r="M333" s="16">
        <v>67</v>
      </c>
      <c r="N333" s="16" t="s">
        <v>1476</v>
      </c>
      <c r="O333" t="s">
        <v>1478</v>
      </c>
      <c r="P333">
        <f>IFERROR(INDEX($A$2:$A$422,MATCH(ROWS($P$5:P333),$AD$2:$AD$422,0)),"")</f>
      </c>
      <c r="Q333">
        <f>IF($P333="","",INDEX($B$2:$B$422,MATCH(ROWS($P$5:P333),$AD$2:$AD$422,0)))</f>
      </c>
      <c r="R333">
        <f>IF($P333="","",INDEX($C$2:$C$422,MATCH(ROWS($P$5:P333),$AD$2:$AD$422,0)))</f>
      </c>
      <c r="S333">
        <f>IF($P333="","",INDEX($E$2:$E$422,MATCH(ROWS($P$5:P333),$AD$2:$AD$422,0)))</f>
      </c>
      <c r="T333" s="22">
        <f>IF($P333="","",IFERROR(IF(OR(INDEX($H$2:$H$422,MATCH(ROWS($P$5:P333),$AD$2:$AD$422,0))="",INDEX($H$2:$H$422,MATCH(ROWS($P$5:P333),$AD$2:$AD$422,0))="؟",INDEX($H$2:$H$422,MATCH(ROWS($P$5:P333),$AD$2:$AD$422,0))="نامشخص"),"",INDEX($H$2:$H$422,MATCH(ROWS($P$5:P333),$AD$2:$AD$422,0))),""))</f>
      </c>
      <c r="U333">
        <f>IF($P333="","",INDEX($L$2:$L$422,MATCH(ROWS($P$5:P333),$AD$2:$AD$422,0)))</f>
      </c>
      <c r="V333">
        <f>IF($P333="","",INDEX($M$2:$M$422,MATCH(ROWS($P$5:P333),$AD$2:$AD$422,0)))</f>
      </c>
      <c r="AD333">
        <f>IF(AND(LEN($Q$2)&gt;=3,ISNUMBER(SEARCH($Q$2,$B333))),MAX($AD$1:AD332)+1,"")</f>
      </c>
    </row>
    <row r="334" ht="14.4" customHeight="1" spans="1:30" x14ac:dyDescent="0.25">
      <c r="A334" s="16" t="s">
        <v>1479</v>
      </c>
      <c r="B334" s="16" t="s">
        <v>121</v>
      </c>
      <c r="C334" s="16" t="s">
        <v>1480</v>
      </c>
      <c r="D334" s="16" t="s">
        <v>1252</v>
      </c>
      <c r="E334" s="16" t="s">
        <v>9</v>
      </c>
      <c r="F334" s="16" t="s">
        <v>9</v>
      </c>
      <c r="G334" s="17">
        <f t="shared" si="21"/>
        <v>700000</v>
      </c>
      <c r="H334" s="18">
        <v>700000</v>
      </c>
      <c r="I334" s="19">
        <v>3</v>
      </c>
      <c r="J334" s="18">
        <f t="shared" si="19"/>
        <v>730000</v>
      </c>
      <c r="K334" s="18" t="s">
        <v>477</v>
      </c>
      <c r="L334" s="16" t="str">
        <f t="shared" si="20"/>
        <v>فعال</v>
      </c>
      <c r="M334" s="16">
        <v>104</v>
      </c>
      <c r="N334" s="16" t="s">
        <v>1479</v>
      </c>
      <c r="O334" t="s">
        <v>1481</v>
      </c>
      <c r="P334">
        <f>IFERROR(INDEX($A$2:$A$422,MATCH(ROWS($P$5:P334),$AD$2:$AD$422,0)),"")</f>
      </c>
      <c r="Q334">
        <f>IF($P334="","",INDEX($B$2:$B$422,MATCH(ROWS($P$5:P334),$AD$2:$AD$422,0)))</f>
      </c>
      <c r="R334">
        <f>IF($P334="","",INDEX($C$2:$C$422,MATCH(ROWS($P$5:P334),$AD$2:$AD$422,0)))</f>
      </c>
      <c r="S334">
        <f>IF($P334="","",INDEX($E$2:$E$422,MATCH(ROWS($P$5:P334),$AD$2:$AD$422,0)))</f>
      </c>
      <c r="T334" s="22">
        <f>IF($P334="","",IFERROR(IF(OR(INDEX($H$2:$H$422,MATCH(ROWS($P$5:P334),$AD$2:$AD$422,0))="",INDEX($H$2:$H$422,MATCH(ROWS($P$5:P334),$AD$2:$AD$422,0))="؟",INDEX($H$2:$H$422,MATCH(ROWS($P$5:P334),$AD$2:$AD$422,0))="نامشخص"),"",INDEX($H$2:$H$422,MATCH(ROWS($P$5:P334),$AD$2:$AD$422,0))),""))</f>
      </c>
      <c r="U334">
        <f>IF($P334="","",INDEX($L$2:$L$422,MATCH(ROWS($P$5:P334),$AD$2:$AD$422,0)))</f>
      </c>
      <c r="V334">
        <f>IF($P334="","",INDEX($M$2:$M$422,MATCH(ROWS($P$5:P334),$AD$2:$AD$422,0)))</f>
      </c>
      <c r="AD334">
        <f>IF(AND(LEN($Q$2)&gt;=3,ISNUMBER(SEARCH($Q$2,$B334))),MAX($AD$1:AD333)+1,"")</f>
      </c>
    </row>
    <row r="335" ht="14.4" customHeight="1" spans="1:30" x14ac:dyDescent="0.25">
      <c r="A335" s="16" t="s">
        <v>1482</v>
      </c>
      <c r="B335" s="16" t="s">
        <v>119</v>
      </c>
      <c r="C335" s="16" t="s">
        <v>1483</v>
      </c>
      <c r="D335" s="16" t="s">
        <v>1252</v>
      </c>
      <c r="E335" s="16" t="s">
        <v>120</v>
      </c>
      <c r="F335" s="16" t="s">
        <v>120</v>
      </c>
      <c r="G335" s="17">
        <f t="shared" si="21"/>
        <v>900000</v>
      </c>
      <c r="H335" s="18">
        <v>900000</v>
      </c>
      <c r="I335" s="19">
        <v>2</v>
      </c>
      <c r="J335" s="18">
        <f t="shared" si="19"/>
        <v>920000</v>
      </c>
      <c r="K335" s="18" t="s">
        <v>477</v>
      </c>
      <c r="L335" s="16" t="str">
        <f t="shared" si="20"/>
        <v>فعال</v>
      </c>
      <c r="M335" s="16">
        <v>103</v>
      </c>
      <c r="N335" s="16" t="s">
        <v>1482</v>
      </c>
      <c r="O335" t="s">
        <v>1484</v>
      </c>
      <c r="P335">
        <f>IFERROR(INDEX($A$2:$A$422,MATCH(ROWS($P$5:P335),$AD$2:$AD$422,0)),"")</f>
      </c>
      <c r="Q335">
        <f>IF($P335="","",INDEX($B$2:$B$422,MATCH(ROWS($P$5:P335),$AD$2:$AD$422,0)))</f>
      </c>
      <c r="R335">
        <f>IF($P335="","",INDEX($C$2:$C$422,MATCH(ROWS($P$5:P335),$AD$2:$AD$422,0)))</f>
      </c>
      <c r="S335">
        <f>IF($P335="","",INDEX($E$2:$E$422,MATCH(ROWS($P$5:P335),$AD$2:$AD$422,0)))</f>
      </c>
      <c r="T335" s="22">
        <f>IF($P335="","",IFERROR(IF(OR(INDEX($H$2:$H$422,MATCH(ROWS($P$5:P335),$AD$2:$AD$422,0))="",INDEX($H$2:$H$422,MATCH(ROWS($P$5:P335),$AD$2:$AD$422,0))="؟",INDEX($H$2:$H$422,MATCH(ROWS($P$5:P335),$AD$2:$AD$422,0))="نامشخص"),"",INDEX($H$2:$H$422,MATCH(ROWS($P$5:P335),$AD$2:$AD$422,0))),""))</f>
      </c>
      <c r="U335">
        <f>IF($P335="","",INDEX($L$2:$L$422,MATCH(ROWS($P$5:P335),$AD$2:$AD$422,0)))</f>
      </c>
      <c r="V335">
        <f>IF($P335="","",INDEX($M$2:$M$422,MATCH(ROWS($P$5:P335),$AD$2:$AD$422,0)))</f>
      </c>
      <c r="AD335">
        <f>IF(AND(LEN($Q$2)&gt;=3,ISNUMBER(SEARCH($Q$2,$B335))),MAX($AD$1:AD334)+1,"")</f>
      </c>
    </row>
    <row r="336" ht="14.4" customHeight="1" spans="1:30" x14ac:dyDescent="0.25">
      <c r="A336" s="16" t="s">
        <v>1485</v>
      </c>
      <c r="B336" s="16" t="s">
        <v>122</v>
      </c>
      <c r="C336" s="16" t="s">
        <v>1486</v>
      </c>
      <c r="D336" s="16" t="s">
        <v>1252</v>
      </c>
      <c r="E336" s="16" t="s">
        <v>9</v>
      </c>
      <c r="F336" s="16" t="s">
        <v>9</v>
      </c>
      <c r="G336" s="17">
        <f t="shared" si="21"/>
        <v>1100000</v>
      </c>
      <c r="H336" s="18">
        <v>1100000</v>
      </c>
      <c r="I336" s="19">
        <v>3</v>
      </c>
      <c r="J336" s="18">
        <f t="shared" si="19"/>
        <v>1140000</v>
      </c>
      <c r="K336" s="18" t="s">
        <v>477</v>
      </c>
      <c r="L336" s="16" t="str">
        <f t="shared" si="20"/>
        <v>فعال</v>
      </c>
      <c r="M336" s="16">
        <v>105</v>
      </c>
      <c r="N336" s="16" t="s">
        <v>1485</v>
      </c>
      <c r="O336" t="s">
        <v>1487</v>
      </c>
      <c r="P336">
        <f>IFERROR(INDEX($A$2:$A$422,MATCH(ROWS($P$5:P336),$AD$2:$AD$422,0)),"")</f>
      </c>
      <c r="Q336">
        <f>IF($P336="","",INDEX($B$2:$B$422,MATCH(ROWS($P$5:P336),$AD$2:$AD$422,0)))</f>
      </c>
      <c r="R336">
        <f>IF($P336="","",INDEX($C$2:$C$422,MATCH(ROWS($P$5:P336),$AD$2:$AD$422,0)))</f>
      </c>
      <c r="S336">
        <f>IF($P336="","",INDEX($E$2:$E$422,MATCH(ROWS($P$5:P336),$AD$2:$AD$422,0)))</f>
      </c>
      <c r="T336" s="22">
        <f>IF($P336="","",IFERROR(IF(OR(INDEX($H$2:$H$422,MATCH(ROWS($P$5:P336),$AD$2:$AD$422,0))="",INDEX($H$2:$H$422,MATCH(ROWS($P$5:P336),$AD$2:$AD$422,0))="؟",INDEX($H$2:$H$422,MATCH(ROWS($P$5:P336),$AD$2:$AD$422,0))="نامشخص"),"",INDEX($H$2:$H$422,MATCH(ROWS($P$5:P336),$AD$2:$AD$422,0))),""))</f>
      </c>
      <c r="U336">
        <f>IF($P336="","",INDEX($L$2:$L$422,MATCH(ROWS($P$5:P336),$AD$2:$AD$422,0)))</f>
      </c>
      <c r="V336">
        <f>IF($P336="","",INDEX($M$2:$M$422,MATCH(ROWS($P$5:P336),$AD$2:$AD$422,0)))</f>
      </c>
      <c r="AD336">
        <f>IF(AND(LEN($Q$2)&gt;=3,ISNUMBER(SEARCH($Q$2,$B336))),MAX($AD$1:AD335)+1,"")</f>
      </c>
    </row>
    <row r="337" ht="14.4" customHeight="1" spans="1:30" x14ac:dyDescent="0.25">
      <c r="A337" s="16" t="s">
        <v>1488</v>
      </c>
      <c r="B337" s="16" t="s">
        <v>399</v>
      </c>
      <c r="C337" s="16" t="s">
        <v>1489</v>
      </c>
      <c r="D337" s="16" t="s">
        <v>1252</v>
      </c>
      <c r="E337" s="16" t="s">
        <v>396</v>
      </c>
      <c r="F337" s="16" t="s">
        <v>396</v>
      </c>
      <c r="G337" s="17">
        <f t="shared" si="21"/>
        <v>350000</v>
      </c>
      <c r="H337" s="18">
        <v>350000</v>
      </c>
      <c r="I337" s="19">
        <v>2</v>
      </c>
      <c r="J337" s="18">
        <f t="shared" si="19"/>
        <v>360000</v>
      </c>
      <c r="K337" s="18" t="s">
        <v>477</v>
      </c>
      <c r="L337" s="16" t="str">
        <f t="shared" si="20"/>
        <v>فعال</v>
      </c>
      <c r="M337" s="16">
        <v>352</v>
      </c>
      <c r="N337" s="16" t="s">
        <v>1488</v>
      </c>
      <c r="O337" t="s">
        <v>1490</v>
      </c>
      <c r="P337">
        <f>IFERROR(INDEX($A$2:$A$422,MATCH(ROWS($P$5:P337),$AD$2:$AD$422,0)),"")</f>
      </c>
      <c r="Q337">
        <f>IF($P337="","",INDEX($B$2:$B$422,MATCH(ROWS($P$5:P337),$AD$2:$AD$422,0)))</f>
      </c>
      <c r="R337">
        <f>IF($P337="","",INDEX($C$2:$C$422,MATCH(ROWS($P$5:P337),$AD$2:$AD$422,0)))</f>
      </c>
      <c r="S337">
        <f>IF($P337="","",INDEX($E$2:$E$422,MATCH(ROWS($P$5:P337),$AD$2:$AD$422,0)))</f>
      </c>
      <c r="T337" s="22">
        <f>IF($P337="","",IFERROR(IF(OR(INDEX($H$2:$H$422,MATCH(ROWS($P$5:P337),$AD$2:$AD$422,0))="",INDEX($H$2:$H$422,MATCH(ROWS($P$5:P337),$AD$2:$AD$422,0))="؟",INDEX($H$2:$H$422,MATCH(ROWS($P$5:P337),$AD$2:$AD$422,0))="نامشخص"),"",INDEX($H$2:$H$422,MATCH(ROWS($P$5:P337),$AD$2:$AD$422,0))),""))</f>
      </c>
      <c r="U337">
        <f>IF($P337="","",INDEX($L$2:$L$422,MATCH(ROWS($P$5:P337),$AD$2:$AD$422,0)))</f>
      </c>
      <c r="V337">
        <f>IF($P337="","",INDEX($M$2:$M$422,MATCH(ROWS($P$5:P337),$AD$2:$AD$422,0)))</f>
      </c>
      <c r="AD337">
        <f>IF(AND(LEN($Q$2)&gt;=3,ISNUMBER(SEARCH($Q$2,$B337))),MAX($AD$1:AD336)+1,"")</f>
      </c>
    </row>
    <row r="338" ht="14.4" customHeight="1" spans="1:30" x14ac:dyDescent="0.25">
      <c r="A338" s="16" t="s">
        <v>1491</v>
      </c>
      <c r="B338" s="16" t="s">
        <v>399</v>
      </c>
      <c r="C338" s="16" t="s">
        <v>1492</v>
      </c>
      <c r="D338" s="16" t="s">
        <v>1252</v>
      </c>
      <c r="E338" s="16" t="s">
        <v>400</v>
      </c>
      <c r="F338" s="16" t="s">
        <v>400</v>
      </c>
      <c r="G338" s="17">
        <f t="shared" si="21"/>
        <v>460000</v>
      </c>
      <c r="H338" s="18">
        <v>460000</v>
      </c>
      <c r="I338" s="19">
        <v>1</v>
      </c>
      <c r="J338" s="18">
        <f t="shared" si="19"/>
        <v>470000</v>
      </c>
      <c r="K338" s="18" t="s">
        <v>477</v>
      </c>
      <c r="L338" s="16" t="str">
        <f t="shared" si="20"/>
        <v>فعال</v>
      </c>
      <c r="M338" s="16">
        <v>352</v>
      </c>
      <c r="N338" s="16" t="s">
        <v>1491</v>
      </c>
      <c r="O338" t="s">
        <v>1493</v>
      </c>
      <c r="P338">
        <f>IFERROR(INDEX($A$2:$A$422,MATCH(ROWS($P$5:P338),$AD$2:$AD$422,0)),"")</f>
      </c>
      <c r="Q338">
        <f>IF($P338="","",INDEX($B$2:$B$422,MATCH(ROWS($P$5:P338),$AD$2:$AD$422,0)))</f>
      </c>
      <c r="R338">
        <f>IF($P338="","",INDEX($C$2:$C$422,MATCH(ROWS($P$5:P338),$AD$2:$AD$422,0)))</f>
      </c>
      <c r="S338">
        <f>IF($P338="","",INDEX($E$2:$E$422,MATCH(ROWS($P$5:P338),$AD$2:$AD$422,0)))</f>
      </c>
      <c r="T338" s="22">
        <f>IF($P338="","",IFERROR(IF(OR(INDEX($H$2:$H$422,MATCH(ROWS($P$5:P338),$AD$2:$AD$422,0))="",INDEX($H$2:$H$422,MATCH(ROWS($P$5:P338),$AD$2:$AD$422,0))="؟",INDEX($H$2:$H$422,MATCH(ROWS($P$5:P338),$AD$2:$AD$422,0))="نامشخص"),"",INDEX($H$2:$H$422,MATCH(ROWS($P$5:P338),$AD$2:$AD$422,0))),""))</f>
      </c>
      <c r="U338">
        <f>IF($P338="","",INDEX($L$2:$L$422,MATCH(ROWS($P$5:P338),$AD$2:$AD$422,0)))</f>
      </c>
      <c r="V338">
        <f>IF($P338="","",INDEX($M$2:$M$422,MATCH(ROWS($P$5:P338),$AD$2:$AD$422,0)))</f>
      </c>
      <c r="AD338">
        <f>IF(AND(LEN($Q$2)&gt;=3,ISNUMBER(SEARCH($Q$2,$B338))),MAX($AD$1:AD337)+1,"")</f>
      </c>
    </row>
    <row r="339" ht="14.4" customHeight="1" spans="1:30" x14ac:dyDescent="0.25">
      <c r="A339" s="16" t="s">
        <v>1494</v>
      </c>
      <c r="B339" s="16" t="s">
        <v>395</v>
      </c>
      <c r="C339" s="16" t="s">
        <v>1495</v>
      </c>
      <c r="D339" s="16" t="s">
        <v>1252</v>
      </c>
      <c r="E339" s="16" t="s">
        <v>396</v>
      </c>
      <c r="F339" s="16" t="s">
        <v>396</v>
      </c>
      <c r="G339" s="17">
        <f t="shared" si="21"/>
        <v>500000</v>
      </c>
      <c r="H339" s="18">
        <v>500000</v>
      </c>
      <c r="I339" s="19">
        <v>1</v>
      </c>
      <c r="J339" s="18">
        <f t="shared" si="19"/>
        <v>510000</v>
      </c>
      <c r="K339" s="18" t="s">
        <v>477</v>
      </c>
      <c r="L339" s="16" t="str">
        <f t="shared" si="20"/>
        <v>فعال</v>
      </c>
      <c r="M339" s="16">
        <v>349</v>
      </c>
      <c r="N339" s="16" t="s">
        <v>1494</v>
      </c>
      <c r="O339" t="s">
        <v>1496</v>
      </c>
      <c r="P339">
        <f>IFERROR(INDEX($A$2:$A$422,MATCH(ROWS($P$5:P339),$AD$2:$AD$422,0)),"")</f>
      </c>
      <c r="Q339">
        <f>IF($P339="","",INDEX($B$2:$B$422,MATCH(ROWS($P$5:P339),$AD$2:$AD$422,0)))</f>
      </c>
      <c r="R339">
        <f>IF($P339="","",INDEX($C$2:$C$422,MATCH(ROWS($P$5:P339),$AD$2:$AD$422,0)))</f>
      </c>
      <c r="S339">
        <f>IF($P339="","",INDEX($E$2:$E$422,MATCH(ROWS($P$5:P339),$AD$2:$AD$422,0)))</f>
      </c>
      <c r="T339" s="22">
        <f>IF($P339="","",IFERROR(IF(OR(INDEX($H$2:$H$422,MATCH(ROWS($P$5:P339),$AD$2:$AD$422,0))="",INDEX($H$2:$H$422,MATCH(ROWS($P$5:P339),$AD$2:$AD$422,0))="؟",INDEX($H$2:$H$422,MATCH(ROWS($P$5:P339),$AD$2:$AD$422,0))="نامشخص"),"",INDEX($H$2:$H$422,MATCH(ROWS($P$5:P339),$AD$2:$AD$422,0))),""))</f>
      </c>
      <c r="U339">
        <f>IF($P339="","",INDEX($L$2:$L$422,MATCH(ROWS($P$5:P339),$AD$2:$AD$422,0)))</f>
      </c>
      <c r="V339">
        <f>IF($P339="","",INDEX($M$2:$M$422,MATCH(ROWS($P$5:P339),$AD$2:$AD$422,0)))</f>
      </c>
      <c r="AD339">
        <f>IF(AND(LEN($Q$2)&gt;=3,ISNUMBER(SEARCH($Q$2,$B339))),MAX($AD$1:AD338)+1,"")</f>
      </c>
    </row>
    <row r="340" ht="14.4" customHeight="1" spans="1:30" x14ac:dyDescent="0.25">
      <c r="A340" s="16" t="s">
        <v>1497</v>
      </c>
      <c r="B340" s="16" t="s">
        <v>398</v>
      </c>
      <c r="C340" s="16" t="s">
        <v>1498</v>
      </c>
      <c r="D340" s="16" t="s">
        <v>1252</v>
      </c>
      <c r="E340" s="16" t="s">
        <v>9</v>
      </c>
      <c r="F340" s="16" t="s">
        <v>9</v>
      </c>
      <c r="G340" s="17" t="str">
        <f t="shared" si="21"/>
        <v>؟</v>
      </c>
      <c r="H340" s="18" t="s">
        <v>8</v>
      </c>
      <c r="I340" s="19">
        <v>3</v>
      </c>
      <c r="J340" s="18">
        <f t="shared" si="19"/>
      </c>
      <c r="K340" s="18" t="s">
        <v>477</v>
      </c>
      <c r="L340" s="16" t="str">
        <f t="shared" si="20"/>
        <v>نیاز به استعلام</v>
      </c>
      <c r="M340" s="16">
        <v>351</v>
      </c>
      <c r="N340" s="16" t="s">
        <v>1497</v>
      </c>
      <c r="O340" t="s">
        <v>1499</v>
      </c>
      <c r="P340">
        <f>IFERROR(INDEX($A$2:$A$422,MATCH(ROWS($P$5:P340),$AD$2:$AD$422,0)),"")</f>
      </c>
      <c r="Q340">
        <f>IF($P340="","",INDEX($B$2:$B$422,MATCH(ROWS($P$5:P340),$AD$2:$AD$422,0)))</f>
      </c>
      <c r="R340">
        <f>IF($P340="","",INDEX($C$2:$C$422,MATCH(ROWS($P$5:P340),$AD$2:$AD$422,0)))</f>
      </c>
      <c r="S340">
        <f>IF($P340="","",INDEX($E$2:$E$422,MATCH(ROWS($P$5:P340),$AD$2:$AD$422,0)))</f>
      </c>
      <c r="T340" s="22">
        <f>IF($P340="","",IFERROR(IF(OR(INDEX($H$2:$H$422,MATCH(ROWS($P$5:P340),$AD$2:$AD$422,0))="",INDEX($H$2:$H$422,MATCH(ROWS($P$5:P340),$AD$2:$AD$422,0))="؟",INDEX($H$2:$H$422,MATCH(ROWS($P$5:P340),$AD$2:$AD$422,0))="نامشخص"),"",INDEX($H$2:$H$422,MATCH(ROWS($P$5:P340),$AD$2:$AD$422,0))),""))</f>
      </c>
      <c r="U340">
        <f>IF($P340="","",INDEX($L$2:$L$422,MATCH(ROWS($P$5:P340),$AD$2:$AD$422,0)))</f>
      </c>
      <c r="V340">
        <f>IF($P340="","",INDEX($M$2:$M$422,MATCH(ROWS($P$5:P340),$AD$2:$AD$422,0)))</f>
      </c>
      <c r="AD340">
        <f>IF(AND(LEN($Q$2)&gt;=3,ISNUMBER(SEARCH($Q$2,$B340))),MAX($AD$1:AD339)+1,"")</f>
      </c>
    </row>
    <row r="341" ht="14.4" customHeight="1" spans="1:30" x14ac:dyDescent="0.25">
      <c r="A341" s="16" t="s">
        <v>1500</v>
      </c>
      <c r="B341" s="16" t="s">
        <v>405</v>
      </c>
      <c r="C341" s="16" t="s">
        <v>1501</v>
      </c>
      <c r="D341" s="16" t="s">
        <v>1252</v>
      </c>
      <c r="E341" s="16" t="s">
        <v>406</v>
      </c>
      <c r="F341" s="16" t="s">
        <v>406</v>
      </c>
      <c r="G341" s="17">
        <f t="shared" si="21"/>
        <v>25000</v>
      </c>
      <c r="H341" s="18">
        <v>25000</v>
      </c>
      <c r="I341" s="19">
        <v>1</v>
      </c>
      <c r="J341" s="18">
        <f t="shared" si="19"/>
        <v>30000</v>
      </c>
      <c r="K341" s="18" t="s">
        <v>477</v>
      </c>
      <c r="L341" s="16" t="str">
        <f t="shared" si="20"/>
        <v>فعال</v>
      </c>
      <c r="M341" s="16">
        <v>357</v>
      </c>
      <c r="N341" s="16" t="s">
        <v>1500</v>
      </c>
      <c r="O341" t="s">
        <v>1502</v>
      </c>
      <c r="P341">
        <f>IFERROR(INDEX($A$2:$A$422,MATCH(ROWS($P$5:P341),$AD$2:$AD$422,0)),"")</f>
      </c>
      <c r="Q341">
        <f>IF($P341="","",INDEX($B$2:$B$422,MATCH(ROWS($P$5:P341),$AD$2:$AD$422,0)))</f>
      </c>
      <c r="R341">
        <f>IF($P341="","",INDEX($C$2:$C$422,MATCH(ROWS($P$5:P341),$AD$2:$AD$422,0)))</f>
      </c>
      <c r="S341">
        <f>IF($P341="","",INDEX($E$2:$E$422,MATCH(ROWS($P$5:P341),$AD$2:$AD$422,0)))</f>
      </c>
      <c r="T341" s="22">
        <f>IF($P341="","",IFERROR(IF(OR(INDEX($H$2:$H$422,MATCH(ROWS($P$5:P341),$AD$2:$AD$422,0))="",INDEX($H$2:$H$422,MATCH(ROWS($P$5:P341),$AD$2:$AD$422,0))="؟",INDEX($H$2:$H$422,MATCH(ROWS($P$5:P341),$AD$2:$AD$422,0))="نامشخص"),"",INDEX($H$2:$H$422,MATCH(ROWS($P$5:P341),$AD$2:$AD$422,0))),""))</f>
      </c>
      <c r="U341">
        <f>IF($P341="","",INDEX($L$2:$L$422,MATCH(ROWS($P$5:P341),$AD$2:$AD$422,0)))</f>
      </c>
      <c r="V341">
        <f>IF($P341="","",INDEX($M$2:$M$422,MATCH(ROWS($P$5:P341),$AD$2:$AD$422,0)))</f>
      </c>
      <c r="AD341">
        <f>IF(AND(LEN($Q$2)&gt;=3,ISNUMBER(SEARCH($Q$2,$B341))),MAX($AD$1:AD340)+1,"")</f>
      </c>
    </row>
    <row r="342" ht="14.4" customHeight="1" spans="1:30" x14ac:dyDescent="0.25">
      <c r="A342" s="16" t="s">
        <v>1503</v>
      </c>
      <c r="B342" s="16" t="s">
        <v>412</v>
      </c>
      <c r="C342" s="16" t="s">
        <v>1504</v>
      </c>
      <c r="D342" s="16" t="s">
        <v>1252</v>
      </c>
      <c r="E342" s="16" t="s">
        <v>9</v>
      </c>
      <c r="F342" s="16" t="s">
        <v>9</v>
      </c>
      <c r="G342" s="17">
        <f t="shared" si="21"/>
        <v>5100000</v>
      </c>
      <c r="H342" s="18">
        <v>5100000</v>
      </c>
      <c r="I342" s="19">
        <v>3</v>
      </c>
      <c r="J342" s="18">
        <f t="shared" si="19"/>
        <v>5260000</v>
      </c>
      <c r="K342" s="18" t="s">
        <v>477</v>
      </c>
      <c r="L342" s="16" t="str">
        <f t="shared" si="20"/>
        <v>فعال</v>
      </c>
      <c r="M342" s="16">
        <v>363</v>
      </c>
      <c r="N342" s="16" t="s">
        <v>1503</v>
      </c>
      <c r="O342" t="s">
        <v>1505</v>
      </c>
      <c r="P342">
        <f>IFERROR(INDEX($A$2:$A$422,MATCH(ROWS($P$5:P342),$AD$2:$AD$422,0)),"")</f>
      </c>
      <c r="Q342">
        <f>IF($P342="","",INDEX($B$2:$B$422,MATCH(ROWS($P$5:P342),$AD$2:$AD$422,0)))</f>
      </c>
      <c r="R342">
        <f>IF($P342="","",INDEX($C$2:$C$422,MATCH(ROWS($P$5:P342),$AD$2:$AD$422,0)))</f>
      </c>
      <c r="S342">
        <f>IF($P342="","",INDEX($E$2:$E$422,MATCH(ROWS($P$5:P342),$AD$2:$AD$422,0)))</f>
      </c>
      <c r="T342" s="22">
        <f>IF($P342="","",IFERROR(IF(OR(INDEX($H$2:$H$422,MATCH(ROWS($P$5:P342),$AD$2:$AD$422,0))="",INDEX($H$2:$H$422,MATCH(ROWS($P$5:P342),$AD$2:$AD$422,0))="؟",INDEX($H$2:$H$422,MATCH(ROWS($P$5:P342),$AD$2:$AD$422,0))="نامشخص"),"",INDEX($H$2:$H$422,MATCH(ROWS($P$5:P342),$AD$2:$AD$422,0))),""))</f>
      </c>
      <c r="U342">
        <f>IF($P342="","",INDEX($L$2:$L$422,MATCH(ROWS($P$5:P342),$AD$2:$AD$422,0)))</f>
      </c>
      <c r="V342">
        <f>IF($P342="","",INDEX($M$2:$M$422,MATCH(ROWS($P$5:P342),$AD$2:$AD$422,0)))</f>
      </c>
      <c r="AD342">
        <f>IF(AND(LEN($Q$2)&gt;=3,ISNUMBER(SEARCH($Q$2,$B342))),MAX($AD$1:AD341)+1,"")</f>
      </c>
    </row>
    <row r="343" ht="14.4" customHeight="1" spans="1:30" x14ac:dyDescent="0.25">
      <c r="A343" s="16" t="s">
        <v>1506</v>
      </c>
      <c r="B343" s="16" t="s">
        <v>382</v>
      </c>
      <c r="C343" s="16" t="s">
        <v>1507</v>
      </c>
      <c r="D343" s="16" t="s">
        <v>1252</v>
      </c>
      <c r="E343" s="16" t="s">
        <v>383</v>
      </c>
      <c r="F343" s="16" t="s">
        <v>383</v>
      </c>
      <c r="G343" s="17">
        <f t="shared" si="21"/>
        <v>50000</v>
      </c>
      <c r="H343" s="18">
        <v>50000</v>
      </c>
      <c r="I343" s="19">
        <v>2</v>
      </c>
      <c r="J343" s="18">
        <f t="shared" si="19"/>
        <v>60000</v>
      </c>
      <c r="K343" s="18" t="s">
        <v>477</v>
      </c>
      <c r="L343" s="16" t="str">
        <f t="shared" si="20"/>
        <v>فعال</v>
      </c>
      <c r="M343" s="16">
        <v>340</v>
      </c>
      <c r="N343" s="16" t="s">
        <v>1506</v>
      </c>
      <c r="O343" t="s">
        <v>1508</v>
      </c>
      <c r="P343">
        <f>IFERROR(INDEX($A$2:$A$422,MATCH(ROWS($P$5:P343),$AD$2:$AD$422,0)),"")</f>
      </c>
      <c r="Q343">
        <f>IF($P343="","",INDEX($B$2:$B$422,MATCH(ROWS($P$5:P343),$AD$2:$AD$422,0)))</f>
      </c>
      <c r="R343">
        <f>IF($P343="","",INDEX($C$2:$C$422,MATCH(ROWS($P$5:P343),$AD$2:$AD$422,0)))</f>
      </c>
      <c r="S343">
        <f>IF($P343="","",INDEX($E$2:$E$422,MATCH(ROWS($P$5:P343),$AD$2:$AD$422,0)))</f>
      </c>
      <c r="T343" s="22">
        <f>IF($P343="","",IFERROR(IF(OR(INDEX($H$2:$H$422,MATCH(ROWS($P$5:P343),$AD$2:$AD$422,0))="",INDEX($H$2:$H$422,MATCH(ROWS($P$5:P343),$AD$2:$AD$422,0))="؟",INDEX($H$2:$H$422,MATCH(ROWS($P$5:P343),$AD$2:$AD$422,0))="نامشخص"),"",INDEX($H$2:$H$422,MATCH(ROWS($P$5:P343),$AD$2:$AD$422,0))),""))</f>
      </c>
      <c r="U343">
        <f>IF($P343="","",INDEX($L$2:$L$422,MATCH(ROWS($P$5:P343),$AD$2:$AD$422,0)))</f>
      </c>
      <c r="V343">
        <f>IF($P343="","",INDEX($M$2:$M$422,MATCH(ROWS($P$5:P343),$AD$2:$AD$422,0)))</f>
      </c>
      <c r="AD343">
        <f>IF(AND(LEN($Q$2)&gt;=3,ISNUMBER(SEARCH($Q$2,$B343))),MAX($AD$1:AD342)+1,"")</f>
      </c>
    </row>
    <row r="344" ht="14.4" customHeight="1" spans="1:30" x14ac:dyDescent="0.25">
      <c r="A344" s="16" t="s">
        <v>1509</v>
      </c>
      <c r="B344" s="16" t="s">
        <v>414</v>
      </c>
      <c r="C344" s="16" t="s">
        <v>1510</v>
      </c>
      <c r="D344" s="16" t="s">
        <v>1252</v>
      </c>
      <c r="E344" s="16" t="s">
        <v>9</v>
      </c>
      <c r="F344" s="16" t="s">
        <v>9</v>
      </c>
      <c r="G344" s="17">
        <f t="shared" si="21"/>
        <v>1200000</v>
      </c>
      <c r="H344" s="18">
        <v>1200000</v>
      </c>
      <c r="I344" s="19">
        <v>2</v>
      </c>
      <c r="J344" s="18">
        <f t="shared" si="19"/>
        <v>1230000</v>
      </c>
      <c r="K344" s="18" t="s">
        <v>477</v>
      </c>
      <c r="L344" s="16" t="str">
        <f t="shared" si="20"/>
        <v>فعال</v>
      </c>
      <c r="M344" s="16">
        <v>365</v>
      </c>
      <c r="N344" s="16" t="s">
        <v>1509</v>
      </c>
      <c r="O344" t="s">
        <v>1511</v>
      </c>
      <c r="P344">
        <f>IFERROR(INDEX($A$2:$A$422,MATCH(ROWS($P$5:P344),$AD$2:$AD$422,0)),"")</f>
      </c>
      <c r="Q344">
        <f>IF($P344="","",INDEX($B$2:$B$422,MATCH(ROWS($P$5:P344),$AD$2:$AD$422,0)))</f>
      </c>
      <c r="R344">
        <f>IF($P344="","",INDEX($C$2:$C$422,MATCH(ROWS($P$5:P344),$AD$2:$AD$422,0)))</f>
      </c>
      <c r="S344">
        <f>IF($P344="","",INDEX($E$2:$E$422,MATCH(ROWS($P$5:P344),$AD$2:$AD$422,0)))</f>
      </c>
      <c r="T344" s="22">
        <f>IF($P344="","",IFERROR(IF(OR(INDEX($H$2:$H$422,MATCH(ROWS($P$5:P344),$AD$2:$AD$422,0))="",INDEX($H$2:$H$422,MATCH(ROWS($P$5:P344),$AD$2:$AD$422,0))="؟",INDEX($H$2:$H$422,MATCH(ROWS($P$5:P344),$AD$2:$AD$422,0))="نامشخص"),"",INDEX($H$2:$H$422,MATCH(ROWS($P$5:P344),$AD$2:$AD$422,0))),""))</f>
      </c>
      <c r="U344">
        <f>IF($P344="","",INDEX($L$2:$L$422,MATCH(ROWS($P$5:P344),$AD$2:$AD$422,0)))</f>
      </c>
      <c r="V344">
        <f>IF($P344="","",INDEX($M$2:$M$422,MATCH(ROWS($P$5:P344),$AD$2:$AD$422,0)))</f>
      </c>
      <c r="AD344">
        <f>IF(AND(LEN($Q$2)&gt;=3,ISNUMBER(SEARCH($Q$2,$B344))),MAX($AD$1:AD343)+1,"")</f>
      </c>
    </row>
    <row r="345" ht="14.4" customHeight="1" spans="1:30" x14ac:dyDescent="0.25">
      <c r="A345" s="16" t="s">
        <v>1512</v>
      </c>
      <c r="B345" s="16" t="s">
        <v>415</v>
      </c>
      <c r="C345" s="16" t="s">
        <v>1513</v>
      </c>
      <c r="D345" s="16" t="s">
        <v>1252</v>
      </c>
      <c r="E345" s="16" t="s">
        <v>9</v>
      </c>
      <c r="F345" s="16" t="s">
        <v>9</v>
      </c>
      <c r="G345" s="17">
        <f t="shared" si="21"/>
        <v>450000</v>
      </c>
      <c r="H345" s="18">
        <v>450000</v>
      </c>
      <c r="I345" s="19">
        <v>1</v>
      </c>
      <c r="J345" s="18">
        <f t="shared" si="19"/>
        <v>460000</v>
      </c>
      <c r="K345" s="18" t="s">
        <v>477</v>
      </c>
      <c r="L345" s="16" t="str">
        <f t="shared" si="20"/>
        <v>فعال</v>
      </c>
      <c r="M345" s="16">
        <v>366</v>
      </c>
      <c r="N345" s="16" t="s">
        <v>1512</v>
      </c>
      <c r="O345" t="s">
        <v>1514</v>
      </c>
      <c r="P345">
        <f>IFERROR(INDEX($A$2:$A$422,MATCH(ROWS($P$5:P345),$AD$2:$AD$422,0)),"")</f>
      </c>
      <c r="Q345">
        <f>IF($P345="","",INDEX($B$2:$B$422,MATCH(ROWS($P$5:P345),$AD$2:$AD$422,0)))</f>
      </c>
      <c r="R345">
        <f>IF($P345="","",INDEX($C$2:$C$422,MATCH(ROWS($P$5:P345),$AD$2:$AD$422,0)))</f>
      </c>
      <c r="S345">
        <f>IF($P345="","",INDEX($E$2:$E$422,MATCH(ROWS($P$5:P345),$AD$2:$AD$422,0)))</f>
      </c>
      <c r="T345" s="22">
        <f>IF($P345="","",IFERROR(IF(OR(INDEX($H$2:$H$422,MATCH(ROWS($P$5:P345),$AD$2:$AD$422,0))="",INDEX($H$2:$H$422,MATCH(ROWS($P$5:P345),$AD$2:$AD$422,0))="؟",INDEX($H$2:$H$422,MATCH(ROWS($P$5:P345),$AD$2:$AD$422,0))="نامشخص"),"",INDEX($H$2:$H$422,MATCH(ROWS($P$5:P345),$AD$2:$AD$422,0))),""))</f>
      </c>
      <c r="U345">
        <f>IF($P345="","",INDEX($L$2:$L$422,MATCH(ROWS($P$5:P345),$AD$2:$AD$422,0)))</f>
      </c>
      <c r="V345">
        <f>IF($P345="","",INDEX($M$2:$M$422,MATCH(ROWS($P$5:P345),$AD$2:$AD$422,0)))</f>
      </c>
      <c r="AD345">
        <f>IF(AND(LEN($Q$2)&gt;=3,ISNUMBER(SEARCH($Q$2,$B345))),MAX($AD$1:AD344)+1,"")</f>
      </c>
    </row>
    <row r="346" ht="14.4" customHeight="1" spans="1:30" x14ac:dyDescent="0.25">
      <c r="A346" s="16" t="s">
        <v>1515</v>
      </c>
      <c r="B346" s="16" t="s">
        <v>420</v>
      </c>
      <c r="C346" s="16" t="s">
        <v>1516</v>
      </c>
      <c r="D346" s="16" t="s">
        <v>1252</v>
      </c>
      <c r="E346" s="16" t="s">
        <v>9</v>
      </c>
      <c r="F346" s="16" t="s">
        <v>9</v>
      </c>
      <c r="G346" s="17">
        <f t="shared" si="21"/>
        <v>5200000</v>
      </c>
      <c r="H346" s="18">
        <v>5200000</v>
      </c>
      <c r="I346" s="19">
        <v>2</v>
      </c>
      <c r="J346" s="18">
        <f t="shared" si="19"/>
        <v>5310000</v>
      </c>
      <c r="K346" s="18" t="s">
        <v>477</v>
      </c>
      <c r="L346" s="16" t="str">
        <f t="shared" si="20"/>
        <v>فعال</v>
      </c>
      <c r="M346" s="16">
        <v>371</v>
      </c>
      <c r="N346" s="16" t="s">
        <v>1515</v>
      </c>
      <c r="O346" t="s">
        <v>1517</v>
      </c>
      <c r="P346">
        <f>IFERROR(INDEX($A$2:$A$422,MATCH(ROWS($P$5:P346),$AD$2:$AD$422,0)),"")</f>
      </c>
      <c r="Q346">
        <f>IF($P346="","",INDEX($B$2:$B$422,MATCH(ROWS($P$5:P346),$AD$2:$AD$422,0)))</f>
      </c>
      <c r="R346">
        <f>IF($P346="","",INDEX($C$2:$C$422,MATCH(ROWS($P$5:P346),$AD$2:$AD$422,0)))</f>
      </c>
      <c r="S346">
        <f>IF($P346="","",INDEX($E$2:$E$422,MATCH(ROWS($P$5:P346),$AD$2:$AD$422,0)))</f>
      </c>
      <c r="T346" s="22">
        <f>IF($P346="","",IFERROR(IF(OR(INDEX($H$2:$H$422,MATCH(ROWS($P$5:P346),$AD$2:$AD$422,0))="",INDEX($H$2:$H$422,MATCH(ROWS($P$5:P346),$AD$2:$AD$422,0))="؟",INDEX($H$2:$H$422,MATCH(ROWS($P$5:P346),$AD$2:$AD$422,0))="نامشخص"),"",INDEX($H$2:$H$422,MATCH(ROWS($P$5:P346),$AD$2:$AD$422,0))),""))</f>
      </c>
      <c r="U346">
        <f>IF($P346="","",INDEX($L$2:$L$422,MATCH(ROWS($P$5:P346),$AD$2:$AD$422,0)))</f>
      </c>
      <c r="V346">
        <f>IF($P346="","",INDEX($M$2:$M$422,MATCH(ROWS($P$5:P346),$AD$2:$AD$422,0)))</f>
      </c>
      <c r="AD346">
        <f>IF(AND(LEN($Q$2)&gt;=3,ISNUMBER(SEARCH($Q$2,$B346))),MAX($AD$1:AD345)+1,"")</f>
      </c>
    </row>
    <row r="347" ht="14.4" customHeight="1" spans="1:30" x14ac:dyDescent="0.25">
      <c r="A347" s="16" t="s">
        <v>1518</v>
      </c>
      <c r="B347" s="16" t="s">
        <v>419</v>
      </c>
      <c r="C347" s="16" t="s">
        <v>1519</v>
      </c>
      <c r="D347" s="16" t="s">
        <v>1252</v>
      </c>
      <c r="E347" s="16" t="s">
        <v>9</v>
      </c>
      <c r="F347" s="16" t="s">
        <v>9</v>
      </c>
      <c r="G347" s="17">
        <f t="shared" si="21"/>
        <v>5000000</v>
      </c>
      <c r="H347" s="18">
        <v>5000000</v>
      </c>
      <c r="I347" s="19">
        <v>2</v>
      </c>
      <c r="J347" s="18">
        <f t="shared" si="19"/>
        <v>5100000</v>
      </c>
      <c r="K347" s="18" t="s">
        <v>477</v>
      </c>
      <c r="L347" s="16" t="str">
        <f t="shared" si="20"/>
        <v>فعال</v>
      </c>
      <c r="M347" s="16">
        <v>370</v>
      </c>
      <c r="N347" s="16" t="s">
        <v>1518</v>
      </c>
      <c r="O347" t="s">
        <v>1520</v>
      </c>
      <c r="P347">
        <f>IFERROR(INDEX($A$2:$A$422,MATCH(ROWS($P$5:P347),$AD$2:$AD$422,0)),"")</f>
      </c>
      <c r="Q347">
        <f>IF($P347="","",INDEX($B$2:$B$422,MATCH(ROWS($P$5:P347),$AD$2:$AD$422,0)))</f>
      </c>
      <c r="R347">
        <f>IF($P347="","",INDEX($C$2:$C$422,MATCH(ROWS($P$5:P347),$AD$2:$AD$422,0)))</f>
      </c>
      <c r="S347">
        <f>IF($P347="","",INDEX($E$2:$E$422,MATCH(ROWS($P$5:P347),$AD$2:$AD$422,0)))</f>
      </c>
      <c r="T347" s="22">
        <f>IF($P347="","",IFERROR(IF(OR(INDEX($H$2:$H$422,MATCH(ROWS($P$5:P347),$AD$2:$AD$422,0))="",INDEX($H$2:$H$422,MATCH(ROWS($P$5:P347),$AD$2:$AD$422,0))="؟",INDEX($H$2:$H$422,MATCH(ROWS($P$5:P347),$AD$2:$AD$422,0))="نامشخص"),"",INDEX($H$2:$H$422,MATCH(ROWS($P$5:P347),$AD$2:$AD$422,0))),""))</f>
      </c>
      <c r="U347">
        <f>IF($P347="","",INDEX($L$2:$L$422,MATCH(ROWS($P$5:P347),$AD$2:$AD$422,0)))</f>
      </c>
      <c r="V347">
        <f>IF($P347="","",INDEX($M$2:$M$422,MATCH(ROWS($P$5:P347),$AD$2:$AD$422,0)))</f>
      </c>
      <c r="AD347">
        <f>IF(AND(LEN($Q$2)&gt;=3,ISNUMBER(SEARCH($Q$2,$B347))),MAX($AD$1:AD346)+1,"")</f>
      </c>
    </row>
    <row r="348" ht="14.4" customHeight="1" spans="1:30" x14ac:dyDescent="0.25">
      <c r="A348" s="16" t="s">
        <v>1521</v>
      </c>
      <c r="B348" s="16" t="s">
        <v>418</v>
      </c>
      <c r="C348" s="16" t="s">
        <v>1522</v>
      </c>
      <c r="D348" s="16" t="s">
        <v>1252</v>
      </c>
      <c r="E348" s="16" t="s">
        <v>9</v>
      </c>
      <c r="F348" s="16" t="s">
        <v>9</v>
      </c>
      <c r="G348" s="17">
        <f t="shared" si="21"/>
        <v>3200000</v>
      </c>
      <c r="H348" s="18">
        <v>3200000</v>
      </c>
      <c r="I348" s="19">
        <v>1</v>
      </c>
      <c r="J348" s="18">
        <f t="shared" ref="J348:J369" si="22">IF(OR(H348="",H348="؟",H348="نامشخص"),"",CEILING(H348*(1+I348/100),10000))</f>
        <v>3240000</v>
      </c>
      <c r="K348" s="18" t="s">
        <v>477</v>
      </c>
      <c r="L348" s="16" t="str">
        <f t="shared" ref="L348:L369" si="23">IF(OR($H348="",$H348="؟",$H348="نامشخص"),"نیاز به استعلام","فعال")</f>
        <v>فعال</v>
      </c>
      <c r="M348" s="16">
        <v>369</v>
      </c>
      <c r="N348" s="16" t="s">
        <v>1521</v>
      </c>
      <c r="O348" t="s">
        <v>1523</v>
      </c>
      <c r="P348">
        <f>IFERROR(INDEX($A$2:$A$422,MATCH(ROWS($P$5:P348),$AD$2:$AD$422,0)),"")</f>
      </c>
      <c r="Q348">
        <f>IF($P348="","",INDEX($B$2:$B$422,MATCH(ROWS($P$5:P348),$AD$2:$AD$422,0)))</f>
      </c>
      <c r="R348">
        <f>IF($P348="","",INDEX($C$2:$C$422,MATCH(ROWS($P$5:P348),$AD$2:$AD$422,0)))</f>
      </c>
      <c r="S348">
        <f>IF($P348="","",INDEX($E$2:$E$422,MATCH(ROWS($P$5:P348),$AD$2:$AD$422,0)))</f>
      </c>
      <c r="T348" s="22">
        <f>IF($P348="","",IFERROR(IF(OR(INDEX($H$2:$H$422,MATCH(ROWS($P$5:P348),$AD$2:$AD$422,0))="",INDEX($H$2:$H$422,MATCH(ROWS($P$5:P348),$AD$2:$AD$422,0))="؟",INDEX($H$2:$H$422,MATCH(ROWS($P$5:P348),$AD$2:$AD$422,0))="نامشخص"),"",INDEX($H$2:$H$422,MATCH(ROWS($P$5:P348),$AD$2:$AD$422,0))),""))</f>
      </c>
      <c r="U348">
        <f>IF($P348="","",INDEX($L$2:$L$422,MATCH(ROWS($P$5:P348),$AD$2:$AD$422,0)))</f>
      </c>
      <c r="V348">
        <f>IF($P348="","",INDEX($M$2:$M$422,MATCH(ROWS($P$5:P348),$AD$2:$AD$422,0)))</f>
      </c>
      <c r="AD348">
        <f>IF(AND(LEN($Q$2)&gt;=3,ISNUMBER(SEARCH($Q$2,$B348))),MAX($AD$1:AD347)+1,"")</f>
      </c>
    </row>
    <row r="349" ht="14.4" customHeight="1" spans="1:30" x14ac:dyDescent="0.25">
      <c r="A349" s="16" t="s">
        <v>1524</v>
      </c>
      <c r="B349" s="16" t="s">
        <v>423</v>
      </c>
      <c r="C349" s="16" t="s">
        <v>1525</v>
      </c>
      <c r="D349" s="16" t="s">
        <v>1252</v>
      </c>
      <c r="E349" s="16" t="s">
        <v>9</v>
      </c>
      <c r="F349" s="16" t="s">
        <v>9</v>
      </c>
      <c r="G349" s="17">
        <f t="shared" si="21"/>
        <v>790000</v>
      </c>
      <c r="H349" s="18">
        <v>790000</v>
      </c>
      <c r="I349" s="19">
        <v>2</v>
      </c>
      <c r="J349" s="18">
        <f t="shared" si="22"/>
        <v>810000</v>
      </c>
      <c r="K349" s="18" t="s">
        <v>477</v>
      </c>
      <c r="L349" s="16" t="str">
        <f t="shared" si="23"/>
        <v>فعال</v>
      </c>
      <c r="M349" s="16">
        <v>374</v>
      </c>
      <c r="N349" s="16" t="s">
        <v>1524</v>
      </c>
      <c r="O349" t="s">
        <v>1526</v>
      </c>
      <c r="P349">
        <f>IFERROR(INDEX($A$2:$A$422,MATCH(ROWS($P$5:P349),$AD$2:$AD$422,0)),"")</f>
      </c>
      <c r="Q349">
        <f>IF($P349="","",INDEX($B$2:$B$422,MATCH(ROWS($P$5:P349),$AD$2:$AD$422,0)))</f>
      </c>
      <c r="R349">
        <f>IF($P349="","",INDEX($C$2:$C$422,MATCH(ROWS($P$5:P349),$AD$2:$AD$422,0)))</f>
      </c>
      <c r="S349">
        <f>IF($P349="","",INDEX($E$2:$E$422,MATCH(ROWS($P$5:P349),$AD$2:$AD$422,0)))</f>
      </c>
      <c r="T349" s="22">
        <f>IF($P349="","",IFERROR(IF(OR(INDEX($H$2:$H$422,MATCH(ROWS($P$5:P349),$AD$2:$AD$422,0))="",INDEX($H$2:$H$422,MATCH(ROWS($P$5:P349),$AD$2:$AD$422,0))="؟",INDEX($H$2:$H$422,MATCH(ROWS($P$5:P349),$AD$2:$AD$422,0))="نامشخص"),"",INDEX($H$2:$H$422,MATCH(ROWS($P$5:P349),$AD$2:$AD$422,0))),""))</f>
      </c>
      <c r="U349">
        <f>IF($P349="","",INDEX($L$2:$L$422,MATCH(ROWS($P$5:P349),$AD$2:$AD$422,0)))</f>
      </c>
      <c r="V349">
        <f>IF($P349="","",INDEX($M$2:$M$422,MATCH(ROWS($P$5:P349),$AD$2:$AD$422,0)))</f>
      </c>
      <c r="AD349">
        <f>IF(AND(LEN($Q$2)&gt;=3,ISNUMBER(SEARCH($Q$2,$B349))),MAX($AD$1:AD348)+1,"")</f>
      </c>
    </row>
    <row r="350" ht="14.4" customHeight="1" spans="1:30" x14ac:dyDescent="0.25">
      <c r="A350" s="16" t="s">
        <v>1527</v>
      </c>
      <c r="B350" s="16" t="s">
        <v>40</v>
      </c>
      <c r="C350" s="16" t="s">
        <v>1528</v>
      </c>
      <c r="D350" s="16" t="s">
        <v>1529</v>
      </c>
      <c r="E350" s="16" t="s">
        <v>9</v>
      </c>
      <c r="F350" s="16" t="s">
        <v>9</v>
      </c>
      <c r="G350" s="17">
        <f t="shared" si="21"/>
        <v>710000</v>
      </c>
      <c r="H350" s="18">
        <v>710000</v>
      </c>
      <c r="I350" s="19">
        <v>2</v>
      </c>
      <c r="J350" s="18">
        <f t="shared" si="22"/>
        <v>730000</v>
      </c>
      <c r="K350" s="18" t="s">
        <v>477</v>
      </c>
      <c r="L350" s="16" t="str">
        <f t="shared" si="23"/>
        <v>فعال</v>
      </c>
      <c r="M350" s="16">
        <v>32</v>
      </c>
      <c r="N350" s="16" t="s">
        <v>1527</v>
      </c>
      <c r="O350" t="s">
        <v>1530</v>
      </c>
      <c r="P350">
        <f>IFERROR(INDEX($A$2:$A$422,MATCH(ROWS($P$5:P350),$AD$2:$AD$422,0)),"")</f>
      </c>
      <c r="Q350">
        <f>IF($P350="","",INDEX($B$2:$B$422,MATCH(ROWS($P$5:P350),$AD$2:$AD$422,0)))</f>
      </c>
      <c r="R350">
        <f>IF($P350="","",INDEX($C$2:$C$422,MATCH(ROWS($P$5:P350),$AD$2:$AD$422,0)))</f>
      </c>
      <c r="S350">
        <f>IF($P350="","",INDEX($E$2:$E$422,MATCH(ROWS($P$5:P350),$AD$2:$AD$422,0)))</f>
      </c>
      <c r="T350" s="22">
        <f>IF($P350="","",IFERROR(IF(OR(INDEX($H$2:$H$422,MATCH(ROWS($P$5:P350),$AD$2:$AD$422,0))="",INDEX($H$2:$H$422,MATCH(ROWS($P$5:P350),$AD$2:$AD$422,0))="؟",INDEX($H$2:$H$422,MATCH(ROWS($P$5:P350),$AD$2:$AD$422,0))="نامشخص"),"",INDEX($H$2:$H$422,MATCH(ROWS($P$5:P350),$AD$2:$AD$422,0))),""))</f>
      </c>
      <c r="U350">
        <f>IF($P350="","",INDEX($L$2:$L$422,MATCH(ROWS($P$5:P350),$AD$2:$AD$422,0)))</f>
      </c>
      <c r="V350">
        <f>IF($P350="","",INDEX($M$2:$M$422,MATCH(ROWS($P$5:P350),$AD$2:$AD$422,0)))</f>
      </c>
      <c r="AD350">
        <f>IF(AND(LEN($Q$2)&gt;=3,ISNUMBER(SEARCH($Q$2,$B350))),MAX($AD$1:AD349)+1,"")</f>
      </c>
    </row>
    <row r="351" ht="14.4" customHeight="1" spans="1:30" x14ac:dyDescent="0.25">
      <c r="A351" s="16" t="s">
        <v>1531</v>
      </c>
      <c r="B351" s="16" t="s">
        <v>125</v>
      </c>
      <c r="C351" s="16" t="s">
        <v>1532</v>
      </c>
      <c r="D351" s="16" t="s">
        <v>1529</v>
      </c>
      <c r="E351" s="16" t="s">
        <v>124</v>
      </c>
      <c r="F351" s="16" t="s">
        <v>124</v>
      </c>
      <c r="G351" s="17">
        <f t="shared" si="21"/>
        <v>350000</v>
      </c>
      <c r="H351" s="18">
        <v>350000</v>
      </c>
      <c r="I351" s="19">
        <v>2</v>
      </c>
      <c r="J351" s="18">
        <f t="shared" si="22"/>
        <v>360000</v>
      </c>
      <c r="K351" s="18" t="s">
        <v>477</v>
      </c>
      <c r="L351" s="16" t="str">
        <f t="shared" si="23"/>
        <v>فعال</v>
      </c>
      <c r="M351" s="16">
        <v>107</v>
      </c>
      <c r="N351" s="16" t="s">
        <v>1531</v>
      </c>
      <c r="O351" t="s">
        <v>1533</v>
      </c>
      <c r="P351">
        <f>IFERROR(INDEX($A$2:$A$422,MATCH(ROWS($P$5:P351),$AD$2:$AD$422,0)),"")</f>
      </c>
      <c r="Q351">
        <f>IF($P351="","",INDEX($B$2:$B$422,MATCH(ROWS($P$5:P351),$AD$2:$AD$422,0)))</f>
      </c>
      <c r="R351">
        <f>IF($P351="","",INDEX($C$2:$C$422,MATCH(ROWS($P$5:P351),$AD$2:$AD$422,0)))</f>
      </c>
      <c r="S351">
        <f>IF($P351="","",INDEX($E$2:$E$422,MATCH(ROWS($P$5:P351),$AD$2:$AD$422,0)))</f>
      </c>
      <c r="T351" s="22">
        <f>IF($P351="","",IFERROR(IF(OR(INDEX($H$2:$H$422,MATCH(ROWS($P$5:P351),$AD$2:$AD$422,0))="",INDEX($H$2:$H$422,MATCH(ROWS($P$5:P351),$AD$2:$AD$422,0))="؟",INDEX($H$2:$H$422,MATCH(ROWS($P$5:P351),$AD$2:$AD$422,0))="نامشخص"),"",INDEX($H$2:$H$422,MATCH(ROWS($P$5:P351),$AD$2:$AD$422,0))),""))</f>
      </c>
      <c r="U351">
        <f>IF($P351="","",INDEX($L$2:$L$422,MATCH(ROWS($P$5:P351),$AD$2:$AD$422,0)))</f>
      </c>
      <c r="V351">
        <f>IF($P351="","",INDEX($M$2:$M$422,MATCH(ROWS($P$5:P351),$AD$2:$AD$422,0)))</f>
      </c>
      <c r="AD351">
        <f>IF(AND(LEN($Q$2)&gt;=3,ISNUMBER(SEARCH($Q$2,$B351))),MAX($AD$1:AD350)+1,"")</f>
      </c>
    </row>
    <row r="352" ht="14.4" customHeight="1" spans="1:30" x14ac:dyDescent="0.25">
      <c r="A352" s="16" t="s">
        <v>1534</v>
      </c>
      <c r="B352" s="16" t="s">
        <v>123</v>
      </c>
      <c r="C352" s="16" t="s">
        <v>1535</v>
      </c>
      <c r="D352" s="16" t="s">
        <v>1529</v>
      </c>
      <c r="E352" s="16" t="s">
        <v>124</v>
      </c>
      <c r="F352" s="16" t="s">
        <v>124</v>
      </c>
      <c r="G352" s="17">
        <f t="shared" si="21"/>
        <v>430000</v>
      </c>
      <c r="H352" s="18">
        <v>430000</v>
      </c>
      <c r="I352" s="19">
        <v>2</v>
      </c>
      <c r="J352" s="18">
        <f t="shared" si="22"/>
        <v>440000</v>
      </c>
      <c r="K352" s="18" t="s">
        <v>477</v>
      </c>
      <c r="L352" s="16" t="str">
        <f t="shared" si="23"/>
        <v>فعال</v>
      </c>
      <c r="M352" s="16">
        <v>106</v>
      </c>
      <c r="N352" s="16" t="s">
        <v>1534</v>
      </c>
      <c r="O352" t="s">
        <v>1536</v>
      </c>
      <c r="P352">
        <f>IFERROR(INDEX($A$2:$A$422,MATCH(ROWS($P$5:P352),$AD$2:$AD$422,0)),"")</f>
      </c>
      <c r="Q352">
        <f>IF($P352="","",INDEX($B$2:$B$422,MATCH(ROWS($P$5:P352),$AD$2:$AD$422,0)))</f>
      </c>
      <c r="R352">
        <f>IF($P352="","",INDEX($C$2:$C$422,MATCH(ROWS($P$5:P352),$AD$2:$AD$422,0)))</f>
      </c>
      <c r="S352">
        <f>IF($P352="","",INDEX($E$2:$E$422,MATCH(ROWS($P$5:P352),$AD$2:$AD$422,0)))</f>
      </c>
      <c r="T352" s="22">
        <f>IF($P352="","",IFERROR(IF(OR(INDEX($H$2:$H$422,MATCH(ROWS($P$5:P352),$AD$2:$AD$422,0))="",INDEX($H$2:$H$422,MATCH(ROWS($P$5:P352),$AD$2:$AD$422,0))="؟",INDEX($H$2:$H$422,MATCH(ROWS($P$5:P352),$AD$2:$AD$422,0))="نامشخص"),"",INDEX($H$2:$H$422,MATCH(ROWS($P$5:P352),$AD$2:$AD$422,0))),""))</f>
      </c>
      <c r="U352">
        <f>IF($P352="","",INDEX($L$2:$L$422,MATCH(ROWS($P$5:P352),$AD$2:$AD$422,0)))</f>
      </c>
      <c r="V352">
        <f>IF($P352="","",INDEX($M$2:$M$422,MATCH(ROWS($P$5:P352),$AD$2:$AD$422,0)))</f>
      </c>
      <c r="AD352">
        <f>IF(AND(LEN($Q$2)&gt;=3,ISNUMBER(SEARCH($Q$2,$B352))),MAX($AD$1:AD351)+1,"")</f>
      </c>
    </row>
    <row r="353" ht="14.4" customHeight="1" spans="1:30" x14ac:dyDescent="0.25">
      <c r="A353" s="16" t="s">
        <v>1537</v>
      </c>
      <c r="B353" s="16" t="s">
        <v>128</v>
      </c>
      <c r="C353" s="16" t="s">
        <v>1538</v>
      </c>
      <c r="D353" s="16" t="s">
        <v>1529</v>
      </c>
      <c r="E353" s="16" t="s">
        <v>9</v>
      </c>
      <c r="F353" s="16" t="s">
        <v>9</v>
      </c>
      <c r="G353" s="17">
        <f t="shared" si="21"/>
        <v>350000</v>
      </c>
      <c r="H353" s="18">
        <v>350000</v>
      </c>
      <c r="I353" s="19">
        <v>2</v>
      </c>
      <c r="J353" s="18">
        <f t="shared" si="22"/>
        <v>360000</v>
      </c>
      <c r="K353" s="18" t="s">
        <v>477</v>
      </c>
      <c r="L353" s="16" t="str">
        <f t="shared" si="23"/>
        <v>فعال</v>
      </c>
      <c r="M353" s="16">
        <v>110</v>
      </c>
      <c r="N353" s="16" t="s">
        <v>1537</v>
      </c>
      <c r="O353" t="s">
        <v>1539</v>
      </c>
      <c r="P353">
        <f>IFERROR(INDEX($A$2:$A$422,MATCH(ROWS($P$5:P353),$AD$2:$AD$422,0)),"")</f>
      </c>
      <c r="Q353">
        <f>IF($P353="","",INDEX($B$2:$B$422,MATCH(ROWS($P$5:P353),$AD$2:$AD$422,0)))</f>
      </c>
      <c r="R353">
        <f>IF($P353="","",INDEX($C$2:$C$422,MATCH(ROWS($P$5:P353),$AD$2:$AD$422,0)))</f>
      </c>
      <c r="S353">
        <f>IF($P353="","",INDEX($E$2:$E$422,MATCH(ROWS($P$5:P353),$AD$2:$AD$422,0)))</f>
      </c>
      <c r="T353" s="22">
        <f>IF($P353="","",IFERROR(IF(OR(INDEX($H$2:$H$422,MATCH(ROWS($P$5:P353),$AD$2:$AD$422,0))="",INDEX($H$2:$H$422,MATCH(ROWS($P$5:P353),$AD$2:$AD$422,0))="؟",INDEX($H$2:$H$422,MATCH(ROWS($P$5:P353),$AD$2:$AD$422,0))="نامشخص"),"",INDEX($H$2:$H$422,MATCH(ROWS($P$5:P353),$AD$2:$AD$422,0))),""))</f>
      </c>
      <c r="U353">
        <f>IF($P353="","",INDEX($L$2:$L$422,MATCH(ROWS($P$5:P353),$AD$2:$AD$422,0)))</f>
      </c>
      <c r="V353">
        <f>IF($P353="","",INDEX($M$2:$M$422,MATCH(ROWS($P$5:P353),$AD$2:$AD$422,0)))</f>
      </c>
      <c r="AD353">
        <f>IF(AND(LEN($Q$2)&gt;=3,ISNUMBER(SEARCH($Q$2,$B353))),MAX($AD$1:AD352)+1,"")</f>
      </c>
    </row>
    <row r="354" ht="14.4" customHeight="1" spans="1:30" x14ac:dyDescent="0.25">
      <c r="A354" s="16" t="s">
        <v>1540</v>
      </c>
      <c r="B354" s="16" t="s">
        <v>126</v>
      </c>
      <c r="C354" s="16" t="s">
        <v>1541</v>
      </c>
      <c r="D354" s="16" t="s">
        <v>1529</v>
      </c>
      <c r="E354" s="16" t="s">
        <v>9</v>
      </c>
      <c r="F354" s="16" t="s">
        <v>9</v>
      </c>
      <c r="G354" s="17">
        <f t="shared" si="21"/>
        <v>330000</v>
      </c>
      <c r="H354" s="18">
        <v>330000</v>
      </c>
      <c r="I354" s="19">
        <v>1</v>
      </c>
      <c r="J354" s="18">
        <f t="shared" si="22"/>
        <v>340000</v>
      </c>
      <c r="K354" s="18" t="s">
        <v>477</v>
      </c>
      <c r="L354" s="16" t="str">
        <f t="shared" si="23"/>
        <v>فعال</v>
      </c>
      <c r="M354" s="16">
        <v>108</v>
      </c>
      <c r="N354" s="16" t="s">
        <v>1540</v>
      </c>
      <c r="O354" t="s">
        <v>1542</v>
      </c>
      <c r="P354">
        <f>IFERROR(INDEX($A$2:$A$422,MATCH(ROWS($P$5:P354),$AD$2:$AD$422,0)),"")</f>
      </c>
      <c r="Q354">
        <f>IF($P354="","",INDEX($B$2:$B$422,MATCH(ROWS($P$5:P354),$AD$2:$AD$422,0)))</f>
      </c>
      <c r="R354">
        <f>IF($P354="","",INDEX($C$2:$C$422,MATCH(ROWS($P$5:P354),$AD$2:$AD$422,0)))</f>
      </c>
      <c r="S354">
        <f>IF($P354="","",INDEX($E$2:$E$422,MATCH(ROWS($P$5:P354),$AD$2:$AD$422,0)))</f>
      </c>
      <c r="T354" s="22">
        <f>IF($P354="","",IFERROR(IF(OR(INDEX($H$2:$H$422,MATCH(ROWS($P$5:P354),$AD$2:$AD$422,0))="",INDEX($H$2:$H$422,MATCH(ROWS($P$5:P354),$AD$2:$AD$422,0))="؟",INDEX($H$2:$H$422,MATCH(ROWS($P$5:P354),$AD$2:$AD$422,0))="نامشخص"),"",INDEX($H$2:$H$422,MATCH(ROWS($P$5:P354),$AD$2:$AD$422,0))),""))</f>
      </c>
      <c r="U354">
        <f>IF($P354="","",INDEX($L$2:$L$422,MATCH(ROWS($P$5:P354),$AD$2:$AD$422,0)))</f>
      </c>
      <c r="V354">
        <f>IF($P354="","",INDEX($M$2:$M$422,MATCH(ROWS($P$5:P354),$AD$2:$AD$422,0)))</f>
      </c>
      <c r="AD354">
        <f>IF(AND(LEN($Q$2)&gt;=3,ISNUMBER(SEARCH($Q$2,$B354))),MAX($AD$1:AD353)+1,"")</f>
      </c>
    </row>
    <row r="355" ht="14.4" customHeight="1" spans="1:30" x14ac:dyDescent="0.25">
      <c r="A355" s="16" t="s">
        <v>1543</v>
      </c>
      <c r="B355" s="16" t="s">
        <v>129</v>
      </c>
      <c r="C355" s="16" t="s">
        <v>1544</v>
      </c>
      <c r="D355" s="16" t="s">
        <v>1529</v>
      </c>
      <c r="E355" s="16" t="s">
        <v>9</v>
      </c>
      <c r="F355" s="16" t="s">
        <v>9</v>
      </c>
      <c r="G355" s="17">
        <f t="shared" si="21"/>
        <v>330000</v>
      </c>
      <c r="H355" s="18">
        <v>330000</v>
      </c>
      <c r="I355" s="19">
        <v>1</v>
      </c>
      <c r="J355" s="18">
        <f t="shared" si="22"/>
        <v>340000</v>
      </c>
      <c r="K355" s="18" t="s">
        <v>477</v>
      </c>
      <c r="L355" s="16" t="str">
        <f t="shared" si="23"/>
        <v>فعال</v>
      </c>
      <c r="M355" s="16">
        <v>111</v>
      </c>
      <c r="N355" s="16" t="s">
        <v>1543</v>
      </c>
      <c r="O355" t="s">
        <v>1545</v>
      </c>
      <c r="P355">
        <f>IFERROR(INDEX($A$2:$A$422,MATCH(ROWS($P$5:P355),$AD$2:$AD$422,0)),"")</f>
      </c>
      <c r="Q355">
        <f>IF($P355="","",INDEX($B$2:$B$422,MATCH(ROWS($P$5:P355),$AD$2:$AD$422,0)))</f>
      </c>
      <c r="R355">
        <f>IF($P355="","",INDEX($C$2:$C$422,MATCH(ROWS($P$5:P355),$AD$2:$AD$422,0)))</f>
      </c>
      <c r="S355">
        <f>IF($P355="","",INDEX($E$2:$E$422,MATCH(ROWS($P$5:P355),$AD$2:$AD$422,0)))</f>
      </c>
      <c r="T355" s="22">
        <f>IF($P355="","",IFERROR(IF(OR(INDEX($H$2:$H$422,MATCH(ROWS($P$5:P355),$AD$2:$AD$422,0))="",INDEX($H$2:$H$422,MATCH(ROWS($P$5:P355),$AD$2:$AD$422,0))="؟",INDEX($H$2:$H$422,MATCH(ROWS($P$5:P355),$AD$2:$AD$422,0))="نامشخص"),"",INDEX($H$2:$H$422,MATCH(ROWS($P$5:P355),$AD$2:$AD$422,0))),""))</f>
      </c>
      <c r="U355">
        <f>IF($P355="","",INDEX($L$2:$L$422,MATCH(ROWS($P$5:P355),$AD$2:$AD$422,0)))</f>
      </c>
      <c r="V355">
        <f>IF($P355="","",INDEX($M$2:$M$422,MATCH(ROWS($P$5:P355),$AD$2:$AD$422,0)))</f>
      </c>
      <c r="AD355">
        <f>IF(AND(LEN($Q$2)&gt;=3,ISNUMBER(SEARCH($Q$2,$B355))),MAX($AD$1:AD354)+1,"")</f>
      </c>
    </row>
    <row r="356" ht="14.4" customHeight="1" spans="1:30" x14ac:dyDescent="0.25">
      <c r="A356" s="16" t="s">
        <v>1546</v>
      </c>
      <c r="B356" s="16" t="s">
        <v>261</v>
      </c>
      <c r="C356" s="16" t="s">
        <v>1547</v>
      </c>
      <c r="D356" s="16" t="s">
        <v>1529</v>
      </c>
      <c r="E356" s="16" t="s">
        <v>9</v>
      </c>
      <c r="F356" s="16" t="s">
        <v>9</v>
      </c>
      <c r="G356" s="17" t="str">
        <f t="shared" si="21"/>
        <v>؟</v>
      </c>
      <c r="H356" s="18" t="s">
        <v>8</v>
      </c>
      <c r="I356" s="19">
        <v>3</v>
      </c>
      <c r="J356" s="18">
        <f t="shared" si="22"/>
      </c>
      <c r="K356" s="18" t="s">
        <v>477</v>
      </c>
      <c r="L356" s="16" t="str">
        <f t="shared" si="23"/>
        <v>نیاز به استعلام</v>
      </c>
      <c r="M356" s="16">
        <v>237</v>
      </c>
      <c r="N356" s="16" t="s">
        <v>1546</v>
      </c>
      <c r="O356" t="s">
        <v>1548</v>
      </c>
      <c r="P356">
        <f>IFERROR(INDEX($A$2:$A$422,MATCH(ROWS($P$5:P356),$AD$2:$AD$422,0)),"")</f>
      </c>
      <c r="Q356">
        <f>IF($P356="","",INDEX($B$2:$B$422,MATCH(ROWS($P$5:P356),$AD$2:$AD$422,0)))</f>
      </c>
      <c r="R356">
        <f>IF($P356="","",INDEX($C$2:$C$422,MATCH(ROWS($P$5:P356),$AD$2:$AD$422,0)))</f>
      </c>
      <c r="S356">
        <f>IF($P356="","",INDEX($E$2:$E$422,MATCH(ROWS($P$5:P356),$AD$2:$AD$422,0)))</f>
      </c>
      <c r="T356" s="22">
        <f>IF($P356="","",IFERROR(IF(OR(INDEX($H$2:$H$422,MATCH(ROWS($P$5:P356),$AD$2:$AD$422,0))="",INDEX($H$2:$H$422,MATCH(ROWS($P$5:P356),$AD$2:$AD$422,0))="؟",INDEX($H$2:$H$422,MATCH(ROWS($P$5:P356),$AD$2:$AD$422,0))="نامشخص"),"",INDEX($H$2:$H$422,MATCH(ROWS($P$5:P356),$AD$2:$AD$422,0))),""))</f>
      </c>
      <c r="U356">
        <f>IF($P356="","",INDEX($L$2:$L$422,MATCH(ROWS($P$5:P356),$AD$2:$AD$422,0)))</f>
      </c>
      <c r="V356">
        <f>IF($P356="","",INDEX($M$2:$M$422,MATCH(ROWS($P$5:P356),$AD$2:$AD$422,0)))</f>
      </c>
      <c r="AD356">
        <f>IF(AND(LEN($Q$2)&gt;=3,ISNUMBER(SEARCH($Q$2,$B356))),MAX($AD$1:AD355)+1,"")</f>
      </c>
    </row>
    <row r="357" ht="14.4" customHeight="1" spans="1:30" x14ac:dyDescent="0.25">
      <c r="A357" s="16" t="s">
        <v>1549</v>
      </c>
      <c r="B357" s="16" t="s">
        <v>262</v>
      </c>
      <c r="C357" s="16" t="s">
        <v>1550</v>
      </c>
      <c r="D357" s="16" t="s">
        <v>1529</v>
      </c>
      <c r="E357" s="16" t="s">
        <v>9</v>
      </c>
      <c r="F357" s="16" t="s">
        <v>9</v>
      </c>
      <c r="G357" s="17">
        <f t="shared" si="21"/>
        <v>190000</v>
      </c>
      <c r="H357" s="18">
        <v>190000</v>
      </c>
      <c r="I357" s="19">
        <v>1</v>
      </c>
      <c r="J357" s="18">
        <f t="shared" si="22"/>
        <v>200000</v>
      </c>
      <c r="K357" s="18" t="s">
        <v>477</v>
      </c>
      <c r="L357" s="16" t="str">
        <f t="shared" si="23"/>
        <v>فعال</v>
      </c>
      <c r="M357" s="16">
        <v>238</v>
      </c>
      <c r="N357" s="16" t="s">
        <v>1549</v>
      </c>
      <c r="O357" t="s">
        <v>1551</v>
      </c>
      <c r="P357">
        <f>IFERROR(INDEX($A$2:$A$422,MATCH(ROWS($P$5:P357),$AD$2:$AD$422,0)),"")</f>
      </c>
      <c r="Q357">
        <f>IF($P357="","",INDEX($B$2:$B$422,MATCH(ROWS($P$5:P357),$AD$2:$AD$422,0)))</f>
      </c>
      <c r="R357">
        <f>IF($P357="","",INDEX($C$2:$C$422,MATCH(ROWS($P$5:P357),$AD$2:$AD$422,0)))</f>
      </c>
      <c r="S357">
        <f>IF($P357="","",INDEX($E$2:$E$422,MATCH(ROWS($P$5:P357),$AD$2:$AD$422,0)))</f>
      </c>
      <c r="T357" s="22">
        <f>IF($P357="","",IFERROR(IF(OR(INDEX($H$2:$H$422,MATCH(ROWS($P$5:P357),$AD$2:$AD$422,0))="",INDEX($H$2:$H$422,MATCH(ROWS($P$5:P357),$AD$2:$AD$422,0))="؟",INDEX($H$2:$H$422,MATCH(ROWS($P$5:P357),$AD$2:$AD$422,0))="نامشخص"),"",INDEX($H$2:$H$422,MATCH(ROWS($P$5:P357),$AD$2:$AD$422,0))),""))</f>
      </c>
      <c r="U357">
        <f>IF($P357="","",INDEX($L$2:$L$422,MATCH(ROWS($P$5:P357),$AD$2:$AD$422,0)))</f>
      </c>
      <c r="V357">
        <f>IF($P357="","",INDEX($M$2:$M$422,MATCH(ROWS($P$5:P357),$AD$2:$AD$422,0)))</f>
      </c>
      <c r="AD357">
        <f>IF(AND(LEN($Q$2)&gt;=3,ISNUMBER(SEARCH($Q$2,$B357))),MAX($AD$1:AD356)+1,"")</f>
      </c>
    </row>
    <row r="358" ht="14.4" customHeight="1" spans="1:30" x14ac:dyDescent="0.25">
      <c r="A358" s="16" t="s">
        <v>1552</v>
      </c>
      <c r="B358" s="16" t="s">
        <v>263</v>
      </c>
      <c r="C358" s="16" t="s">
        <v>1553</v>
      </c>
      <c r="D358" s="16" t="s">
        <v>1529</v>
      </c>
      <c r="E358" s="16" t="s">
        <v>9</v>
      </c>
      <c r="F358" s="16" t="s">
        <v>9</v>
      </c>
      <c r="G358" s="17">
        <f t="shared" si="21"/>
        <v>700000</v>
      </c>
      <c r="H358" s="18">
        <v>700000</v>
      </c>
      <c r="I358" s="19">
        <v>2</v>
      </c>
      <c r="J358" s="18">
        <f t="shared" si="22"/>
        <v>720000</v>
      </c>
      <c r="K358" s="18" t="s">
        <v>477</v>
      </c>
      <c r="L358" s="16" t="str">
        <f t="shared" si="23"/>
        <v>فعال</v>
      </c>
      <c r="M358" s="16">
        <v>239</v>
      </c>
      <c r="N358" s="16" t="s">
        <v>1552</v>
      </c>
      <c r="O358" t="s">
        <v>1554</v>
      </c>
      <c r="P358">
        <f>IFERROR(INDEX($A$2:$A$422,MATCH(ROWS($P$5:P358),$AD$2:$AD$422,0)),"")</f>
      </c>
      <c r="Q358">
        <f>IF($P358="","",INDEX($B$2:$B$422,MATCH(ROWS($P$5:P358),$AD$2:$AD$422,0)))</f>
      </c>
      <c r="R358">
        <f>IF($P358="","",INDEX($C$2:$C$422,MATCH(ROWS($P$5:P358),$AD$2:$AD$422,0)))</f>
      </c>
      <c r="S358">
        <f>IF($P358="","",INDEX($E$2:$E$422,MATCH(ROWS($P$5:P358),$AD$2:$AD$422,0)))</f>
      </c>
      <c r="T358" s="22">
        <f>IF($P358="","",IFERROR(IF(OR(INDEX($H$2:$H$422,MATCH(ROWS($P$5:P358),$AD$2:$AD$422,0))="",INDEX($H$2:$H$422,MATCH(ROWS($P$5:P358),$AD$2:$AD$422,0))="؟",INDEX($H$2:$H$422,MATCH(ROWS($P$5:P358),$AD$2:$AD$422,0))="نامشخص"),"",INDEX($H$2:$H$422,MATCH(ROWS($P$5:P358),$AD$2:$AD$422,0))),""))</f>
      </c>
      <c r="U358">
        <f>IF($P358="","",INDEX($L$2:$L$422,MATCH(ROWS($P$5:P358),$AD$2:$AD$422,0)))</f>
      </c>
      <c r="V358">
        <f>IF($P358="","",INDEX($M$2:$M$422,MATCH(ROWS($P$5:P358),$AD$2:$AD$422,0)))</f>
      </c>
      <c r="AD358">
        <f>IF(AND(LEN($Q$2)&gt;=3,ISNUMBER(SEARCH($Q$2,$B358))),MAX($AD$1:AD357)+1,"")</f>
      </c>
    </row>
    <row r="359" ht="14.4" customHeight="1" spans="1:30" x14ac:dyDescent="0.25">
      <c r="A359" s="16" t="s">
        <v>1555</v>
      </c>
      <c r="B359" s="16" t="s">
        <v>265</v>
      </c>
      <c r="C359" s="16" t="s">
        <v>1556</v>
      </c>
      <c r="D359" s="16" t="s">
        <v>1529</v>
      </c>
      <c r="E359" s="16" t="s">
        <v>9</v>
      </c>
      <c r="F359" s="16" t="s">
        <v>9</v>
      </c>
      <c r="G359" s="17">
        <f t="shared" si="21"/>
        <v>890000</v>
      </c>
      <c r="H359" s="18">
        <v>890000</v>
      </c>
      <c r="I359" s="19">
        <v>1</v>
      </c>
      <c r="J359" s="18">
        <f t="shared" si="22"/>
        <v>900000</v>
      </c>
      <c r="K359" s="18" t="s">
        <v>477</v>
      </c>
      <c r="L359" s="16" t="str">
        <f t="shared" si="23"/>
        <v>فعال</v>
      </c>
      <c r="M359" s="16">
        <v>241</v>
      </c>
      <c r="N359" s="16" t="s">
        <v>1555</v>
      </c>
      <c r="O359" t="s">
        <v>1557</v>
      </c>
      <c r="P359">
        <f>IFERROR(INDEX($A$2:$A$422,MATCH(ROWS($P$5:P359),$AD$2:$AD$422,0)),"")</f>
      </c>
      <c r="Q359">
        <f>IF($P359="","",INDEX($B$2:$B$422,MATCH(ROWS($P$5:P359),$AD$2:$AD$422,0)))</f>
      </c>
      <c r="R359">
        <f>IF($P359="","",INDEX($C$2:$C$422,MATCH(ROWS($P$5:P359),$AD$2:$AD$422,0)))</f>
      </c>
      <c r="S359">
        <f>IF($P359="","",INDEX($E$2:$E$422,MATCH(ROWS($P$5:P359),$AD$2:$AD$422,0)))</f>
      </c>
      <c r="T359" s="22">
        <f>IF($P359="","",IFERROR(IF(OR(INDEX($H$2:$H$422,MATCH(ROWS($P$5:P359),$AD$2:$AD$422,0))="",INDEX($H$2:$H$422,MATCH(ROWS($P$5:P359),$AD$2:$AD$422,0))="؟",INDEX($H$2:$H$422,MATCH(ROWS($P$5:P359),$AD$2:$AD$422,0))="نامشخص"),"",INDEX($H$2:$H$422,MATCH(ROWS($P$5:P359),$AD$2:$AD$422,0))),""))</f>
      </c>
      <c r="U359">
        <f>IF($P359="","",INDEX($L$2:$L$422,MATCH(ROWS($P$5:P359),$AD$2:$AD$422,0)))</f>
      </c>
      <c r="V359">
        <f>IF($P359="","",INDEX($M$2:$M$422,MATCH(ROWS($P$5:P359),$AD$2:$AD$422,0)))</f>
      </c>
      <c r="AD359">
        <f>IF(AND(LEN($Q$2)&gt;=3,ISNUMBER(SEARCH($Q$2,$B359))),MAX($AD$1:AD358)+1,"")</f>
      </c>
    </row>
    <row r="360" ht="14.4" customHeight="1" spans="1:30" x14ac:dyDescent="0.25">
      <c r="A360" s="16" t="s">
        <v>1558</v>
      </c>
      <c r="B360" s="16" t="s">
        <v>264</v>
      </c>
      <c r="C360" s="16" t="s">
        <v>1559</v>
      </c>
      <c r="D360" s="16" t="s">
        <v>1529</v>
      </c>
      <c r="E360" s="16" t="s">
        <v>9</v>
      </c>
      <c r="F360" s="16" t="s">
        <v>9</v>
      </c>
      <c r="G360" s="17">
        <f t="shared" si="21"/>
        <v>890000</v>
      </c>
      <c r="H360" s="18">
        <v>890000</v>
      </c>
      <c r="I360" s="19">
        <v>2</v>
      </c>
      <c r="J360" s="18">
        <f t="shared" si="22"/>
        <v>910000</v>
      </c>
      <c r="K360" s="18" t="s">
        <v>477</v>
      </c>
      <c r="L360" s="16" t="str">
        <f t="shared" si="23"/>
        <v>فعال</v>
      </c>
      <c r="M360" s="16">
        <v>240</v>
      </c>
      <c r="N360" s="16" t="s">
        <v>1558</v>
      </c>
      <c r="O360" t="s">
        <v>1560</v>
      </c>
      <c r="P360">
        <f>IFERROR(INDEX($A$2:$A$422,MATCH(ROWS($P$5:P360),$AD$2:$AD$422,0)),"")</f>
      </c>
      <c r="Q360">
        <f>IF($P360="","",INDEX($B$2:$B$422,MATCH(ROWS($P$5:P360),$AD$2:$AD$422,0)))</f>
      </c>
      <c r="R360">
        <f>IF($P360="","",INDEX($C$2:$C$422,MATCH(ROWS($P$5:P360),$AD$2:$AD$422,0)))</f>
      </c>
      <c r="S360">
        <f>IF($P360="","",INDEX($E$2:$E$422,MATCH(ROWS($P$5:P360),$AD$2:$AD$422,0)))</f>
      </c>
      <c r="T360" s="22">
        <f>IF($P360="","",IFERROR(IF(OR(INDEX($H$2:$H$422,MATCH(ROWS($P$5:P360),$AD$2:$AD$422,0))="",INDEX($H$2:$H$422,MATCH(ROWS($P$5:P360),$AD$2:$AD$422,0))="؟",INDEX($H$2:$H$422,MATCH(ROWS($P$5:P360),$AD$2:$AD$422,0))="نامشخص"),"",INDEX($H$2:$H$422,MATCH(ROWS($P$5:P360),$AD$2:$AD$422,0))),""))</f>
      </c>
      <c r="U360">
        <f>IF($P360="","",INDEX($L$2:$L$422,MATCH(ROWS($P$5:P360),$AD$2:$AD$422,0)))</f>
      </c>
      <c r="V360">
        <f>IF($P360="","",INDEX($M$2:$M$422,MATCH(ROWS($P$5:P360),$AD$2:$AD$422,0)))</f>
      </c>
      <c r="AD360">
        <f>IF(AND(LEN($Q$2)&gt;=3,ISNUMBER(SEARCH($Q$2,$B360))),MAX($AD$1:AD359)+1,"")</f>
      </c>
    </row>
    <row r="361" ht="14.4" customHeight="1" spans="1:30" x14ac:dyDescent="0.25">
      <c r="A361" s="16" t="s">
        <v>1561</v>
      </c>
      <c r="B361" s="16" t="s">
        <v>277</v>
      </c>
      <c r="C361" s="16" t="s">
        <v>1562</v>
      </c>
      <c r="D361" s="16" t="s">
        <v>1529</v>
      </c>
      <c r="E361" s="16" t="s">
        <v>272</v>
      </c>
      <c r="F361" s="16" t="s">
        <v>272</v>
      </c>
      <c r="G361" s="17">
        <f t="shared" si="21"/>
        <v>250000</v>
      </c>
      <c r="H361" s="18">
        <v>250000</v>
      </c>
      <c r="I361" s="19">
        <v>1</v>
      </c>
      <c r="J361" s="18">
        <f t="shared" si="22"/>
        <v>260000</v>
      </c>
      <c r="K361" s="18" t="s">
        <v>477</v>
      </c>
      <c r="L361" s="16" t="str">
        <f t="shared" si="23"/>
        <v>فعال</v>
      </c>
      <c r="M361" s="16">
        <v>252</v>
      </c>
      <c r="N361" s="16" t="s">
        <v>1561</v>
      </c>
      <c r="O361" t="s">
        <v>1563</v>
      </c>
      <c r="P361">
        <f>IFERROR(INDEX($A$2:$A$422,MATCH(ROWS($P$5:P361),$AD$2:$AD$422,0)),"")</f>
      </c>
      <c r="Q361">
        <f>IF($P361="","",INDEX($B$2:$B$422,MATCH(ROWS($P$5:P361),$AD$2:$AD$422,0)))</f>
      </c>
      <c r="R361">
        <f>IF($P361="","",INDEX($C$2:$C$422,MATCH(ROWS($P$5:P361),$AD$2:$AD$422,0)))</f>
      </c>
      <c r="S361">
        <f>IF($P361="","",INDEX($E$2:$E$422,MATCH(ROWS($P$5:P361),$AD$2:$AD$422,0)))</f>
      </c>
      <c r="T361" s="22">
        <f>IF($P361="","",IFERROR(IF(OR(INDEX($H$2:$H$422,MATCH(ROWS($P$5:P361),$AD$2:$AD$422,0))="",INDEX($H$2:$H$422,MATCH(ROWS($P$5:P361),$AD$2:$AD$422,0))="؟",INDEX($H$2:$H$422,MATCH(ROWS($P$5:P361),$AD$2:$AD$422,0))="نامشخص"),"",INDEX($H$2:$H$422,MATCH(ROWS($P$5:P361),$AD$2:$AD$422,0))),""))</f>
      </c>
      <c r="U361">
        <f>IF($P361="","",INDEX($L$2:$L$422,MATCH(ROWS($P$5:P361),$AD$2:$AD$422,0)))</f>
      </c>
      <c r="V361">
        <f>IF($P361="","",INDEX($M$2:$M$422,MATCH(ROWS($P$5:P361),$AD$2:$AD$422,0)))</f>
      </c>
      <c r="AD361">
        <f>IF(AND(LEN($Q$2)&gt;=3,ISNUMBER(SEARCH($Q$2,$B361))),MAX($AD$1:AD360)+1,"")</f>
      </c>
    </row>
    <row r="362" ht="14.4" customHeight="1" spans="1:30" x14ac:dyDescent="0.25">
      <c r="A362" s="16" t="s">
        <v>1564</v>
      </c>
      <c r="B362" s="16" t="s">
        <v>355</v>
      </c>
      <c r="C362" s="16" t="s">
        <v>1565</v>
      </c>
      <c r="D362" s="16" t="s">
        <v>1529</v>
      </c>
      <c r="E362" s="16" t="s">
        <v>356</v>
      </c>
      <c r="F362" s="16" t="s">
        <v>356</v>
      </c>
      <c r="G362" s="17">
        <f t="shared" si="21"/>
        <v>1200001</v>
      </c>
      <c r="H362" s="18">
        <v>1200001</v>
      </c>
      <c r="I362" s="19">
        <v>3</v>
      </c>
      <c r="J362" s="18">
        <f t="shared" si="22"/>
        <v>1240000</v>
      </c>
      <c r="K362" s="18" t="s">
        <v>477</v>
      </c>
      <c r="L362" s="16" t="str">
        <f t="shared" si="23"/>
        <v>فعال</v>
      </c>
      <c r="M362" s="16">
        <v>319</v>
      </c>
      <c r="N362" s="16" t="s">
        <v>1564</v>
      </c>
      <c r="O362" t="s">
        <v>1566</v>
      </c>
      <c r="P362">
        <f>IFERROR(INDEX($A$2:$A$422,MATCH(ROWS($P$5:P362),$AD$2:$AD$422,0)),"")</f>
      </c>
      <c r="Q362">
        <f>IF($P362="","",INDEX($B$2:$B$422,MATCH(ROWS($P$5:P362),$AD$2:$AD$422,0)))</f>
      </c>
      <c r="R362">
        <f>IF($P362="","",INDEX($C$2:$C$422,MATCH(ROWS($P$5:P362),$AD$2:$AD$422,0)))</f>
      </c>
      <c r="S362">
        <f>IF($P362="","",INDEX($E$2:$E$422,MATCH(ROWS($P$5:P362),$AD$2:$AD$422,0)))</f>
      </c>
      <c r="T362" s="22">
        <f>IF($P362="","",IFERROR(IF(OR(INDEX($H$2:$H$422,MATCH(ROWS($P$5:P362),$AD$2:$AD$422,0))="",INDEX($H$2:$H$422,MATCH(ROWS($P$5:P362),$AD$2:$AD$422,0))="؟",INDEX($H$2:$H$422,MATCH(ROWS($P$5:P362),$AD$2:$AD$422,0))="نامشخص"),"",INDEX($H$2:$H$422,MATCH(ROWS($P$5:P362),$AD$2:$AD$422,0))),""))</f>
      </c>
      <c r="U362">
        <f>IF($P362="","",INDEX($L$2:$L$422,MATCH(ROWS($P$5:P362),$AD$2:$AD$422,0)))</f>
      </c>
      <c r="V362">
        <f>IF($P362="","",INDEX($M$2:$M$422,MATCH(ROWS($P$5:P362),$AD$2:$AD$422,0)))</f>
      </c>
      <c r="AD362">
        <f>IF(AND(LEN($Q$2)&gt;=3,ISNUMBER(SEARCH($Q$2,$B362))),MAX($AD$1:AD361)+1,"")</f>
      </c>
    </row>
    <row r="363" ht="14.4" customHeight="1" spans="1:30" x14ac:dyDescent="0.25">
      <c r="A363" s="16" t="s">
        <v>1567</v>
      </c>
      <c r="B363" s="16" t="s">
        <v>355</v>
      </c>
      <c r="C363" s="16" t="s">
        <v>1568</v>
      </c>
      <c r="D363" s="16" t="s">
        <v>1529</v>
      </c>
      <c r="E363" s="16" t="s">
        <v>357</v>
      </c>
      <c r="F363" s="16" t="s">
        <v>357</v>
      </c>
      <c r="G363" s="17">
        <f t="shared" si="21"/>
        <v>1300000</v>
      </c>
      <c r="H363" s="18">
        <v>1300000</v>
      </c>
      <c r="I363" s="19">
        <v>3</v>
      </c>
      <c r="J363" s="18">
        <f t="shared" si="22"/>
        <v>1340000</v>
      </c>
      <c r="K363" s="18" t="s">
        <v>477</v>
      </c>
      <c r="L363" s="16" t="str">
        <f t="shared" si="23"/>
        <v>فعال</v>
      </c>
      <c r="M363" s="16">
        <v>319</v>
      </c>
      <c r="N363" s="16" t="s">
        <v>1567</v>
      </c>
      <c r="O363" t="s">
        <v>1569</v>
      </c>
      <c r="P363">
        <f>IFERROR(INDEX($A$2:$A$422,MATCH(ROWS($P$5:P363),$AD$2:$AD$422,0)),"")</f>
      </c>
      <c r="Q363">
        <f>IF($P363="","",INDEX($B$2:$B$422,MATCH(ROWS($P$5:P363),$AD$2:$AD$422,0)))</f>
      </c>
      <c r="R363">
        <f>IF($P363="","",INDEX($C$2:$C$422,MATCH(ROWS($P$5:P363),$AD$2:$AD$422,0)))</f>
      </c>
      <c r="S363">
        <f>IF($P363="","",INDEX($E$2:$E$422,MATCH(ROWS($P$5:P363),$AD$2:$AD$422,0)))</f>
      </c>
      <c r="T363" s="22">
        <f>IF($P363="","",IFERROR(IF(OR(INDEX($H$2:$H$422,MATCH(ROWS($P$5:P363),$AD$2:$AD$422,0))="",INDEX($H$2:$H$422,MATCH(ROWS($P$5:P363),$AD$2:$AD$422,0))="؟",INDEX($H$2:$H$422,MATCH(ROWS($P$5:P363),$AD$2:$AD$422,0))="نامشخص"),"",INDEX($H$2:$H$422,MATCH(ROWS($P$5:P363),$AD$2:$AD$422,0))),""))</f>
      </c>
      <c r="U363">
        <f>IF($P363="","",INDEX($L$2:$L$422,MATCH(ROWS($P$5:P363),$AD$2:$AD$422,0)))</f>
      </c>
      <c r="V363">
        <f>IF($P363="","",INDEX($M$2:$M$422,MATCH(ROWS($P$5:P363),$AD$2:$AD$422,0)))</f>
      </c>
      <c r="AD363">
        <f>IF(AND(LEN($Q$2)&gt;=3,ISNUMBER(SEARCH($Q$2,$B363))),MAX($AD$1:AD362)+1,"")</f>
      </c>
    </row>
    <row r="364" ht="14.4" customHeight="1" spans="1:30" x14ac:dyDescent="0.25">
      <c r="A364" s="16" t="s">
        <v>1570</v>
      </c>
      <c r="B364" s="16" t="s">
        <v>358</v>
      </c>
      <c r="C364" s="16" t="s">
        <v>1571</v>
      </c>
      <c r="D364" s="16" t="s">
        <v>1529</v>
      </c>
      <c r="E364" s="16" t="s">
        <v>9</v>
      </c>
      <c r="F364" s="16" t="s">
        <v>9</v>
      </c>
      <c r="G364" s="17" t="str">
        <f t="shared" si="21"/>
        <v>؟</v>
      </c>
      <c r="H364" s="18" t="s">
        <v>8</v>
      </c>
      <c r="I364" s="19">
        <v>3</v>
      </c>
      <c r="J364" s="18">
        <f t="shared" si="22"/>
      </c>
      <c r="K364" s="18" t="s">
        <v>477</v>
      </c>
      <c r="L364" s="16" t="str">
        <f t="shared" si="23"/>
        <v>نیاز به استعلام</v>
      </c>
      <c r="M364" s="16">
        <v>320</v>
      </c>
      <c r="N364" s="16" t="s">
        <v>1570</v>
      </c>
      <c r="O364" t="s">
        <v>1572</v>
      </c>
      <c r="P364">
        <f>IFERROR(INDEX($A$2:$A$422,MATCH(ROWS($P$5:P364),$AD$2:$AD$422,0)),"")</f>
      </c>
      <c r="Q364">
        <f>IF($P364="","",INDEX($B$2:$B$422,MATCH(ROWS($P$5:P364),$AD$2:$AD$422,0)))</f>
      </c>
      <c r="R364">
        <f>IF($P364="","",INDEX($C$2:$C$422,MATCH(ROWS($P$5:P364),$AD$2:$AD$422,0)))</f>
      </c>
      <c r="S364">
        <f>IF($P364="","",INDEX($E$2:$E$422,MATCH(ROWS($P$5:P364),$AD$2:$AD$422,0)))</f>
      </c>
      <c r="T364" s="22">
        <f>IF($P364="","",IFERROR(IF(OR(INDEX($H$2:$H$422,MATCH(ROWS($P$5:P364),$AD$2:$AD$422,0))="",INDEX($H$2:$H$422,MATCH(ROWS($P$5:P364),$AD$2:$AD$422,0))="؟",INDEX($H$2:$H$422,MATCH(ROWS($P$5:P364),$AD$2:$AD$422,0))="نامشخص"),"",INDEX($H$2:$H$422,MATCH(ROWS($P$5:P364),$AD$2:$AD$422,0))),""))</f>
      </c>
      <c r="U364">
        <f>IF($P364="","",INDEX($L$2:$L$422,MATCH(ROWS($P$5:P364),$AD$2:$AD$422,0)))</f>
      </c>
      <c r="V364">
        <f>IF($P364="","",INDEX($M$2:$M$422,MATCH(ROWS($P$5:P364),$AD$2:$AD$422,0)))</f>
      </c>
      <c r="AD364">
        <f>IF(AND(LEN($Q$2)&gt;=3,ISNUMBER(SEARCH($Q$2,$B364))),MAX($AD$1:AD363)+1,"")</f>
      </c>
    </row>
    <row r="365" ht="14.4" customHeight="1" spans="1:30" x14ac:dyDescent="0.25">
      <c r="A365" s="16" t="s">
        <v>1573</v>
      </c>
      <c r="B365" s="16" t="s">
        <v>360</v>
      </c>
      <c r="C365" s="16" t="s">
        <v>1574</v>
      </c>
      <c r="D365" s="16" t="s">
        <v>1529</v>
      </c>
      <c r="E365" s="16" t="s">
        <v>9</v>
      </c>
      <c r="F365" s="16" t="s">
        <v>9</v>
      </c>
      <c r="G365" s="17" t="str">
        <f t="shared" si="21"/>
        <v>؟</v>
      </c>
      <c r="H365" s="18" t="s">
        <v>8</v>
      </c>
      <c r="I365" s="19">
        <v>1</v>
      </c>
      <c r="J365" s="18">
        <f t="shared" si="22"/>
      </c>
      <c r="K365" s="18" t="s">
        <v>477</v>
      </c>
      <c r="L365" s="16" t="str">
        <f t="shared" si="23"/>
        <v>نیاز به استعلام</v>
      </c>
      <c r="M365" s="16">
        <v>322</v>
      </c>
      <c r="N365" s="16" t="s">
        <v>1573</v>
      </c>
      <c r="O365" t="s">
        <v>1575</v>
      </c>
      <c r="P365">
        <f>IFERROR(INDEX($A$2:$A$422,MATCH(ROWS($P$5:P365),$AD$2:$AD$422,0)),"")</f>
      </c>
      <c r="Q365">
        <f>IF($P365="","",INDEX($B$2:$B$422,MATCH(ROWS($P$5:P365),$AD$2:$AD$422,0)))</f>
      </c>
      <c r="R365">
        <f>IF($P365="","",INDEX($C$2:$C$422,MATCH(ROWS($P$5:P365),$AD$2:$AD$422,0)))</f>
      </c>
      <c r="S365">
        <f>IF($P365="","",INDEX($E$2:$E$422,MATCH(ROWS($P$5:P365),$AD$2:$AD$422,0)))</f>
      </c>
      <c r="T365" s="22">
        <f>IF($P365="","",IFERROR(IF(OR(INDEX($H$2:$H$422,MATCH(ROWS($P$5:P365),$AD$2:$AD$422,0))="",INDEX($H$2:$H$422,MATCH(ROWS($P$5:P365),$AD$2:$AD$422,0))="؟",INDEX($H$2:$H$422,MATCH(ROWS($P$5:P365),$AD$2:$AD$422,0))="نامشخص"),"",INDEX($H$2:$H$422,MATCH(ROWS($P$5:P365),$AD$2:$AD$422,0))),""))</f>
      </c>
      <c r="U365">
        <f>IF($P365="","",INDEX($L$2:$L$422,MATCH(ROWS($P$5:P365),$AD$2:$AD$422,0)))</f>
      </c>
      <c r="V365">
        <f>IF($P365="","",INDEX($M$2:$M$422,MATCH(ROWS($P$5:P365),$AD$2:$AD$422,0)))</f>
      </c>
      <c r="AD365">
        <f>IF(AND(LEN($Q$2)&gt;=3,ISNUMBER(SEARCH($Q$2,$B365))),MAX($AD$1:AD364)+1,"")</f>
      </c>
    </row>
    <row r="366" ht="14.4" customHeight="1" spans="1:30" x14ac:dyDescent="0.25">
      <c r="A366" s="16" t="s">
        <v>1576</v>
      </c>
      <c r="B366" s="16" t="s">
        <v>359</v>
      </c>
      <c r="C366" s="16" t="s">
        <v>1577</v>
      </c>
      <c r="D366" s="16" t="s">
        <v>1529</v>
      </c>
      <c r="E366" s="16" t="s">
        <v>9</v>
      </c>
      <c r="F366" s="16" t="s">
        <v>9</v>
      </c>
      <c r="G366" s="17" t="str">
        <f t="shared" si="21"/>
        <v>؟</v>
      </c>
      <c r="H366" s="18" t="s">
        <v>8</v>
      </c>
      <c r="I366" s="19">
        <v>3</v>
      </c>
      <c r="J366" s="18">
        <f t="shared" si="22"/>
      </c>
      <c r="K366" s="18" t="s">
        <v>477</v>
      </c>
      <c r="L366" s="16" t="str">
        <f t="shared" si="23"/>
        <v>نیاز به استعلام</v>
      </c>
      <c r="M366" s="16">
        <v>321</v>
      </c>
      <c r="N366" s="16" t="s">
        <v>1576</v>
      </c>
      <c r="O366" t="s">
        <v>1578</v>
      </c>
      <c r="P366">
        <f>IFERROR(INDEX($A$2:$A$422,MATCH(ROWS($P$5:P366),$AD$2:$AD$422,0)),"")</f>
      </c>
      <c r="Q366">
        <f>IF($P366="","",INDEX($B$2:$B$422,MATCH(ROWS($P$5:P366),$AD$2:$AD$422,0)))</f>
      </c>
      <c r="R366">
        <f>IF($P366="","",INDEX($C$2:$C$422,MATCH(ROWS($P$5:P366),$AD$2:$AD$422,0)))</f>
      </c>
      <c r="S366">
        <f>IF($P366="","",INDEX($E$2:$E$422,MATCH(ROWS($P$5:P366),$AD$2:$AD$422,0)))</f>
      </c>
      <c r="T366" s="22">
        <f>IF($P366="","",IFERROR(IF(OR(INDEX($H$2:$H$422,MATCH(ROWS($P$5:P366),$AD$2:$AD$422,0))="",INDEX($H$2:$H$422,MATCH(ROWS($P$5:P366),$AD$2:$AD$422,0))="؟",INDEX($H$2:$H$422,MATCH(ROWS($P$5:P366),$AD$2:$AD$422,0))="نامشخص"),"",INDEX($H$2:$H$422,MATCH(ROWS($P$5:P366),$AD$2:$AD$422,0))),""))</f>
      </c>
      <c r="U366">
        <f>IF($P366="","",INDEX($L$2:$L$422,MATCH(ROWS($P$5:P366),$AD$2:$AD$422,0)))</f>
      </c>
      <c r="V366">
        <f>IF($P366="","",INDEX($M$2:$M$422,MATCH(ROWS($P$5:P366),$AD$2:$AD$422,0)))</f>
      </c>
      <c r="AD366">
        <f>IF(AND(LEN($Q$2)&gt;=3,ISNUMBER(SEARCH($Q$2,$B366))),MAX($AD$1:AD365)+1,"")</f>
      </c>
    </row>
    <row r="367" ht="14.4" customHeight="1" spans="1:30" x14ac:dyDescent="0.25">
      <c r="A367" s="16" t="s">
        <v>1579</v>
      </c>
      <c r="B367" s="16" t="s">
        <v>361</v>
      </c>
      <c r="C367" s="16" t="s">
        <v>1580</v>
      </c>
      <c r="D367" s="16" t="s">
        <v>1529</v>
      </c>
      <c r="E367" s="16" t="s">
        <v>9</v>
      </c>
      <c r="F367" s="16" t="s">
        <v>9</v>
      </c>
      <c r="G367" s="17">
        <f t="shared" si="21"/>
        <v>700000</v>
      </c>
      <c r="H367" s="18">
        <v>700000</v>
      </c>
      <c r="I367" s="19">
        <v>2</v>
      </c>
      <c r="J367" s="18">
        <f t="shared" si="22"/>
        <v>720000</v>
      </c>
      <c r="K367" s="18" t="s">
        <v>477</v>
      </c>
      <c r="L367" s="16" t="str">
        <f t="shared" si="23"/>
        <v>فعال</v>
      </c>
      <c r="M367" s="16">
        <v>323</v>
      </c>
      <c r="N367" s="16" t="s">
        <v>1579</v>
      </c>
      <c r="O367" t="s">
        <v>1581</v>
      </c>
      <c r="P367">
        <f>IFERROR(INDEX($A$2:$A$422,MATCH(ROWS($P$5:P367),$AD$2:$AD$422,0)),"")</f>
      </c>
      <c r="Q367">
        <f>IF($P367="","",INDEX($B$2:$B$422,MATCH(ROWS($P$5:P367),$AD$2:$AD$422,0)))</f>
      </c>
      <c r="R367">
        <f>IF($P367="","",INDEX($C$2:$C$422,MATCH(ROWS($P$5:P367),$AD$2:$AD$422,0)))</f>
      </c>
      <c r="S367">
        <f>IF($P367="","",INDEX($E$2:$E$422,MATCH(ROWS($P$5:P367),$AD$2:$AD$422,0)))</f>
      </c>
      <c r="T367" s="22">
        <f>IF($P367="","",IFERROR(IF(OR(INDEX($H$2:$H$422,MATCH(ROWS($P$5:P367),$AD$2:$AD$422,0))="",INDEX($H$2:$H$422,MATCH(ROWS($P$5:P367),$AD$2:$AD$422,0))="؟",INDEX($H$2:$H$422,MATCH(ROWS($P$5:P367),$AD$2:$AD$422,0))="نامشخص"),"",INDEX($H$2:$H$422,MATCH(ROWS($P$5:P367),$AD$2:$AD$422,0))),""))</f>
      </c>
      <c r="U367">
        <f>IF($P367="","",INDEX($L$2:$L$422,MATCH(ROWS($P$5:P367),$AD$2:$AD$422,0)))</f>
      </c>
      <c r="V367">
        <f>IF($P367="","",INDEX($M$2:$M$422,MATCH(ROWS($P$5:P367),$AD$2:$AD$422,0)))</f>
      </c>
      <c r="AD367">
        <f>IF(AND(LEN($Q$2)&gt;=3,ISNUMBER(SEARCH($Q$2,$B367))),MAX($AD$1:AD366)+1,"")</f>
      </c>
    </row>
    <row r="368" ht="14.4" customHeight="1" spans="1:30" x14ac:dyDescent="0.25">
      <c r="A368" s="16" t="s">
        <v>1582</v>
      </c>
      <c r="B368" s="16" t="s">
        <v>362</v>
      </c>
      <c r="C368" s="16" t="s">
        <v>1583</v>
      </c>
      <c r="D368" s="16" t="s">
        <v>1529</v>
      </c>
      <c r="E368" s="16" t="s">
        <v>9</v>
      </c>
      <c r="F368" s="16" t="s">
        <v>9</v>
      </c>
      <c r="G368" s="17" t="str">
        <f t="shared" si="21"/>
        <v>؟</v>
      </c>
      <c r="H368" s="18" t="s">
        <v>8</v>
      </c>
      <c r="I368" s="19">
        <v>3</v>
      </c>
      <c r="J368" s="18">
        <f t="shared" si="22"/>
      </c>
      <c r="K368" s="18" t="s">
        <v>477</v>
      </c>
      <c r="L368" s="16" t="str">
        <f t="shared" si="23"/>
        <v>نیاز به استعلام</v>
      </c>
      <c r="M368" s="16">
        <v>324</v>
      </c>
      <c r="N368" s="16" t="s">
        <v>1582</v>
      </c>
      <c r="O368" t="s">
        <v>1584</v>
      </c>
      <c r="P368">
        <f>IFERROR(INDEX($A$2:$A$422,MATCH(ROWS($P$5:P368),$AD$2:$AD$422,0)),"")</f>
      </c>
      <c r="Q368">
        <f>IF($P368="","",INDEX($B$2:$B$422,MATCH(ROWS($P$5:P368),$AD$2:$AD$422,0)))</f>
      </c>
      <c r="R368">
        <f>IF($P368="","",INDEX($C$2:$C$422,MATCH(ROWS($P$5:P368),$AD$2:$AD$422,0)))</f>
      </c>
      <c r="S368">
        <f>IF($P368="","",INDEX($E$2:$E$422,MATCH(ROWS($P$5:P368),$AD$2:$AD$422,0)))</f>
      </c>
      <c r="T368" s="22">
        <f>IF($P368="","",IFERROR(IF(OR(INDEX($H$2:$H$422,MATCH(ROWS($P$5:P368),$AD$2:$AD$422,0))="",INDEX($H$2:$H$422,MATCH(ROWS($P$5:P368),$AD$2:$AD$422,0))="؟",INDEX($H$2:$H$422,MATCH(ROWS($P$5:P368),$AD$2:$AD$422,0))="نامشخص"),"",INDEX($H$2:$H$422,MATCH(ROWS($P$5:P368),$AD$2:$AD$422,0))),""))</f>
      </c>
      <c r="U368">
        <f>IF($P368="","",INDEX($L$2:$L$422,MATCH(ROWS($P$5:P368),$AD$2:$AD$422,0)))</f>
      </c>
      <c r="V368">
        <f>IF($P368="","",INDEX($M$2:$M$422,MATCH(ROWS($P$5:P368),$AD$2:$AD$422,0)))</f>
      </c>
      <c r="AD368">
        <f>IF(AND(LEN($Q$2)&gt;=3,ISNUMBER(SEARCH($Q$2,$B368))),MAX($AD$1:AD367)+1,"")</f>
      </c>
    </row>
    <row r="369" ht="14.4" customHeight="1" spans="1:30" x14ac:dyDescent="0.25">
      <c r="A369" s="16" t="s">
        <v>1585</v>
      </c>
      <c r="B369" s="16" t="s">
        <v>448</v>
      </c>
      <c r="C369" s="16" t="s">
        <v>1586</v>
      </c>
      <c r="D369" s="16" t="s">
        <v>1529</v>
      </c>
      <c r="E369" s="16" t="s">
        <v>9</v>
      </c>
      <c r="F369" s="16" t="s">
        <v>9</v>
      </c>
      <c r="G369" s="17" t="str">
        <f t="shared" si="21"/>
        <v>؟</v>
      </c>
      <c r="H369" s="18" t="s">
        <v>8</v>
      </c>
      <c r="I369" s="19">
        <v>1</v>
      </c>
      <c r="J369" s="18">
        <f t="shared" si="22"/>
      </c>
      <c r="K369" s="18" t="s">
        <v>477</v>
      </c>
      <c r="L369" s="16" t="str">
        <f t="shared" si="23"/>
        <v>نیاز به استعلام</v>
      </c>
      <c r="M369" s="16">
        <v>398</v>
      </c>
      <c r="N369" s="16" t="s">
        <v>1585</v>
      </c>
      <c r="O369" t="s">
        <v>1587</v>
      </c>
      <c r="P369">
        <f>IFERROR(INDEX($A$2:$A$422,MATCH(ROWS($P$5:P369),$AD$2:$AD$422,0)),"")</f>
      </c>
      <c r="Q369">
        <f>IF($P369="","",INDEX($B$2:$B$422,MATCH(ROWS($P$5:P369),$AD$2:$AD$422,0)))</f>
      </c>
      <c r="R369">
        <f>IF($P369="","",INDEX($C$2:$C$422,MATCH(ROWS($P$5:P369),$AD$2:$AD$422,0)))</f>
      </c>
      <c r="S369">
        <f>IF($P369="","",INDEX($E$2:$E$422,MATCH(ROWS($P$5:P369),$AD$2:$AD$422,0)))</f>
      </c>
      <c r="T369" s="22">
        <f>IF($P369="","",IFERROR(IF(OR(INDEX($H$2:$H$422,MATCH(ROWS($P$5:P369),$AD$2:$AD$422,0))="",INDEX($H$2:$H$422,MATCH(ROWS($P$5:P369),$AD$2:$AD$422,0))="؟",INDEX($H$2:$H$422,MATCH(ROWS($P$5:P369),$AD$2:$AD$422,0))="نامشخص"),"",INDEX($H$2:$H$422,MATCH(ROWS($P$5:P369),$AD$2:$AD$422,0))),""))</f>
      </c>
      <c r="U369">
        <f>IF($P369="","",INDEX($L$2:$L$422,MATCH(ROWS($P$5:P369),$AD$2:$AD$422,0)))</f>
      </c>
      <c r="V369">
        <f>IF($P369="","",INDEX($M$2:$M$422,MATCH(ROWS($P$5:P369),$AD$2:$AD$422,0)))</f>
      </c>
      <c r="AD369">
        <f>IF(AND(LEN($Q$2)&gt;=3,ISNUMBER(SEARCH($Q$2,$B369))),MAX($AD$1:AD368)+1,"")</f>
      </c>
    </row>
    <row r="370" ht="14.4" customHeight="1" spans="1:30" x14ac:dyDescent="0.25">
      <c r="A370" s="16" t="s">
        <v>1588</v>
      </c>
      <c r="B370" s="16" t="s">
        <v>437</v>
      </c>
      <c r="C370" s="16" t="s">
        <v>1589</v>
      </c>
      <c r="D370" s="16" t="s">
        <v>1529</v>
      </c>
      <c r="E370" s="16" t="s">
        <v>47</v>
      </c>
      <c r="F370" s="16" t="s">
        <v>9</v>
      </c>
      <c r="G370" s="17">
        <f t="shared" si="21"/>
        <v>1500000</v>
      </c>
      <c r="H370" s="18">
        <v>1500000</v>
      </c>
      <c r="I370" s="23">
        <v>1</v>
      </c>
      <c r="J370" s="18">
        <f>IF(OR(H370="",H370="؟"),"",CEILING(H370*(1+I370/100),10000))</f>
        <v>1520000</v>
      </c>
      <c r="K370" s="18" t="s">
        <v>477</v>
      </c>
      <c r="L370" s="16" t="str">
        <f>IF(OR($H370="",$H370="؟"),"نیاز به استعلام","فعال")</f>
        <v>فعال</v>
      </c>
      <c r="M370" s="16">
        <v>388</v>
      </c>
      <c r="N370" s="16" t="s">
        <v>1588</v>
      </c>
      <c r="O370" t="s">
        <v>1590</v>
      </c>
      <c r="P370">
        <f>IFERROR(INDEX($A$2:$A$422,MATCH(ROWS($P$5:P370),$AD$2:$AD$422,0)),"")</f>
      </c>
      <c r="Q370">
        <f>IF($P370="","",INDEX($B$2:$B$422,MATCH(ROWS($P$5:P370),$AD$2:$AD$422,0)))</f>
      </c>
      <c r="R370">
        <f>IF($P370="","",INDEX($C$2:$C$422,MATCH(ROWS($P$5:P370),$AD$2:$AD$422,0)))</f>
      </c>
      <c r="S370">
        <f>IF($P370="","",INDEX($E$2:$E$422,MATCH(ROWS($P$5:P370),$AD$2:$AD$422,0)))</f>
      </c>
      <c r="T370" s="22">
        <f>IF($P370="","",IFERROR(IF(OR(INDEX($H$2:$H$422,MATCH(ROWS($P$5:P370),$AD$2:$AD$422,0))="",INDEX($H$2:$H$422,MATCH(ROWS($P$5:P370),$AD$2:$AD$422,0))="؟",INDEX($H$2:$H$422,MATCH(ROWS($P$5:P370),$AD$2:$AD$422,0))="نامشخص"),"",INDEX($H$2:$H$422,MATCH(ROWS($P$5:P370),$AD$2:$AD$422,0))),""))</f>
      </c>
      <c r="U370">
        <f>IF($P370="","",INDEX($L$2:$L$422,MATCH(ROWS($P$5:P370),$AD$2:$AD$422,0)))</f>
      </c>
      <c r="V370">
        <f>IF($P370="","",INDEX($M$2:$M$422,MATCH(ROWS($P$5:P370),$AD$2:$AD$422,0)))</f>
      </c>
      <c r="AD370">
        <f>IF(AND(LEN($Q$2)&gt;=3,ISNUMBER(SEARCH($Q$2,$B370))),MAX($AD$1:AD369)+1,"")</f>
      </c>
    </row>
    <row r="371" ht="14.4" customHeight="1" spans="1:30" x14ac:dyDescent="0.25">
      <c r="A371" s="16" t="s">
        <v>1591</v>
      </c>
      <c r="B371" s="16" t="s">
        <v>437</v>
      </c>
      <c r="C371" s="16" t="s">
        <v>1592</v>
      </c>
      <c r="D371" s="16" t="s">
        <v>1529</v>
      </c>
      <c r="E371" s="16" t="s">
        <v>438</v>
      </c>
      <c r="F371" s="16" t="s">
        <v>9</v>
      </c>
      <c r="G371" s="17">
        <f t="shared" si="21"/>
        <v>260000</v>
      </c>
      <c r="H371" s="18">
        <v>260000</v>
      </c>
      <c r="I371" s="23">
        <v>2</v>
      </c>
      <c r="J371" s="18">
        <f>IF(OR(H371="",H371="؟"),"",CEILING(H371*(1+I371/100),10000))</f>
        <v>270000</v>
      </c>
      <c r="K371" s="18" t="s">
        <v>477</v>
      </c>
      <c r="L371" s="16" t="str">
        <f>IF(OR($H371="",$H371="؟"),"نیاز به استعلام","فعال")</f>
        <v>فعال</v>
      </c>
      <c r="M371" s="16">
        <v>388</v>
      </c>
      <c r="N371" s="16" t="s">
        <v>1591</v>
      </c>
      <c r="O371" t="s">
        <v>1593</v>
      </c>
      <c r="P371">
        <f>IFERROR(INDEX($A$2:$A$422,MATCH(ROWS($P$5:P371),$AD$2:$AD$422,0)),"")</f>
      </c>
      <c r="Q371">
        <f>IF($P371="","",INDEX($B$2:$B$422,MATCH(ROWS($P$5:P371),$AD$2:$AD$422,0)))</f>
      </c>
      <c r="R371">
        <f>IF($P371="","",INDEX($C$2:$C$422,MATCH(ROWS($P$5:P371),$AD$2:$AD$422,0)))</f>
      </c>
      <c r="S371">
        <f>IF($P371="","",INDEX($E$2:$E$422,MATCH(ROWS($P$5:P371),$AD$2:$AD$422,0)))</f>
      </c>
      <c r="T371" s="22">
        <f>IF($P371="","",IFERROR(IF(OR(INDEX($H$2:$H$422,MATCH(ROWS($P$5:P371),$AD$2:$AD$422,0))="",INDEX($H$2:$H$422,MATCH(ROWS($P$5:P371),$AD$2:$AD$422,0))="؟",INDEX($H$2:$H$422,MATCH(ROWS($P$5:P371),$AD$2:$AD$422,0))="نامشخص"),"",INDEX($H$2:$H$422,MATCH(ROWS($P$5:P371),$AD$2:$AD$422,0))),""))</f>
      </c>
      <c r="U371">
        <f>IF($P371="","",INDEX($L$2:$L$422,MATCH(ROWS($P$5:P371),$AD$2:$AD$422,0)))</f>
      </c>
      <c r="V371">
        <f>IF($P371="","",INDEX($M$2:$M$422,MATCH(ROWS($P$5:P371),$AD$2:$AD$422,0)))</f>
      </c>
      <c r="AD371">
        <f>IF(AND(LEN($Q$2)&gt;=3,ISNUMBER(SEARCH($Q$2,$B371))),MAX($AD$1:AD370)+1,"")</f>
      </c>
    </row>
    <row r="372" ht="14.4" customHeight="1" spans="1:30" x14ac:dyDescent="0.25">
      <c r="A372" s="16" t="s">
        <v>1594</v>
      </c>
      <c r="B372" s="16" t="s">
        <v>453</v>
      </c>
      <c r="C372" s="16" t="s">
        <v>1595</v>
      </c>
      <c r="D372" s="16" t="s">
        <v>1529</v>
      </c>
      <c r="E372" s="16" t="s">
        <v>9</v>
      </c>
      <c r="F372" s="16" t="s">
        <v>9</v>
      </c>
      <c r="G372" s="17">
        <f t="shared" si="21"/>
        <v>950000</v>
      </c>
      <c r="H372" s="18">
        <v>950000</v>
      </c>
      <c r="I372" s="19">
        <v>1</v>
      </c>
      <c r="J372" s="18">
        <f t="shared" ref="J372:J403" si="24">IF(OR(H372="",H372="؟",H372="نامشخص"),"",CEILING(H372*(1+I372/100),10000))</f>
        <v>960000</v>
      </c>
      <c r="K372" s="18" t="s">
        <v>477</v>
      </c>
      <c r="L372" s="16" t="str">
        <f t="shared" ref="L372:L403" si="25">IF(OR($H372="",$H372="؟",$H372="نامشخص"),"نیاز به استعلام","فعال")</f>
        <v>فعال</v>
      </c>
      <c r="M372" s="16">
        <v>402</v>
      </c>
      <c r="N372" s="16" t="s">
        <v>1594</v>
      </c>
      <c r="O372" t="s">
        <v>1596</v>
      </c>
      <c r="P372">
        <f>IFERROR(INDEX($A$2:$A$422,MATCH(ROWS($P$5:P372),$AD$2:$AD$422,0)),"")</f>
      </c>
      <c r="Q372">
        <f>IF($P372="","",INDEX($B$2:$B$422,MATCH(ROWS($P$5:P372),$AD$2:$AD$422,0)))</f>
      </c>
      <c r="R372">
        <f>IF($P372="","",INDEX($C$2:$C$422,MATCH(ROWS($P$5:P372),$AD$2:$AD$422,0)))</f>
      </c>
      <c r="S372">
        <f>IF($P372="","",INDEX($E$2:$E$422,MATCH(ROWS($P$5:P372),$AD$2:$AD$422,0)))</f>
      </c>
      <c r="T372" s="22">
        <f>IF($P372="","",IFERROR(IF(OR(INDEX($H$2:$H$422,MATCH(ROWS($P$5:P372),$AD$2:$AD$422,0))="",INDEX($H$2:$H$422,MATCH(ROWS($P$5:P372),$AD$2:$AD$422,0))="؟",INDEX($H$2:$H$422,MATCH(ROWS($P$5:P372),$AD$2:$AD$422,0))="نامشخص"),"",INDEX($H$2:$H$422,MATCH(ROWS($P$5:P372),$AD$2:$AD$422,0))),""))</f>
      </c>
      <c r="U372">
        <f>IF($P372="","",INDEX($L$2:$L$422,MATCH(ROWS($P$5:P372),$AD$2:$AD$422,0)))</f>
      </c>
      <c r="V372">
        <f>IF($P372="","",INDEX($M$2:$M$422,MATCH(ROWS($P$5:P372),$AD$2:$AD$422,0)))</f>
      </c>
      <c r="AD372">
        <f>IF(AND(LEN($Q$2)&gt;=3,ISNUMBER(SEARCH($Q$2,$B372))),MAX($AD$1:AD371)+1,"")</f>
      </c>
    </row>
    <row r="373" ht="14.4" customHeight="1" spans="1:30" x14ac:dyDescent="0.25">
      <c r="A373" s="16" t="s">
        <v>1597</v>
      </c>
      <c r="B373" s="16" t="s">
        <v>381</v>
      </c>
      <c r="C373" s="16" t="s">
        <v>1598</v>
      </c>
      <c r="D373" s="16" t="s">
        <v>1529</v>
      </c>
      <c r="E373" s="16" t="s">
        <v>9</v>
      </c>
      <c r="F373" s="16" t="s">
        <v>9</v>
      </c>
      <c r="G373" s="17">
        <f t="shared" si="21"/>
        <v>3000000</v>
      </c>
      <c r="H373" s="18">
        <v>3000000</v>
      </c>
      <c r="I373" s="19">
        <v>3</v>
      </c>
      <c r="J373" s="18">
        <f t="shared" si="24"/>
        <v>3090000</v>
      </c>
      <c r="K373" s="18" t="s">
        <v>477</v>
      </c>
      <c r="L373" s="16" t="str">
        <f t="shared" si="25"/>
        <v>فعال</v>
      </c>
      <c r="M373" s="16">
        <v>339</v>
      </c>
      <c r="N373" s="16" t="s">
        <v>1597</v>
      </c>
      <c r="O373" t="s">
        <v>1599</v>
      </c>
      <c r="P373">
        <f>IFERROR(INDEX($A$2:$A$422,MATCH(ROWS($P$5:P373),$AD$2:$AD$422,0)),"")</f>
      </c>
      <c r="Q373">
        <f>IF($P373="","",INDEX($B$2:$B$422,MATCH(ROWS($P$5:P373),$AD$2:$AD$422,0)))</f>
      </c>
      <c r="R373">
        <f>IF($P373="","",INDEX($C$2:$C$422,MATCH(ROWS($P$5:P373),$AD$2:$AD$422,0)))</f>
      </c>
      <c r="S373">
        <f>IF($P373="","",INDEX($E$2:$E$422,MATCH(ROWS($P$5:P373),$AD$2:$AD$422,0)))</f>
      </c>
      <c r="T373" s="22">
        <f>IF($P373="","",IFERROR(IF(OR(INDEX($H$2:$H$422,MATCH(ROWS($P$5:P373),$AD$2:$AD$422,0))="",INDEX($H$2:$H$422,MATCH(ROWS($P$5:P373),$AD$2:$AD$422,0))="؟",INDEX($H$2:$H$422,MATCH(ROWS($P$5:P373),$AD$2:$AD$422,0))="نامشخص"),"",INDEX($H$2:$H$422,MATCH(ROWS($P$5:P373),$AD$2:$AD$422,0))),""))</f>
      </c>
      <c r="U373">
        <f>IF($P373="","",INDEX($L$2:$L$422,MATCH(ROWS($P$5:P373),$AD$2:$AD$422,0)))</f>
      </c>
      <c r="V373">
        <f>IF($P373="","",INDEX($M$2:$M$422,MATCH(ROWS($P$5:P373),$AD$2:$AD$422,0)))</f>
      </c>
      <c r="AD373">
        <f>IF(AND(LEN($Q$2)&gt;=3,ISNUMBER(SEARCH($Q$2,$B373))),MAX($AD$1:AD372)+1,"")</f>
      </c>
    </row>
    <row r="374" ht="14.4" customHeight="1" spans="1:30" x14ac:dyDescent="0.25">
      <c r="A374" s="16" t="s">
        <v>1600</v>
      </c>
      <c r="B374" s="16" t="s">
        <v>384</v>
      </c>
      <c r="C374" s="16" t="s">
        <v>1601</v>
      </c>
      <c r="D374" s="16" t="s">
        <v>1529</v>
      </c>
      <c r="E374" s="16" t="s">
        <v>9</v>
      </c>
      <c r="F374" s="16" t="s">
        <v>9</v>
      </c>
      <c r="G374" s="17">
        <f t="shared" si="21"/>
        <v>900000</v>
      </c>
      <c r="H374" s="18">
        <v>900000</v>
      </c>
      <c r="I374" s="19">
        <v>3</v>
      </c>
      <c r="J374" s="18">
        <f t="shared" si="24"/>
        <v>930000</v>
      </c>
      <c r="K374" s="18" t="s">
        <v>477</v>
      </c>
      <c r="L374" s="16" t="str">
        <f t="shared" si="25"/>
        <v>فعال</v>
      </c>
      <c r="M374" s="16">
        <v>341</v>
      </c>
      <c r="N374" s="16" t="s">
        <v>1600</v>
      </c>
      <c r="O374" t="s">
        <v>1602</v>
      </c>
      <c r="P374">
        <f>IFERROR(INDEX($A$2:$A$422,MATCH(ROWS($P$5:P374),$AD$2:$AD$422,0)),"")</f>
      </c>
      <c r="Q374">
        <f>IF($P374="","",INDEX($B$2:$B$422,MATCH(ROWS($P$5:P374),$AD$2:$AD$422,0)))</f>
      </c>
      <c r="R374">
        <f>IF($P374="","",INDEX($C$2:$C$422,MATCH(ROWS($P$5:P374),$AD$2:$AD$422,0)))</f>
      </c>
      <c r="S374">
        <f>IF($P374="","",INDEX($E$2:$E$422,MATCH(ROWS($P$5:P374),$AD$2:$AD$422,0)))</f>
      </c>
      <c r="T374" s="22">
        <f>IF($P374="","",IFERROR(IF(OR(INDEX($H$2:$H$422,MATCH(ROWS($P$5:P374),$AD$2:$AD$422,0))="",INDEX($H$2:$H$422,MATCH(ROWS($P$5:P374),$AD$2:$AD$422,0))="؟",INDEX($H$2:$H$422,MATCH(ROWS($P$5:P374),$AD$2:$AD$422,0))="نامشخص"),"",INDEX($H$2:$H$422,MATCH(ROWS($P$5:P374),$AD$2:$AD$422,0))),""))</f>
      </c>
      <c r="U374">
        <f>IF($P374="","",INDEX($L$2:$L$422,MATCH(ROWS($P$5:P374),$AD$2:$AD$422,0)))</f>
      </c>
      <c r="V374">
        <f>IF($P374="","",INDEX($M$2:$M$422,MATCH(ROWS($P$5:P374),$AD$2:$AD$422,0)))</f>
      </c>
      <c r="AD374">
        <f>IF(AND(LEN($Q$2)&gt;=3,ISNUMBER(SEARCH($Q$2,$B374))),MAX($AD$1:AD373)+1,"")</f>
      </c>
    </row>
    <row r="375" ht="14.4" customHeight="1" spans="1:30" x14ac:dyDescent="0.25">
      <c r="A375" s="16" t="s">
        <v>1603</v>
      </c>
      <c r="B375" s="16" t="s">
        <v>391</v>
      </c>
      <c r="C375" s="16" t="s">
        <v>1604</v>
      </c>
      <c r="D375" s="16" t="s">
        <v>1529</v>
      </c>
      <c r="E375" s="16" t="s">
        <v>9</v>
      </c>
      <c r="F375" s="16" t="s">
        <v>9</v>
      </c>
      <c r="G375" s="17">
        <f t="shared" si="21"/>
        <v>900000</v>
      </c>
      <c r="H375" s="18">
        <v>900000</v>
      </c>
      <c r="I375" s="19">
        <v>2</v>
      </c>
      <c r="J375" s="18">
        <f t="shared" si="24"/>
        <v>920000</v>
      </c>
      <c r="K375" s="18" t="s">
        <v>477</v>
      </c>
      <c r="L375" s="16" t="str">
        <f t="shared" si="25"/>
        <v>فعال</v>
      </c>
      <c r="M375" s="16">
        <v>346</v>
      </c>
      <c r="N375" s="16" t="s">
        <v>1603</v>
      </c>
      <c r="O375" t="s">
        <v>1605</v>
      </c>
      <c r="P375">
        <f>IFERROR(INDEX($A$2:$A$422,MATCH(ROWS($P$5:P375),$AD$2:$AD$422,0)),"")</f>
      </c>
      <c r="Q375">
        <f>IF($P375="","",INDEX($B$2:$B$422,MATCH(ROWS($P$5:P375),$AD$2:$AD$422,0)))</f>
      </c>
      <c r="R375">
        <f>IF($P375="","",INDEX($C$2:$C$422,MATCH(ROWS($P$5:P375),$AD$2:$AD$422,0)))</f>
      </c>
      <c r="S375">
        <f>IF($P375="","",INDEX($E$2:$E$422,MATCH(ROWS($P$5:P375),$AD$2:$AD$422,0)))</f>
      </c>
      <c r="T375" s="22">
        <f>IF($P375="","",IFERROR(IF(OR(INDEX($H$2:$H$422,MATCH(ROWS($P$5:P375),$AD$2:$AD$422,0))="",INDEX($H$2:$H$422,MATCH(ROWS($P$5:P375),$AD$2:$AD$422,0))="؟",INDEX($H$2:$H$422,MATCH(ROWS($P$5:P375),$AD$2:$AD$422,0))="نامشخص"),"",INDEX($H$2:$H$422,MATCH(ROWS($P$5:P375),$AD$2:$AD$422,0))),""))</f>
      </c>
      <c r="U375">
        <f>IF($P375="","",INDEX($L$2:$L$422,MATCH(ROWS($P$5:P375),$AD$2:$AD$422,0)))</f>
      </c>
      <c r="V375">
        <f>IF($P375="","",INDEX($M$2:$M$422,MATCH(ROWS($P$5:P375),$AD$2:$AD$422,0)))</f>
      </c>
      <c r="AD375">
        <f>IF(AND(LEN($Q$2)&gt;=3,ISNUMBER(SEARCH($Q$2,$B375))),MAX($AD$1:AD374)+1,"")</f>
      </c>
    </row>
    <row r="376" ht="14.4" customHeight="1" spans="1:30" x14ac:dyDescent="0.25">
      <c r="A376" s="16" t="s">
        <v>1606</v>
      </c>
      <c r="B376" s="16" t="s">
        <v>403</v>
      </c>
      <c r="C376" s="16" t="s">
        <v>1607</v>
      </c>
      <c r="D376" s="16" t="s">
        <v>1529</v>
      </c>
      <c r="E376" s="16" t="s">
        <v>9</v>
      </c>
      <c r="F376" s="16" t="s">
        <v>9</v>
      </c>
      <c r="G376" s="17">
        <f t="shared" si="21"/>
        <v>350000</v>
      </c>
      <c r="H376" s="18">
        <v>350000</v>
      </c>
      <c r="I376" s="19">
        <v>2</v>
      </c>
      <c r="J376" s="18">
        <f t="shared" si="24"/>
        <v>360000</v>
      </c>
      <c r="K376" s="18" t="s">
        <v>477</v>
      </c>
      <c r="L376" s="16" t="str">
        <f t="shared" si="25"/>
        <v>فعال</v>
      </c>
      <c r="M376" s="16">
        <v>355</v>
      </c>
      <c r="N376" s="16" t="s">
        <v>1606</v>
      </c>
      <c r="O376" t="s">
        <v>1608</v>
      </c>
      <c r="P376">
        <f>IFERROR(INDEX($A$2:$A$422,MATCH(ROWS($P$5:P376),$AD$2:$AD$422,0)),"")</f>
      </c>
      <c r="Q376">
        <f>IF($P376="","",INDEX($B$2:$B$422,MATCH(ROWS($P$5:P376),$AD$2:$AD$422,0)))</f>
      </c>
      <c r="R376">
        <f>IF($P376="","",INDEX($C$2:$C$422,MATCH(ROWS($P$5:P376),$AD$2:$AD$422,0)))</f>
      </c>
      <c r="S376">
        <f>IF($P376="","",INDEX($E$2:$E$422,MATCH(ROWS($P$5:P376),$AD$2:$AD$422,0)))</f>
      </c>
      <c r="T376" s="22">
        <f>IF($P376="","",IFERROR(IF(OR(INDEX($H$2:$H$422,MATCH(ROWS($P$5:P376),$AD$2:$AD$422,0))="",INDEX($H$2:$H$422,MATCH(ROWS($P$5:P376),$AD$2:$AD$422,0))="؟",INDEX($H$2:$H$422,MATCH(ROWS($P$5:P376),$AD$2:$AD$422,0))="نامشخص"),"",INDEX($H$2:$H$422,MATCH(ROWS($P$5:P376),$AD$2:$AD$422,0))),""))</f>
      </c>
      <c r="U376">
        <f>IF($P376="","",INDEX($L$2:$L$422,MATCH(ROWS($P$5:P376),$AD$2:$AD$422,0)))</f>
      </c>
      <c r="V376">
        <f>IF($P376="","",INDEX($M$2:$M$422,MATCH(ROWS($P$5:P376),$AD$2:$AD$422,0)))</f>
      </c>
      <c r="AD376">
        <f>IF(AND(LEN($Q$2)&gt;=3,ISNUMBER(SEARCH($Q$2,$B376))),MAX($AD$1:AD375)+1,"")</f>
      </c>
    </row>
    <row r="377" ht="14.4" customHeight="1" spans="1:30" x14ac:dyDescent="0.25">
      <c r="A377" s="16" t="s">
        <v>1609</v>
      </c>
      <c r="B377" s="16" t="s">
        <v>404</v>
      </c>
      <c r="C377" s="16" t="s">
        <v>1610</v>
      </c>
      <c r="D377" s="16" t="s">
        <v>1529</v>
      </c>
      <c r="E377" s="16" t="s">
        <v>9</v>
      </c>
      <c r="F377" s="16" t="s">
        <v>9</v>
      </c>
      <c r="G377" s="17">
        <f t="shared" si="21"/>
        <v>500000</v>
      </c>
      <c r="H377" s="18">
        <v>500000</v>
      </c>
      <c r="I377" s="19">
        <v>2</v>
      </c>
      <c r="J377" s="18">
        <f t="shared" si="24"/>
        <v>510000</v>
      </c>
      <c r="K377" s="18" t="s">
        <v>477</v>
      </c>
      <c r="L377" s="16" t="str">
        <f t="shared" si="25"/>
        <v>فعال</v>
      </c>
      <c r="M377" s="16">
        <v>356</v>
      </c>
      <c r="N377" s="16" t="s">
        <v>1609</v>
      </c>
      <c r="O377" t="s">
        <v>1611</v>
      </c>
      <c r="P377">
        <f>IFERROR(INDEX($A$2:$A$422,MATCH(ROWS($P$5:P377),$AD$2:$AD$422,0)),"")</f>
      </c>
      <c r="Q377">
        <f>IF($P377="","",INDEX($B$2:$B$422,MATCH(ROWS($P$5:P377),$AD$2:$AD$422,0)))</f>
      </c>
      <c r="R377">
        <f>IF($P377="","",INDEX($C$2:$C$422,MATCH(ROWS($P$5:P377),$AD$2:$AD$422,0)))</f>
      </c>
      <c r="S377">
        <f>IF($P377="","",INDEX($E$2:$E$422,MATCH(ROWS($P$5:P377),$AD$2:$AD$422,0)))</f>
      </c>
      <c r="T377" s="22">
        <f>IF($P377="","",IFERROR(IF(OR(INDEX($H$2:$H$422,MATCH(ROWS($P$5:P377),$AD$2:$AD$422,0))="",INDEX($H$2:$H$422,MATCH(ROWS($P$5:P377),$AD$2:$AD$422,0))="؟",INDEX($H$2:$H$422,MATCH(ROWS($P$5:P377),$AD$2:$AD$422,0))="نامشخص"),"",INDEX($H$2:$H$422,MATCH(ROWS($P$5:P377),$AD$2:$AD$422,0))),""))</f>
      </c>
      <c r="U377">
        <f>IF($P377="","",INDEX($L$2:$L$422,MATCH(ROWS($P$5:P377),$AD$2:$AD$422,0)))</f>
      </c>
      <c r="V377">
        <f>IF($P377="","",INDEX($M$2:$M$422,MATCH(ROWS($P$5:P377),$AD$2:$AD$422,0)))</f>
      </c>
      <c r="AD377">
        <f>IF(AND(LEN($Q$2)&gt;=3,ISNUMBER(SEARCH($Q$2,$B377))),MAX($AD$1:AD376)+1,"")</f>
      </c>
    </row>
    <row r="378" ht="14.4" customHeight="1" spans="1:30" x14ac:dyDescent="0.25">
      <c r="A378" s="16" t="s">
        <v>1612</v>
      </c>
      <c r="B378" s="16" t="s">
        <v>411</v>
      </c>
      <c r="C378" s="16" t="s">
        <v>1613</v>
      </c>
      <c r="D378" s="16" t="s">
        <v>1529</v>
      </c>
      <c r="E378" s="16" t="s">
        <v>9</v>
      </c>
      <c r="F378" s="16" t="s">
        <v>9</v>
      </c>
      <c r="G378" s="17">
        <f t="shared" si="21"/>
        <v>680000</v>
      </c>
      <c r="H378" s="18">
        <v>680000</v>
      </c>
      <c r="I378" s="19">
        <v>3</v>
      </c>
      <c r="J378" s="18">
        <f t="shared" si="24"/>
        <v>710000</v>
      </c>
      <c r="K378" s="18" t="s">
        <v>477</v>
      </c>
      <c r="L378" s="16" t="str">
        <f t="shared" si="25"/>
        <v>فعال</v>
      </c>
      <c r="M378" s="16">
        <v>362</v>
      </c>
      <c r="N378" s="16" t="s">
        <v>1612</v>
      </c>
      <c r="O378" t="s">
        <v>1614</v>
      </c>
      <c r="P378">
        <f>IFERROR(INDEX($A$2:$A$422,MATCH(ROWS($P$5:P378),$AD$2:$AD$422,0)),"")</f>
      </c>
      <c r="Q378">
        <f>IF($P378="","",INDEX($B$2:$B$422,MATCH(ROWS($P$5:P378),$AD$2:$AD$422,0)))</f>
      </c>
      <c r="R378">
        <f>IF($P378="","",INDEX($C$2:$C$422,MATCH(ROWS($P$5:P378),$AD$2:$AD$422,0)))</f>
      </c>
      <c r="S378">
        <f>IF($P378="","",INDEX($E$2:$E$422,MATCH(ROWS($P$5:P378),$AD$2:$AD$422,0)))</f>
      </c>
      <c r="T378" s="22">
        <f>IF($P378="","",IFERROR(IF(OR(INDEX($H$2:$H$422,MATCH(ROWS($P$5:P378),$AD$2:$AD$422,0))="",INDEX($H$2:$H$422,MATCH(ROWS($P$5:P378),$AD$2:$AD$422,0))="؟",INDEX($H$2:$H$422,MATCH(ROWS($P$5:P378),$AD$2:$AD$422,0))="نامشخص"),"",INDEX($H$2:$H$422,MATCH(ROWS($P$5:P378),$AD$2:$AD$422,0))),""))</f>
      </c>
      <c r="U378">
        <f>IF($P378="","",INDEX($L$2:$L$422,MATCH(ROWS($P$5:P378),$AD$2:$AD$422,0)))</f>
      </c>
      <c r="V378">
        <f>IF($P378="","",INDEX($M$2:$M$422,MATCH(ROWS($P$5:P378),$AD$2:$AD$422,0)))</f>
      </c>
      <c r="AD378">
        <f>IF(AND(LEN($Q$2)&gt;=3,ISNUMBER(SEARCH($Q$2,$B378))),MAX($AD$1:AD377)+1,"")</f>
      </c>
    </row>
    <row r="379" ht="14.4" customHeight="1" spans="1:30" x14ac:dyDescent="0.25">
      <c r="A379" s="16" t="s">
        <v>1615</v>
      </c>
      <c r="B379" s="16" t="s">
        <v>46</v>
      </c>
      <c r="C379" s="16" t="s">
        <v>1616</v>
      </c>
      <c r="D379" s="16" t="s">
        <v>1617</v>
      </c>
      <c r="E379" s="16" t="s">
        <v>47</v>
      </c>
      <c r="F379" s="16" t="s">
        <v>47</v>
      </c>
      <c r="G379" s="17">
        <f t="shared" si="21"/>
        <v>50000</v>
      </c>
      <c r="H379" s="18">
        <v>50000</v>
      </c>
      <c r="I379" s="19">
        <v>2</v>
      </c>
      <c r="J379" s="18">
        <f t="shared" si="24"/>
        <v>60000</v>
      </c>
      <c r="K379" s="18" t="s">
        <v>477</v>
      </c>
      <c r="L379" s="16" t="str">
        <f t="shared" si="25"/>
        <v>فعال</v>
      </c>
      <c r="M379" s="16">
        <v>38</v>
      </c>
      <c r="N379" s="16" t="s">
        <v>1615</v>
      </c>
      <c r="O379" t="s">
        <v>1618</v>
      </c>
      <c r="P379">
        <f>IFERROR(INDEX($A$2:$A$422,MATCH(ROWS($P$5:P379),$AD$2:$AD$422,0)),"")</f>
      </c>
      <c r="Q379">
        <f>IF($P379="","",INDEX($B$2:$B$422,MATCH(ROWS($P$5:P379),$AD$2:$AD$422,0)))</f>
      </c>
      <c r="R379">
        <f>IF($P379="","",INDEX($C$2:$C$422,MATCH(ROWS($P$5:P379),$AD$2:$AD$422,0)))</f>
      </c>
      <c r="S379">
        <f>IF($P379="","",INDEX($E$2:$E$422,MATCH(ROWS($P$5:P379),$AD$2:$AD$422,0)))</f>
      </c>
      <c r="T379" s="22">
        <f>IF($P379="","",IFERROR(IF(OR(INDEX($H$2:$H$422,MATCH(ROWS($P$5:P379),$AD$2:$AD$422,0))="",INDEX($H$2:$H$422,MATCH(ROWS($P$5:P379),$AD$2:$AD$422,0))="؟",INDEX($H$2:$H$422,MATCH(ROWS($P$5:P379),$AD$2:$AD$422,0))="نامشخص"),"",INDEX($H$2:$H$422,MATCH(ROWS($P$5:P379),$AD$2:$AD$422,0))),""))</f>
      </c>
      <c r="U379">
        <f>IF($P379="","",INDEX($L$2:$L$422,MATCH(ROWS($P$5:P379),$AD$2:$AD$422,0)))</f>
      </c>
      <c r="V379">
        <f>IF($P379="","",INDEX($M$2:$M$422,MATCH(ROWS($P$5:P379),$AD$2:$AD$422,0)))</f>
      </c>
      <c r="AD379">
        <f>IF(AND(LEN($Q$2)&gt;=3,ISNUMBER(SEARCH($Q$2,$B379))),MAX($AD$1:AD378)+1,"")</f>
      </c>
    </row>
    <row r="380" ht="14.4" customHeight="1" spans="1:30" x14ac:dyDescent="0.25">
      <c r="A380" s="16" t="s">
        <v>1619</v>
      </c>
      <c r="B380" s="16" t="s">
        <v>300</v>
      </c>
      <c r="C380" s="16" t="s">
        <v>1620</v>
      </c>
      <c r="D380" s="16" t="s">
        <v>1617</v>
      </c>
      <c r="E380" s="16" t="s">
        <v>9</v>
      </c>
      <c r="F380" s="16" t="s">
        <v>9</v>
      </c>
      <c r="G380" s="17">
        <f t="shared" si="21"/>
        <v>30000</v>
      </c>
      <c r="H380" s="18">
        <v>30000</v>
      </c>
      <c r="I380" s="19">
        <v>2</v>
      </c>
      <c r="J380" s="18">
        <f t="shared" si="24"/>
        <v>40000</v>
      </c>
      <c r="K380" s="18" t="s">
        <v>477</v>
      </c>
      <c r="L380" s="16" t="str">
        <f t="shared" si="25"/>
        <v>فعال</v>
      </c>
      <c r="M380" s="16">
        <v>274</v>
      </c>
      <c r="N380" s="16" t="s">
        <v>1619</v>
      </c>
      <c r="O380" t="s">
        <v>1621</v>
      </c>
      <c r="P380">
        <f>IFERROR(INDEX($A$2:$A$422,MATCH(ROWS($P$5:P380),$AD$2:$AD$422,0)),"")</f>
      </c>
      <c r="Q380">
        <f>IF($P380="","",INDEX($B$2:$B$422,MATCH(ROWS($P$5:P380),$AD$2:$AD$422,0)))</f>
      </c>
      <c r="R380">
        <f>IF($P380="","",INDEX($C$2:$C$422,MATCH(ROWS($P$5:P380),$AD$2:$AD$422,0)))</f>
      </c>
      <c r="S380">
        <f>IF($P380="","",INDEX($E$2:$E$422,MATCH(ROWS($P$5:P380),$AD$2:$AD$422,0)))</f>
      </c>
      <c r="T380" s="22">
        <f>IF($P380="","",IFERROR(IF(OR(INDEX($H$2:$H$422,MATCH(ROWS($P$5:P380),$AD$2:$AD$422,0))="",INDEX($H$2:$H$422,MATCH(ROWS($P$5:P380),$AD$2:$AD$422,0))="؟",INDEX($H$2:$H$422,MATCH(ROWS($P$5:P380),$AD$2:$AD$422,0))="نامشخص"),"",INDEX($H$2:$H$422,MATCH(ROWS($P$5:P380),$AD$2:$AD$422,0))),""))</f>
      </c>
      <c r="U380">
        <f>IF($P380="","",INDEX($L$2:$L$422,MATCH(ROWS($P$5:P380),$AD$2:$AD$422,0)))</f>
      </c>
      <c r="V380">
        <f>IF($P380="","",INDEX($M$2:$M$422,MATCH(ROWS($P$5:P380),$AD$2:$AD$422,0)))</f>
      </c>
      <c r="AD380">
        <f>IF(AND(LEN($Q$2)&gt;=3,ISNUMBER(SEARCH($Q$2,$B380))),MAX($AD$1:AD379)+1,"")</f>
      </c>
    </row>
    <row r="381" ht="14.4" customHeight="1" spans="1:30" x14ac:dyDescent="0.25">
      <c r="A381" s="16" t="s">
        <v>1622</v>
      </c>
      <c r="B381" s="16" t="s">
        <v>301</v>
      </c>
      <c r="C381" s="16" t="s">
        <v>1623</v>
      </c>
      <c r="D381" s="16" t="s">
        <v>1617</v>
      </c>
      <c r="E381" s="16" t="s">
        <v>302</v>
      </c>
      <c r="F381" s="16" t="s">
        <v>302</v>
      </c>
      <c r="G381" s="17">
        <f t="shared" si="21"/>
        <v>70000</v>
      </c>
      <c r="H381" s="18">
        <v>70000</v>
      </c>
      <c r="I381" s="19">
        <v>2</v>
      </c>
      <c r="J381" s="18">
        <f t="shared" si="24"/>
        <v>80000</v>
      </c>
      <c r="K381" s="18" t="s">
        <v>477</v>
      </c>
      <c r="L381" s="16" t="str">
        <f t="shared" si="25"/>
        <v>فعال</v>
      </c>
      <c r="M381" s="16">
        <v>275</v>
      </c>
      <c r="N381" s="16" t="s">
        <v>1622</v>
      </c>
      <c r="O381" t="s">
        <v>1624</v>
      </c>
      <c r="P381">
        <f>IFERROR(INDEX($A$2:$A$422,MATCH(ROWS($P$5:P381),$AD$2:$AD$422,0)),"")</f>
      </c>
      <c r="Q381">
        <f>IF($P381="","",INDEX($B$2:$B$422,MATCH(ROWS($P$5:P381),$AD$2:$AD$422,0)))</f>
      </c>
      <c r="R381">
        <f>IF($P381="","",INDEX($C$2:$C$422,MATCH(ROWS($P$5:P381),$AD$2:$AD$422,0)))</f>
      </c>
      <c r="S381">
        <f>IF($P381="","",INDEX($E$2:$E$422,MATCH(ROWS($P$5:P381),$AD$2:$AD$422,0)))</f>
      </c>
      <c r="T381" s="22">
        <f>IF($P381="","",IFERROR(IF(OR(INDEX($H$2:$H$422,MATCH(ROWS($P$5:P381),$AD$2:$AD$422,0))="",INDEX($H$2:$H$422,MATCH(ROWS($P$5:P381),$AD$2:$AD$422,0))="؟",INDEX($H$2:$H$422,MATCH(ROWS($P$5:P381),$AD$2:$AD$422,0))="نامشخص"),"",INDEX($H$2:$H$422,MATCH(ROWS($P$5:P381),$AD$2:$AD$422,0))),""))</f>
      </c>
      <c r="U381">
        <f>IF($P381="","",INDEX($L$2:$L$422,MATCH(ROWS($P$5:P381),$AD$2:$AD$422,0)))</f>
      </c>
      <c r="V381">
        <f>IF($P381="","",INDEX($M$2:$M$422,MATCH(ROWS($P$5:P381),$AD$2:$AD$422,0)))</f>
      </c>
      <c r="AD381">
        <f>IF(AND(LEN($Q$2)&gt;=3,ISNUMBER(SEARCH($Q$2,$B381))),MAX($AD$1:AD380)+1,"")</f>
      </c>
    </row>
    <row r="382" ht="14.4" customHeight="1" spans="1:30" x14ac:dyDescent="0.25">
      <c r="A382" s="16" t="s">
        <v>1625</v>
      </c>
      <c r="B382" s="16" t="s">
        <v>301</v>
      </c>
      <c r="C382" s="16" t="s">
        <v>1626</v>
      </c>
      <c r="D382" s="16" t="s">
        <v>1617</v>
      </c>
      <c r="E382" s="16" t="s">
        <v>303</v>
      </c>
      <c r="F382" s="16" t="s">
        <v>303</v>
      </c>
      <c r="G382" s="17">
        <f t="shared" si="21"/>
        <v>60000</v>
      </c>
      <c r="H382" s="18">
        <v>60000</v>
      </c>
      <c r="I382" s="19">
        <v>1</v>
      </c>
      <c r="J382" s="18">
        <f t="shared" si="24"/>
        <v>70000</v>
      </c>
      <c r="K382" s="18" t="s">
        <v>477</v>
      </c>
      <c r="L382" s="16" t="str">
        <f t="shared" si="25"/>
        <v>فعال</v>
      </c>
      <c r="M382" s="16">
        <v>275</v>
      </c>
      <c r="N382" s="16" t="s">
        <v>1625</v>
      </c>
      <c r="O382" t="s">
        <v>1627</v>
      </c>
      <c r="P382">
        <f>IFERROR(INDEX($A$2:$A$422,MATCH(ROWS($P$5:P382),$AD$2:$AD$422,0)),"")</f>
      </c>
      <c r="Q382">
        <f>IF($P382="","",INDEX($B$2:$B$422,MATCH(ROWS($P$5:P382),$AD$2:$AD$422,0)))</f>
      </c>
      <c r="R382">
        <f>IF($P382="","",INDEX($C$2:$C$422,MATCH(ROWS($P$5:P382),$AD$2:$AD$422,0)))</f>
      </c>
      <c r="S382">
        <f>IF($P382="","",INDEX($E$2:$E$422,MATCH(ROWS($P$5:P382),$AD$2:$AD$422,0)))</f>
      </c>
      <c r="T382" s="22">
        <f>IF($P382="","",IFERROR(IF(OR(INDEX($H$2:$H$422,MATCH(ROWS($P$5:P382),$AD$2:$AD$422,0))="",INDEX($H$2:$H$422,MATCH(ROWS($P$5:P382),$AD$2:$AD$422,0))="؟",INDEX($H$2:$H$422,MATCH(ROWS($P$5:P382),$AD$2:$AD$422,0))="نامشخص"),"",INDEX($H$2:$H$422,MATCH(ROWS($P$5:P382),$AD$2:$AD$422,0))),""))</f>
      </c>
      <c r="U382">
        <f>IF($P382="","",INDEX($L$2:$L$422,MATCH(ROWS($P$5:P382),$AD$2:$AD$422,0)))</f>
      </c>
      <c r="V382">
        <f>IF($P382="","",INDEX($M$2:$M$422,MATCH(ROWS($P$5:P382),$AD$2:$AD$422,0)))</f>
      </c>
      <c r="AD382">
        <f>IF(AND(LEN($Q$2)&gt;=3,ISNUMBER(SEARCH($Q$2,$B382))),MAX($AD$1:AD381)+1,"")</f>
      </c>
    </row>
    <row r="383" ht="14.4" customHeight="1" spans="1:30" x14ac:dyDescent="0.25">
      <c r="A383" s="16" t="s">
        <v>1628</v>
      </c>
      <c r="B383" s="16" t="s">
        <v>306</v>
      </c>
      <c r="C383" s="16" t="s">
        <v>1629</v>
      </c>
      <c r="D383" s="16" t="s">
        <v>1617</v>
      </c>
      <c r="E383" s="16" t="s">
        <v>11</v>
      </c>
      <c r="F383" s="16" t="s">
        <v>11</v>
      </c>
      <c r="G383" s="17">
        <f t="shared" si="21"/>
        <v>18000</v>
      </c>
      <c r="H383" s="18">
        <v>18000</v>
      </c>
      <c r="I383" s="19">
        <v>1</v>
      </c>
      <c r="J383" s="18">
        <f t="shared" si="24"/>
        <v>20000</v>
      </c>
      <c r="K383" s="18" t="s">
        <v>477</v>
      </c>
      <c r="L383" s="16" t="str">
        <f t="shared" si="25"/>
        <v>فعال</v>
      </c>
      <c r="M383" s="16">
        <v>277</v>
      </c>
      <c r="N383" s="16" t="s">
        <v>1628</v>
      </c>
      <c r="O383" t="s">
        <v>1630</v>
      </c>
      <c r="P383">
        <f>IFERROR(INDEX($A$2:$A$422,MATCH(ROWS($P$5:P383),$AD$2:$AD$422,0)),"")</f>
      </c>
      <c r="Q383">
        <f>IF($P383="","",INDEX($B$2:$B$422,MATCH(ROWS($P$5:P383),$AD$2:$AD$422,0)))</f>
      </c>
      <c r="R383">
        <f>IF($P383="","",INDEX($C$2:$C$422,MATCH(ROWS($P$5:P383),$AD$2:$AD$422,0)))</f>
      </c>
      <c r="S383">
        <f>IF($P383="","",INDEX($E$2:$E$422,MATCH(ROWS($P$5:P383),$AD$2:$AD$422,0)))</f>
      </c>
      <c r="T383" s="22">
        <f>IF($P383="","",IFERROR(IF(OR(INDEX($H$2:$H$422,MATCH(ROWS($P$5:P383),$AD$2:$AD$422,0))="",INDEX($H$2:$H$422,MATCH(ROWS($P$5:P383),$AD$2:$AD$422,0))="؟",INDEX($H$2:$H$422,MATCH(ROWS($P$5:P383),$AD$2:$AD$422,0))="نامشخص"),"",INDEX($H$2:$H$422,MATCH(ROWS($P$5:P383),$AD$2:$AD$422,0))),""))</f>
      </c>
      <c r="U383">
        <f>IF($P383="","",INDEX($L$2:$L$422,MATCH(ROWS($P$5:P383),$AD$2:$AD$422,0)))</f>
      </c>
      <c r="V383">
        <f>IF($P383="","",INDEX($M$2:$M$422,MATCH(ROWS($P$5:P383),$AD$2:$AD$422,0)))</f>
      </c>
      <c r="AD383">
        <f>IF(AND(LEN($Q$2)&gt;=3,ISNUMBER(SEARCH($Q$2,$B383))),MAX($AD$1:AD382)+1,"")</f>
      </c>
    </row>
    <row r="384" ht="14.4" customHeight="1" spans="1:30" x14ac:dyDescent="0.25">
      <c r="A384" s="16" t="s">
        <v>1631</v>
      </c>
      <c r="B384" s="16" t="s">
        <v>306</v>
      </c>
      <c r="C384" s="16" t="s">
        <v>1632</v>
      </c>
      <c r="D384" s="16" t="s">
        <v>1617</v>
      </c>
      <c r="E384" s="16" t="s">
        <v>305</v>
      </c>
      <c r="F384" s="16" t="s">
        <v>305</v>
      </c>
      <c r="G384" s="17">
        <f t="shared" si="21"/>
        <v>23000</v>
      </c>
      <c r="H384" s="18">
        <v>23000</v>
      </c>
      <c r="I384" s="19">
        <v>3</v>
      </c>
      <c r="J384" s="18">
        <f t="shared" si="24"/>
        <v>30000</v>
      </c>
      <c r="K384" s="18" t="s">
        <v>477</v>
      </c>
      <c r="L384" s="16" t="str">
        <f t="shared" si="25"/>
        <v>فعال</v>
      </c>
      <c r="M384" s="16">
        <v>277</v>
      </c>
      <c r="N384" s="16" t="s">
        <v>1631</v>
      </c>
      <c r="O384" t="s">
        <v>1633</v>
      </c>
      <c r="P384">
        <f>IFERROR(INDEX($A$2:$A$422,MATCH(ROWS($P$5:P384),$AD$2:$AD$422,0)),"")</f>
      </c>
      <c r="Q384">
        <f>IF($P384="","",INDEX($B$2:$B$422,MATCH(ROWS($P$5:P384),$AD$2:$AD$422,0)))</f>
      </c>
      <c r="R384">
        <f>IF($P384="","",INDEX($C$2:$C$422,MATCH(ROWS($P$5:P384),$AD$2:$AD$422,0)))</f>
      </c>
      <c r="S384">
        <f>IF($P384="","",INDEX($E$2:$E$422,MATCH(ROWS($P$5:P384),$AD$2:$AD$422,0)))</f>
      </c>
      <c r="T384" s="22">
        <f>IF($P384="","",IFERROR(IF(OR(INDEX($H$2:$H$422,MATCH(ROWS($P$5:P384),$AD$2:$AD$422,0))="",INDEX($H$2:$H$422,MATCH(ROWS($P$5:P384),$AD$2:$AD$422,0))="؟",INDEX($H$2:$H$422,MATCH(ROWS($P$5:P384),$AD$2:$AD$422,0))="نامشخص"),"",INDEX($H$2:$H$422,MATCH(ROWS($P$5:P384),$AD$2:$AD$422,0))),""))</f>
      </c>
      <c r="U384">
        <f>IF($P384="","",INDEX($L$2:$L$422,MATCH(ROWS($P$5:P384),$AD$2:$AD$422,0)))</f>
      </c>
      <c r="V384">
        <f>IF($P384="","",INDEX($M$2:$M$422,MATCH(ROWS($P$5:P384),$AD$2:$AD$422,0)))</f>
      </c>
      <c r="AD384">
        <f>IF(AND(LEN($Q$2)&gt;=3,ISNUMBER(SEARCH($Q$2,$B384))),MAX($AD$1:AD383)+1,"")</f>
      </c>
    </row>
    <row r="385" ht="14.4" customHeight="1" spans="1:30" x14ac:dyDescent="0.25">
      <c r="A385" s="16" t="s">
        <v>1634</v>
      </c>
      <c r="B385" s="16" t="s">
        <v>304</v>
      </c>
      <c r="C385" s="16" t="s">
        <v>1635</v>
      </c>
      <c r="D385" s="16" t="s">
        <v>1617</v>
      </c>
      <c r="E385" s="16" t="s">
        <v>11</v>
      </c>
      <c r="F385" s="16" t="s">
        <v>11</v>
      </c>
      <c r="G385" s="17">
        <f t="shared" si="21"/>
        <v>18000</v>
      </c>
      <c r="H385" s="18">
        <v>18000</v>
      </c>
      <c r="I385" s="19">
        <v>2</v>
      </c>
      <c r="J385" s="18">
        <f t="shared" si="24"/>
        <v>20000</v>
      </c>
      <c r="K385" s="18" t="s">
        <v>477</v>
      </c>
      <c r="L385" s="16" t="str">
        <f t="shared" si="25"/>
        <v>فعال</v>
      </c>
      <c r="M385" s="16">
        <v>276</v>
      </c>
      <c r="N385" s="16" t="s">
        <v>1634</v>
      </c>
      <c r="O385" t="s">
        <v>1636</v>
      </c>
      <c r="P385">
        <f>IFERROR(INDEX($A$2:$A$422,MATCH(ROWS($P$5:P385),$AD$2:$AD$422,0)),"")</f>
      </c>
      <c r="Q385">
        <f>IF($P385="","",INDEX($B$2:$B$422,MATCH(ROWS($P$5:P385),$AD$2:$AD$422,0)))</f>
      </c>
      <c r="R385">
        <f>IF($P385="","",INDEX($C$2:$C$422,MATCH(ROWS($P$5:P385),$AD$2:$AD$422,0)))</f>
      </c>
      <c r="S385">
        <f>IF($P385="","",INDEX($E$2:$E$422,MATCH(ROWS($P$5:P385),$AD$2:$AD$422,0)))</f>
      </c>
      <c r="T385" s="22">
        <f>IF($P385="","",IFERROR(IF(OR(INDEX($H$2:$H$422,MATCH(ROWS($P$5:P385),$AD$2:$AD$422,0))="",INDEX($H$2:$H$422,MATCH(ROWS($P$5:P385),$AD$2:$AD$422,0))="؟",INDEX($H$2:$H$422,MATCH(ROWS($P$5:P385),$AD$2:$AD$422,0))="نامشخص"),"",INDEX($H$2:$H$422,MATCH(ROWS($P$5:P385),$AD$2:$AD$422,0))),""))</f>
      </c>
      <c r="U385">
        <f>IF($P385="","",INDEX($L$2:$L$422,MATCH(ROWS($P$5:P385),$AD$2:$AD$422,0)))</f>
      </c>
      <c r="V385">
        <f>IF($P385="","",INDEX($M$2:$M$422,MATCH(ROWS($P$5:P385),$AD$2:$AD$422,0)))</f>
      </c>
      <c r="AD385">
        <f>IF(AND(LEN($Q$2)&gt;=3,ISNUMBER(SEARCH($Q$2,$B385))),MAX($AD$1:AD384)+1,"")</f>
      </c>
    </row>
    <row r="386" ht="14.4" customHeight="1" spans="1:30" x14ac:dyDescent="0.25">
      <c r="A386" s="16" t="s">
        <v>1637</v>
      </c>
      <c r="B386" s="16" t="s">
        <v>304</v>
      </c>
      <c r="C386" s="16" t="s">
        <v>1638</v>
      </c>
      <c r="D386" s="16" t="s">
        <v>1617</v>
      </c>
      <c r="E386" s="16" t="s">
        <v>305</v>
      </c>
      <c r="F386" s="16" t="s">
        <v>305</v>
      </c>
      <c r="G386" s="17">
        <f t="shared" ref="G386:G449" si="26">H386</f>
        <v>30000</v>
      </c>
      <c r="H386" s="18">
        <v>30000</v>
      </c>
      <c r="I386" s="19">
        <v>1</v>
      </c>
      <c r="J386" s="18">
        <f t="shared" si="24"/>
        <v>40000</v>
      </c>
      <c r="K386" s="18" t="s">
        <v>477</v>
      </c>
      <c r="L386" s="16" t="str">
        <f t="shared" si="25"/>
        <v>فعال</v>
      </c>
      <c r="M386" s="16">
        <v>276</v>
      </c>
      <c r="N386" s="16" t="s">
        <v>1637</v>
      </c>
      <c r="O386" t="s">
        <v>1639</v>
      </c>
      <c r="P386">
        <f>IFERROR(INDEX($A$2:$A$422,MATCH(ROWS($P$5:P386),$AD$2:$AD$422,0)),"")</f>
      </c>
      <c r="Q386">
        <f>IF($P386="","",INDEX($B$2:$B$422,MATCH(ROWS($P$5:P386),$AD$2:$AD$422,0)))</f>
      </c>
      <c r="R386">
        <f>IF($P386="","",INDEX($C$2:$C$422,MATCH(ROWS($P$5:P386),$AD$2:$AD$422,0)))</f>
      </c>
      <c r="S386">
        <f>IF($P386="","",INDEX($E$2:$E$422,MATCH(ROWS($P$5:P386),$AD$2:$AD$422,0)))</f>
      </c>
      <c r="T386" s="22">
        <f>IF($P386="","",IFERROR(IF(OR(INDEX($H$2:$H$422,MATCH(ROWS($P$5:P386),$AD$2:$AD$422,0))="",INDEX($H$2:$H$422,MATCH(ROWS($P$5:P386),$AD$2:$AD$422,0))="؟",INDEX($H$2:$H$422,MATCH(ROWS($P$5:P386),$AD$2:$AD$422,0))="نامشخص"),"",INDEX($H$2:$H$422,MATCH(ROWS($P$5:P386),$AD$2:$AD$422,0))),""))</f>
      </c>
      <c r="U386">
        <f>IF($P386="","",INDEX($L$2:$L$422,MATCH(ROWS($P$5:P386),$AD$2:$AD$422,0)))</f>
      </c>
      <c r="V386">
        <f>IF($P386="","",INDEX($M$2:$M$422,MATCH(ROWS($P$5:P386),$AD$2:$AD$422,0)))</f>
      </c>
      <c r="AD386">
        <f>IF(AND(LEN($Q$2)&gt;=3,ISNUMBER(SEARCH($Q$2,$B386))),MAX($AD$1:AD385)+1,"")</f>
      </c>
    </row>
    <row r="387" ht="14.4" customHeight="1" spans="1:30" x14ac:dyDescent="0.25">
      <c r="A387" s="16" t="s">
        <v>1640</v>
      </c>
      <c r="B387" s="16" t="s">
        <v>307</v>
      </c>
      <c r="C387" s="16" t="s">
        <v>1641</v>
      </c>
      <c r="D387" s="16" t="s">
        <v>1617</v>
      </c>
      <c r="E387" s="16" t="s">
        <v>308</v>
      </c>
      <c r="F387" s="16" t="s">
        <v>308</v>
      </c>
      <c r="G387" s="17">
        <f t="shared" si="26"/>
        <v>32000</v>
      </c>
      <c r="H387" s="18">
        <v>32000</v>
      </c>
      <c r="I387" s="19">
        <v>3</v>
      </c>
      <c r="J387" s="18">
        <f t="shared" si="24"/>
        <v>40000</v>
      </c>
      <c r="K387" s="18" t="s">
        <v>477</v>
      </c>
      <c r="L387" s="16" t="str">
        <f t="shared" si="25"/>
        <v>فعال</v>
      </c>
      <c r="M387" s="16">
        <v>278</v>
      </c>
      <c r="N387" s="16" t="s">
        <v>1640</v>
      </c>
      <c r="O387" t="s">
        <v>1642</v>
      </c>
      <c r="P387">
        <f>IFERROR(INDEX($A$2:$A$422,MATCH(ROWS($P$5:P387),$AD$2:$AD$422,0)),"")</f>
      </c>
      <c r="Q387">
        <f>IF($P387="","",INDEX($B$2:$B$422,MATCH(ROWS($P$5:P387),$AD$2:$AD$422,0)))</f>
      </c>
      <c r="R387">
        <f>IF($P387="","",INDEX($C$2:$C$422,MATCH(ROWS($P$5:P387),$AD$2:$AD$422,0)))</f>
      </c>
      <c r="S387">
        <f>IF($P387="","",INDEX($E$2:$E$422,MATCH(ROWS($P$5:P387),$AD$2:$AD$422,0)))</f>
      </c>
      <c r="T387" s="22">
        <f>IF($P387="","",IFERROR(IF(OR(INDEX($H$2:$H$422,MATCH(ROWS($P$5:P387),$AD$2:$AD$422,0))="",INDEX($H$2:$H$422,MATCH(ROWS($P$5:P387),$AD$2:$AD$422,0))="؟",INDEX($H$2:$H$422,MATCH(ROWS($P$5:P387),$AD$2:$AD$422,0))="نامشخص"),"",INDEX($H$2:$H$422,MATCH(ROWS($P$5:P387),$AD$2:$AD$422,0))),""))</f>
      </c>
      <c r="U387">
        <f>IF($P387="","",INDEX($L$2:$L$422,MATCH(ROWS($P$5:P387),$AD$2:$AD$422,0)))</f>
      </c>
      <c r="V387">
        <f>IF($P387="","",INDEX($M$2:$M$422,MATCH(ROWS($P$5:P387),$AD$2:$AD$422,0)))</f>
      </c>
      <c r="AD387">
        <f>IF(AND(LEN($Q$2)&gt;=3,ISNUMBER(SEARCH($Q$2,$B387))),MAX($AD$1:AD386)+1,"")</f>
      </c>
    </row>
    <row r="388" ht="14.4" customHeight="1" spans="1:30" x14ac:dyDescent="0.25">
      <c r="A388" s="16" t="s">
        <v>1643</v>
      </c>
      <c r="B388" s="16" t="s">
        <v>307</v>
      </c>
      <c r="C388" s="16" t="s">
        <v>1644</v>
      </c>
      <c r="D388" s="16" t="s">
        <v>1617</v>
      </c>
      <c r="E388" s="16" t="s">
        <v>309</v>
      </c>
      <c r="F388" s="16" t="s">
        <v>309</v>
      </c>
      <c r="G388" s="17">
        <f t="shared" si="26"/>
        <v>35000</v>
      </c>
      <c r="H388" s="18">
        <v>35000</v>
      </c>
      <c r="I388" s="19">
        <v>3</v>
      </c>
      <c r="J388" s="18">
        <f t="shared" si="24"/>
        <v>40000</v>
      </c>
      <c r="K388" s="18" t="s">
        <v>477</v>
      </c>
      <c r="L388" s="16" t="str">
        <f t="shared" si="25"/>
        <v>فعال</v>
      </c>
      <c r="M388" s="16">
        <v>278</v>
      </c>
      <c r="N388" s="16" t="s">
        <v>1643</v>
      </c>
      <c r="O388" t="s">
        <v>1645</v>
      </c>
      <c r="P388">
        <f>IFERROR(INDEX($A$2:$A$422,MATCH(ROWS($P$5:P388),$AD$2:$AD$422,0)),"")</f>
      </c>
      <c r="Q388">
        <f>IF($P388="","",INDEX($B$2:$B$422,MATCH(ROWS($P$5:P388),$AD$2:$AD$422,0)))</f>
      </c>
      <c r="R388">
        <f>IF($P388="","",INDEX($C$2:$C$422,MATCH(ROWS($P$5:P388),$AD$2:$AD$422,0)))</f>
      </c>
      <c r="S388">
        <f>IF($P388="","",INDEX($E$2:$E$422,MATCH(ROWS($P$5:P388),$AD$2:$AD$422,0)))</f>
      </c>
      <c r="T388" s="22">
        <f>IF($P388="","",IFERROR(IF(OR(INDEX($H$2:$H$422,MATCH(ROWS($P$5:P388),$AD$2:$AD$422,0))="",INDEX($H$2:$H$422,MATCH(ROWS($P$5:P388),$AD$2:$AD$422,0))="؟",INDEX($H$2:$H$422,MATCH(ROWS($P$5:P388),$AD$2:$AD$422,0))="نامشخص"),"",INDEX($H$2:$H$422,MATCH(ROWS($P$5:P388),$AD$2:$AD$422,0))),""))</f>
      </c>
      <c r="U388">
        <f>IF($P388="","",INDEX($L$2:$L$422,MATCH(ROWS($P$5:P388),$AD$2:$AD$422,0)))</f>
      </c>
      <c r="V388">
        <f>IF($P388="","",INDEX($M$2:$M$422,MATCH(ROWS($P$5:P388),$AD$2:$AD$422,0)))</f>
      </c>
      <c r="AD388">
        <f>IF(AND(LEN($Q$2)&gt;=3,ISNUMBER(SEARCH($Q$2,$B388))),MAX($AD$1:AD387)+1,"")</f>
      </c>
    </row>
    <row r="389" ht="14.4" customHeight="1" spans="1:30" x14ac:dyDescent="0.25">
      <c r="A389" s="16" t="s">
        <v>1646</v>
      </c>
      <c r="B389" s="16" t="s">
        <v>310</v>
      </c>
      <c r="C389" s="16" t="s">
        <v>1647</v>
      </c>
      <c r="D389" s="16" t="s">
        <v>1617</v>
      </c>
      <c r="E389" s="16" t="s">
        <v>311</v>
      </c>
      <c r="F389" s="16" t="s">
        <v>311</v>
      </c>
      <c r="G389" s="17">
        <f t="shared" si="26"/>
        <v>15000</v>
      </c>
      <c r="H389" s="18">
        <v>15000</v>
      </c>
      <c r="I389" s="19">
        <v>1</v>
      </c>
      <c r="J389" s="18">
        <f t="shared" si="24"/>
        <v>20000</v>
      </c>
      <c r="K389" s="18" t="s">
        <v>477</v>
      </c>
      <c r="L389" s="16" t="str">
        <f t="shared" si="25"/>
        <v>فعال</v>
      </c>
      <c r="M389" s="16">
        <v>279</v>
      </c>
      <c r="N389" s="16" t="s">
        <v>1646</v>
      </c>
      <c r="O389" t="s">
        <v>1648</v>
      </c>
      <c r="P389">
        <f>IFERROR(INDEX($A$2:$A$422,MATCH(ROWS($P$5:P389),$AD$2:$AD$422,0)),"")</f>
      </c>
      <c r="Q389">
        <f>IF($P389="","",INDEX($B$2:$B$422,MATCH(ROWS($P$5:P389),$AD$2:$AD$422,0)))</f>
      </c>
      <c r="R389">
        <f>IF($P389="","",INDEX($C$2:$C$422,MATCH(ROWS($P$5:P389),$AD$2:$AD$422,0)))</f>
      </c>
      <c r="S389">
        <f>IF($P389="","",INDEX($E$2:$E$422,MATCH(ROWS($P$5:P389),$AD$2:$AD$422,0)))</f>
      </c>
      <c r="T389" s="22">
        <f>IF($P389="","",IFERROR(IF(OR(INDEX($H$2:$H$422,MATCH(ROWS($P$5:P389),$AD$2:$AD$422,0))="",INDEX($H$2:$H$422,MATCH(ROWS($P$5:P389),$AD$2:$AD$422,0))="؟",INDEX($H$2:$H$422,MATCH(ROWS($P$5:P389),$AD$2:$AD$422,0))="نامشخص"),"",INDEX($H$2:$H$422,MATCH(ROWS($P$5:P389),$AD$2:$AD$422,0))),""))</f>
      </c>
      <c r="U389">
        <f>IF($P389="","",INDEX($L$2:$L$422,MATCH(ROWS($P$5:P389),$AD$2:$AD$422,0)))</f>
      </c>
      <c r="V389">
        <f>IF($P389="","",INDEX($M$2:$M$422,MATCH(ROWS($P$5:P389),$AD$2:$AD$422,0)))</f>
      </c>
      <c r="AD389">
        <f>IF(AND(LEN($Q$2)&gt;=3,ISNUMBER(SEARCH($Q$2,$B389))),MAX($AD$1:AD388)+1,"")</f>
      </c>
    </row>
    <row r="390" ht="14.4" customHeight="1" spans="1:30" x14ac:dyDescent="0.25">
      <c r="A390" s="16" t="s">
        <v>1649</v>
      </c>
      <c r="B390" s="16" t="s">
        <v>310</v>
      </c>
      <c r="C390" s="16" t="s">
        <v>1650</v>
      </c>
      <c r="D390" s="16" t="s">
        <v>1617</v>
      </c>
      <c r="E390" s="16" t="s">
        <v>312</v>
      </c>
      <c r="F390" s="16" t="s">
        <v>312</v>
      </c>
      <c r="G390" s="17">
        <f t="shared" si="26"/>
        <v>25000</v>
      </c>
      <c r="H390" s="18">
        <v>25000</v>
      </c>
      <c r="I390" s="19">
        <v>1</v>
      </c>
      <c r="J390" s="18">
        <f t="shared" si="24"/>
        <v>30000</v>
      </c>
      <c r="K390" s="18" t="s">
        <v>477</v>
      </c>
      <c r="L390" s="16" t="str">
        <f t="shared" si="25"/>
        <v>فعال</v>
      </c>
      <c r="M390" s="16">
        <v>279</v>
      </c>
      <c r="N390" s="16" t="s">
        <v>1649</v>
      </c>
      <c r="O390" t="s">
        <v>1651</v>
      </c>
      <c r="P390">
        <f>IFERROR(INDEX($A$2:$A$422,MATCH(ROWS($P$5:P390),$AD$2:$AD$422,0)),"")</f>
      </c>
      <c r="Q390">
        <f>IF($P390="","",INDEX($B$2:$B$422,MATCH(ROWS($P$5:P390),$AD$2:$AD$422,0)))</f>
      </c>
      <c r="R390">
        <f>IF($P390="","",INDEX($C$2:$C$422,MATCH(ROWS($P$5:P390),$AD$2:$AD$422,0)))</f>
      </c>
      <c r="S390">
        <f>IF($P390="","",INDEX($E$2:$E$422,MATCH(ROWS($P$5:P390),$AD$2:$AD$422,0)))</f>
      </c>
      <c r="T390" s="22">
        <f>IF($P390="","",IFERROR(IF(OR(INDEX($H$2:$H$422,MATCH(ROWS($P$5:P390),$AD$2:$AD$422,0))="",INDEX($H$2:$H$422,MATCH(ROWS($P$5:P390),$AD$2:$AD$422,0))="؟",INDEX($H$2:$H$422,MATCH(ROWS($P$5:P390),$AD$2:$AD$422,0))="نامشخص"),"",INDEX($H$2:$H$422,MATCH(ROWS($P$5:P390),$AD$2:$AD$422,0))),""))</f>
      </c>
      <c r="U390">
        <f>IF($P390="","",INDEX($L$2:$L$422,MATCH(ROWS($P$5:P390),$AD$2:$AD$422,0)))</f>
      </c>
      <c r="V390">
        <f>IF($P390="","",INDEX($M$2:$M$422,MATCH(ROWS($P$5:P390),$AD$2:$AD$422,0)))</f>
      </c>
      <c r="AD390">
        <f>IF(AND(LEN($Q$2)&gt;=3,ISNUMBER(SEARCH($Q$2,$B390))),MAX($AD$1:AD389)+1,"")</f>
      </c>
    </row>
    <row r="391" ht="14.4" customHeight="1" spans="1:30" x14ac:dyDescent="0.25">
      <c r="A391" s="16" t="s">
        <v>1652</v>
      </c>
      <c r="B391" s="16" t="s">
        <v>313</v>
      </c>
      <c r="C391" s="16" t="s">
        <v>1653</v>
      </c>
      <c r="D391" s="16" t="s">
        <v>1617</v>
      </c>
      <c r="E391" s="16" t="s">
        <v>216</v>
      </c>
      <c r="F391" s="16" t="s">
        <v>216</v>
      </c>
      <c r="G391" s="17">
        <f t="shared" si="26"/>
        <v>12000</v>
      </c>
      <c r="H391" s="18">
        <v>12000</v>
      </c>
      <c r="I391" s="19">
        <v>3</v>
      </c>
      <c r="J391" s="18">
        <f t="shared" si="24"/>
        <v>20000</v>
      </c>
      <c r="K391" s="18" t="s">
        <v>477</v>
      </c>
      <c r="L391" s="16" t="str">
        <f t="shared" si="25"/>
        <v>فعال</v>
      </c>
      <c r="M391" s="16">
        <v>280</v>
      </c>
      <c r="N391" s="16" t="s">
        <v>1652</v>
      </c>
      <c r="O391" t="s">
        <v>1654</v>
      </c>
      <c r="P391">
        <f>IFERROR(INDEX($A$2:$A$422,MATCH(ROWS($P$5:P391),$AD$2:$AD$422,0)),"")</f>
      </c>
      <c r="Q391">
        <f>IF($P391="","",INDEX($B$2:$B$422,MATCH(ROWS($P$5:P391),$AD$2:$AD$422,0)))</f>
      </c>
      <c r="R391">
        <f>IF($P391="","",INDEX($C$2:$C$422,MATCH(ROWS($P$5:P391),$AD$2:$AD$422,0)))</f>
      </c>
      <c r="S391">
        <f>IF($P391="","",INDEX($E$2:$E$422,MATCH(ROWS($P$5:P391),$AD$2:$AD$422,0)))</f>
      </c>
      <c r="T391" s="22">
        <f>IF($P391="","",IFERROR(IF(OR(INDEX($H$2:$H$422,MATCH(ROWS($P$5:P391),$AD$2:$AD$422,0))="",INDEX($H$2:$H$422,MATCH(ROWS($P$5:P391),$AD$2:$AD$422,0))="؟",INDEX($H$2:$H$422,MATCH(ROWS($P$5:P391),$AD$2:$AD$422,0))="نامشخص"),"",INDEX($H$2:$H$422,MATCH(ROWS($P$5:P391),$AD$2:$AD$422,0))),""))</f>
      </c>
      <c r="U391">
        <f>IF($P391="","",INDEX($L$2:$L$422,MATCH(ROWS($P$5:P391),$AD$2:$AD$422,0)))</f>
      </c>
      <c r="V391">
        <f>IF($P391="","",INDEX($M$2:$M$422,MATCH(ROWS($P$5:P391),$AD$2:$AD$422,0)))</f>
      </c>
      <c r="AD391">
        <f>IF(AND(LEN($Q$2)&gt;=3,ISNUMBER(SEARCH($Q$2,$B391))),MAX($AD$1:AD390)+1,"")</f>
      </c>
    </row>
    <row r="392" ht="14.4" customHeight="1" spans="1:30" x14ac:dyDescent="0.25">
      <c r="A392" s="16" t="s">
        <v>1655</v>
      </c>
      <c r="B392" s="16" t="s">
        <v>313</v>
      </c>
      <c r="C392" s="16" t="s">
        <v>1656</v>
      </c>
      <c r="D392" s="16" t="s">
        <v>1617</v>
      </c>
      <c r="E392" s="16" t="s">
        <v>314</v>
      </c>
      <c r="F392" s="16" t="s">
        <v>314</v>
      </c>
      <c r="G392" s="17">
        <f t="shared" si="26"/>
        <v>20000</v>
      </c>
      <c r="H392" s="18">
        <v>20000</v>
      </c>
      <c r="I392" s="19">
        <v>2</v>
      </c>
      <c r="J392" s="18">
        <f t="shared" si="24"/>
        <v>30000</v>
      </c>
      <c r="K392" s="18" t="s">
        <v>477</v>
      </c>
      <c r="L392" s="16" t="str">
        <f t="shared" si="25"/>
        <v>فعال</v>
      </c>
      <c r="M392" s="16">
        <v>280</v>
      </c>
      <c r="N392" s="16" t="s">
        <v>1655</v>
      </c>
      <c r="O392" t="s">
        <v>1657</v>
      </c>
      <c r="P392">
        <f>IFERROR(INDEX($A$2:$A$422,MATCH(ROWS($P$5:P392),$AD$2:$AD$422,0)),"")</f>
      </c>
      <c r="Q392">
        <f>IF($P392="","",INDEX($B$2:$B$422,MATCH(ROWS($P$5:P392),$AD$2:$AD$422,0)))</f>
      </c>
      <c r="R392">
        <f>IF($P392="","",INDEX($C$2:$C$422,MATCH(ROWS($P$5:P392),$AD$2:$AD$422,0)))</f>
      </c>
      <c r="S392">
        <f>IF($P392="","",INDEX($E$2:$E$422,MATCH(ROWS($P$5:P392),$AD$2:$AD$422,0)))</f>
      </c>
      <c r="T392" s="22">
        <f>IF($P392="","",IFERROR(IF(OR(INDEX($H$2:$H$422,MATCH(ROWS($P$5:P392),$AD$2:$AD$422,0))="",INDEX($H$2:$H$422,MATCH(ROWS($P$5:P392),$AD$2:$AD$422,0))="؟",INDEX($H$2:$H$422,MATCH(ROWS($P$5:P392),$AD$2:$AD$422,0))="نامشخص"),"",INDEX($H$2:$H$422,MATCH(ROWS($P$5:P392),$AD$2:$AD$422,0))),""))</f>
      </c>
      <c r="U392">
        <f>IF($P392="","",INDEX($L$2:$L$422,MATCH(ROWS($P$5:P392),$AD$2:$AD$422,0)))</f>
      </c>
      <c r="V392">
        <f>IF($P392="","",INDEX($M$2:$M$422,MATCH(ROWS($P$5:P392),$AD$2:$AD$422,0)))</f>
      </c>
      <c r="AD392">
        <f>IF(AND(LEN($Q$2)&gt;=3,ISNUMBER(SEARCH($Q$2,$B392))),MAX($AD$1:AD391)+1,"")</f>
      </c>
    </row>
    <row r="393" ht="14.4" customHeight="1" spans="1:30" x14ac:dyDescent="0.25">
      <c r="A393" s="16" t="s">
        <v>1658</v>
      </c>
      <c r="B393" s="16" t="s">
        <v>315</v>
      </c>
      <c r="C393" s="16" t="s">
        <v>1659</v>
      </c>
      <c r="D393" s="16" t="s">
        <v>1617</v>
      </c>
      <c r="E393" s="16" t="s">
        <v>9</v>
      </c>
      <c r="F393" s="16" t="s">
        <v>9</v>
      </c>
      <c r="G393" s="17">
        <f t="shared" si="26"/>
        <v>50000</v>
      </c>
      <c r="H393" s="18">
        <v>50000</v>
      </c>
      <c r="I393" s="19">
        <v>2</v>
      </c>
      <c r="J393" s="18">
        <f t="shared" si="24"/>
        <v>60000</v>
      </c>
      <c r="K393" s="18" t="s">
        <v>477</v>
      </c>
      <c r="L393" s="16" t="str">
        <f t="shared" si="25"/>
        <v>فعال</v>
      </c>
      <c r="M393" s="16">
        <v>281</v>
      </c>
      <c r="N393" s="16" t="s">
        <v>1658</v>
      </c>
      <c r="O393" t="s">
        <v>1660</v>
      </c>
      <c r="P393">
        <f>IFERROR(INDEX($A$2:$A$422,MATCH(ROWS($P$5:P393),$AD$2:$AD$422,0)),"")</f>
      </c>
      <c r="Q393">
        <f>IF($P393="","",INDEX($B$2:$B$422,MATCH(ROWS($P$5:P393),$AD$2:$AD$422,0)))</f>
      </c>
      <c r="R393">
        <f>IF($P393="","",INDEX($C$2:$C$422,MATCH(ROWS($P$5:P393),$AD$2:$AD$422,0)))</f>
      </c>
      <c r="S393">
        <f>IF($P393="","",INDEX($E$2:$E$422,MATCH(ROWS($P$5:P393),$AD$2:$AD$422,0)))</f>
      </c>
      <c r="T393" s="22">
        <f>IF($P393="","",IFERROR(IF(OR(INDEX($H$2:$H$422,MATCH(ROWS($P$5:P393),$AD$2:$AD$422,0))="",INDEX($H$2:$H$422,MATCH(ROWS($P$5:P393),$AD$2:$AD$422,0))="؟",INDEX($H$2:$H$422,MATCH(ROWS($P$5:P393),$AD$2:$AD$422,0))="نامشخص"),"",INDEX($H$2:$H$422,MATCH(ROWS($P$5:P393),$AD$2:$AD$422,0))),""))</f>
      </c>
      <c r="U393">
        <f>IF($P393="","",INDEX($L$2:$L$422,MATCH(ROWS($P$5:P393),$AD$2:$AD$422,0)))</f>
      </c>
      <c r="V393">
        <f>IF($P393="","",INDEX($M$2:$M$422,MATCH(ROWS($P$5:P393),$AD$2:$AD$422,0)))</f>
      </c>
      <c r="AD393">
        <f>IF(AND(LEN($Q$2)&gt;=3,ISNUMBER(SEARCH($Q$2,$B393))),MAX($AD$1:AD392)+1,"")</f>
      </c>
    </row>
    <row r="394" ht="14.4" customHeight="1" spans="1:30" x14ac:dyDescent="0.25">
      <c r="A394" s="16" t="s">
        <v>1661</v>
      </c>
      <c r="B394" s="16" t="s">
        <v>316</v>
      </c>
      <c r="C394" s="16" t="s">
        <v>1662</v>
      </c>
      <c r="D394" s="16" t="s">
        <v>1617</v>
      </c>
      <c r="E394" s="16" t="s">
        <v>132</v>
      </c>
      <c r="F394" s="16" t="s">
        <v>132</v>
      </c>
      <c r="G394" s="17">
        <f t="shared" si="26"/>
        <v>22000</v>
      </c>
      <c r="H394" s="18">
        <v>22000</v>
      </c>
      <c r="I394" s="19">
        <v>2</v>
      </c>
      <c r="J394" s="18">
        <f t="shared" si="24"/>
        <v>30000</v>
      </c>
      <c r="K394" s="18" t="s">
        <v>477</v>
      </c>
      <c r="L394" s="16" t="str">
        <f t="shared" si="25"/>
        <v>فعال</v>
      </c>
      <c r="M394" s="16">
        <v>282</v>
      </c>
      <c r="N394" s="16" t="s">
        <v>1661</v>
      </c>
      <c r="O394" t="s">
        <v>1663</v>
      </c>
      <c r="P394">
        <f>IFERROR(INDEX($A$2:$A$422,MATCH(ROWS($P$5:P394),$AD$2:$AD$422,0)),"")</f>
      </c>
      <c r="Q394">
        <f>IF($P394="","",INDEX($B$2:$B$422,MATCH(ROWS($P$5:P394),$AD$2:$AD$422,0)))</f>
      </c>
      <c r="R394">
        <f>IF($P394="","",INDEX($C$2:$C$422,MATCH(ROWS($P$5:P394),$AD$2:$AD$422,0)))</f>
      </c>
      <c r="S394">
        <f>IF($P394="","",INDEX($E$2:$E$422,MATCH(ROWS($P$5:P394),$AD$2:$AD$422,0)))</f>
      </c>
      <c r="T394" s="22">
        <f>IF($P394="","",IFERROR(IF(OR(INDEX($H$2:$H$422,MATCH(ROWS($P$5:P394),$AD$2:$AD$422,0))="",INDEX($H$2:$H$422,MATCH(ROWS($P$5:P394),$AD$2:$AD$422,0))="؟",INDEX($H$2:$H$422,MATCH(ROWS($P$5:P394),$AD$2:$AD$422,0))="نامشخص"),"",INDEX($H$2:$H$422,MATCH(ROWS($P$5:P394),$AD$2:$AD$422,0))),""))</f>
      </c>
      <c r="U394">
        <f>IF($P394="","",INDEX($L$2:$L$422,MATCH(ROWS($P$5:P394),$AD$2:$AD$422,0)))</f>
      </c>
      <c r="V394">
        <f>IF($P394="","",INDEX($M$2:$M$422,MATCH(ROWS($P$5:P394),$AD$2:$AD$422,0)))</f>
      </c>
      <c r="AD394">
        <f>IF(AND(LEN($Q$2)&gt;=3,ISNUMBER(SEARCH($Q$2,$B394))),MAX($AD$1:AD393)+1,"")</f>
      </c>
    </row>
    <row r="395" ht="14.4" customHeight="1" spans="1:30" x14ac:dyDescent="0.25">
      <c r="A395" s="16" t="s">
        <v>1664</v>
      </c>
      <c r="B395" s="16" t="s">
        <v>316</v>
      </c>
      <c r="C395" s="16" t="s">
        <v>1665</v>
      </c>
      <c r="D395" s="16" t="s">
        <v>1617</v>
      </c>
      <c r="E395" s="16" t="s">
        <v>317</v>
      </c>
      <c r="F395" s="16" t="s">
        <v>317</v>
      </c>
      <c r="G395" s="17">
        <f t="shared" si="26"/>
        <v>25000</v>
      </c>
      <c r="H395" s="18">
        <v>25000</v>
      </c>
      <c r="I395" s="19">
        <v>2</v>
      </c>
      <c r="J395" s="18">
        <f t="shared" si="24"/>
        <v>30000</v>
      </c>
      <c r="K395" s="18" t="s">
        <v>477</v>
      </c>
      <c r="L395" s="16" t="str">
        <f t="shared" si="25"/>
        <v>فعال</v>
      </c>
      <c r="M395" s="16">
        <v>282</v>
      </c>
      <c r="N395" s="16" t="s">
        <v>1664</v>
      </c>
      <c r="O395" t="s">
        <v>1666</v>
      </c>
      <c r="P395">
        <f>IFERROR(INDEX($A$2:$A$422,MATCH(ROWS($P$5:P395),$AD$2:$AD$422,0)),"")</f>
      </c>
      <c r="Q395">
        <f>IF($P395="","",INDEX($B$2:$B$422,MATCH(ROWS($P$5:P395),$AD$2:$AD$422,0)))</f>
      </c>
      <c r="R395">
        <f>IF($P395="","",INDEX($C$2:$C$422,MATCH(ROWS($P$5:P395),$AD$2:$AD$422,0)))</f>
      </c>
      <c r="S395">
        <f>IF($P395="","",INDEX($E$2:$E$422,MATCH(ROWS($P$5:P395),$AD$2:$AD$422,0)))</f>
      </c>
      <c r="T395" s="22">
        <f>IF($P395="","",IFERROR(IF(OR(INDEX($H$2:$H$422,MATCH(ROWS($P$5:P395),$AD$2:$AD$422,0))="",INDEX($H$2:$H$422,MATCH(ROWS($P$5:P395),$AD$2:$AD$422,0))="؟",INDEX($H$2:$H$422,MATCH(ROWS($P$5:P395),$AD$2:$AD$422,0))="نامشخص"),"",INDEX($H$2:$H$422,MATCH(ROWS($P$5:P395),$AD$2:$AD$422,0))),""))</f>
      </c>
      <c r="U395">
        <f>IF($P395="","",INDEX($L$2:$L$422,MATCH(ROWS($P$5:P395),$AD$2:$AD$422,0)))</f>
      </c>
      <c r="V395">
        <f>IF($P395="","",INDEX($M$2:$M$422,MATCH(ROWS($P$5:P395),$AD$2:$AD$422,0)))</f>
      </c>
      <c r="AD395">
        <f>IF(AND(LEN($Q$2)&gt;=3,ISNUMBER(SEARCH($Q$2,$B395))),MAX($AD$1:AD394)+1,"")</f>
      </c>
    </row>
    <row r="396" ht="14.4" customHeight="1" spans="1:30" x14ac:dyDescent="0.25">
      <c r="A396" s="16" t="s">
        <v>1667</v>
      </c>
      <c r="B396" s="16" t="s">
        <v>318</v>
      </c>
      <c r="C396" s="16" t="s">
        <v>1668</v>
      </c>
      <c r="D396" s="16" t="s">
        <v>1617</v>
      </c>
      <c r="E396" s="16" t="s">
        <v>311</v>
      </c>
      <c r="F396" s="16" t="s">
        <v>311</v>
      </c>
      <c r="G396" s="17">
        <f t="shared" si="26"/>
        <v>40000</v>
      </c>
      <c r="H396" s="18">
        <v>40000</v>
      </c>
      <c r="I396" s="19">
        <v>1</v>
      </c>
      <c r="J396" s="18">
        <f t="shared" si="24"/>
        <v>50000</v>
      </c>
      <c r="K396" s="18" t="s">
        <v>477</v>
      </c>
      <c r="L396" s="16" t="str">
        <f t="shared" si="25"/>
        <v>فعال</v>
      </c>
      <c r="M396" s="16">
        <v>283</v>
      </c>
      <c r="N396" s="16" t="s">
        <v>1667</v>
      </c>
      <c r="O396" t="s">
        <v>1669</v>
      </c>
      <c r="P396">
        <f>IFERROR(INDEX($A$2:$A$422,MATCH(ROWS($P$5:P396),$AD$2:$AD$422,0)),"")</f>
      </c>
      <c r="Q396">
        <f>IF($P396="","",INDEX($B$2:$B$422,MATCH(ROWS($P$5:P396),$AD$2:$AD$422,0)))</f>
      </c>
      <c r="R396">
        <f>IF($P396="","",INDEX($C$2:$C$422,MATCH(ROWS($P$5:P396),$AD$2:$AD$422,0)))</f>
      </c>
      <c r="S396">
        <f>IF($P396="","",INDEX($E$2:$E$422,MATCH(ROWS($P$5:P396),$AD$2:$AD$422,0)))</f>
      </c>
      <c r="T396" s="22">
        <f>IF($P396="","",IFERROR(IF(OR(INDEX($H$2:$H$422,MATCH(ROWS($P$5:P396),$AD$2:$AD$422,0))="",INDEX($H$2:$H$422,MATCH(ROWS($P$5:P396),$AD$2:$AD$422,0))="؟",INDEX($H$2:$H$422,MATCH(ROWS($P$5:P396),$AD$2:$AD$422,0))="نامشخص"),"",INDEX($H$2:$H$422,MATCH(ROWS($P$5:P396),$AD$2:$AD$422,0))),""))</f>
      </c>
      <c r="U396">
        <f>IF($P396="","",INDEX($L$2:$L$422,MATCH(ROWS($P$5:P396),$AD$2:$AD$422,0)))</f>
      </c>
      <c r="V396">
        <f>IF($P396="","",INDEX($M$2:$M$422,MATCH(ROWS($P$5:P396),$AD$2:$AD$422,0)))</f>
      </c>
      <c r="AD396">
        <f>IF(AND(LEN($Q$2)&gt;=3,ISNUMBER(SEARCH($Q$2,$B396))),MAX($AD$1:AD395)+1,"")</f>
      </c>
    </row>
    <row r="397" ht="14.4" customHeight="1" spans="1:30" x14ac:dyDescent="0.25">
      <c r="A397" s="16" t="s">
        <v>1670</v>
      </c>
      <c r="B397" s="16" t="s">
        <v>318</v>
      </c>
      <c r="C397" s="16" t="s">
        <v>1671</v>
      </c>
      <c r="D397" s="16" t="s">
        <v>1617</v>
      </c>
      <c r="E397" s="16" t="s">
        <v>303</v>
      </c>
      <c r="F397" s="16" t="s">
        <v>303</v>
      </c>
      <c r="G397" s="17">
        <f t="shared" si="26"/>
        <v>50000</v>
      </c>
      <c r="H397" s="18">
        <v>50000</v>
      </c>
      <c r="I397" s="19">
        <v>1</v>
      </c>
      <c r="J397" s="18">
        <f t="shared" si="24"/>
        <v>60000</v>
      </c>
      <c r="K397" s="18" t="s">
        <v>477</v>
      </c>
      <c r="L397" s="16" t="str">
        <f t="shared" si="25"/>
        <v>فعال</v>
      </c>
      <c r="M397" s="16">
        <v>283</v>
      </c>
      <c r="N397" s="16" t="s">
        <v>1670</v>
      </c>
      <c r="O397" t="s">
        <v>1672</v>
      </c>
      <c r="P397">
        <f>IFERROR(INDEX($A$2:$A$422,MATCH(ROWS($P$5:P397),$AD$2:$AD$422,0)),"")</f>
      </c>
      <c r="Q397">
        <f>IF($P397="","",INDEX($B$2:$B$422,MATCH(ROWS($P$5:P397),$AD$2:$AD$422,0)))</f>
      </c>
      <c r="R397">
        <f>IF($P397="","",INDEX($C$2:$C$422,MATCH(ROWS($P$5:P397),$AD$2:$AD$422,0)))</f>
      </c>
      <c r="S397">
        <f>IF($P397="","",INDEX($E$2:$E$422,MATCH(ROWS($P$5:P397),$AD$2:$AD$422,0)))</f>
      </c>
      <c r="T397" s="22">
        <f>IF($P397="","",IFERROR(IF(OR(INDEX($H$2:$H$422,MATCH(ROWS($P$5:P397),$AD$2:$AD$422,0))="",INDEX($H$2:$H$422,MATCH(ROWS($P$5:P397),$AD$2:$AD$422,0))="؟",INDEX($H$2:$H$422,MATCH(ROWS($P$5:P397),$AD$2:$AD$422,0))="نامشخص"),"",INDEX($H$2:$H$422,MATCH(ROWS($P$5:P397),$AD$2:$AD$422,0))),""))</f>
      </c>
      <c r="U397">
        <f>IF($P397="","",INDEX($L$2:$L$422,MATCH(ROWS($P$5:P397),$AD$2:$AD$422,0)))</f>
      </c>
      <c r="V397">
        <f>IF($P397="","",INDEX($M$2:$M$422,MATCH(ROWS($P$5:P397),$AD$2:$AD$422,0)))</f>
      </c>
      <c r="AD397">
        <f>IF(AND(LEN($Q$2)&gt;=3,ISNUMBER(SEARCH($Q$2,$B397))),MAX($AD$1:AD396)+1,"")</f>
      </c>
    </row>
    <row r="398" ht="14.4" customHeight="1" spans="1:30" x14ac:dyDescent="0.25">
      <c r="A398" s="16" t="s">
        <v>1673</v>
      </c>
      <c r="B398" s="16" t="s">
        <v>65</v>
      </c>
      <c r="C398" s="16" t="s">
        <v>1674</v>
      </c>
      <c r="D398" s="16" t="s">
        <v>1617</v>
      </c>
      <c r="E398" s="16" t="s">
        <v>47</v>
      </c>
      <c r="F398" s="16" t="s">
        <v>47</v>
      </c>
      <c r="G398" s="17">
        <f t="shared" si="26"/>
        <v>700000</v>
      </c>
      <c r="H398" s="18">
        <v>700000</v>
      </c>
      <c r="I398" s="19">
        <v>3</v>
      </c>
      <c r="J398" s="18">
        <f t="shared" si="24"/>
        <v>730000</v>
      </c>
      <c r="K398" s="18" t="s">
        <v>477</v>
      </c>
      <c r="L398" s="16" t="str">
        <f t="shared" si="25"/>
        <v>فعال</v>
      </c>
      <c r="M398" s="16">
        <v>56</v>
      </c>
      <c r="N398" s="16" t="s">
        <v>1673</v>
      </c>
      <c r="O398" t="s">
        <v>1675</v>
      </c>
      <c r="P398">
        <f>IFERROR(INDEX($A$2:$A$422,MATCH(ROWS($P$5:P398),$AD$2:$AD$422,0)),"")</f>
      </c>
      <c r="Q398">
        <f>IF($P398="","",INDEX($B$2:$B$422,MATCH(ROWS($P$5:P398),$AD$2:$AD$422,0)))</f>
      </c>
      <c r="R398">
        <f>IF($P398="","",INDEX($C$2:$C$422,MATCH(ROWS($P$5:P398),$AD$2:$AD$422,0)))</f>
      </c>
      <c r="S398">
        <f>IF($P398="","",INDEX($E$2:$E$422,MATCH(ROWS($P$5:P398),$AD$2:$AD$422,0)))</f>
      </c>
      <c r="T398" s="22">
        <f>IF($P398="","",IFERROR(IF(OR(INDEX($H$2:$H$422,MATCH(ROWS($P$5:P398),$AD$2:$AD$422,0))="",INDEX($H$2:$H$422,MATCH(ROWS($P$5:P398),$AD$2:$AD$422,0))="؟",INDEX($H$2:$H$422,MATCH(ROWS($P$5:P398),$AD$2:$AD$422,0))="نامشخص"),"",INDEX($H$2:$H$422,MATCH(ROWS($P$5:P398),$AD$2:$AD$422,0))),""))</f>
      </c>
      <c r="U398">
        <f>IF($P398="","",INDEX($L$2:$L$422,MATCH(ROWS($P$5:P398),$AD$2:$AD$422,0)))</f>
      </c>
      <c r="V398">
        <f>IF($P398="","",INDEX($M$2:$M$422,MATCH(ROWS($P$5:P398),$AD$2:$AD$422,0)))</f>
      </c>
      <c r="AD398">
        <f>IF(AND(LEN($Q$2)&gt;=3,ISNUMBER(SEARCH($Q$2,$B398))),MAX($AD$1:AD397)+1,"")</f>
      </c>
    </row>
    <row r="399" ht="14.4" customHeight="1" spans="1:30" x14ac:dyDescent="0.25">
      <c r="A399" s="16" t="s">
        <v>1676</v>
      </c>
      <c r="B399" s="16" t="s">
        <v>7</v>
      </c>
      <c r="C399" s="16" t="s">
        <v>1677</v>
      </c>
      <c r="D399" s="16" t="s">
        <v>1678</v>
      </c>
      <c r="E399" s="16" t="s">
        <v>9</v>
      </c>
      <c r="F399" s="16" t="s">
        <v>9</v>
      </c>
      <c r="G399" s="17" t="str">
        <f t="shared" si="26"/>
        <v>؟</v>
      </c>
      <c r="H399" s="18" t="s">
        <v>8</v>
      </c>
      <c r="I399" s="19">
        <v>2</v>
      </c>
      <c r="J399" s="18">
        <f t="shared" si="24"/>
      </c>
      <c r="K399" s="18" t="s">
        <v>477</v>
      </c>
      <c r="L399" s="16" t="str">
        <f t="shared" si="25"/>
        <v>نیاز به استعلام</v>
      </c>
      <c r="M399" s="16">
        <v>3</v>
      </c>
      <c r="N399" s="16" t="s">
        <v>1676</v>
      </c>
      <c r="O399" t="s">
        <v>1679</v>
      </c>
      <c r="P399">
        <f>IFERROR(INDEX($A$2:$A$422,MATCH(ROWS($P$5:P399),$AD$2:$AD$422,0)),"")</f>
      </c>
      <c r="Q399">
        <f>IF($P399="","",INDEX($B$2:$B$422,MATCH(ROWS($P$5:P399),$AD$2:$AD$422,0)))</f>
      </c>
      <c r="R399">
        <f>IF($P399="","",INDEX($C$2:$C$422,MATCH(ROWS($P$5:P399),$AD$2:$AD$422,0)))</f>
      </c>
      <c r="S399">
        <f>IF($P399="","",INDEX($E$2:$E$422,MATCH(ROWS($P$5:P399),$AD$2:$AD$422,0)))</f>
      </c>
      <c r="T399" s="22">
        <f>IF($P399="","",IFERROR(IF(OR(INDEX($H$2:$H$422,MATCH(ROWS($P$5:P399),$AD$2:$AD$422,0))="",INDEX($H$2:$H$422,MATCH(ROWS($P$5:P399),$AD$2:$AD$422,0))="؟",INDEX($H$2:$H$422,MATCH(ROWS($P$5:P399),$AD$2:$AD$422,0))="نامشخص"),"",INDEX($H$2:$H$422,MATCH(ROWS($P$5:P399),$AD$2:$AD$422,0))),""))</f>
      </c>
      <c r="U399">
        <f>IF($P399="","",INDEX($L$2:$L$422,MATCH(ROWS($P$5:P399),$AD$2:$AD$422,0)))</f>
      </c>
      <c r="V399">
        <f>IF($P399="","",INDEX($M$2:$M$422,MATCH(ROWS($P$5:P399),$AD$2:$AD$422,0)))</f>
      </c>
      <c r="AD399">
        <f>IF(AND(LEN($Q$2)&gt;=3,ISNUMBER(SEARCH($Q$2,$B399))),MAX($AD$1:AD398)+1,"")</f>
      </c>
    </row>
    <row r="400" ht="14.4" customHeight="1" spans="1:30" x14ac:dyDescent="0.25">
      <c r="A400" s="16" t="s">
        <v>1680</v>
      </c>
      <c r="B400" s="16" t="s">
        <v>10</v>
      </c>
      <c r="C400" s="16" t="s">
        <v>1681</v>
      </c>
      <c r="D400" s="16" t="s">
        <v>1678</v>
      </c>
      <c r="E400" s="16" t="s">
        <v>11</v>
      </c>
      <c r="F400" s="16" t="s">
        <v>11</v>
      </c>
      <c r="G400" s="17">
        <f t="shared" si="26"/>
        <v>110000</v>
      </c>
      <c r="H400" s="18">
        <v>110000</v>
      </c>
      <c r="I400" s="19">
        <v>11</v>
      </c>
      <c r="J400" s="18">
        <v>130000</v>
      </c>
      <c r="K400" s="18" t="s">
        <v>477</v>
      </c>
      <c r="L400" s="16" t="str">
        <f t="shared" si="25"/>
        <v>فعال</v>
      </c>
      <c r="M400" s="16">
        <v>4</v>
      </c>
      <c r="N400" s="16" t="s">
        <v>1680</v>
      </c>
      <c r="O400" t="s">
        <v>1682</v>
      </c>
      <c r="P400">
        <f>IFERROR(INDEX($A$2:$A$422,MATCH(ROWS($P$5:P400),$AD$2:$AD$422,0)),"")</f>
      </c>
      <c r="Q400">
        <f>IF($P400="","",INDEX($B$2:$B$422,MATCH(ROWS($P$5:P400),$AD$2:$AD$422,0)))</f>
      </c>
      <c r="R400">
        <f>IF($P400="","",INDEX($C$2:$C$422,MATCH(ROWS($P$5:P400),$AD$2:$AD$422,0)))</f>
      </c>
      <c r="S400">
        <f>IF($P400="","",INDEX($E$2:$E$422,MATCH(ROWS($P$5:P400),$AD$2:$AD$422,0)))</f>
      </c>
      <c r="T400" s="22">
        <f>IF($P400="","",IFERROR(IF(OR(INDEX($H$2:$H$422,MATCH(ROWS($P$5:P400),$AD$2:$AD$422,0))="",INDEX($H$2:$H$422,MATCH(ROWS($P$5:P400),$AD$2:$AD$422,0))="؟",INDEX($H$2:$H$422,MATCH(ROWS($P$5:P400),$AD$2:$AD$422,0))="نامشخص"),"",INDEX($H$2:$H$422,MATCH(ROWS($P$5:P400),$AD$2:$AD$422,0))),""))</f>
      </c>
      <c r="U400">
        <f>IF($P400="","",INDEX($L$2:$L$422,MATCH(ROWS($P$5:P400),$AD$2:$AD$422,0)))</f>
      </c>
      <c r="V400">
        <f>IF($P400="","",INDEX($M$2:$M$422,MATCH(ROWS($P$5:P400),$AD$2:$AD$422,0)))</f>
      </c>
      <c r="AD400">
        <f>IF(AND(LEN($Q$2)&gt;=3,ISNUMBER(SEARCH($Q$2,$B400))),MAX($AD$1:AD399)+1,"")</f>
      </c>
    </row>
    <row r="401" ht="14.4" customHeight="1" spans="1:30" x14ac:dyDescent="0.25">
      <c r="A401" s="16" t="s">
        <v>1683</v>
      </c>
      <c r="B401" s="16" t="s">
        <v>115</v>
      </c>
      <c r="C401" s="16" t="s">
        <v>1684</v>
      </c>
      <c r="D401" s="16" t="s">
        <v>1685</v>
      </c>
      <c r="E401" s="16" t="s">
        <v>9</v>
      </c>
      <c r="F401" s="16" t="s">
        <v>9</v>
      </c>
      <c r="G401" s="17">
        <f t="shared" si="26"/>
        <v>710000</v>
      </c>
      <c r="H401" s="18">
        <v>710000</v>
      </c>
      <c r="I401" s="19">
        <v>2</v>
      </c>
      <c r="J401" s="18">
        <f t="shared" si="24"/>
        <v>730000</v>
      </c>
      <c r="K401" s="18" t="s">
        <v>477</v>
      </c>
      <c r="L401" s="16" t="str">
        <f t="shared" si="25"/>
        <v>فعال</v>
      </c>
      <c r="M401" s="16">
        <v>99</v>
      </c>
      <c r="N401" s="16" t="s">
        <v>1683</v>
      </c>
      <c r="O401" t="s">
        <v>1686</v>
      </c>
      <c r="P401">
        <f>IFERROR(INDEX($A$2:$A$422,MATCH(ROWS($P$5:P401),$AD$2:$AD$422,0)),"")</f>
      </c>
      <c r="Q401">
        <f>IF($P401="","",INDEX($B$2:$B$422,MATCH(ROWS($P$5:P401),$AD$2:$AD$422,0)))</f>
      </c>
      <c r="R401">
        <f>IF($P401="","",INDEX($C$2:$C$422,MATCH(ROWS($P$5:P401),$AD$2:$AD$422,0)))</f>
      </c>
      <c r="S401">
        <f>IF($P401="","",INDEX($E$2:$E$422,MATCH(ROWS($P$5:P401),$AD$2:$AD$422,0)))</f>
      </c>
      <c r="T401" s="22">
        <f>IF($P401="","",IFERROR(IF(OR(INDEX($H$2:$H$422,MATCH(ROWS($P$5:P401),$AD$2:$AD$422,0))="",INDEX($H$2:$H$422,MATCH(ROWS($P$5:P401),$AD$2:$AD$422,0))="؟",INDEX($H$2:$H$422,MATCH(ROWS($P$5:P401),$AD$2:$AD$422,0))="نامشخص"),"",INDEX($H$2:$H$422,MATCH(ROWS($P$5:P401),$AD$2:$AD$422,0))),""))</f>
      </c>
      <c r="U401">
        <f>IF($P401="","",INDEX($L$2:$L$422,MATCH(ROWS($P$5:P401),$AD$2:$AD$422,0)))</f>
      </c>
      <c r="V401">
        <f>IF($P401="","",INDEX($M$2:$M$422,MATCH(ROWS($P$5:P401),$AD$2:$AD$422,0)))</f>
      </c>
      <c r="AD401">
        <f>IF(AND(LEN($Q$2)&gt;=3,ISNUMBER(SEARCH($Q$2,$B401))),MAX($AD$1:AD400)+1,"")</f>
      </c>
    </row>
    <row r="402" ht="14.4" customHeight="1" spans="1:30" x14ac:dyDescent="0.25">
      <c r="A402" s="16" t="s">
        <v>1687</v>
      </c>
      <c r="B402" s="16" t="s">
        <v>50</v>
      </c>
      <c r="C402" s="16" t="s">
        <v>1688</v>
      </c>
      <c r="D402" s="16" t="s">
        <v>1689</v>
      </c>
      <c r="E402" s="16" t="s">
        <v>9</v>
      </c>
      <c r="F402" s="16" t="s">
        <v>9</v>
      </c>
      <c r="G402" s="17">
        <f t="shared" si="26"/>
        <v>4500000</v>
      </c>
      <c r="H402" s="18">
        <v>4500000</v>
      </c>
      <c r="I402" s="19">
        <v>2</v>
      </c>
      <c r="J402" s="18">
        <f t="shared" si="24"/>
        <v>4590000</v>
      </c>
      <c r="K402" s="18" t="s">
        <v>477</v>
      </c>
      <c r="L402" s="16" t="str">
        <f t="shared" si="25"/>
        <v>فعال</v>
      </c>
      <c r="M402" s="16">
        <v>41</v>
      </c>
      <c r="N402" s="16" t="s">
        <v>1687</v>
      </c>
      <c r="O402" t="s">
        <v>1690</v>
      </c>
      <c r="P402">
        <f>IFERROR(INDEX($A$2:$A$422,MATCH(ROWS($P$5:P402),$AD$2:$AD$422,0)),"")</f>
      </c>
      <c r="Q402">
        <f>IF($P402="","",INDEX($B$2:$B$422,MATCH(ROWS($P$5:P402),$AD$2:$AD$422,0)))</f>
      </c>
      <c r="R402">
        <f>IF($P402="","",INDEX($C$2:$C$422,MATCH(ROWS($P$5:P402),$AD$2:$AD$422,0)))</f>
      </c>
      <c r="S402">
        <f>IF($P402="","",INDEX($E$2:$E$422,MATCH(ROWS($P$5:P402),$AD$2:$AD$422,0)))</f>
      </c>
      <c r="T402" s="22">
        <f>IF($P402="","",IFERROR(IF(OR(INDEX($H$2:$H$422,MATCH(ROWS($P$5:P402),$AD$2:$AD$422,0))="",INDEX($H$2:$H$422,MATCH(ROWS($P$5:P402),$AD$2:$AD$422,0))="؟",INDEX($H$2:$H$422,MATCH(ROWS($P$5:P402),$AD$2:$AD$422,0))="نامشخص"),"",INDEX($H$2:$H$422,MATCH(ROWS($P$5:P402),$AD$2:$AD$422,0))),""))</f>
      </c>
      <c r="U402">
        <f>IF($P402="","",INDEX($L$2:$L$422,MATCH(ROWS($P$5:P402),$AD$2:$AD$422,0)))</f>
      </c>
      <c r="V402">
        <f>IF($P402="","",INDEX($M$2:$M$422,MATCH(ROWS($P$5:P402),$AD$2:$AD$422,0)))</f>
      </c>
      <c r="AD402">
        <f>IF(AND(LEN($Q$2)&gt;=3,ISNUMBER(SEARCH($Q$2,$B402))),MAX($AD$1:AD401)+1,"")</f>
      </c>
    </row>
    <row r="403" ht="14.4" customHeight="1" spans="1:30" x14ac:dyDescent="0.25">
      <c r="A403" s="16" t="s">
        <v>1691</v>
      </c>
      <c r="B403" s="16" t="s">
        <v>51</v>
      </c>
      <c r="C403" s="16" t="s">
        <v>1692</v>
      </c>
      <c r="D403" s="16" t="s">
        <v>1689</v>
      </c>
      <c r="E403" s="16" t="s">
        <v>9</v>
      </c>
      <c r="F403" s="16" t="s">
        <v>9</v>
      </c>
      <c r="G403" s="17">
        <f t="shared" si="26"/>
        <v>3900000</v>
      </c>
      <c r="H403" s="18">
        <v>3900000</v>
      </c>
      <c r="I403" s="19">
        <v>1</v>
      </c>
      <c r="J403" s="18">
        <f t="shared" si="24"/>
        <v>3940000</v>
      </c>
      <c r="K403" s="18" t="s">
        <v>477</v>
      </c>
      <c r="L403" s="16" t="str">
        <f t="shared" si="25"/>
        <v>فعال</v>
      </c>
      <c r="M403" s="16">
        <v>42</v>
      </c>
      <c r="N403" s="16" t="s">
        <v>1691</v>
      </c>
      <c r="O403" t="s">
        <v>1693</v>
      </c>
      <c r="P403">
        <f>IFERROR(INDEX($A$2:$A$422,MATCH(ROWS($P$5:P403),$AD$2:$AD$422,0)),"")</f>
      </c>
      <c r="Q403">
        <f>IF($P403="","",INDEX($B$2:$B$422,MATCH(ROWS($P$5:P403),$AD$2:$AD$422,0)))</f>
      </c>
      <c r="R403">
        <f>IF($P403="","",INDEX($C$2:$C$422,MATCH(ROWS($P$5:P403),$AD$2:$AD$422,0)))</f>
      </c>
      <c r="S403">
        <f>IF($P403="","",INDEX($E$2:$E$422,MATCH(ROWS($P$5:P403),$AD$2:$AD$422,0)))</f>
      </c>
      <c r="T403" s="22">
        <f>IF($P403="","",IFERROR(IF(OR(INDEX($H$2:$H$422,MATCH(ROWS($P$5:P403),$AD$2:$AD$422,0))="",INDEX($H$2:$H$422,MATCH(ROWS($P$5:P403),$AD$2:$AD$422,0))="؟",INDEX($H$2:$H$422,MATCH(ROWS($P$5:P403),$AD$2:$AD$422,0))="نامشخص"),"",INDEX($H$2:$H$422,MATCH(ROWS($P$5:P403),$AD$2:$AD$422,0))),""))</f>
      </c>
      <c r="U403">
        <f>IF($P403="","",INDEX($L$2:$L$422,MATCH(ROWS($P$5:P403),$AD$2:$AD$422,0)))</f>
      </c>
      <c r="V403">
        <f>IF($P403="","",INDEX($M$2:$M$422,MATCH(ROWS($P$5:P403),$AD$2:$AD$422,0)))</f>
      </c>
      <c r="AD403">
        <f>IF(AND(LEN($Q$2)&gt;=3,ISNUMBER(SEARCH($Q$2,$B403))),MAX($AD$1:AD402)+1,"")</f>
      </c>
    </row>
    <row r="404" ht="14.4" customHeight="1" spans="1:30" x14ac:dyDescent="0.25">
      <c r="A404" s="16" t="s">
        <v>1694</v>
      </c>
      <c r="B404" s="16" t="s">
        <v>44</v>
      </c>
      <c r="C404" s="16" t="s">
        <v>1695</v>
      </c>
      <c r="D404" s="16" t="s">
        <v>1689</v>
      </c>
      <c r="E404" s="16" t="s">
        <v>9</v>
      </c>
      <c r="F404" s="16" t="s">
        <v>9</v>
      </c>
      <c r="G404" s="17">
        <f t="shared" si="26"/>
        <v>2400000</v>
      </c>
      <c r="H404" s="18">
        <v>2400000</v>
      </c>
      <c r="I404" s="19">
        <v>2</v>
      </c>
      <c r="J404" s="18">
        <f t="shared" ref="J404:J435" si="27">IF(OR(H404="",H404="؟",H404="نامشخص"),"",CEILING(H404*(1+I404/100),10000))</f>
        <v>2450000</v>
      </c>
      <c r="K404" s="18" t="s">
        <v>477</v>
      </c>
      <c r="L404" s="16" t="str">
        <f t="shared" ref="L404:L435" si="28">IF(OR($H404="",$H404="؟",$H404="نامشخص"),"نیاز به استعلام","فعال")</f>
        <v>فعال</v>
      </c>
      <c r="M404" s="16">
        <v>36</v>
      </c>
      <c r="N404" s="16" t="s">
        <v>1694</v>
      </c>
      <c r="O404" t="s">
        <v>1696</v>
      </c>
      <c r="P404">
        <f>IFERROR(INDEX($A$2:$A$422,MATCH(ROWS($P$5:P404),$AD$2:$AD$422,0)),"")</f>
      </c>
      <c r="Q404">
        <f>IF($P404="","",INDEX($B$2:$B$422,MATCH(ROWS($P$5:P404),$AD$2:$AD$422,0)))</f>
      </c>
      <c r="R404">
        <f>IF($P404="","",INDEX($C$2:$C$422,MATCH(ROWS($P$5:P404),$AD$2:$AD$422,0)))</f>
      </c>
      <c r="S404">
        <f>IF($P404="","",INDEX($E$2:$E$422,MATCH(ROWS($P$5:P404),$AD$2:$AD$422,0)))</f>
      </c>
      <c r="T404" s="22">
        <f>IF($P404="","",IFERROR(IF(OR(INDEX($H$2:$H$422,MATCH(ROWS($P$5:P404),$AD$2:$AD$422,0))="",INDEX($H$2:$H$422,MATCH(ROWS($P$5:P404),$AD$2:$AD$422,0))="؟",INDEX($H$2:$H$422,MATCH(ROWS($P$5:P404),$AD$2:$AD$422,0))="نامشخص"),"",INDEX($H$2:$H$422,MATCH(ROWS($P$5:P404),$AD$2:$AD$422,0))),""))</f>
      </c>
      <c r="U404">
        <f>IF($P404="","",INDEX($L$2:$L$422,MATCH(ROWS($P$5:P404),$AD$2:$AD$422,0)))</f>
      </c>
      <c r="V404">
        <f>IF($P404="","",INDEX($M$2:$M$422,MATCH(ROWS($P$5:P404),$AD$2:$AD$422,0)))</f>
      </c>
      <c r="AD404">
        <f>IF(AND(LEN($Q$2)&gt;=3,ISNUMBER(SEARCH($Q$2,$B404))),MAX($AD$1:AD403)+1,"")</f>
      </c>
    </row>
    <row r="405" ht="14.4" customHeight="1" spans="1:30" x14ac:dyDescent="0.25">
      <c r="A405" s="16" t="s">
        <v>1697</v>
      </c>
      <c r="B405" s="16" t="s">
        <v>45</v>
      </c>
      <c r="C405" s="16" t="s">
        <v>1698</v>
      </c>
      <c r="D405" s="16" t="s">
        <v>1689</v>
      </c>
      <c r="E405" s="16" t="s">
        <v>9</v>
      </c>
      <c r="F405" s="16" t="s">
        <v>9</v>
      </c>
      <c r="G405" s="17">
        <f t="shared" si="26"/>
        <v>2800000</v>
      </c>
      <c r="H405" s="18">
        <v>2800000</v>
      </c>
      <c r="I405" s="19">
        <v>1</v>
      </c>
      <c r="J405" s="18">
        <f t="shared" si="27"/>
        <v>2830000</v>
      </c>
      <c r="K405" s="18" t="s">
        <v>477</v>
      </c>
      <c r="L405" s="16" t="str">
        <f t="shared" si="28"/>
        <v>فعال</v>
      </c>
      <c r="M405" s="16">
        <v>37</v>
      </c>
      <c r="N405" s="16" t="s">
        <v>1697</v>
      </c>
      <c r="O405" t="s">
        <v>1699</v>
      </c>
      <c r="P405">
        <f>IFERROR(INDEX($A$2:$A$422,MATCH(ROWS($P$5:P405),$AD$2:$AD$422,0)),"")</f>
      </c>
      <c r="Q405">
        <f>IF($P405="","",INDEX($B$2:$B$422,MATCH(ROWS($P$5:P405),$AD$2:$AD$422,0)))</f>
      </c>
      <c r="R405">
        <f>IF($P405="","",INDEX($C$2:$C$422,MATCH(ROWS($P$5:P405),$AD$2:$AD$422,0)))</f>
      </c>
      <c r="S405">
        <f>IF($P405="","",INDEX($E$2:$E$422,MATCH(ROWS($P$5:P405),$AD$2:$AD$422,0)))</f>
      </c>
      <c r="T405" s="22">
        <f>IF($P405="","",IFERROR(IF(OR(INDEX($H$2:$H$422,MATCH(ROWS($P$5:P405),$AD$2:$AD$422,0))="",INDEX($H$2:$H$422,MATCH(ROWS($P$5:P405),$AD$2:$AD$422,0))="؟",INDEX($H$2:$H$422,MATCH(ROWS($P$5:P405),$AD$2:$AD$422,0))="نامشخص"),"",INDEX($H$2:$H$422,MATCH(ROWS($P$5:P405),$AD$2:$AD$422,0))),""))</f>
      </c>
      <c r="U405">
        <f>IF($P405="","",INDEX($L$2:$L$422,MATCH(ROWS($P$5:P405),$AD$2:$AD$422,0)))</f>
      </c>
      <c r="V405">
        <f>IF($P405="","",INDEX($M$2:$M$422,MATCH(ROWS($P$5:P405),$AD$2:$AD$422,0)))</f>
      </c>
      <c r="AD405">
        <f>IF(AND(LEN($Q$2)&gt;=3,ISNUMBER(SEARCH($Q$2,$B405))),MAX($AD$1:AD404)+1,"")</f>
      </c>
    </row>
    <row r="406" ht="14.4" customHeight="1" spans="1:30" x14ac:dyDescent="0.25">
      <c r="A406" s="16" t="s">
        <v>1700</v>
      </c>
      <c r="B406" s="16" t="s">
        <v>42</v>
      </c>
      <c r="C406" s="16" t="s">
        <v>1701</v>
      </c>
      <c r="D406" s="16" t="s">
        <v>1689</v>
      </c>
      <c r="E406" s="16" t="s">
        <v>9</v>
      </c>
      <c r="F406" s="16" t="s">
        <v>9</v>
      </c>
      <c r="G406" s="17">
        <f t="shared" si="26"/>
        <v>200000</v>
      </c>
      <c r="H406" s="18">
        <v>200000</v>
      </c>
      <c r="I406" s="19">
        <v>2</v>
      </c>
      <c r="J406" s="18">
        <f t="shared" si="27"/>
        <v>210000</v>
      </c>
      <c r="K406" s="18" t="s">
        <v>477</v>
      </c>
      <c r="L406" s="16" t="str">
        <f t="shared" si="28"/>
        <v>فعال</v>
      </c>
      <c r="M406" s="16">
        <v>34</v>
      </c>
      <c r="N406" s="16" t="s">
        <v>1700</v>
      </c>
      <c r="O406" t="s">
        <v>1702</v>
      </c>
      <c r="P406">
        <f>IFERROR(INDEX($A$2:$A$422,MATCH(ROWS($P$5:P406),$AD$2:$AD$422,0)),"")</f>
      </c>
      <c r="Q406">
        <f>IF($P406="","",INDEX($B$2:$B$422,MATCH(ROWS($P$5:P406),$AD$2:$AD$422,0)))</f>
      </c>
      <c r="R406">
        <f>IF($P406="","",INDEX($C$2:$C$422,MATCH(ROWS($P$5:P406),$AD$2:$AD$422,0)))</f>
      </c>
      <c r="S406">
        <f>IF($P406="","",INDEX($E$2:$E$422,MATCH(ROWS($P$5:P406),$AD$2:$AD$422,0)))</f>
      </c>
      <c r="T406" s="22">
        <f>IF($P406="","",IFERROR(IF(OR(INDEX($H$2:$H$422,MATCH(ROWS($P$5:P406),$AD$2:$AD$422,0))="",INDEX($H$2:$H$422,MATCH(ROWS($P$5:P406),$AD$2:$AD$422,0))="؟",INDEX($H$2:$H$422,MATCH(ROWS($P$5:P406),$AD$2:$AD$422,0))="نامشخص"),"",INDEX($H$2:$H$422,MATCH(ROWS($P$5:P406),$AD$2:$AD$422,0))),""))</f>
      </c>
      <c r="U406">
        <f>IF($P406="","",INDEX($L$2:$L$422,MATCH(ROWS($P$5:P406),$AD$2:$AD$422,0)))</f>
      </c>
      <c r="V406">
        <f>IF($P406="","",INDEX($M$2:$M$422,MATCH(ROWS($P$5:P406),$AD$2:$AD$422,0)))</f>
      </c>
      <c r="AD406">
        <f>IF(AND(LEN($Q$2)&gt;=3,ISNUMBER(SEARCH($Q$2,$B406))),MAX($AD$1:AD405)+1,"")</f>
      </c>
    </row>
    <row r="407" ht="14.4" customHeight="1" spans="1:30" x14ac:dyDescent="0.25">
      <c r="A407" s="16" t="s">
        <v>1703</v>
      </c>
      <c r="B407" s="16" t="s">
        <v>41</v>
      </c>
      <c r="C407" s="16" t="s">
        <v>1704</v>
      </c>
      <c r="D407" s="16" t="s">
        <v>1689</v>
      </c>
      <c r="E407" s="16" t="s">
        <v>9</v>
      </c>
      <c r="F407" s="16" t="s">
        <v>9</v>
      </c>
      <c r="G407" s="17">
        <f t="shared" si="26"/>
        <v>140000</v>
      </c>
      <c r="H407" s="18">
        <v>140000</v>
      </c>
      <c r="I407" s="19">
        <v>2</v>
      </c>
      <c r="J407" s="18">
        <f t="shared" si="27"/>
        <v>150000</v>
      </c>
      <c r="K407" s="18" t="s">
        <v>477</v>
      </c>
      <c r="L407" s="16" t="str">
        <f t="shared" si="28"/>
        <v>فعال</v>
      </c>
      <c r="M407" s="16">
        <v>33</v>
      </c>
      <c r="N407" s="16" t="s">
        <v>1703</v>
      </c>
      <c r="O407" t="s">
        <v>1705</v>
      </c>
      <c r="P407">
        <f>IFERROR(INDEX($A$2:$A$422,MATCH(ROWS($P$5:P407),$AD$2:$AD$422,0)),"")</f>
      </c>
      <c r="Q407">
        <f>IF($P407="","",INDEX($B$2:$B$422,MATCH(ROWS($P$5:P407),$AD$2:$AD$422,0)))</f>
      </c>
      <c r="R407">
        <f>IF($P407="","",INDEX($C$2:$C$422,MATCH(ROWS($P$5:P407),$AD$2:$AD$422,0)))</f>
      </c>
      <c r="S407">
        <f>IF($P407="","",INDEX($E$2:$E$422,MATCH(ROWS($P$5:P407),$AD$2:$AD$422,0)))</f>
      </c>
      <c r="T407" s="22">
        <f>IF($P407="","",IFERROR(IF(OR(INDEX($H$2:$H$422,MATCH(ROWS($P$5:P407),$AD$2:$AD$422,0))="",INDEX($H$2:$H$422,MATCH(ROWS($P$5:P407),$AD$2:$AD$422,0))="؟",INDEX($H$2:$H$422,MATCH(ROWS($P$5:P407),$AD$2:$AD$422,0))="نامشخص"),"",INDEX($H$2:$H$422,MATCH(ROWS($P$5:P407),$AD$2:$AD$422,0))),""))</f>
      </c>
      <c r="U407">
        <f>IF($P407="","",INDEX($L$2:$L$422,MATCH(ROWS($P$5:P407),$AD$2:$AD$422,0)))</f>
      </c>
      <c r="V407">
        <f>IF($P407="","",INDEX($M$2:$M$422,MATCH(ROWS($P$5:P407),$AD$2:$AD$422,0)))</f>
      </c>
      <c r="AD407">
        <f>IF(AND(LEN($Q$2)&gt;=3,ISNUMBER(SEARCH($Q$2,$B407))),MAX($AD$1:AD406)+1,"")</f>
      </c>
    </row>
    <row r="408" ht="14.4" customHeight="1" spans="1:30" x14ac:dyDescent="0.25">
      <c r="A408" s="16" t="s">
        <v>1706</v>
      </c>
      <c r="B408" s="16" t="s">
        <v>52</v>
      </c>
      <c r="C408" s="16" t="s">
        <v>1707</v>
      </c>
      <c r="D408" s="16" t="s">
        <v>1689</v>
      </c>
      <c r="E408" s="16" t="s">
        <v>9</v>
      </c>
      <c r="F408" s="16" t="s">
        <v>9</v>
      </c>
      <c r="G408" s="17">
        <f t="shared" si="26"/>
        <v>1200000</v>
      </c>
      <c r="H408" s="18">
        <v>1200000</v>
      </c>
      <c r="I408" s="19">
        <v>3</v>
      </c>
      <c r="J408" s="18">
        <f t="shared" si="27"/>
        <v>1240000</v>
      </c>
      <c r="K408" s="18" t="s">
        <v>477</v>
      </c>
      <c r="L408" s="16" t="str">
        <f t="shared" si="28"/>
        <v>فعال</v>
      </c>
      <c r="M408" s="16">
        <v>43</v>
      </c>
      <c r="N408" s="16" t="s">
        <v>1706</v>
      </c>
      <c r="O408" t="s">
        <v>1708</v>
      </c>
      <c r="P408">
        <f>IFERROR(INDEX($A$2:$A$422,MATCH(ROWS($P$5:P408),$AD$2:$AD$422,0)),"")</f>
      </c>
      <c r="Q408">
        <f>IF($P408="","",INDEX($B$2:$B$422,MATCH(ROWS($P$5:P408),$AD$2:$AD$422,0)))</f>
      </c>
      <c r="R408">
        <f>IF($P408="","",INDEX($C$2:$C$422,MATCH(ROWS($P$5:P408),$AD$2:$AD$422,0)))</f>
      </c>
      <c r="S408">
        <f>IF($P408="","",INDEX($E$2:$E$422,MATCH(ROWS($P$5:P408),$AD$2:$AD$422,0)))</f>
      </c>
      <c r="T408" s="22">
        <f>IF($P408="","",IFERROR(IF(OR(INDEX($H$2:$H$422,MATCH(ROWS($P$5:P408),$AD$2:$AD$422,0))="",INDEX($H$2:$H$422,MATCH(ROWS($P$5:P408),$AD$2:$AD$422,0))="؟",INDEX($H$2:$H$422,MATCH(ROWS($P$5:P408),$AD$2:$AD$422,0))="نامشخص"),"",INDEX($H$2:$H$422,MATCH(ROWS($P$5:P408),$AD$2:$AD$422,0))),""))</f>
      </c>
      <c r="U408">
        <f>IF($P408="","",INDEX($L$2:$L$422,MATCH(ROWS($P$5:P408),$AD$2:$AD$422,0)))</f>
      </c>
      <c r="V408">
        <f>IF($P408="","",INDEX($M$2:$M$422,MATCH(ROWS($P$5:P408),$AD$2:$AD$422,0)))</f>
      </c>
      <c r="AD408">
        <f>IF(AND(LEN($Q$2)&gt;=3,ISNUMBER(SEARCH($Q$2,$B408))),MAX($AD$1:AD407)+1,"")</f>
      </c>
    </row>
    <row r="409" ht="14.4" customHeight="1" spans="1:30" x14ac:dyDescent="0.25">
      <c r="A409" s="16" t="s">
        <v>1709</v>
      </c>
      <c r="B409" s="16" t="s">
        <v>55</v>
      </c>
      <c r="C409" s="16" t="s">
        <v>1710</v>
      </c>
      <c r="D409" s="16" t="s">
        <v>1689</v>
      </c>
      <c r="E409" s="16" t="s">
        <v>9</v>
      </c>
      <c r="F409" s="16" t="s">
        <v>9</v>
      </c>
      <c r="G409" s="17">
        <f t="shared" si="26"/>
        <v>2900000</v>
      </c>
      <c r="H409" s="18">
        <v>2900000</v>
      </c>
      <c r="I409" s="19">
        <v>3</v>
      </c>
      <c r="J409" s="18">
        <f t="shared" si="27"/>
        <v>2990000</v>
      </c>
      <c r="K409" s="18" t="s">
        <v>477</v>
      </c>
      <c r="L409" s="16" t="str">
        <f t="shared" si="28"/>
        <v>فعال</v>
      </c>
      <c r="M409" s="16">
        <v>46</v>
      </c>
      <c r="N409" s="16" t="s">
        <v>1709</v>
      </c>
      <c r="O409" t="s">
        <v>1711</v>
      </c>
      <c r="P409">
        <f>IFERROR(INDEX($A$2:$A$422,MATCH(ROWS($P$5:P409),$AD$2:$AD$422,0)),"")</f>
      </c>
      <c r="Q409">
        <f>IF($P409="","",INDEX($B$2:$B$422,MATCH(ROWS($P$5:P409),$AD$2:$AD$422,0)))</f>
      </c>
      <c r="R409">
        <f>IF($P409="","",INDEX($C$2:$C$422,MATCH(ROWS($P$5:P409),$AD$2:$AD$422,0)))</f>
      </c>
      <c r="S409">
        <f>IF($P409="","",INDEX($E$2:$E$422,MATCH(ROWS($P$5:P409),$AD$2:$AD$422,0)))</f>
      </c>
      <c r="T409" s="22">
        <f>IF($P409="","",IFERROR(IF(OR(INDEX($H$2:$H$422,MATCH(ROWS($P$5:P409),$AD$2:$AD$422,0))="",INDEX($H$2:$H$422,MATCH(ROWS($P$5:P409),$AD$2:$AD$422,0))="؟",INDEX($H$2:$H$422,MATCH(ROWS($P$5:P409),$AD$2:$AD$422,0))="نامشخص"),"",INDEX($H$2:$H$422,MATCH(ROWS($P$5:P409),$AD$2:$AD$422,0))),""))</f>
      </c>
      <c r="U409">
        <f>IF($P409="","",INDEX($L$2:$L$422,MATCH(ROWS($P$5:P409),$AD$2:$AD$422,0)))</f>
      </c>
      <c r="V409">
        <f>IF($P409="","",INDEX($M$2:$M$422,MATCH(ROWS($P$5:P409),$AD$2:$AD$422,0)))</f>
      </c>
      <c r="AD409">
        <f>IF(AND(LEN($Q$2)&gt;=3,ISNUMBER(SEARCH($Q$2,$B409))),MAX($AD$1:AD408)+1,"")</f>
      </c>
    </row>
    <row r="410" ht="14.4" customHeight="1" spans="1:30" x14ac:dyDescent="0.25">
      <c r="A410" s="16" t="s">
        <v>1712</v>
      </c>
      <c r="B410" s="16" t="s">
        <v>56</v>
      </c>
      <c r="C410" s="16" t="s">
        <v>1713</v>
      </c>
      <c r="D410" s="16" t="s">
        <v>1689</v>
      </c>
      <c r="E410" s="16" t="s">
        <v>9</v>
      </c>
      <c r="F410" s="16" t="s">
        <v>9</v>
      </c>
      <c r="G410" s="17">
        <f t="shared" si="26"/>
        <v>1950000</v>
      </c>
      <c r="H410" s="18">
        <v>1950000</v>
      </c>
      <c r="I410" s="19">
        <v>2</v>
      </c>
      <c r="J410" s="18">
        <f t="shared" si="27"/>
        <v>1990000</v>
      </c>
      <c r="K410" s="18" t="s">
        <v>477</v>
      </c>
      <c r="L410" s="16" t="str">
        <f t="shared" si="28"/>
        <v>فعال</v>
      </c>
      <c r="M410" s="16">
        <v>47</v>
      </c>
      <c r="N410" s="16" t="s">
        <v>1712</v>
      </c>
      <c r="O410" t="s">
        <v>1714</v>
      </c>
      <c r="P410">
        <f>IFERROR(INDEX($A$2:$A$422,MATCH(ROWS($P$5:P410),$AD$2:$AD$422,0)),"")</f>
      </c>
      <c r="Q410">
        <f>IF($P410="","",INDEX($B$2:$B$422,MATCH(ROWS($P$5:P410),$AD$2:$AD$422,0)))</f>
      </c>
      <c r="R410">
        <f>IF($P410="","",INDEX($C$2:$C$422,MATCH(ROWS($P$5:P410),$AD$2:$AD$422,0)))</f>
      </c>
      <c r="S410">
        <f>IF($P410="","",INDEX($E$2:$E$422,MATCH(ROWS($P$5:P410),$AD$2:$AD$422,0)))</f>
      </c>
      <c r="T410" s="22">
        <f>IF($P410="","",IFERROR(IF(OR(INDEX($H$2:$H$422,MATCH(ROWS($P$5:P410),$AD$2:$AD$422,0))="",INDEX($H$2:$H$422,MATCH(ROWS($P$5:P410),$AD$2:$AD$422,0))="؟",INDEX($H$2:$H$422,MATCH(ROWS($P$5:P410),$AD$2:$AD$422,0))="نامشخص"),"",INDEX($H$2:$H$422,MATCH(ROWS($P$5:P410),$AD$2:$AD$422,0))),""))</f>
      </c>
      <c r="U410">
        <f>IF($P410="","",INDEX($L$2:$L$422,MATCH(ROWS($P$5:P410),$AD$2:$AD$422,0)))</f>
      </c>
      <c r="V410">
        <f>IF($P410="","",INDEX($M$2:$M$422,MATCH(ROWS($P$5:P410),$AD$2:$AD$422,0)))</f>
      </c>
      <c r="AD410">
        <f>IF(AND(LEN($Q$2)&gt;=3,ISNUMBER(SEARCH($Q$2,$B410))),MAX($AD$1:AD409)+1,"")</f>
      </c>
    </row>
    <row r="411" ht="14.4" customHeight="1" spans="1:30" x14ac:dyDescent="0.25">
      <c r="A411" s="16" t="s">
        <v>1715</v>
      </c>
      <c r="B411" s="16" t="s">
        <v>57</v>
      </c>
      <c r="C411" s="16" t="s">
        <v>1716</v>
      </c>
      <c r="D411" s="16" t="s">
        <v>1689</v>
      </c>
      <c r="E411" s="16" t="s">
        <v>9</v>
      </c>
      <c r="F411" s="16" t="s">
        <v>9</v>
      </c>
      <c r="G411" s="17">
        <f t="shared" si="26"/>
        <v>890000</v>
      </c>
      <c r="H411" s="18">
        <v>890000</v>
      </c>
      <c r="I411" s="19">
        <v>3</v>
      </c>
      <c r="J411" s="18">
        <f t="shared" si="27"/>
        <v>920000</v>
      </c>
      <c r="K411" s="18" t="s">
        <v>477</v>
      </c>
      <c r="L411" s="16" t="str">
        <f t="shared" si="28"/>
        <v>فعال</v>
      </c>
      <c r="M411" s="16">
        <v>48</v>
      </c>
      <c r="N411" s="16" t="s">
        <v>1715</v>
      </c>
      <c r="O411" t="s">
        <v>1717</v>
      </c>
      <c r="P411">
        <f>IFERROR(INDEX($A$2:$A$422,MATCH(ROWS($P$5:P411),$AD$2:$AD$422,0)),"")</f>
      </c>
      <c r="Q411">
        <f>IF($P411="","",INDEX($B$2:$B$422,MATCH(ROWS($P$5:P411),$AD$2:$AD$422,0)))</f>
      </c>
      <c r="R411">
        <f>IF($P411="","",INDEX($C$2:$C$422,MATCH(ROWS($P$5:P411),$AD$2:$AD$422,0)))</f>
      </c>
      <c r="S411">
        <f>IF($P411="","",INDEX($E$2:$E$422,MATCH(ROWS($P$5:P411),$AD$2:$AD$422,0)))</f>
      </c>
      <c r="T411" s="22">
        <f>IF($P411="","",IFERROR(IF(OR(INDEX($H$2:$H$422,MATCH(ROWS($P$5:P411),$AD$2:$AD$422,0))="",INDEX($H$2:$H$422,MATCH(ROWS($P$5:P411),$AD$2:$AD$422,0))="؟",INDEX($H$2:$H$422,MATCH(ROWS($P$5:P411),$AD$2:$AD$422,0))="نامشخص"),"",INDEX($H$2:$H$422,MATCH(ROWS($P$5:P411),$AD$2:$AD$422,0))),""))</f>
      </c>
      <c r="U411">
        <f>IF($P411="","",INDEX($L$2:$L$422,MATCH(ROWS($P$5:P411),$AD$2:$AD$422,0)))</f>
      </c>
      <c r="V411">
        <f>IF($P411="","",INDEX($M$2:$M$422,MATCH(ROWS($P$5:P411),$AD$2:$AD$422,0)))</f>
      </c>
      <c r="AD411">
        <f>IF(AND(LEN($Q$2)&gt;=3,ISNUMBER(SEARCH($Q$2,$B411))),MAX($AD$1:AD410)+1,"")</f>
      </c>
    </row>
    <row r="412" ht="14.4" customHeight="1" spans="1:30" x14ac:dyDescent="0.25">
      <c r="A412" s="16" t="s">
        <v>1718</v>
      </c>
      <c r="B412" s="16" t="s">
        <v>60</v>
      </c>
      <c r="C412" s="16" t="s">
        <v>1719</v>
      </c>
      <c r="D412" s="16" t="s">
        <v>1689</v>
      </c>
      <c r="E412" s="16" t="s">
        <v>9</v>
      </c>
      <c r="F412" s="16" t="s">
        <v>9</v>
      </c>
      <c r="G412" s="17">
        <f t="shared" si="26"/>
        <v>1500000</v>
      </c>
      <c r="H412" s="18">
        <v>1500000</v>
      </c>
      <c r="I412" s="19">
        <v>2</v>
      </c>
      <c r="J412" s="18">
        <f t="shared" si="27"/>
        <v>1530000</v>
      </c>
      <c r="K412" s="18" t="s">
        <v>477</v>
      </c>
      <c r="L412" s="16" t="str">
        <f t="shared" si="28"/>
        <v>فعال</v>
      </c>
      <c r="M412" s="16">
        <v>51</v>
      </c>
      <c r="N412" s="16" t="s">
        <v>1718</v>
      </c>
      <c r="O412" t="s">
        <v>1720</v>
      </c>
      <c r="P412">
        <f>IFERROR(INDEX($A$2:$A$422,MATCH(ROWS($P$5:P412),$AD$2:$AD$422,0)),"")</f>
      </c>
      <c r="Q412">
        <f>IF($P412="","",INDEX($B$2:$B$422,MATCH(ROWS($P$5:P412),$AD$2:$AD$422,0)))</f>
      </c>
      <c r="R412">
        <f>IF($P412="","",INDEX($C$2:$C$422,MATCH(ROWS($P$5:P412),$AD$2:$AD$422,0)))</f>
      </c>
      <c r="S412">
        <f>IF($P412="","",INDEX($E$2:$E$422,MATCH(ROWS($P$5:P412),$AD$2:$AD$422,0)))</f>
      </c>
      <c r="T412" s="22">
        <f>IF($P412="","",IFERROR(IF(OR(INDEX($H$2:$H$422,MATCH(ROWS($P$5:P412),$AD$2:$AD$422,0))="",INDEX($H$2:$H$422,MATCH(ROWS($P$5:P412),$AD$2:$AD$422,0))="؟",INDEX($H$2:$H$422,MATCH(ROWS($P$5:P412),$AD$2:$AD$422,0))="نامشخص"),"",INDEX($H$2:$H$422,MATCH(ROWS($P$5:P412),$AD$2:$AD$422,0))),""))</f>
      </c>
      <c r="U412">
        <f>IF($P412="","",INDEX($L$2:$L$422,MATCH(ROWS($P$5:P412),$AD$2:$AD$422,0)))</f>
      </c>
      <c r="V412">
        <f>IF($P412="","",INDEX($M$2:$M$422,MATCH(ROWS($P$5:P412),$AD$2:$AD$422,0)))</f>
      </c>
      <c r="AD412">
        <f>IF(AND(LEN($Q$2)&gt;=3,ISNUMBER(SEARCH($Q$2,$B412))),MAX($AD$1:AD411)+1,"")</f>
      </c>
    </row>
    <row r="413" ht="14.4" customHeight="1" spans="1:30" x14ac:dyDescent="0.25">
      <c r="A413" s="16" t="s">
        <v>1721</v>
      </c>
      <c r="B413" s="16" t="s">
        <v>63</v>
      </c>
      <c r="C413" s="16" t="s">
        <v>1722</v>
      </c>
      <c r="D413" s="16" t="s">
        <v>1689</v>
      </c>
      <c r="E413" s="16" t="s">
        <v>9</v>
      </c>
      <c r="F413" s="16" t="s">
        <v>9</v>
      </c>
      <c r="G413" s="17">
        <f t="shared" si="26"/>
        <v>900000</v>
      </c>
      <c r="H413" s="18">
        <v>900000</v>
      </c>
      <c r="I413" s="19">
        <v>2</v>
      </c>
      <c r="J413" s="18">
        <f t="shared" si="27"/>
        <v>920000</v>
      </c>
      <c r="K413" s="18" t="s">
        <v>477</v>
      </c>
      <c r="L413" s="16" t="str">
        <f t="shared" si="28"/>
        <v>فعال</v>
      </c>
      <c r="M413" s="16">
        <v>54</v>
      </c>
      <c r="N413" s="16" t="s">
        <v>1721</v>
      </c>
      <c r="O413" t="s">
        <v>1723</v>
      </c>
      <c r="P413">
        <f>IFERROR(INDEX($A$2:$A$422,MATCH(ROWS($P$5:P413),$AD$2:$AD$422,0)),"")</f>
      </c>
      <c r="Q413">
        <f>IF($P413="","",INDEX($B$2:$B$422,MATCH(ROWS($P$5:P413),$AD$2:$AD$422,0)))</f>
      </c>
      <c r="R413">
        <f>IF($P413="","",INDEX($C$2:$C$422,MATCH(ROWS($P$5:P413),$AD$2:$AD$422,0)))</f>
      </c>
      <c r="S413">
        <f>IF($P413="","",INDEX($E$2:$E$422,MATCH(ROWS($P$5:P413),$AD$2:$AD$422,0)))</f>
      </c>
      <c r="T413" s="22">
        <f>IF($P413="","",IFERROR(IF(OR(INDEX($H$2:$H$422,MATCH(ROWS($P$5:P413),$AD$2:$AD$422,0))="",INDEX($H$2:$H$422,MATCH(ROWS($P$5:P413),$AD$2:$AD$422,0))="؟",INDEX($H$2:$H$422,MATCH(ROWS($P$5:P413),$AD$2:$AD$422,0))="نامشخص"),"",INDEX($H$2:$H$422,MATCH(ROWS($P$5:P413),$AD$2:$AD$422,0))),""))</f>
      </c>
      <c r="U413">
        <f>IF($P413="","",INDEX($L$2:$L$422,MATCH(ROWS($P$5:P413),$AD$2:$AD$422,0)))</f>
      </c>
      <c r="V413">
        <f>IF($P413="","",INDEX($M$2:$M$422,MATCH(ROWS($P$5:P413),$AD$2:$AD$422,0)))</f>
      </c>
      <c r="AD413">
        <f>IF(AND(LEN($Q$2)&gt;=3,ISNUMBER(SEARCH($Q$2,$B413))),MAX($AD$1:AD412)+1,"")</f>
      </c>
    </row>
    <row r="414" ht="14.4" customHeight="1" spans="1:30" x14ac:dyDescent="0.25">
      <c r="A414" s="16" t="s">
        <v>1724</v>
      </c>
      <c r="B414" s="16" t="s">
        <v>133</v>
      </c>
      <c r="C414" s="16" t="s">
        <v>1725</v>
      </c>
      <c r="D414" s="16" t="s">
        <v>1689</v>
      </c>
      <c r="E414" s="16" t="s">
        <v>9</v>
      </c>
      <c r="F414" s="16" t="s">
        <v>9</v>
      </c>
      <c r="G414" s="17">
        <f t="shared" si="26"/>
        <v>240000</v>
      </c>
      <c r="H414" s="18">
        <v>240000</v>
      </c>
      <c r="I414" s="19">
        <v>1</v>
      </c>
      <c r="J414" s="18">
        <f t="shared" si="27"/>
        <v>250000</v>
      </c>
      <c r="K414" s="18" t="s">
        <v>477</v>
      </c>
      <c r="L414" s="16" t="str">
        <f t="shared" si="28"/>
        <v>فعال</v>
      </c>
      <c r="M414" s="16">
        <v>114</v>
      </c>
      <c r="N414" s="16" t="s">
        <v>1724</v>
      </c>
      <c r="O414" t="s">
        <v>1726</v>
      </c>
      <c r="P414">
        <f>IFERROR(INDEX($A$2:$A$422,MATCH(ROWS($P$5:P414),$AD$2:$AD$422,0)),"")</f>
      </c>
      <c r="Q414">
        <f>IF($P414="","",INDEX($B$2:$B$422,MATCH(ROWS($P$5:P414),$AD$2:$AD$422,0)))</f>
      </c>
      <c r="R414">
        <f>IF($P414="","",INDEX($C$2:$C$422,MATCH(ROWS($P$5:P414),$AD$2:$AD$422,0)))</f>
      </c>
      <c r="S414">
        <f>IF($P414="","",INDEX($E$2:$E$422,MATCH(ROWS($P$5:P414),$AD$2:$AD$422,0)))</f>
      </c>
      <c r="T414" s="22">
        <f>IF($P414="","",IFERROR(IF(OR(INDEX($H$2:$H$422,MATCH(ROWS($P$5:P414),$AD$2:$AD$422,0))="",INDEX($H$2:$H$422,MATCH(ROWS($P$5:P414),$AD$2:$AD$422,0))="؟",INDEX($H$2:$H$422,MATCH(ROWS($P$5:P414),$AD$2:$AD$422,0))="نامشخص"),"",INDEX($H$2:$H$422,MATCH(ROWS($P$5:P414),$AD$2:$AD$422,0))),""))</f>
      </c>
      <c r="U414">
        <f>IF($P414="","",INDEX($L$2:$L$422,MATCH(ROWS($P$5:P414),$AD$2:$AD$422,0)))</f>
      </c>
      <c r="V414">
        <f>IF($P414="","",INDEX($M$2:$M$422,MATCH(ROWS($P$5:P414),$AD$2:$AD$422,0)))</f>
      </c>
      <c r="AD414">
        <f>IF(AND(LEN($Q$2)&gt;=3,ISNUMBER(SEARCH($Q$2,$B414))),MAX($AD$1:AD413)+1,"")</f>
      </c>
    </row>
    <row r="415" ht="14.4" customHeight="1" spans="1:30" x14ac:dyDescent="0.25">
      <c r="A415" s="16" t="s">
        <v>1727</v>
      </c>
      <c r="B415" s="16" t="s">
        <v>230</v>
      </c>
      <c r="C415" s="16" t="s">
        <v>1728</v>
      </c>
      <c r="D415" s="16" t="s">
        <v>1689</v>
      </c>
      <c r="E415" s="16" t="s">
        <v>9</v>
      </c>
      <c r="F415" s="16" t="s">
        <v>9</v>
      </c>
      <c r="G415" s="17">
        <f t="shared" si="26"/>
        <v>500000</v>
      </c>
      <c r="H415" s="18">
        <v>500000</v>
      </c>
      <c r="I415" s="19">
        <v>1</v>
      </c>
      <c r="J415" s="18">
        <f t="shared" si="27"/>
        <v>510000</v>
      </c>
      <c r="K415" s="18" t="s">
        <v>477</v>
      </c>
      <c r="L415" s="16" t="str">
        <f t="shared" si="28"/>
        <v>فعال</v>
      </c>
      <c r="M415" s="16">
        <v>208</v>
      </c>
      <c r="N415" s="16" t="s">
        <v>1727</v>
      </c>
      <c r="O415" t="s">
        <v>1729</v>
      </c>
      <c r="P415">
        <f>IFERROR(INDEX($A$2:$A$422,MATCH(ROWS($P$5:P415),$AD$2:$AD$422,0)),"")</f>
      </c>
      <c r="Q415">
        <f>IF($P415="","",INDEX($B$2:$B$422,MATCH(ROWS($P$5:P415),$AD$2:$AD$422,0)))</f>
      </c>
      <c r="R415">
        <f>IF($P415="","",INDEX($C$2:$C$422,MATCH(ROWS($P$5:P415),$AD$2:$AD$422,0)))</f>
      </c>
      <c r="S415">
        <f>IF($P415="","",INDEX($E$2:$E$422,MATCH(ROWS($P$5:P415),$AD$2:$AD$422,0)))</f>
      </c>
      <c r="T415" s="22">
        <f>IF($P415="","",IFERROR(IF(OR(INDEX($H$2:$H$422,MATCH(ROWS($P$5:P415),$AD$2:$AD$422,0))="",INDEX($H$2:$H$422,MATCH(ROWS($P$5:P415),$AD$2:$AD$422,0))="؟",INDEX($H$2:$H$422,MATCH(ROWS($P$5:P415),$AD$2:$AD$422,0))="نامشخص"),"",INDEX($H$2:$H$422,MATCH(ROWS($P$5:P415),$AD$2:$AD$422,0))),""))</f>
      </c>
      <c r="U415">
        <f>IF($P415="","",INDEX($L$2:$L$422,MATCH(ROWS($P$5:P415),$AD$2:$AD$422,0)))</f>
      </c>
      <c r="V415">
        <f>IF($P415="","",INDEX($M$2:$M$422,MATCH(ROWS($P$5:P415),$AD$2:$AD$422,0)))</f>
      </c>
      <c r="AD415">
        <f>IF(AND(LEN($Q$2)&gt;=3,ISNUMBER(SEARCH($Q$2,$B415))),MAX($AD$1:AD414)+1,"")</f>
      </c>
    </row>
    <row r="416" ht="14.4" customHeight="1" spans="1:30" x14ac:dyDescent="0.25">
      <c r="A416" s="16" t="s">
        <v>1730</v>
      </c>
      <c r="B416" s="16" t="s">
        <v>246</v>
      </c>
      <c r="C416" s="16" t="s">
        <v>1731</v>
      </c>
      <c r="D416" s="16" t="s">
        <v>1689</v>
      </c>
      <c r="E416" s="16" t="s">
        <v>9</v>
      </c>
      <c r="F416" s="16" t="s">
        <v>9</v>
      </c>
      <c r="G416" s="17">
        <f t="shared" si="26"/>
        <v>3400000</v>
      </c>
      <c r="H416" s="18">
        <v>3400000</v>
      </c>
      <c r="I416" s="19">
        <v>2</v>
      </c>
      <c r="J416" s="18">
        <f t="shared" si="27"/>
        <v>3470000</v>
      </c>
      <c r="K416" s="18" t="s">
        <v>477</v>
      </c>
      <c r="L416" s="16" t="str">
        <f t="shared" si="28"/>
        <v>فعال</v>
      </c>
      <c r="M416" s="16">
        <v>222</v>
      </c>
      <c r="N416" s="16" t="s">
        <v>1730</v>
      </c>
      <c r="O416" t="s">
        <v>1732</v>
      </c>
      <c r="P416">
        <f>IFERROR(INDEX($A$2:$A$422,MATCH(ROWS($P$5:P416),$AD$2:$AD$422,0)),"")</f>
      </c>
      <c r="Q416">
        <f>IF($P416="","",INDEX($B$2:$B$422,MATCH(ROWS($P$5:P416),$AD$2:$AD$422,0)))</f>
      </c>
      <c r="R416">
        <f>IF($P416="","",INDEX($C$2:$C$422,MATCH(ROWS($P$5:P416),$AD$2:$AD$422,0)))</f>
      </c>
      <c r="S416">
        <f>IF($P416="","",INDEX($E$2:$E$422,MATCH(ROWS($P$5:P416),$AD$2:$AD$422,0)))</f>
      </c>
      <c r="T416" s="22">
        <f>IF($P416="","",IFERROR(IF(OR(INDEX($H$2:$H$422,MATCH(ROWS($P$5:P416),$AD$2:$AD$422,0))="",INDEX($H$2:$H$422,MATCH(ROWS($P$5:P416),$AD$2:$AD$422,0))="؟",INDEX($H$2:$H$422,MATCH(ROWS($P$5:P416),$AD$2:$AD$422,0))="نامشخص"),"",INDEX($H$2:$H$422,MATCH(ROWS($P$5:P416),$AD$2:$AD$422,0))),""))</f>
      </c>
      <c r="U416">
        <f>IF($P416="","",INDEX($L$2:$L$422,MATCH(ROWS($P$5:P416),$AD$2:$AD$422,0)))</f>
      </c>
      <c r="V416">
        <f>IF($P416="","",INDEX($M$2:$M$422,MATCH(ROWS($P$5:P416),$AD$2:$AD$422,0)))</f>
      </c>
      <c r="AD416">
        <f>IF(AND(LEN($Q$2)&gt;=3,ISNUMBER(SEARCH($Q$2,$B416))),MAX($AD$1:AD415)+1,"")</f>
      </c>
    </row>
    <row r="417" ht="14.4" customHeight="1" spans="1:30" x14ac:dyDescent="0.25">
      <c r="A417" s="16" t="s">
        <v>1733</v>
      </c>
      <c r="B417" s="16" t="s">
        <v>281</v>
      </c>
      <c r="C417" s="16" t="s">
        <v>1734</v>
      </c>
      <c r="D417" s="16" t="s">
        <v>1689</v>
      </c>
      <c r="E417" s="16" t="s">
        <v>9</v>
      </c>
      <c r="F417" s="16" t="s">
        <v>9</v>
      </c>
      <c r="G417" s="17">
        <f t="shared" si="26"/>
        <v>1800000</v>
      </c>
      <c r="H417" s="18">
        <v>1800000</v>
      </c>
      <c r="I417" s="19">
        <v>3</v>
      </c>
      <c r="J417" s="18">
        <f t="shared" si="27"/>
        <v>1860000</v>
      </c>
      <c r="K417" s="18" t="s">
        <v>477</v>
      </c>
      <c r="L417" s="16" t="str">
        <f t="shared" si="28"/>
        <v>فعال</v>
      </c>
      <c r="M417" s="16">
        <v>255</v>
      </c>
      <c r="N417" s="16" t="s">
        <v>1733</v>
      </c>
      <c r="O417" t="s">
        <v>1735</v>
      </c>
      <c r="P417">
        <f>IFERROR(INDEX($A$2:$A$422,MATCH(ROWS($P$5:P417),$AD$2:$AD$422,0)),"")</f>
      </c>
      <c r="Q417">
        <f>IF($P417="","",INDEX($B$2:$B$422,MATCH(ROWS($P$5:P417),$AD$2:$AD$422,0)))</f>
      </c>
      <c r="R417">
        <f>IF($P417="","",INDEX($C$2:$C$422,MATCH(ROWS($P$5:P417),$AD$2:$AD$422,0)))</f>
      </c>
      <c r="S417">
        <f>IF($P417="","",INDEX($E$2:$E$422,MATCH(ROWS($P$5:P417),$AD$2:$AD$422,0)))</f>
      </c>
      <c r="T417" s="22">
        <f>IF($P417="","",IFERROR(IF(OR(INDEX($H$2:$H$422,MATCH(ROWS($P$5:P417),$AD$2:$AD$422,0))="",INDEX($H$2:$H$422,MATCH(ROWS($P$5:P417),$AD$2:$AD$422,0))="؟",INDEX($H$2:$H$422,MATCH(ROWS($P$5:P417),$AD$2:$AD$422,0))="نامشخص"),"",INDEX($H$2:$H$422,MATCH(ROWS($P$5:P417),$AD$2:$AD$422,0))),""))</f>
      </c>
      <c r="U417">
        <f>IF($P417="","",INDEX($L$2:$L$422,MATCH(ROWS($P$5:P417),$AD$2:$AD$422,0)))</f>
      </c>
      <c r="V417">
        <f>IF($P417="","",INDEX($M$2:$M$422,MATCH(ROWS($P$5:P417),$AD$2:$AD$422,0)))</f>
      </c>
      <c r="AD417">
        <f>IF(AND(LEN($Q$2)&gt;=3,ISNUMBER(SEARCH($Q$2,$B417))),MAX($AD$1:AD416)+1,"")</f>
      </c>
    </row>
    <row r="418" ht="14.4" customHeight="1" spans="1:30" x14ac:dyDescent="0.25">
      <c r="A418" s="16" t="s">
        <v>1736</v>
      </c>
      <c r="B418" s="16" t="s">
        <v>282</v>
      </c>
      <c r="C418" s="16" t="s">
        <v>1737</v>
      </c>
      <c r="D418" s="16" t="s">
        <v>1689</v>
      </c>
      <c r="E418" s="16" t="s">
        <v>9</v>
      </c>
      <c r="F418" s="16" t="s">
        <v>9</v>
      </c>
      <c r="G418" s="17">
        <f t="shared" si="26"/>
        <v>600000</v>
      </c>
      <c r="H418" s="18">
        <v>600000</v>
      </c>
      <c r="I418" s="19">
        <v>2</v>
      </c>
      <c r="J418" s="18">
        <f t="shared" si="27"/>
        <v>620000</v>
      </c>
      <c r="K418" s="18" t="s">
        <v>477</v>
      </c>
      <c r="L418" s="16" t="str">
        <f t="shared" si="28"/>
        <v>فعال</v>
      </c>
      <c r="M418" s="16">
        <v>256</v>
      </c>
      <c r="N418" s="16" t="s">
        <v>1736</v>
      </c>
      <c r="O418" t="s">
        <v>1738</v>
      </c>
      <c r="P418">
        <f>IFERROR(INDEX($A$2:$A$422,MATCH(ROWS($P$5:P418),$AD$2:$AD$422,0)),"")</f>
      </c>
      <c r="Q418">
        <f>IF($P418="","",INDEX($B$2:$B$422,MATCH(ROWS($P$5:P418),$AD$2:$AD$422,0)))</f>
      </c>
      <c r="R418">
        <f>IF($P418="","",INDEX($C$2:$C$422,MATCH(ROWS($P$5:P418),$AD$2:$AD$422,0)))</f>
      </c>
      <c r="S418">
        <f>IF($P418="","",INDEX($E$2:$E$422,MATCH(ROWS($P$5:P418),$AD$2:$AD$422,0)))</f>
      </c>
      <c r="T418" s="22">
        <f>IF($P418="","",IFERROR(IF(OR(INDEX($H$2:$H$422,MATCH(ROWS($P$5:P418),$AD$2:$AD$422,0))="",INDEX($H$2:$H$422,MATCH(ROWS($P$5:P418),$AD$2:$AD$422,0))="؟",INDEX($H$2:$H$422,MATCH(ROWS($P$5:P418),$AD$2:$AD$422,0))="نامشخص"),"",INDEX($H$2:$H$422,MATCH(ROWS($P$5:P418),$AD$2:$AD$422,0))),""))</f>
      </c>
      <c r="U418">
        <f>IF($P418="","",INDEX($L$2:$L$422,MATCH(ROWS($P$5:P418),$AD$2:$AD$422,0)))</f>
      </c>
      <c r="V418">
        <f>IF($P418="","",INDEX($M$2:$M$422,MATCH(ROWS($P$5:P418),$AD$2:$AD$422,0)))</f>
      </c>
      <c r="AD418">
        <f>IF(AND(LEN($Q$2)&gt;=3,ISNUMBER(SEARCH($Q$2,$B418))),MAX($AD$1:AD417)+1,"")</f>
      </c>
    </row>
    <row r="419" ht="14.4" customHeight="1" spans="1:30" x14ac:dyDescent="0.25">
      <c r="A419" s="16" t="s">
        <v>1739</v>
      </c>
      <c r="B419" s="16" t="s">
        <v>430</v>
      </c>
      <c r="C419" s="16" t="s">
        <v>1740</v>
      </c>
      <c r="D419" s="16" t="s">
        <v>1689</v>
      </c>
      <c r="E419" s="16" t="s">
        <v>9</v>
      </c>
      <c r="F419" s="16" t="s">
        <v>9</v>
      </c>
      <c r="G419" s="17">
        <f t="shared" si="26"/>
        <v>850000</v>
      </c>
      <c r="H419" s="18">
        <v>850000</v>
      </c>
      <c r="I419" s="19">
        <v>1</v>
      </c>
      <c r="J419" s="18">
        <f t="shared" si="27"/>
        <v>860000</v>
      </c>
      <c r="K419" s="18" t="s">
        <v>477</v>
      </c>
      <c r="L419" s="16" t="str">
        <f t="shared" si="28"/>
        <v>فعال</v>
      </c>
      <c r="M419" s="16">
        <v>381</v>
      </c>
      <c r="N419" s="16" t="s">
        <v>1739</v>
      </c>
      <c r="O419" t="s">
        <v>1741</v>
      </c>
      <c r="P419">
        <f>IFERROR(INDEX($A$2:$A$422,MATCH(ROWS($P$5:P419),$AD$2:$AD$422,0)),"")</f>
      </c>
      <c r="Q419">
        <f>IF($P419="","",INDEX($B$2:$B$422,MATCH(ROWS($P$5:P419),$AD$2:$AD$422,0)))</f>
      </c>
      <c r="R419">
        <f>IF($P419="","",INDEX($C$2:$C$422,MATCH(ROWS($P$5:P419),$AD$2:$AD$422,0)))</f>
      </c>
      <c r="S419">
        <f>IF($P419="","",INDEX($E$2:$E$422,MATCH(ROWS($P$5:P419),$AD$2:$AD$422,0)))</f>
      </c>
      <c r="T419" s="22">
        <f>IF($P419="","",IFERROR(IF(OR(INDEX($H$2:$H$422,MATCH(ROWS($P$5:P419),$AD$2:$AD$422,0))="",INDEX($H$2:$H$422,MATCH(ROWS($P$5:P419),$AD$2:$AD$422,0))="؟",INDEX($H$2:$H$422,MATCH(ROWS($P$5:P419),$AD$2:$AD$422,0))="نامشخص"),"",INDEX($H$2:$H$422,MATCH(ROWS($P$5:P419),$AD$2:$AD$422,0))),""))</f>
      </c>
      <c r="U419">
        <f>IF($P419="","",INDEX($L$2:$L$422,MATCH(ROWS($P$5:P419),$AD$2:$AD$422,0)))</f>
      </c>
      <c r="V419">
        <f>IF($P419="","",INDEX($M$2:$M$422,MATCH(ROWS($P$5:P419),$AD$2:$AD$422,0)))</f>
      </c>
      <c r="AD419">
        <f>IF(AND(LEN($Q$2)&gt;=3,ISNUMBER(SEARCH($Q$2,$B419))),MAX($AD$1:AD418)+1,"")</f>
      </c>
    </row>
    <row r="420" ht="14.4" customHeight="1" spans="1:30" x14ac:dyDescent="0.25">
      <c r="A420" s="16" t="s">
        <v>1742</v>
      </c>
      <c r="B420" s="16" t="s">
        <v>439</v>
      </c>
      <c r="C420" s="16" t="s">
        <v>1743</v>
      </c>
      <c r="D420" s="16" t="s">
        <v>1689</v>
      </c>
      <c r="E420" s="16" t="s">
        <v>9</v>
      </c>
      <c r="F420" s="16" t="s">
        <v>9</v>
      </c>
      <c r="G420" s="17">
        <f t="shared" si="26"/>
        <v>750000</v>
      </c>
      <c r="H420" s="18">
        <v>750000</v>
      </c>
      <c r="I420" s="19">
        <v>3</v>
      </c>
      <c r="J420" s="18">
        <f t="shared" si="27"/>
        <v>780000</v>
      </c>
      <c r="K420" s="18" t="s">
        <v>477</v>
      </c>
      <c r="L420" s="16" t="str">
        <f t="shared" si="28"/>
        <v>فعال</v>
      </c>
      <c r="M420" s="16">
        <v>389</v>
      </c>
      <c r="N420" s="16" t="s">
        <v>1742</v>
      </c>
      <c r="O420" t="s">
        <v>1744</v>
      </c>
      <c r="P420">
        <f>IFERROR(INDEX($A$2:$A$422,MATCH(ROWS($P$5:P420),$AD$2:$AD$422,0)),"")</f>
      </c>
      <c r="Q420">
        <f>IF($P420="","",INDEX($B$2:$B$422,MATCH(ROWS($P$5:P420),$AD$2:$AD$422,0)))</f>
      </c>
      <c r="R420">
        <f>IF($P420="","",INDEX($C$2:$C$422,MATCH(ROWS($P$5:P420),$AD$2:$AD$422,0)))</f>
      </c>
      <c r="S420">
        <f>IF($P420="","",INDEX($E$2:$E$422,MATCH(ROWS($P$5:P420),$AD$2:$AD$422,0)))</f>
      </c>
      <c r="T420" s="22">
        <f>IF($P420="","",IFERROR(IF(OR(INDEX($H$2:$H$422,MATCH(ROWS($P$5:P420),$AD$2:$AD$422,0))="",INDEX($H$2:$H$422,MATCH(ROWS($P$5:P420),$AD$2:$AD$422,0))="؟",INDEX($H$2:$H$422,MATCH(ROWS($P$5:P420),$AD$2:$AD$422,0))="نامشخص"),"",INDEX($H$2:$H$422,MATCH(ROWS($P$5:P420),$AD$2:$AD$422,0))),""))</f>
      </c>
      <c r="U420">
        <f>IF($P420="","",INDEX($L$2:$L$422,MATCH(ROWS($P$5:P420),$AD$2:$AD$422,0)))</f>
      </c>
      <c r="V420">
        <f>IF($P420="","",INDEX($M$2:$M$422,MATCH(ROWS($P$5:P420),$AD$2:$AD$422,0)))</f>
      </c>
      <c r="AD420">
        <f>IF(AND(LEN($Q$2)&gt;=3,ISNUMBER(SEARCH($Q$2,$B420))),MAX($AD$1:AD419)+1,"")</f>
      </c>
    </row>
    <row r="421" ht="14.4" customHeight="1" spans="1:30" x14ac:dyDescent="0.25">
      <c r="A421" s="16" t="s">
        <v>1745</v>
      </c>
      <c r="B421" s="16" t="s">
        <v>417</v>
      </c>
      <c r="C421" s="16" t="s">
        <v>1746</v>
      </c>
      <c r="D421" s="16" t="s">
        <v>1689</v>
      </c>
      <c r="E421" s="16" t="s">
        <v>9</v>
      </c>
      <c r="F421" s="16" t="s">
        <v>9</v>
      </c>
      <c r="G421" s="17">
        <f t="shared" si="26"/>
        <v>1100000</v>
      </c>
      <c r="H421" s="18">
        <v>1100000</v>
      </c>
      <c r="I421" s="19">
        <v>2</v>
      </c>
      <c r="J421" s="18">
        <f t="shared" si="27"/>
        <v>1130000</v>
      </c>
      <c r="K421" s="18" t="s">
        <v>477</v>
      </c>
      <c r="L421" s="16" t="str">
        <f t="shared" si="28"/>
        <v>فعال</v>
      </c>
      <c r="M421" s="16">
        <v>368</v>
      </c>
      <c r="N421" s="16" t="s">
        <v>1745</v>
      </c>
      <c r="O421" t="s">
        <v>1747</v>
      </c>
      <c r="P421">
        <f>IFERROR(INDEX($A$2:$A$422,MATCH(ROWS($P$5:P421),$AD$2:$AD$422,0)),"")</f>
      </c>
      <c r="Q421">
        <f>IF($P421="","",INDEX($B$2:$B$422,MATCH(ROWS($P$5:P421),$AD$2:$AD$422,0)))</f>
      </c>
      <c r="R421">
        <f>IF($P421="","",INDEX($C$2:$C$422,MATCH(ROWS($P$5:P421),$AD$2:$AD$422,0)))</f>
      </c>
      <c r="S421">
        <f>IF($P421="","",INDEX($E$2:$E$422,MATCH(ROWS($P$5:P421),$AD$2:$AD$422,0)))</f>
      </c>
      <c r="T421" s="22">
        <f>IF($P421="","",IFERROR(IF(OR(INDEX($H$2:$H$422,MATCH(ROWS($P$5:P421),$AD$2:$AD$422,0))="",INDEX($H$2:$H$422,MATCH(ROWS($P$5:P421),$AD$2:$AD$422,0))="؟",INDEX($H$2:$H$422,MATCH(ROWS($P$5:P421),$AD$2:$AD$422,0))="نامشخص"),"",INDEX($H$2:$H$422,MATCH(ROWS($P$5:P421),$AD$2:$AD$422,0))),""))</f>
      </c>
      <c r="U421">
        <f>IF($P421="","",INDEX($L$2:$L$422,MATCH(ROWS($P$5:P421),$AD$2:$AD$422,0)))</f>
      </c>
      <c r="V421">
        <f>IF($P421="","",INDEX($M$2:$M$422,MATCH(ROWS($P$5:P421),$AD$2:$AD$422,0)))</f>
      </c>
      <c r="AD421">
        <f>IF(AND(LEN($Q$2)&gt;=3,ISNUMBER(SEARCH($Q$2,$B421))),MAX($AD$1:AD420)+1,"")</f>
      </c>
    </row>
    <row r="422" ht="14.4" customHeight="1" spans="1:30" x14ac:dyDescent="0.25">
      <c r="A422" s="16" t="s">
        <v>1748</v>
      </c>
      <c r="B422" s="16" t="s">
        <v>421</v>
      </c>
      <c r="C422" s="16" t="s">
        <v>1749</v>
      </c>
      <c r="D422" s="16" t="s">
        <v>1689</v>
      </c>
      <c r="E422" s="16" t="s">
        <v>9</v>
      </c>
      <c r="F422" s="16" t="s">
        <v>9</v>
      </c>
      <c r="G422" s="17">
        <f t="shared" si="26"/>
        <v>3900000</v>
      </c>
      <c r="H422" s="18">
        <v>3900000</v>
      </c>
      <c r="I422" s="19">
        <v>3</v>
      </c>
      <c r="J422" s="18">
        <f t="shared" si="27"/>
        <v>4020000</v>
      </c>
      <c r="K422" s="18" t="s">
        <v>477</v>
      </c>
      <c r="L422" s="16" t="str">
        <f t="shared" si="28"/>
        <v>فعال</v>
      </c>
      <c r="M422" s="16">
        <v>372</v>
      </c>
      <c r="N422" s="16" t="s">
        <v>1748</v>
      </c>
      <c r="O422" t="s">
        <v>1750</v>
      </c>
      <c r="P422">
        <f>IFERROR(INDEX($A$2:$A$422,MATCH(ROWS($P$5:P422),$AD$2:$AD$422,0)),"")</f>
      </c>
      <c r="Q422">
        <f>IF($P422="","",INDEX($B$2:$B$422,MATCH(ROWS($P$5:P422),$AD$2:$AD$422,0)))</f>
      </c>
      <c r="R422">
        <f>IF($P422="","",INDEX($C$2:$C$422,MATCH(ROWS($P$5:P422),$AD$2:$AD$422,0)))</f>
      </c>
      <c r="S422">
        <f>IF($P422="","",INDEX($E$2:$E$422,MATCH(ROWS($P$5:P422),$AD$2:$AD$422,0)))</f>
      </c>
      <c r="T422" s="22">
        <f>IF($P422="","",IFERROR(IF(OR(INDEX($H$2:$H$422,MATCH(ROWS($P$5:P422),$AD$2:$AD$422,0))="",INDEX($H$2:$H$422,MATCH(ROWS($P$5:P422),$AD$2:$AD$422,0))="؟",INDEX($H$2:$H$422,MATCH(ROWS($P$5:P422),$AD$2:$AD$422,0))="نامشخص"),"",INDEX($H$2:$H$422,MATCH(ROWS($P$5:P422),$AD$2:$AD$422,0))),""))</f>
      </c>
      <c r="U422">
        <f>IF($P422="","",INDEX($L$2:$L$422,MATCH(ROWS($P$5:P422),$AD$2:$AD$422,0)))</f>
      </c>
      <c r="V422">
        <f>IF($P422="","",INDEX($M$2:$M$422,MATCH(ROWS($P$5:P422),$AD$2:$AD$422,0)))</f>
      </c>
      <c r="AD422">
        <f>IF(AND(LEN($Q$2)&gt;=3,ISNUMBER(SEARCH($Q$2,$B422))),MAX($AD$1:AD421)+1,"")</f>
      </c>
    </row>
    <row r="423" ht="14.4" customHeight="1" spans="1:30" x14ac:dyDescent="0.25">
      <c r="A423" s="16" t="s">
        <v>1751</v>
      </c>
      <c r="B423" s="16" t="s">
        <v>33</v>
      </c>
      <c r="C423" s="16" t="s">
        <v>1752</v>
      </c>
      <c r="D423" s="16"/>
      <c r="E423" s="16"/>
      <c r="F423" s="16"/>
      <c r="G423" s="17">
        <f t="shared" si="26"/>
        <v>800000</v>
      </c>
      <c r="H423" s="18">
        <v>800000</v>
      </c>
      <c r="I423" s="19">
        <v>1</v>
      </c>
      <c r="J423" s="18">
        <f t="shared" si="27"/>
        <v>810000</v>
      </c>
      <c r="K423" s="18" t="s">
        <v>477</v>
      </c>
      <c r="L423" s="16" t="str">
        <f t="shared" si="28"/>
        <v>فعال</v>
      </c>
      <c r="M423" s="16">
        <v>25</v>
      </c>
      <c r="N423" s="16" t="s">
        <v>1751</v>
      </c>
      <c r="O423" t="s">
        <v>1753</v>
      </c>
      <c r="Q423" s="20"/>
      <c r="AD423">
        <f>IF(AND(LEN($Q$2)&gt;=3,ISNUMBER(SEARCH($Q$2,$B423))),MAX($AD$1:AD422)+1,"")</f>
      </c>
    </row>
    <row r="424" ht="14.4" customHeight="1" spans="1:30" x14ac:dyDescent="0.25">
      <c r="A424" s="16" t="s">
        <v>1754</v>
      </c>
      <c r="B424" s="16" t="s">
        <v>10</v>
      </c>
      <c r="C424" s="16" t="s">
        <v>1755</v>
      </c>
      <c r="D424" s="16"/>
      <c r="E424" s="16" t="s">
        <v>12</v>
      </c>
      <c r="F424" s="16" t="s">
        <v>12</v>
      </c>
      <c r="G424" s="17">
        <f t="shared" si="26"/>
        <v>210000</v>
      </c>
      <c r="H424" s="18">
        <v>210000</v>
      </c>
      <c r="I424" s="19">
        <v>1</v>
      </c>
      <c r="J424" s="18">
        <f t="shared" si="27"/>
        <v>220000</v>
      </c>
      <c r="K424" s="18" t="s">
        <v>477</v>
      </c>
      <c r="L424" s="16" t="str">
        <f t="shared" si="28"/>
        <v>فعال</v>
      </c>
      <c r="M424" s="16">
        <v>4</v>
      </c>
      <c r="N424" s="16" t="s">
        <v>1754</v>
      </c>
      <c r="O424" t="s">
        <v>1756</v>
      </c>
      <c r="Q424" s="20"/>
      <c r="AD424">
        <f>IF(AND(LEN($Q$2)&gt;=3,ISNUMBER(SEARCH($Q$2,$B424))),MAX($AD$1:AD423)+1,"")</f>
      </c>
    </row>
    <row r="425" ht="14.4" customHeight="1" spans="1:30" x14ac:dyDescent="0.25">
      <c r="A425" s="16" t="s">
        <v>1757</v>
      </c>
      <c r="B425" s="16" t="s">
        <v>71</v>
      </c>
      <c r="C425" s="16" t="s">
        <v>1758</v>
      </c>
      <c r="D425" s="16"/>
      <c r="E425" s="16" t="s">
        <v>72</v>
      </c>
      <c r="F425" s="16" t="s">
        <v>72</v>
      </c>
      <c r="G425" s="17">
        <f t="shared" si="26"/>
        <v>500000</v>
      </c>
      <c r="H425" s="18">
        <v>500000</v>
      </c>
      <c r="I425" s="19">
        <v>2</v>
      </c>
      <c r="J425" s="18">
        <f t="shared" si="27"/>
        <v>510000</v>
      </c>
      <c r="K425" s="18" t="s">
        <v>477</v>
      </c>
      <c r="L425" s="16" t="str">
        <f t="shared" si="28"/>
        <v>فعال</v>
      </c>
      <c r="M425" s="16">
        <v>59</v>
      </c>
      <c r="N425" s="16" t="s">
        <v>1757</v>
      </c>
      <c r="O425" t="s">
        <v>1759</v>
      </c>
      <c r="Q425" s="20"/>
      <c r="AD425">
        <f>IF(AND(LEN($Q$2)&gt;=3,ISNUMBER(SEARCH($Q$2,$B425))),MAX($AD$1:AD424)+1,"")</f>
      </c>
    </row>
    <row r="426" ht="14.4" customHeight="1" spans="1:30" x14ac:dyDescent="0.25">
      <c r="A426" s="16" t="s">
        <v>1760</v>
      </c>
      <c r="B426" s="16" t="s">
        <v>74</v>
      </c>
      <c r="C426" s="16" t="s">
        <v>1761</v>
      </c>
      <c r="D426" s="16"/>
      <c r="E426" s="16" t="s">
        <v>72</v>
      </c>
      <c r="F426" s="16" t="s">
        <v>72</v>
      </c>
      <c r="G426" s="17">
        <f t="shared" si="26"/>
        <v>500000</v>
      </c>
      <c r="H426" s="18">
        <v>500000</v>
      </c>
      <c r="I426" s="19">
        <v>3</v>
      </c>
      <c r="J426" s="18">
        <f t="shared" si="27"/>
        <v>520000</v>
      </c>
      <c r="K426" s="18" t="s">
        <v>477</v>
      </c>
      <c r="L426" s="16" t="str">
        <f t="shared" si="28"/>
        <v>فعال</v>
      </c>
      <c r="M426" s="16">
        <v>61</v>
      </c>
      <c r="N426" s="16" t="s">
        <v>1760</v>
      </c>
      <c r="O426" t="s">
        <v>1762</v>
      </c>
      <c r="Q426" s="20"/>
      <c r="AD426">
        <f>IF(AND(LEN($Q$2)&gt;=3,ISNUMBER(SEARCH($Q$2,$B426))),MAX($AD$1:AD425)+1,"")</f>
      </c>
    </row>
    <row r="427" ht="14.4" customHeight="1" spans="1:30" x14ac:dyDescent="0.25">
      <c r="A427" s="16" t="s">
        <v>1763</v>
      </c>
      <c r="B427" s="16" t="s">
        <v>66</v>
      </c>
      <c r="C427" s="16" t="s">
        <v>1764</v>
      </c>
      <c r="D427" s="16"/>
      <c r="E427" s="16">
        <v>290</v>
      </c>
      <c r="F427" s="16">
        <v>290</v>
      </c>
      <c r="G427" s="17">
        <f t="shared" si="26"/>
        <v>180000</v>
      </c>
      <c r="H427" s="18">
        <v>180000</v>
      </c>
      <c r="I427" s="19">
        <v>1</v>
      </c>
      <c r="J427" s="18">
        <f t="shared" si="27"/>
        <v>190000</v>
      </c>
      <c r="K427" s="18" t="s">
        <v>477</v>
      </c>
      <c r="L427" s="16" t="str">
        <f t="shared" si="28"/>
        <v>فعال</v>
      </c>
      <c r="M427" s="16">
        <v>57</v>
      </c>
      <c r="N427" s="16" t="s">
        <v>1763</v>
      </c>
      <c r="O427" t="s">
        <v>1765</v>
      </c>
      <c r="Q427" s="20"/>
      <c r="AD427">
        <f>IF(AND(LEN($Q$2)&gt;=3,ISNUMBER(SEARCH($Q$2,$B427))),MAX($AD$1:AD426)+1,"")</f>
      </c>
    </row>
    <row r="428" ht="14.4" customHeight="1" spans="1:30" x14ac:dyDescent="0.25">
      <c r="A428" s="16" t="s">
        <v>1766</v>
      </c>
      <c r="B428" s="16" t="s">
        <v>78</v>
      </c>
      <c r="C428" s="16" t="s">
        <v>1767</v>
      </c>
      <c r="D428" s="16"/>
      <c r="E428" s="16"/>
      <c r="F428" s="16"/>
      <c r="G428" s="17">
        <f t="shared" si="26"/>
        <v>700000</v>
      </c>
      <c r="H428" s="18">
        <v>700000</v>
      </c>
      <c r="I428" s="19">
        <v>1</v>
      </c>
      <c r="J428" s="18">
        <f t="shared" si="27"/>
        <v>710000</v>
      </c>
      <c r="K428" s="18" t="s">
        <v>477</v>
      </c>
      <c r="L428" s="16" t="str">
        <f t="shared" si="28"/>
        <v>فعال</v>
      </c>
      <c r="M428" s="16">
        <v>65</v>
      </c>
      <c r="N428" s="16" t="s">
        <v>1766</v>
      </c>
      <c r="O428" t="s">
        <v>1768</v>
      </c>
      <c r="Q428" s="20"/>
      <c r="AD428">
        <f>IF(AND(LEN($Q$2)&gt;=3,ISNUMBER(SEARCH($Q$2,$B428))),MAX($AD$1:AD427)+1,"")</f>
      </c>
    </row>
    <row r="429" ht="14.4" customHeight="1" spans="1:30" x14ac:dyDescent="0.25">
      <c r="A429" s="16" t="s">
        <v>1769</v>
      </c>
      <c r="B429" s="16" t="s">
        <v>83</v>
      </c>
      <c r="C429" s="16" t="s">
        <v>1770</v>
      </c>
      <c r="D429" s="16"/>
      <c r="E429" s="16"/>
      <c r="F429" s="16"/>
      <c r="G429" s="17">
        <f t="shared" si="26"/>
        <v>720000</v>
      </c>
      <c r="H429" s="18">
        <v>720000</v>
      </c>
      <c r="I429" s="19">
        <v>1</v>
      </c>
      <c r="J429" s="18">
        <f t="shared" si="27"/>
        <v>730000</v>
      </c>
      <c r="K429" s="18" t="s">
        <v>477</v>
      </c>
      <c r="L429" s="16" t="str">
        <f t="shared" si="28"/>
        <v>فعال</v>
      </c>
      <c r="M429" s="16">
        <v>70</v>
      </c>
      <c r="N429" s="16" t="s">
        <v>1769</v>
      </c>
      <c r="O429" t="s">
        <v>1771</v>
      </c>
      <c r="Q429" s="20"/>
      <c r="AD429">
        <f>IF(AND(LEN($Q$2)&gt;=3,ISNUMBER(SEARCH($Q$2,$B429))),MAX($AD$1:AD428)+1,"")</f>
      </c>
    </row>
    <row r="430" ht="14.4" customHeight="1" spans="1:30" x14ac:dyDescent="0.25">
      <c r="A430" s="16" t="s">
        <v>1772</v>
      </c>
      <c r="B430" s="16" t="s">
        <v>87</v>
      </c>
      <c r="C430" s="16" t="s">
        <v>1773</v>
      </c>
      <c r="D430" s="16"/>
      <c r="E430" s="16"/>
      <c r="F430" s="16"/>
      <c r="G430" s="17">
        <f t="shared" si="26"/>
        <v>4200000</v>
      </c>
      <c r="H430" s="18">
        <v>4200000</v>
      </c>
      <c r="I430" s="19">
        <v>3</v>
      </c>
      <c r="J430" s="18">
        <f t="shared" si="27"/>
        <v>4330000</v>
      </c>
      <c r="K430" s="18" t="s">
        <v>477</v>
      </c>
      <c r="L430" s="16" t="str">
        <f t="shared" si="28"/>
        <v>فعال</v>
      </c>
      <c r="M430" s="16">
        <v>74</v>
      </c>
      <c r="N430" s="16" t="s">
        <v>1772</v>
      </c>
      <c r="O430" t="s">
        <v>1774</v>
      </c>
      <c r="Q430" s="20"/>
      <c r="AD430">
        <f>IF(AND(LEN($Q$2)&gt;=3,ISNUMBER(SEARCH($Q$2,$B430))),MAX($AD$1:AD429)+1,"")</f>
      </c>
    </row>
    <row r="431" ht="14.4" customHeight="1" spans="1:30" x14ac:dyDescent="0.25">
      <c r="A431" s="16" t="s">
        <v>1775</v>
      </c>
      <c r="B431" s="16" t="s">
        <v>90</v>
      </c>
      <c r="C431" s="16" t="s">
        <v>1776</v>
      </c>
      <c r="D431" s="16"/>
      <c r="E431" s="16" t="s">
        <v>91</v>
      </c>
      <c r="F431" s="16" t="s">
        <v>91</v>
      </c>
      <c r="G431" s="17">
        <f t="shared" si="26"/>
        <v>15000</v>
      </c>
      <c r="H431" s="18">
        <v>15000</v>
      </c>
      <c r="I431" s="19">
        <v>2</v>
      </c>
      <c r="J431" s="18">
        <f t="shared" si="27"/>
        <v>20000</v>
      </c>
      <c r="K431" s="18" t="s">
        <v>477</v>
      </c>
      <c r="L431" s="16" t="str">
        <f t="shared" si="28"/>
        <v>فعال</v>
      </c>
      <c r="M431" s="16">
        <v>77</v>
      </c>
      <c r="N431" s="16" t="s">
        <v>1775</v>
      </c>
      <c r="O431" t="s">
        <v>1777</v>
      </c>
      <c r="Q431" s="20"/>
      <c r="AD431">
        <f>IF(AND(LEN($Q$2)&gt;=3,ISNUMBER(SEARCH($Q$2,$B431))),MAX($AD$1:AD430)+1,"")</f>
      </c>
    </row>
    <row r="432" ht="14.4" customHeight="1" spans="1:30" x14ac:dyDescent="0.25">
      <c r="A432" s="16" t="s">
        <v>1778</v>
      </c>
      <c r="B432" s="16" t="s">
        <v>90</v>
      </c>
      <c r="C432" s="16" t="s">
        <v>1779</v>
      </c>
      <c r="D432" s="16"/>
      <c r="E432" s="16" t="s">
        <v>9</v>
      </c>
      <c r="F432" s="16" t="s">
        <v>9</v>
      </c>
      <c r="G432" s="17">
        <f t="shared" si="26"/>
        <v>1150000</v>
      </c>
      <c r="H432" s="18">
        <v>1150000</v>
      </c>
      <c r="I432" s="19">
        <v>2</v>
      </c>
      <c r="J432" s="18">
        <f t="shared" si="27"/>
        <v>1180000</v>
      </c>
      <c r="K432" s="18" t="s">
        <v>477</v>
      </c>
      <c r="L432" s="16" t="str">
        <f t="shared" si="28"/>
        <v>فعال</v>
      </c>
      <c r="M432" s="16">
        <v>77</v>
      </c>
      <c r="N432" s="16" t="s">
        <v>1778</v>
      </c>
      <c r="O432" t="s">
        <v>1780</v>
      </c>
      <c r="Q432" s="20"/>
      <c r="AD432">
        <f>IF(AND(LEN($Q$2)&gt;=3,ISNUMBER(SEARCH($Q$2,$B432))),MAX($AD$1:AD431)+1,"")</f>
      </c>
    </row>
    <row r="433" ht="14.4" customHeight="1" spans="1:30" x14ac:dyDescent="0.25">
      <c r="A433" s="16" t="s">
        <v>1781</v>
      </c>
      <c r="B433" s="16" t="s">
        <v>92</v>
      </c>
      <c r="C433" s="16" t="s">
        <v>1782</v>
      </c>
      <c r="D433" s="16"/>
      <c r="E433" s="16" t="s">
        <v>91</v>
      </c>
      <c r="F433" s="16" t="s">
        <v>91</v>
      </c>
      <c r="G433" s="17">
        <f t="shared" si="26"/>
        <v>20000</v>
      </c>
      <c r="H433" s="18">
        <v>20000</v>
      </c>
      <c r="I433" s="19">
        <v>3</v>
      </c>
      <c r="J433" s="18">
        <f t="shared" si="27"/>
        <v>30000</v>
      </c>
      <c r="K433" s="18" t="s">
        <v>477</v>
      </c>
      <c r="L433" s="16" t="str">
        <f t="shared" si="28"/>
        <v>فعال</v>
      </c>
      <c r="M433" s="16">
        <v>78</v>
      </c>
      <c r="N433" s="16" t="s">
        <v>1781</v>
      </c>
      <c r="O433" t="s">
        <v>1783</v>
      </c>
      <c r="Q433" s="20"/>
      <c r="AD433">
        <f>IF(AND(LEN($Q$2)&gt;=3,ISNUMBER(SEARCH($Q$2,$B433))),MAX($AD$1:AD432)+1,"")</f>
      </c>
    </row>
    <row r="434" ht="14.4" customHeight="1" spans="1:30" x14ac:dyDescent="0.25">
      <c r="A434" s="16" t="s">
        <v>1784</v>
      </c>
      <c r="B434" s="16" t="s">
        <v>92</v>
      </c>
      <c r="C434" s="16" t="s">
        <v>1785</v>
      </c>
      <c r="D434" s="16"/>
      <c r="E434" s="16" t="s">
        <v>9</v>
      </c>
      <c r="F434" s="16" t="s">
        <v>9</v>
      </c>
      <c r="G434" s="17">
        <f t="shared" si="26"/>
        <v>2800000</v>
      </c>
      <c r="H434" s="18">
        <v>2800000</v>
      </c>
      <c r="I434" s="19">
        <v>1</v>
      </c>
      <c r="J434" s="18">
        <f t="shared" si="27"/>
        <v>2830000</v>
      </c>
      <c r="K434" s="18" t="s">
        <v>477</v>
      </c>
      <c r="L434" s="16" t="str">
        <f t="shared" si="28"/>
        <v>فعال</v>
      </c>
      <c r="M434" s="16">
        <v>78</v>
      </c>
      <c r="N434" s="16" t="s">
        <v>1784</v>
      </c>
      <c r="O434" t="s">
        <v>1786</v>
      </c>
      <c r="Q434" s="20"/>
      <c r="AD434">
        <f>IF(AND(LEN($Q$2)&gt;=3,ISNUMBER(SEARCH($Q$2,$B434))),MAX($AD$1:AD433)+1,"")</f>
      </c>
    </row>
    <row r="435" ht="14.4" customHeight="1" spans="1:30" x14ac:dyDescent="0.25">
      <c r="A435" s="16" t="s">
        <v>1787</v>
      </c>
      <c r="B435" s="16" t="s">
        <v>93</v>
      </c>
      <c r="C435" s="16" t="s">
        <v>1788</v>
      </c>
      <c r="D435" s="16"/>
      <c r="E435" s="16" t="s">
        <v>91</v>
      </c>
      <c r="F435" s="16" t="s">
        <v>91</v>
      </c>
      <c r="G435" s="17">
        <f t="shared" si="26"/>
        <v>20000</v>
      </c>
      <c r="H435" s="18">
        <v>20000</v>
      </c>
      <c r="I435" s="19">
        <v>2</v>
      </c>
      <c r="J435" s="18">
        <f t="shared" si="27"/>
        <v>30000</v>
      </c>
      <c r="K435" s="18" t="s">
        <v>477</v>
      </c>
      <c r="L435" s="16" t="str">
        <f t="shared" si="28"/>
        <v>فعال</v>
      </c>
      <c r="M435" s="16">
        <v>79</v>
      </c>
      <c r="N435" s="16" t="s">
        <v>1787</v>
      </c>
      <c r="O435" t="s">
        <v>1789</v>
      </c>
      <c r="Q435" s="20"/>
      <c r="AD435">
        <f>IF(AND(LEN($Q$2)&gt;=3,ISNUMBER(SEARCH($Q$2,$B435))),MAX($AD$1:AD434)+1,"")</f>
      </c>
    </row>
    <row r="436" ht="14.4" customHeight="1" spans="1:30" x14ac:dyDescent="0.25">
      <c r="A436" s="16" t="s">
        <v>1790</v>
      </c>
      <c r="B436" s="16" t="s">
        <v>94</v>
      </c>
      <c r="C436" s="16" t="s">
        <v>1791</v>
      </c>
      <c r="D436" s="16"/>
      <c r="E436" s="16" t="s">
        <v>91</v>
      </c>
      <c r="F436" s="16" t="s">
        <v>91</v>
      </c>
      <c r="G436" s="17">
        <f t="shared" si="26"/>
        <v>15000</v>
      </c>
      <c r="H436" s="18">
        <v>15000</v>
      </c>
      <c r="I436" s="19">
        <v>2</v>
      </c>
      <c r="J436" s="18">
        <f t="shared" ref="J436:J467" si="29">IF(OR(H436="",H436="؟",H436="نامشخص"),"",CEILING(H436*(1+I436/100),10000))</f>
        <v>20000</v>
      </c>
      <c r="K436" s="18" t="s">
        <v>477</v>
      </c>
      <c r="L436" s="16" t="str">
        <f t="shared" ref="L436:L467" si="30">IF(OR($H436="",$H436="؟",$H436="نامشخص"),"نیاز به استعلام","فعال")</f>
        <v>فعال</v>
      </c>
      <c r="M436" s="16">
        <v>80</v>
      </c>
      <c r="N436" s="16" t="s">
        <v>1790</v>
      </c>
      <c r="O436" t="s">
        <v>1792</v>
      </c>
      <c r="Q436" s="20"/>
      <c r="AD436">
        <f>IF(AND(LEN($Q$2)&gt;=3,ISNUMBER(SEARCH($Q$2,$B436))),MAX($AD$1:AD435)+1,"")</f>
      </c>
    </row>
    <row r="437" ht="14.4" customHeight="1" spans="1:30" x14ac:dyDescent="0.25">
      <c r="A437" s="16" t="s">
        <v>1793</v>
      </c>
      <c r="B437" s="16" t="s">
        <v>94</v>
      </c>
      <c r="C437" s="16" t="s">
        <v>1794</v>
      </c>
      <c r="D437" s="16"/>
      <c r="E437" s="16" t="s">
        <v>9</v>
      </c>
      <c r="F437" s="16" t="s">
        <v>9</v>
      </c>
      <c r="G437" s="17">
        <f t="shared" si="26"/>
        <v>2100000</v>
      </c>
      <c r="H437" s="18">
        <v>2100000</v>
      </c>
      <c r="I437" s="19">
        <v>1</v>
      </c>
      <c r="J437" s="18">
        <f t="shared" si="29"/>
        <v>2130000</v>
      </c>
      <c r="K437" s="18" t="s">
        <v>477</v>
      </c>
      <c r="L437" s="16" t="str">
        <f t="shared" si="30"/>
        <v>فعال</v>
      </c>
      <c r="M437" s="16">
        <v>80</v>
      </c>
      <c r="N437" s="16" t="s">
        <v>1793</v>
      </c>
      <c r="O437" t="s">
        <v>1795</v>
      </c>
      <c r="Q437" s="20"/>
      <c r="AD437">
        <f>IF(AND(LEN($Q$2)&gt;=3,ISNUMBER(SEARCH($Q$2,$B437))),MAX($AD$1:AD436)+1,"")</f>
      </c>
    </row>
    <row r="438" ht="14.4" customHeight="1" spans="1:30" x14ac:dyDescent="0.25">
      <c r="A438" s="16" t="s">
        <v>1796</v>
      </c>
      <c r="B438" s="16" t="s">
        <v>95</v>
      </c>
      <c r="C438" s="16" t="s">
        <v>1797</v>
      </c>
      <c r="D438" s="16"/>
      <c r="E438" s="16"/>
      <c r="F438" s="16"/>
      <c r="G438" s="17">
        <f t="shared" si="26"/>
        <v>1190000</v>
      </c>
      <c r="H438" s="18">
        <v>1190000</v>
      </c>
      <c r="I438" s="19">
        <v>2</v>
      </c>
      <c r="J438" s="18">
        <f t="shared" si="29"/>
        <v>1220000</v>
      </c>
      <c r="K438" s="18" t="s">
        <v>477</v>
      </c>
      <c r="L438" s="16" t="str">
        <f t="shared" si="30"/>
        <v>فعال</v>
      </c>
      <c r="M438" s="16">
        <v>81</v>
      </c>
      <c r="N438" s="16" t="s">
        <v>1796</v>
      </c>
      <c r="O438" t="s">
        <v>1798</v>
      </c>
      <c r="Q438" s="20"/>
      <c r="AD438">
        <f>IF(AND(LEN($Q$2)&gt;=3,ISNUMBER(SEARCH($Q$2,$B438))),MAX($AD$1:AD437)+1,"")</f>
      </c>
    </row>
    <row r="439" ht="14.4" customHeight="1" spans="1:30" x14ac:dyDescent="0.25">
      <c r="A439" s="16" t="s">
        <v>1799</v>
      </c>
      <c r="B439" s="16" t="s">
        <v>103</v>
      </c>
      <c r="C439" s="16" t="s">
        <v>1800</v>
      </c>
      <c r="D439" s="16"/>
      <c r="E439" s="16"/>
      <c r="F439" s="16"/>
      <c r="G439" s="17">
        <f t="shared" si="26"/>
        <v>200000</v>
      </c>
      <c r="H439" s="18">
        <v>200000</v>
      </c>
      <c r="I439" s="19">
        <v>1</v>
      </c>
      <c r="J439" s="18">
        <f t="shared" si="29"/>
        <v>210000</v>
      </c>
      <c r="K439" s="18" t="s">
        <v>477</v>
      </c>
      <c r="L439" s="16" t="str">
        <f t="shared" si="30"/>
        <v>فعال</v>
      </c>
      <c r="M439" s="16">
        <v>87</v>
      </c>
      <c r="N439" s="16" t="s">
        <v>1799</v>
      </c>
      <c r="O439" t="s">
        <v>1801</v>
      </c>
      <c r="Q439" s="20"/>
      <c r="AD439">
        <f>IF(AND(LEN($Q$2)&gt;=3,ISNUMBER(SEARCH($Q$2,$B439))),MAX($AD$1:AD438)+1,"")</f>
      </c>
    </row>
    <row r="440" ht="14.4" customHeight="1" spans="1:30" x14ac:dyDescent="0.25">
      <c r="A440" s="16" t="s">
        <v>1802</v>
      </c>
      <c r="B440" s="16" t="s">
        <v>105</v>
      </c>
      <c r="C440" s="16" t="s">
        <v>1803</v>
      </c>
      <c r="D440" s="16"/>
      <c r="E440" s="16"/>
      <c r="F440" s="16"/>
      <c r="G440" s="17">
        <f t="shared" si="26"/>
        <v>4800000</v>
      </c>
      <c r="H440" s="18">
        <v>4800000</v>
      </c>
      <c r="I440" s="19">
        <v>1</v>
      </c>
      <c r="J440" s="18">
        <f t="shared" si="29"/>
        <v>4850000</v>
      </c>
      <c r="K440" s="18" t="s">
        <v>477</v>
      </c>
      <c r="L440" s="16" t="str">
        <f t="shared" si="30"/>
        <v>فعال</v>
      </c>
      <c r="M440" s="16">
        <v>89</v>
      </c>
      <c r="N440" s="16" t="s">
        <v>1802</v>
      </c>
      <c r="O440" t="s">
        <v>1804</v>
      </c>
      <c r="Q440" s="20"/>
      <c r="AD440">
        <f>IF(AND(LEN($Q$2)&gt;=3,ISNUMBER(SEARCH($Q$2,$B440))),MAX($AD$1:AD439)+1,"")</f>
      </c>
    </row>
    <row r="441" ht="14.4" customHeight="1" spans="1:30" x14ac:dyDescent="0.25">
      <c r="A441" s="16" t="s">
        <v>1805</v>
      </c>
      <c r="B441" s="16" t="s">
        <v>106</v>
      </c>
      <c r="C441" s="16" t="s">
        <v>1806</v>
      </c>
      <c r="D441" s="16"/>
      <c r="E441" s="16"/>
      <c r="F441" s="16"/>
      <c r="G441" s="17">
        <f t="shared" si="26"/>
        <v>3250000</v>
      </c>
      <c r="H441" s="18">
        <v>3250000</v>
      </c>
      <c r="I441" s="19">
        <v>2</v>
      </c>
      <c r="J441" s="18">
        <f t="shared" si="29"/>
        <v>3320000</v>
      </c>
      <c r="K441" s="18" t="s">
        <v>477</v>
      </c>
      <c r="L441" s="16" t="str">
        <f t="shared" si="30"/>
        <v>فعال</v>
      </c>
      <c r="M441" s="16">
        <v>90</v>
      </c>
      <c r="N441" s="16" t="s">
        <v>1805</v>
      </c>
      <c r="O441" t="s">
        <v>1807</v>
      </c>
      <c r="Q441" s="20"/>
      <c r="AD441">
        <f>IF(AND(LEN($Q$2)&gt;=3,ISNUMBER(SEARCH($Q$2,$B441))),MAX($AD$1:AD440)+1,"")</f>
      </c>
    </row>
    <row r="442" ht="14.4" customHeight="1" spans="1:30" x14ac:dyDescent="0.25">
      <c r="A442" s="16" t="s">
        <v>1808</v>
      </c>
      <c r="B442" s="16" t="s">
        <v>107</v>
      </c>
      <c r="C442" s="16" t="s">
        <v>1809</v>
      </c>
      <c r="D442" s="16"/>
      <c r="E442" s="16"/>
      <c r="F442" s="16"/>
      <c r="G442" s="17" t="str">
        <f t="shared" si="26"/>
        <v>؟</v>
      </c>
      <c r="H442" s="18" t="s">
        <v>8</v>
      </c>
      <c r="I442" s="19">
        <v>3</v>
      </c>
      <c r="J442" s="18">
        <f t="shared" si="29"/>
      </c>
      <c r="K442" s="18" t="s">
        <v>477</v>
      </c>
      <c r="L442" s="16" t="str">
        <f t="shared" si="30"/>
        <v>نیاز به استعلام</v>
      </c>
      <c r="M442" s="16">
        <v>91</v>
      </c>
      <c r="N442" s="16" t="s">
        <v>1808</v>
      </c>
      <c r="O442" t="s">
        <v>1810</v>
      </c>
      <c r="Q442" s="20"/>
      <c r="AD442">
        <f>IF(AND(LEN($Q$2)&gt;=3,ISNUMBER(SEARCH($Q$2,$B442))),MAX($AD$1:AD441)+1,"")</f>
      </c>
    </row>
    <row r="443" ht="14.4" customHeight="1" spans="1:30" x14ac:dyDescent="0.25">
      <c r="A443" s="16" t="s">
        <v>1811</v>
      </c>
      <c r="B443" s="16" t="s">
        <v>108</v>
      </c>
      <c r="C443" s="16" t="s">
        <v>1812</v>
      </c>
      <c r="D443" s="16"/>
      <c r="E443" s="16"/>
      <c r="F443" s="16"/>
      <c r="G443" s="17">
        <f t="shared" si="26"/>
        <v>3700000</v>
      </c>
      <c r="H443" s="18">
        <v>3700000</v>
      </c>
      <c r="I443" s="19">
        <v>2</v>
      </c>
      <c r="J443" s="18">
        <f t="shared" si="29"/>
        <v>3780000</v>
      </c>
      <c r="K443" s="18" t="s">
        <v>477</v>
      </c>
      <c r="L443" s="16" t="str">
        <f t="shared" si="30"/>
        <v>فعال</v>
      </c>
      <c r="M443" s="16">
        <v>92</v>
      </c>
      <c r="N443" s="16" t="s">
        <v>1811</v>
      </c>
      <c r="O443" t="s">
        <v>1813</v>
      </c>
      <c r="Q443" s="20"/>
      <c r="AD443">
        <f>IF(AND(LEN($Q$2)&gt;=3,ISNUMBER(SEARCH($Q$2,$B443))),MAX($AD$1:AD442)+1,"")</f>
      </c>
    </row>
    <row r="444" ht="14.4" customHeight="1" spans="1:30" x14ac:dyDescent="0.25">
      <c r="A444" s="16" t="s">
        <v>1814</v>
      </c>
      <c r="B444" s="16" t="s">
        <v>109</v>
      </c>
      <c r="C444" s="16" t="s">
        <v>1815</v>
      </c>
      <c r="D444" s="16"/>
      <c r="E444" s="16"/>
      <c r="F444" s="16"/>
      <c r="G444" s="17">
        <f t="shared" si="26"/>
        <v>350000</v>
      </c>
      <c r="H444" s="18">
        <v>350000</v>
      </c>
      <c r="I444" s="19">
        <v>2</v>
      </c>
      <c r="J444" s="18">
        <f t="shared" si="29"/>
        <v>360000</v>
      </c>
      <c r="K444" s="18" t="s">
        <v>477</v>
      </c>
      <c r="L444" s="16" t="str">
        <f t="shared" si="30"/>
        <v>فعال</v>
      </c>
      <c r="M444" s="16">
        <v>93</v>
      </c>
      <c r="N444" s="16" t="s">
        <v>1814</v>
      </c>
      <c r="O444" t="s">
        <v>1816</v>
      </c>
      <c r="Q444" s="20"/>
      <c r="AD444">
        <f>IF(AND(LEN($Q$2)&gt;=3,ISNUMBER(SEARCH($Q$2,$B444))),MAX($AD$1:AD443)+1,"")</f>
      </c>
    </row>
    <row r="445" ht="14.4" customHeight="1" spans="1:30" x14ac:dyDescent="0.25">
      <c r="A445" s="16" t="s">
        <v>1817</v>
      </c>
      <c r="B445" s="16" t="s">
        <v>110</v>
      </c>
      <c r="C445" s="16" t="s">
        <v>1818</v>
      </c>
      <c r="D445" s="16"/>
      <c r="E445" s="16"/>
      <c r="F445" s="16"/>
      <c r="G445" s="17">
        <f t="shared" si="26"/>
        <v>800000</v>
      </c>
      <c r="H445" s="18">
        <v>800000</v>
      </c>
      <c r="I445" s="19">
        <v>1</v>
      </c>
      <c r="J445" s="18">
        <f t="shared" si="29"/>
        <v>810000</v>
      </c>
      <c r="K445" s="18" t="s">
        <v>477</v>
      </c>
      <c r="L445" s="16" t="str">
        <f t="shared" si="30"/>
        <v>فعال</v>
      </c>
      <c r="M445" s="16">
        <v>94</v>
      </c>
      <c r="N445" s="16" t="s">
        <v>1817</v>
      </c>
      <c r="O445" t="s">
        <v>1819</v>
      </c>
      <c r="Q445" s="20"/>
      <c r="AD445">
        <f>IF(AND(LEN($Q$2)&gt;=3,ISNUMBER(SEARCH($Q$2,$B445))),MAX($AD$1:AD444)+1,"")</f>
      </c>
    </row>
    <row r="446" ht="14.4" customHeight="1" spans="1:30" x14ac:dyDescent="0.25">
      <c r="A446" s="16" t="s">
        <v>1820</v>
      </c>
      <c r="B446" s="16" t="s">
        <v>111</v>
      </c>
      <c r="C446" s="16" t="s">
        <v>1821</v>
      </c>
      <c r="D446" s="16"/>
      <c r="E446" s="16"/>
      <c r="F446" s="16"/>
      <c r="G446" s="17">
        <f t="shared" si="26"/>
        <v>1850000</v>
      </c>
      <c r="H446" s="18">
        <v>1850000</v>
      </c>
      <c r="I446" s="19">
        <v>2</v>
      </c>
      <c r="J446" s="18">
        <f t="shared" si="29"/>
        <v>1890000</v>
      </c>
      <c r="K446" s="18" t="s">
        <v>477</v>
      </c>
      <c r="L446" s="16" t="str">
        <f t="shared" si="30"/>
        <v>فعال</v>
      </c>
      <c r="M446" s="16">
        <v>95</v>
      </c>
      <c r="N446" s="16" t="s">
        <v>1820</v>
      </c>
      <c r="O446" t="s">
        <v>1822</v>
      </c>
      <c r="Q446" s="20"/>
      <c r="AD446">
        <f>IF(AND(LEN($Q$2)&gt;=3,ISNUMBER(SEARCH($Q$2,$B446))),MAX($AD$1:AD445)+1,"")</f>
      </c>
    </row>
    <row r="447" ht="14.4" customHeight="1" spans="1:30" x14ac:dyDescent="0.25">
      <c r="A447" s="16" t="s">
        <v>1823</v>
      </c>
      <c r="B447" s="16" t="s">
        <v>112</v>
      </c>
      <c r="C447" s="16" t="s">
        <v>1824</v>
      </c>
      <c r="D447" s="16"/>
      <c r="E447" s="16"/>
      <c r="F447" s="16"/>
      <c r="G447" s="17">
        <f t="shared" si="26"/>
        <v>1800000</v>
      </c>
      <c r="H447" s="18">
        <v>1800000</v>
      </c>
      <c r="I447" s="19">
        <v>2</v>
      </c>
      <c r="J447" s="18">
        <f t="shared" si="29"/>
        <v>1840000</v>
      </c>
      <c r="K447" s="18" t="s">
        <v>477</v>
      </c>
      <c r="L447" s="16" t="str">
        <f t="shared" si="30"/>
        <v>فعال</v>
      </c>
      <c r="M447" s="16">
        <v>96</v>
      </c>
      <c r="N447" s="16" t="s">
        <v>1823</v>
      </c>
      <c r="O447" t="s">
        <v>1825</v>
      </c>
      <c r="Q447" s="20"/>
      <c r="AD447">
        <f>IF(AND(LEN($Q$2)&gt;=3,ISNUMBER(SEARCH($Q$2,$B447))),MAX($AD$1:AD446)+1,"")</f>
      </c>
    </row>
    <row r="448" ht="14.4" customHeight="1" spans="1:30" x14ac:dyDescent="0.25">
      <c r="A448" s="16" t="s">
        <v>1826</v>
      </c>
      <c r="B448" s="16" t="s">
        <v>113</v>
      </c>
      <c r="C448" s="16" t="s">
        <v>1827</v>
      </c>
      <c r="D448" s="16"/>
      <c r="E448" s="16"/>
      <c r="F448" s="16"/>
      <c r="G448" s="17">
        <f t="shared" si="26"/>
        <v>1590000</v>
      </c>
      <c r="H448" s="18">
        <v>1590000</v>
      </c>
      <c r="I448" s="19">
        <v>1</v>
      </c>
      <c r="J448" s="18">
        <f t="shared" si="29"/>
        <v>1610000</v>
      </c>
      <c r="K448" s="18" t="s">
        <v>477</v>
      </c>
      <c r="L448" s="16" t="str">
        <f t="shared" si="30"/>
        <v>فعال</v>
      </c>
      <c r="M448" s="16">
        <v>97</v>
      </c>
      <c r="N448" s="16" t="s">
        <v>1826</v>
      </c>
      <c r="O448" t="s">
        <v>1828</v>
      </c>
      <c r="Q448" s="20"/>
      <c r="AD448">
        <f>IF(AND(LEN($Q$2)&gt;=3,ISNUMBER(SEARCH($Q$2,$B448))),MAX($AD$1:AD447)+1,"")</f>
      </c>
    </row>
    <row r="449" ht="14.4" customHeight="1" spans="1:30" x14ac:dyDescent="0.25">
      <c r="A449" s="16" t="s">
        <v>1829</v>
      </c>
      <c r="B449" s="16" t="s">
        <v>114</v>
      </c>
      <c r="C449" s="16" t="s">
        <v>1830</v>
      </c>
      <c r="D449" s="16"/>
      <c r="E449" s="16"/>
      <c r="F449" s="16"/>
      <c r="G449" s="17">
        <f t="shared" si="26"/>
        <v>1590000</v>
      </c>
      <c r="H449" s="18">
        <v>1590000</v>
      </c>
      <c r="I449" s="19">
        <v>2</v>
      </c>
      <c r="J449" s="18">
        <f t="shared" si="29"/>
        <v>1630000</v>
      </c>
      <c r="K449" s="18" t="s">
        <v>477</v>
      </c>
      <c r="L449" s="16" t="str">
        <f t="shared" si="30"/>
        <v>فعال</v>
      </c>
      <c r="M449" s="16">
        <v>98</v>
      </c>
      <c r="N449" s="16" t="s">
        <v>1829</v>
      </c>
      <c r="O449" t="s">
        <v>1831</v>
      </c>
      <c r="Q449" s="20"/>
      <c r="AD449">
        <f>IF(AND(LEN($Q$2)&gt;=3,ISNUMBER(SEARCH($Q$2,$B449))),MAX($AD$1:AD448)+1,"")</f>
      </c>
    </row>
    <row r="450" ht="14.4" customHeight="1" spans="1:30" x14ac:dyDescent="0.25">
      <c r="A450" s="16" t="s">
        <v>1832</v>
      </c>
      <c r="B450" s="16" t="s">
        <v>116</v>
      </c>
      <c r="C450" s="16" t="s">
        <v>1833</v>
      </c>
      <c r="D450" s="16"/>
      <c r="E450" s="16"/>
      <c r="F450" s="16"/>
      <c r="G450" s="17">
        <f t="shared" ref="G450:G513" si="31">H450</f>
        <v>1800000</v>
      </c>
      <c r="H450" s="18">
        <v>1800000</v>
      </c>
      <c r="I450" s="19">
        <v>3</v>
      </c>
      <c r="J450" s="18">
        <f t="shared" si="29"/>
        <v>1860000</v>
      </c>
      <c r="K450" s="18" t="s">
        <v>477</v>
      </c>
      <c r="L450" s="16" t="str">
        <f t="shared" si="30"/>
        <v>فعال</v>
      </c>
      <c r="M450" s="16">
        <v>100</v>
      </c>
      <c r="N450" s="16" t="s">
        <v>1832</v>
      </c>
      <c r="O450" t="s">
        <v>1834</v>
      </c>
      <c r="Q450" s="20"/>
      <c r="AD450">
        <f>IF(AND(LEN($Q$2)&gt;=3,ISNUMBER(SEARCH($Q$2,$B450))),MAX($AD$1:AD449)+1,"")</f>
      </c>
    </row>
    <row r="451" ht="14.4" customHeight="1" spans="1:30" x14ac:dyDescent="0.25">
      <c r="A451" s="16" t="s">
        <v>1835</v>
      </c>
      <c r="B451" s="16" t="s">
        <v>117</v>
      </c>
      <c r="C451" s="16" t="s">
        <v>1836</v>
      </c>
      <c r="D451" s="16"/>
      <c r="E451" s="16"/>
      <c r="F451" s="16"/>
      <c r="G451" s="17">
        <f t="shared" si="31"/>
        <v>3800000</v>
      </c>
      <c r="H451" s="18">
        <v>3800000</v>
      </c>
      <c r="I451" s="19">
        <v>2</v>
      </c>
      <c r="J451" s="18">
        <f t="shared" si="29"/>
        <v>3880000</v>
      </c>
      <c r="K451" s="18" t="s">
        <v>477</v>
      </c>
      <c r="L451" s="16" t="str">
        <f t="shared" si="30"/>
        <v>فعال</v>
      </c>
      <c r="M451" s="16">
        <v>101</v>
      </c>
      <c r="N451" s="16" t="s">
        <v>1835</v>
      </c>
      <c r="O451" t="s">
        <v>1837</v>
      </c>
      <c r="Q451" s="20"/>
      <c r="AD451">
        <f>IF(AND(LEN($Q$2)&gt;=3,ISNUMBER(SEARCH($Q$2,$B451))),MAX($AD$1:AD450)+1,"")</f>
      </c>
    </row>
    <row r="452" ht="14.4" customHeight="1" spans="1:30" x14ac:dyDescent="0.25">
      <c r="A452" s="16" t="s">
        <v>1838</v>
      </c>
      <c r="B452" s="16" t="s">
        <v>118</v>
      </c>
      <c r="C452" s="16" t="s">
        <v>1839</v>
      </c>
      <c r="D452" s="16"/>
      <c r="E452" s="16"/>
      <c r="F452" s="16"/>
      <c r="G452" s="17">
        <f t="shared" si="31"/>
        <v>1300000</v>
      </c>
      <c r="H452" s="18">
        <v>1300000</v>
      </c>
      <c r="I452" s="19">
        <v>1</v>
      </c>
      <c r="J452" s="18">
        <f t="shared" si="29"/>
        <v>1320000</v>
      </c>
      <c r="K452" s="18" t="s">
        <v>477</v>
      </c>
      <c r="L452" s="16" t="str">
        <f t="shared" si="30"/>
        <v>فعال</v>
      </c>
      <c r="M452" s="16">
        <v>102</v>
      </c>
      <c r="N452" s="16" t="s">
        <v>1838</v>
      </c>
      <c r="O452" t="s">
        <v>1840</v>
      </c>
      <c r="Q452" s="20"/>
      <c r="AD452">
        <f>IF(AND(LEN($Q$2)&gt;=3,ISNUMBER(SEARCH($Q$2,$B452))),MAX($AD$1:AD451)+1,"")</f>
      </c>
    </row>
    <row r="453" ht="14.4" customHeight="1" spans="1:30" x14ac:dyDescent="0.25">
      <c r="A453" s="16" t="s">
        <v>1841</v>
      </c>
      <c r="B453" s="16" t="s">
        <v>134</v>
      </c>
      <c r="C453" s="16" t="s">
        <v>1842</v>
      </c>
      <c r="D453" s="16"/>
      <c r="E453" s="16"/>
      <c r="F453" s="16"/>
      <c r="G453" s="17">
        <f t="shared" si="31"/>
        <v>600000</v>
      </c>
      <c r="H453" s="18">
        <v>600000</v>
      </c>
      <c r="I453" s="19">
        <v>1</v>
      </c>
      <c r="J453" s="18">
        <f t="shared" si="29"/>
        <v>610000</v>
      </c>
      <c r="K453" s="18" t="s">
        <v>477</v>
      </c>
      <c r="L453" s="16" t="str">
        <f t="shared" si="30"/>
        <v>فعال</v>
      </c>
      <c r="M453" s="16">
        <v>115</v>
      </c>
      <c r="N453" s="16" t="s">
        <v>1841</v>
      </c>
      <c r="O453" t="s">
        <v>1843</v>
      </c>
      <c r="Q453" s="20"/>
      <c r="AD453">
        <f>IF(AND(LEN($Q$2)&gt;=3,ISNUMBER(SEARCH($Q$2,$B453))),MAX($AD$1:AD452)+1,"")</f>
      </c>
    </row>
    <row r="454" ht="14.4" customHeight="1" spans="1:30" x14ac:dyDescent="0.25">
      <c r="A454" s="16" t="s">
        <v>1844</v>
      </c>
      <c r="B454" s="16" t="s">
        <v>140</v>
      </c>
      <c r="C454" s="16" t="s">
        <v>1845</v>
      </c>
      <c r="D454" s="16"/>
      <c r="E454" s="16"/>
      <c r="F454" s="16"/>
      <c r="G454" s="17">
        <f t="shared" si="31"/>
        <v>120000</v>
      </c>
      <c r="H454" s="18">
        <v>120000</v>
      </c>
      <c r="I454" s="19">
        <v>3</v>
      </c>
      <c r="J454" s="18">
        <f t="shared" si="29"/>
        <v>130000</v>
      </c>
      <c r="K454" s="18" t="s">
        <v>477</v>
      </c>
      <c r="L454" s="16" t="str">
        <f t="shared" si="30"/>
        <v>فعال</v>
      </c>
      <c r="M454" s="16">
        <v>121</v>
      </c>
      <c r="N454" s="16" t="s">
        <v>1844</v>
      </c>
      <c r="O454" t="s">
        <v>1846</v>
      </c>
      <c r="Q454" s="20"/>
      <c r="AD454">
        <f>IF(AND(LEN($Q$2)&gt;=3,ISNUMBER(SEARCH($Q$2,$B454))),MAX($AD$1:AD453)+1,"")</f>
      </c>
    </row>
    <row r="455" ht="14.4" customHeight="1" spans="1:30" x14ac:dyDescent="0.25">
      <c r="A455" s="16" t="s">
        <v>1847</v>
      </c>
      <c r="B455" s="16" t="s">
        <v>141</v>
      </c>
      <c r="C455" s="16" t="s">
        <v>1848</v>
      </c>
      <c r="D455" s="16"/>
      <c r="E455" s="16"/>
      <c r="F455" s="16"/>
      <c r="G455" s="17">
        <f t="shared" si="31"/>
        <v>950000</v>
      </c>
      <c r="H455" s="18">
        <v>950000</v>
      </c>
      <c r="I455" s="19">
        <v>3</v>
      </c>
      <c r="J455" s="18">
        <f t="shared" si="29"/>
        <v>980000</v>
      </c>
      <c r="K455" s="18" t="s">
        <v>477</v>
      </c>
      <c r="L455" s="16" t="str">
        <f t="shared" si="30"/>
        <v>فعال</v>
      </c>
      <c r="M455" s="16">
        <v>122</v>
      </c>
      <c r="N455" s="16" t="s">
        <v>1847</v>
      </c>
      <c r="O455" t="s">
        <v>1849</v>
      </c>
      <c r="Q455" s="20"/>
      <c r="AD455">
        <f>IF(AND(LEN($Q$2)&gt;=3,ISNUMBER(SEARCH($Q$2,$B455))),MAX($AD$1:AD454)+1,"")</f>
      </c>
    </row>
    <row r="456" ht="14.4" customHeight="1" spans="1:30" x14ac:dyDescent="0.25">
      <c r="A456" s="16" t="s">
        <v>1850</v>
      </c>
      <c r="B456" s="16" t="s">
        <v>168</v>
      </c>
      <c r="C456" s="16" t="s">
        <v>1851</v>
      </c>
      <c r="D456" s="16"/>
      <c r="E456" s="16"/>
      <c r="F456" s="16"/>
      <c r="G456" s="17">
        <f t="shared" si="31"/>
        <v>350000</v>
      </c>
      <c r="H456" s="18">
        <v>350000</v>
      </c>
      <c r="I456" s="19">
        <v>2</v>
      </c>
      <c r="J456" s="18">
        <f t="shared" si="29"/>
        <v>360000</v>
      </c>
      <c r="K456" s="18" t="s">
        <v>477</v>
      </c>
      <c r="L456" s="16" t="str">
        <f t="shared" si="30"/>
        <v>فعال</v>
      </c>
      <c r="M456" s="16">
        <v>147</v>
      </c>
      <c r="N456" s="16" t="s">
        <v>1850</v>
      </c>
      <c r="O456" t="s">
        <v>1852</v>
      </c>
      <c r="Q456" s="20"/>
      <c r="AD456">
        <f>IF(AND(LEN($Q$2)&gt;=3,ISNUMBER(SEARCH($Q$2,$B456))),MAX($AD$1:AD455)+1,"")</f>
      </c>
    </row>
    <row r="457" ht="14.4" customHeight="1" spans="1:30" x14ac:dyDescent="0.25">
      <c r="A457" s="16" t="s">
        <v>1853</v>
      </c>
      <c r="B457" s="16" t="s">
        <v>235</v>
      </c>
      <c r="C457" s="16" t="s">
        <v>1854</v>
      </c>
      <c r="D457" s="16"/>
      <c r="E457" s="16" t="s">
        <v>236</v>
      </c>
      <c r="F457" s="16" t="s">
        <v>236</v>
      </c>
      <c r="G457" s="17">
        <f t="shared" si="31"/>
        <v>135000</v>
      </c>
      <c r="H457" s="18">
        <v>135000</v>
      </c>
      <c r="I457" s="19">
        <v>2</v>
      </c>
      <c r="J457" s="18">
        <f t="shared" si="29"/>
        <v>140000</v>
      </c>
      <c r="K457" s="18" t="s">
        <v>477</v>
      </c>
      <c r="L457" s="16" t="str">
        <f t="shared" si="30"/>
        <v>فعال</v>
      </c>
      <c r="M457" s="16">
        <v>213</v>
      </c>
      <c r="N457" s="16" t="s">
        <v>1853</v>
      </c>
      <c r="O457" t="s">
        <v>1855</v>
      </c>
      <c r="Q457" s="20"/>
      <c r="AD457">
        <f>IF(AND(LEN($Q$2)&gt;=3,ISNUMBER(SEARCH($Q$2,$B457))),MAX($AD$1:AD456)+1,"")</f>
      </c>
    </row>
    <row r="458" ht="14.4" customHeight="1" spans="1:30" x14ac:dyDescent="0.25">
      <c r="A458" s="16" t="s">
        <v>1856</v>
      </c>
      <c r="B458" s="16" t="s">
        <v>235</v>
      </c>
      <c r="C458" s="16" t="s">
        <v>1857</v>
      </c>
      <c r="D458" s="16"/>
      <c r="E458" s="16" t="s">
        <v>237</v>
      </c>
      <c r="F458" s="16" t="s">
        <v>237</v>
      </c>
      <c r="G458" s="17">
        <f t="shared" si="31"/>
        <v>260000</v>
      </c>
      <c r="H458" s="18">
        <v>260000</v>
      </c>
      <c r="I458" s="19">
        <v>1</v>
      </c>
      <c r="J458" s="18">
        <f t="shared" si="29"/>
        <v>270000</v>
      </c>
      <c r="K458" s="18" t="s">
        <v>477</v>
      </c>
      <c r="L458" s="16" t="str">
        <f t="shared" si="30"/>
        <v>فعال</v>
      </c>
      <c r="M458" s="16">
        <v>213</v>
      </c>
      <c r="N458" s="16" t="s">
        <v>1856</v>
      </c>
      <c r="O458" t="s">
        <v>1858</v>
      </c>
      <c r="Q458" s="20"/>
      <c r="AD458">
        <f>IF(AND(LEN($Q$2)&gt;=3,ISNUMBER(SEARCH($Q$2,$B458))),MAX($AD$1:AD457)+1,"")</f>
      </c>
    </row>
    <row r="459" ht="14.4" customHeight="1" spans="1:30" x14ac:dyDescent="0.25">
      <c r="A459" s="16" t="s">
        <v>1859</v>
      </c>
      <c r="B459" s="16" t="s">
        <v>238</v>
      </c>
      <c r="C459" s="16" t="s">
        <v>1860</v>
      </c>
      <c r="D459" s="16"/>
      <c r="E459" s="16" t="s">
        <v>236</v>
      </c>
      <c r="F459" s="16" t="s">
        <v>236</v>
      </c>
      <c r="G459" s="17">
        <f t="shared" si="31"/>
        <v>130000</v>
      </c>
      <c r="H459" s="18">
        <v>130000</v>
      </c>
      <c r="I459" s="19">
        <v>3</v>
      </c>
      <c r="J459" s="18">
        <f t="shared" si="29"/>
        <v>140000</v>
      </c>
      <c r="K459" s="18" t="s">
        <v>477</v>
      </c>
      <c r="L459" s="16" t="str">
        <f t="shared" si="30"/>
        <v>فعال</v>
      </c>
      <c r="M459" s="16">
        <v>214</v>
      </c>
      <c r="N459" s="16" t="s">
        <v>1859</v>
      </c>
      <c r="O459" t="s">
        <v>1861</v>
      </c>
      <c r="Q459" s="20"/>
      <c r="AD459">
        <f>IF(AND(LEN($Q$2)&gt;=3,ISNUMBER(SEARCH($Q$2,$B459))),MAX($AD$1:AD458)+1,"")</f>
      </c>
    </row>
    <row r="460" ht="14.4" customHeight="1" spans="1:30" x14ac:dyDescent="0.25">
      <c r="A460" s="16" t="s">
        <v>1862</v>
      </c>
      <c r="B460" s="16" t="s">
        <v>238</v>
      </c>
      <c r="C460" s="16" t="s">
        <v>1863</v>
      </c>
      <c r="D460" s="16"/>
      <c r="E460" s="16" t="s">
        <v>237</v>
      </c>
      <c r="F460" s="16" t="s">
        <v>237</v>
      </c>
      <c r="G460" s="17">
        <f t="shared" si="31"/>
        <v>250000</v>
      </c>
      <c r="H460" s="18">
        <v>250000</v>
      </c>
      <c r="I460" s="19">
        <v>2</v>
      </c>
      <c r="J460" s="18">
        <f t="shared" si="29"/>
        <v>260000</v>
      </c>
      <c r="K460" s="18" t="s">
        <v>477</v>
      </c>
      <c r="L460" s="16" t="str">
        <f t="shared" si="30"/>
        <v>فعال</v>
      </c>
      <c r="M460" s="16">
        <v>214</v>
      </c>
      <c r="N460" s="16" t="s">
        <v>1862</v>
      </c>
      <c r="O460" t="s">
        <v>1864</v>
      </c>
      <c r="Q460" s="20"/>
      <c r="AD460">
        <f>IF(AND(LEN($Q$2)&gt;=3,ISNUMBER(SEARCH($Q$2,$B460))),MAX($AD$1:AD459)+1,"")</f>
      </c>
    </row>
    <row r="461" ht="14.4" customHeight="1" spans="1:30" x14ac:dyDescent="0.25">
      <c r="A461" s="16" t="s">
        <v>1865</v>
      </c>
      <c r="B461" s="16" t="s">
        <v>242</v>
      </c>
      <c r="C461" s="16" t="s">
        <v>1866</v>
      </c>
      <c r="D461" s="16"/>
      <c r="E461" s="16"/>
      <c r="F461" s="16"/>
      <c r="G461" s="17">
        <f t="shared" si="31"/>
        <v>4000000</v>
      </c>
      <c r="H461" s="18">
        <v>4000000</v>
      </c>
      <c r="I461" s="19">
        <v>3</v>
      </c>
      <c r="J461" s="18">
        <f t="shared" si="29"/>
        <v>4120000</v>
      </c>
      <c r="K461" s="18" t="s">
        <v>477</v>
      </c>
      <c r="L461" s="16" t="str">
        <f t="shared" si="30"/>
        <v>فعال</v>
      </c>
      <c r="M461" s="16">
        <v>218</v>
      </c>
      <c r="N461" s="16" t="s">
        <v>1865</v>
      </c>
      <c r="O461" t="s">
        <v>1867</v>
      </c>
      <c r="Q461" s="20"/>
      <c r="AD461">
        <f>IF(AND(LEN($Q$2)&gt;=3,ISNUMBER(SEARCH($Q$2,$B461))),MAX($AD$1:AD460)+1,"")</f>
      </c>
    </row>
    <row r="462" ht="14.4" customHeight="1" spans="1:30" x14ac:dyDescent="0.25">
      <c r="A462" s="16" t="s">
        <v>1868</v>
      </c>
      <c r="B462" s="16" t="s">
        <v>258</v>
      </c>
      <c r="C462" s="16" t="s">
        <v>1869</v>
      </c>
      <c r="D462" s="16"/>
      <c r="E462" s="16"/>
      <c r="F462" s="16"/>
      <c r="G462" s="17" t="str">
        <f t="shared" si="31"/>
        <v>؟</v>
      </c>
      <c r="H462" s="18" t="s">
        <v>8</v>
      </c>
      <c r="I462" s="19">
        <v>2</v>
      </c>
      <c r="J462" s="18">
        <f t="shared" si="29"/>
      </c>
      <c r="K462" s="18" t="s">
        <v>477</v>
      </c>
      <c r="L462" s="16" t="str">
        <f t="shared" si="30"/>
        <v>نیاز به استعلام</v>
      </c>
      <c r="M462" s="16">
        <v>234</v>
      </c>
      <c r="N462" s="16" t="s">
        <v>1868</v>
      </c>
      <c r="O462" t="s">
        <v>1870</v>
      </c>
      <c r="Q462" s="20"/>
      <c r="AD462">
        <f>IF(AND(LEN($Q$2)&gt;=3,ISNUMBER(SEARCH($Q$2,$B462))),MAX($AD$1:AD461)+1,"")</f>
      </c>
    </row>
    <row r="463" ht="14.4" customHeight="1" spans="1:30" x14ac:dyDescent="0.25">
      <c r="A463" s="16" t="s">
        <v>1871</v>
      </c>
      <c r="B463" s="16" t="s">
        <v>259</v>
      </c>
      <c r="C463" s="16" t="s">
        <v>1872</v>
      </c>
      <c r="D463" s="16"/>
      <c r="E463" s="16" t="s">
        <v>11</v>
      </c>
      <c r="F463" s="16" t="s">
        <v>11</v>
      </c>
      <c r="G463" s="17">
        <f t="shared" si="31"/>
        <v>250000</v>
      </c>
      <c r="H463" s="18">
        <v>250000</v>
      </c>
      <c r="I463" s="19">
        <v>2</v>
      </c>
      <c r="J463" s="18">
        <f t="shared" si="29"/>
        <v>260000</v>
      </c>
      <c r="K463" s="18" t="s">
        <v>477</v>
      </c>
      <c r="L463" s="16" t="str">
        <f t="shared" si="30"/>
        <v>فعال</v>
      </c>
      <c r="M463" s="16">
        <v>235</v>
      </c>
      <c r="N463" s="16" t="s">
        <v>1871</v>
      </c>
      <c r="O463" t="s">
        <v>1873</v>
      </c>
      <c r="Q463" s="20"/>
      <c r="AD463">
        <f>IF(AND(LEN($Q$2)&gt;=3,ISNUMBER(SEARCH($Q$2,$B463))),MAX($AD$1:AD462)+1,"")</f>
      </c>
    </row>
    <row r="464" ht="14.4" customHeight="1" spans="1:30" x14ac:dyDescent="0.25">
      <c r="A464" s="16" t="s">
        <v>1874</v>
      </c>
      <c r="B464" s="16" t="s">
        <v>259</v>
      </c>
      <c r="C464" s="16" t="s">
        <v>1875</v>
      </c>
      <c r="D464" s="16"/>
      <c r="E464" s="16" t="s">
        <v>12</v>
      </c>
      <c r="F464" s="16" t="s">
        <v>12</v>
      </c>
      <c r="G464" s="17">
        <f t="shared" si="31"/>
        <v>500000</v>
      </c>
      <c r="H464" s="18">
        <v>500000</v>
      </c>
      <c r="I464" s="19">
        <v>1</v>
      </c>
      <c r="J464" s="18">
        <f t="shared" si="29"/>
        <v>510000</v>
      </c>
      <c r="K464" s="18" t="s">
        <v>477</v>
      </c>
      <c r="L464" s="16" t="str">
        <f t="shared" si="30"/>
        <v>فعال</v>
      </c>
      <c r="M464" s="16">
        <v>235</v>
      </c>
      <c r="N464" s="16" t="s">
        <v>1874</v>
      </c>
      <c r="O464" t="s">
        <v>1876</v>
      </c>
      <c r="Q464" s="20"/>
      <c r="AD464">
        <f>IF(AND(LEN($Q$2)&gt;=3,ISNUMBER(SEARCH($Q$2,$B464))),MAX($AD$1:AD463)+1,"")</f>
      </c>
    </row>
    <row r="465" ht="14.4" customHeight="1" spans="1:30" x14ac:dyDescent="0.25">
      <c r="A465" s="16" t="s">
        <v>1877</v>
      </c>
      <c r="B465" s="16" t="s">
        <v>260</v>
      </c>
      <c r="C465" s="16" t="s">
        <v>1878</v>
      </c>
      <c r="D465" s="16"/>
      <c r="E465" s="16" t="s">
        <v>11</v>
      </c>
      <c r="F465" s="16" t="s">
        <v>11</v>
      </c>
      <c r="G465" s="17">
        <f t="shared" si="31"/>
        <v>155000</v>
      </c>
      <c r="H465" s="18">
        <v>155000</v>
      </c>
      <c r="I465" s="19">
        <v>2</v>
      </c>
      <c r="J465" s="18">
        <f t="shared" si="29"/>
        <v>160000</v>
      </c>
      <c r="K465" s="18" t="s">
        <v>477</v>
      </c>
      <c r="L465" s="16" t="str">
        <f t="shared" si="30"/>
        <v>فعال</v>
      </c>
      <c r="M465" s="16">
        <v>236</v>
      </c>
      <c r="N465" s="16" t="s">
        <v>1877</v>
      </c>
      <c r="O465" t="s">
        <v>1879</v>
      </c>
      <c r="Q465" s="20"/>
      <c r="AD465">
        <f>IF(AND(LEN($Q$2)&gt;=3,ISNUMBER(SEARCH($Q$2,$B465))),MAX($AD$1:AD464)+1,"")</f>
      </c>
    </row>
    <row r="466" ht="14.4" customHeight="1" spans="1:30" x14ac:dyDescent="0.25">
      <c r="A466" s="16" t="s">
        <v>1880</v>
      </c>
      <c r="B466" s="16" t="s">
        <v>260</v>
      </c>
      <c r="C466" s="16" t="s">
        <v>1881</v>
      </c>
      <c r="D466" s="16"/>
      <c r="E466" s="16" t="s">
        <v>12</v>
      </c>
      <c r="F466" s="16" t="s">
        <v>12</v>
      </c>
      <c r="G466" s="17">
        <f t="shared" si="31"/>
        <v>295000</v>
      </c>
      <c r="H466" s="18">
        <v>295000</v>
      </c>
      <c r="I466" s="19">
        <v>3</v>
      </c>
      <c r="J466" s="18">
        <f t="shared" si="29"/>
        <v>310000</v>
      </c>
      <c r="K466" s="18" t="s">
        <v>477</v>
      </c>
      <c r="L466" s="16" t="str">
        <f t="shared" si="30"/>
        <v>فعال</v>
      </c>
      <c r="M466" s="16">
        <v>236</v>
      </c>
      <c r="N466" s="16" t="s">
        <v>1880</v>
      </c>
      <c r="O466" t="s">
        <v>1882</v>
      </c>
      <c r="Q466" s="20"/>
      <c r="AD466">
        <f>IF(AND(LEN($Q$2)&gt;=3,ISNUMBER(SEARCH($Q$2,$B466))),MAX($AD$1:AD465)+1,"")</f>
      </c>
    </row>
    <row r="467" ht="14.4" customHeight="1" spans="1:30" x14ac:dyDescent="0.25">
      <c r="A467" s="16" t="s">
        <v>1883</v>
      </c>
      <c r="B467" s="16" t="s">
        <v>289</v>
      </c>
      <c r="C467" s="16" t="s">
        <v>1884</v>
      </c>
      <c r="D467" s="16"/>
      <c r="E467" s="16"/>
      <c r="F467" s="16"/>
      <c r="G467" s="17">
        <f t="shared" si="31"/>
        <v>120000</v>
      </c>
      <c r="H467" s="18">
        <v>120000</v>
      </c>
      <c r="I467" s="19">
        <v>3</v>
      </c>
      <c r="J467" s="18">
        <f t="shared" si="29"/>
        <v>130000</v>
      </c>
      <c r="K467" s="18" t="s">
        <v>477</v>
      </c>
      <c r="L467" s="16" t="str">
        <f t="shared" si="30"/>
        <v>فعال</v>
      </c>
      <c r="M467" s="16">
        <v>263</v>
      </c>
      <c r="N467" s="16" t="s">
        <v>1883</v>
      </c>
      <c r="O467" t="s">
        <v>1885</v>
      </c>
      <c r="Q467" s="20"/>
      <c r="AD467">
        <f>IF(AND(LEN($Q$2)&gt;=3,ISNUMBER(SEARCH($Q$2,$B467))),MAX($AD$1:AD466)+1,"")</f>
      </c>
    </row>
    <row r="468" ht="14.4" customHeight="1" spans="1:30" x14ac:dyDescent="0.25">
      <c r="A468" s="16" t="s">
        <v>1886</v>
      </c>
      <c r="B468" s="16" t="s">
        <v>319</v>
      </c>
      <c r="C468" s="16" t="s">
        <v>1887</v>
      </c>
      <c r="D468" s="16"/>
      <c r="E468" s="16" t="s">
        <v>149</v>
      </c>
      <c r="F468" s="16" t="s">
        <v>149</v>
      </c>
      <c r="G468" s="17">
        <f t="shared" si="31"/>
        <v>65000</v>
      </c>
      <c r="H468" s="18">
        <v>65000</v>
      </c>
      <c r="I468" s="19">
        <v>1</v>
      </c>
      <c r="J468" s="18">
        <f t="shared" ref="J468:J499" si="32">IF(OR(H468="",H468="؟",H468="نامشخص"),"",CEILING(H468*(1+I468/100),10000))</f>
        <v>70000</v>
      </c>
      <c r="K468" s="18" t="s">
        <v>477</v>
      </c>
      <c r="L468" s="16" t="str">
        <f t="shared" ref="L468:L499" si="33">IF(OR($H468="",$H468="؟",$H468="نامشخص"),"نیاز به استعلام","فعال")</f>
        <v>فعال</v>
      </c>
      <c r="M468" s="16">
        <v>284</v>
      </c>
      <c r="N468" s="16" t="s">
        <v>1886</v>
      </c>
      <c r="O468" t="s">
        <v>1888</v>
      </c>
      <c r="Q468" s="20"/>
      <c r="AD468">
        <f>IF(AND(LEN($Q$2)&gt;=3,ISNUMBER(SEARCH($Q$2,$B468))),MAX($AD$1:AD467)+1,"")</f>
      </c>
    </row>
    <row r="469" ht="14.4" customHeight="1" spans="1:30" x14ac:dyDescent="0.25">
      <c r="A469" s="16" t="s">
        <v>1889</v>
      </c>
      <c r="B469" s="16" t="s">
        <v>319</v>
      </c>
      <c r="C469" s="16" t="s">
        <v>1890</v>
      </c>
      <c r="D469" s="16"/>
      <c r="E469" s="16" t="s">
        <v>150</v>
      </c>
      <c r="F469" s="16" t="s">
        <v>150</v>
      </c>
      <c r="G469" s="17">
        <f t="shared" si="31"/>
        <v>120000</v>
      </c>
      <c r="H469" s="18">
        <v>120000</v>
      </c>
      <c r="I469" s="19">
        <v>2</v>
      </c>
      <c r="J469" s="18">
        <f t="shared" si="32"/>
        <v>130000</v>
      </c>
      <c r="K469" s="18" t="s">
        <v>477</v>
      </c>
      <c r="L469" s="16" t="str">
        <f t="shared" si="33"/>
        <v>فعال</v>
      </c>
      <c r="M469" s="16">
        <v>284</v>
      </c>
      <c r="N469" s="16" t="s">
        <v>1889</v>
      </c>
      <c r="O469" t="s">
        <v>1891</v>
      </c>
      <c r="Q469" s="20"/>
      <c r="AD469">
        <f>IF(AND(LEN($Q$2)&gt;=3,ISNUMBER(SEARCH($Q$2,$B469))),MAX($AD$1:AD468)+1,"")</f>
      </c>
    </row>
    <row r="470" ht="14.4" customHeight="1" spans="1:30" x14ac:dyDescent="0.25">
      <c r="A470" s="16" t="s">
        <v>1892</v>
      </c>
      <c r="B470" s="16" t="s">
        <v>320</v>
      </c>
      <c r="C470" s="16" t="s">
        <v>1893</v>
      </c>
      <c r="D470" s="16"/>
      <c r="E470" s="16" t="s">
        <v>11</v>
      </c>
      <c r="F470" s="16" t="s">
        <v>11</v>
      </c>
      <c r="G470" s="17">
        <f t="shared" si="31"/>
        <v>100000</v>
      </c>
      <c r="H470" s="18">
        <v>100000</v>
      </c>
      <c r="I470" s="19">
        <v>3</v>
      </c>
      <c r="J470" s="18">
        <f t="shared" si="32"/>
        <v>110000</v>
      </c>
      <c r="K470" s="18" t="s">
        <v>477</v>
      </c>
      <c r="L470" s="16" t="str">
        <f t="shared" si="33"/>
        <v>فعال</v>
      </c>
      <c r="M470" s="16">
        <v>285</v>
      </c>
      <c r="N470" s="16" t="s">
        <v>1892</v>
      </c>
      <c r="O470" t="s">
        <v>1894</v>
      </c>
      <c r="Q470" s="20"/>
      <c r="AD470">
        <f>IF(AND(LEN($Q$2)&gt;=3,ISNUMBER(SEARCH($Q$2,$B470))),MAX($AD$1:AD469)+1,"")</f>
      </c>
    </row>
    <row r="471" ht="14.4" customHeight="1" spans="1:30" x14ac:dyDescent="0.25">
      <c r="A471" s="16" t="s">
        <v>1895</v>
      </c>
      <c r="B471" s="16" t="s">
        <v>320</v>
      </c>
      <c r="C471" s="16" t="s">
        <v>1896</v>
      </c>
      <c r="D471" s="16"/>
      <c r="E471" s="16" t="s">
        <v>305</v>
      </c>
      <c r="F471" s="16" t="s">
        <v>305</v>
      </c>
      <c r="G471" s="17">
        <f t="shared" si="31"/>
        <v>190000</v>
      </c>
      <c r="H471" s="18">
        <v>190000</v>
      </c>
      <c r="I471" s="19">
        <v>1</v>
      </c>
      <c r="J471" s="18">
        <f t="shared" si="32"/>
        <v>200000</v>
      </c>
      <c r="K471" s="18" t="s">
        <v>477</v>
      </c>
      <c r="L471" s="16" t="str">
        <f t="shared" si="33"/>
        <v>فعال</v>
      </c>
      <c r="M471" s="16">
        <v>285</v>
      </c>
      <c r="N471" s="16" t="s">
        <v>1895</v>
      </c>
      <c r="O471" t="s">
        <v>1897</v>
      </c>
      <c r="Q471" s="20"/>
      <c r="AD471">
        <f>IF(AND(LEN($Q$2)&gt;=3,ISNUMBER(SEARCH($Q$2,$B471))),MAX($AD$1:AD470)+1,"")</f>
      </c>
    </row>
    <row r="472" ht="14.4" customHeight="1" spans="1:30" x14ac:dyDescent="0.25">
      <c r="A472" s="16" t="s">
        <v>1898</v>
      </c>
      <c r="B472" s="16" t="s">
        <v>321</v>
      </c>
      <c r="C472" s="16" t="s">
        <v>1899</v>
      </c>
      <c r="D472" s="16"/>
      <c r="E472" s="16" t="s">
        <v>11</v>
      </c>
      <c r="F472" s="16" t="s">
        <v>11</v>
      </c>
      <c r="G472" s="17">
        <f t="shared" si="31"/>
        <v>65000</v>
      </c>
      <c r="H472" s="18">
        <v>65000</v>
      </c>
      <c r="I472" s="19">
        <v>3</v>
      </c>
      <c r="J472" s="18">
        <f t="shared" si="32"/>
        <v>70000</v>
      </c>
      <c r="K472" s="18" t="s">
        <v>477</v>
      </c>
      <c r="L472" s="16" t="str">
        <f t="shared" si="33"/>
        <v>فعال</v>
      </c>
      <c r="M472" s="16">
        <v>286</v>
      </c>
      <c r="N472" s="16" t="s">
        <v>1898</v>
      </c>
      <c r="O472" t="s">
        <v>1900</v>
      </c>
      <c r="Q472" s="20"/>
      <c r="AD472">
        <f>IF(AND(LEN($Q$2)&gt;=3,ISNUMBER(SEARCH($Q$2,$B472))),MAX($AD$1:AD471)+1,"")</f>
      </c>
    </row>
    <row r="473" ht="14.4" customHeight="1" spans="1:30" x14ac:dyDescent="0.25">
      <c r="A473" s="16" t="s">
        <v>1901</v>
      </c>
      <c r="B473" s="16" t="s">
        <v>321</v>
      </c>
      <c r="C473" s="16" t="s">
        <v>1902</v>
      </c>
      <c r="D473" s="16"/>
      <c r="E473" s="16" t="s">
        <v>305</v>
      </c>
      <c r="F473" s="16" t="s">
        <v>305</v>
      </c>
      <c r="G473" s="17">
        <f t="shared" si="31"/>
        <v>120000</v>
      </c>
      <c r="H473" s="18">
        <v>120000</v>
      </c>
      <c r="I473" s="19">
        <v>2</v>
      </c>
      <c r="J473" s="18">
        <f t="shared" si="32"/>
        <v>130000</v>
      </c>
      <c r="K473" s="18" t="s">
        <v>477</v>
      </c>
      <c r="L473" s="16" t="str">
        <f t="shared" si="33"/>
        <v>فعال</v>
      </c>
      <c r="M473" s="16">
        <v>286</v>
      </c>
      <c r="N473" s="16" t="s">
        <v>1901</v>
      </c>
      <c r="O473" t="s">
        <v>1903</v>
      </c>
      <c r="Q473" s="20"/>
      <c r="AD473">
        <f>IF(AND(LEN($Q$2)&gt;=3,ISNUMBER(SEARCH($Q$2,$B473))),MAX($AD$1:AD472)+1,"")</f>
      </c>
    </row>
    <row r="474" ht="14.4" customHeight="1" spans="1:30" x14ac:dyDescent="0.25">
      <c r="A474" s="16" t="s">
        <v>1904</v>
      </c>
      <c r="B474" s="16" t="s">
        <v>322</v>
      </c>
      <c r="C474" s="16" t="s">
        <v>1905</v>
      </c>
      <c r="D474" s="16"/>
      <c r="E474" s="16" t="s">
        <v>11</v>
      </c>
      <c r="F474" s="16" t="s">
        <v>11</v>
      </c>
      <c r="G474" s="17">
        <f t="shared" si="31"/>
        <v>140000</v>
      </c>
      <c r="H474" s="18">
        <v>140000</v>
      </c>
      <c r="I474" s="19">
        <v>3</v>
      </c>
      <c r="J474" s="18">
        <f t="shared" si="32"/>
        <v>150000</v>
      </c>
      <c r="K474" s="18" t="s">
        <v>477</v>
      </c>
      <c r="L474" s="16" t="str">
        <f t="shared" si="33"/>
        <v>فعال</v>
      </c>
      <c r="M474" s="16">
        <v>287</v>
      </c>
      <c r="N474" s="16" t="s">
        <v>1904</v>
      </c>
      <c r="O474" t="s">
        <v>1906</v>
      </c>
      <c r="Q474" s="20"/>
      <c r="AD474">
        <f>IF(AND(LEN($Q$2)&gt;=3,ISNUMBER(SEARCH($Q$2,$B474))),MAX($AD$1:AD473)+1,"")</f>
      </c>
    </row>
    <row r="475" ht="14.4" customHeight="1" spans="1:30" x14ac:dyDescent="0.25">
      <c r="A475" s="16" t="s">
        <v>1907</v>
      </c>
      <c r="B475" s="16" t="s">
        <v>322</v>
      </c>
      <c r="C475" s="16" t="s">
        <v>1908</v>
      </c>
      <c r="D475" s="16"/>
      <c r="E475" s="16" t="s">
        <v>305</v>
      </c>
      <c r="F475" s="16" t="s">
        <v>305</v>
      </c>
      <c r="G475" s="17">
        <f t="shared" si="31"/>
        <v>270000</v>
      </c>
      <c r="H475" s="18">
        <v>270000</v>
      </c>
      <c r="I475" s="19">
        <v>1</v>
      </c>
      <c r="J475" s="18">
        <f t="shared" si="32"/>
        <v>280000</v>
      </c>
      <c r="K475" s="18" t="s">
        <v>477</v>
      </c>
      <c r="L475" s="16" t="str">
        <f t="shared" si="33"/>
        <v>فعال</v>
      </c>
      <c r="M475" s="16">
        <v>287</v>
      </c>
      <c r="N475" s="16" t="s">
        <v>1907</v>
      </c>
      <c r="O475" t="s">
        <v>1909</v>
      </c>
      <c r="Q475" s="20"/>
      <c r="AD475">
        <f>IF(AND(LEN($Q$2)&gt;=3,ISNUMBER(SEARCH($Q$2,$B475))),MAX($AD$1:AD474)+1,"")</f>
      </c>
    </row>
    <row r="476" ht="14.4" customHeight="1" spans="1:30" x14ac:dyDescent="0.25">
      <c r="A476" s="16" t="s">
        <v>1910</v>
      </c>
      <c r="B476" s="16" t="s">
        <v>323</v>
      </c>
      <c r="C476" s="16" t="s">
        <v>1911</v>
      </c>
      <c r="D476" s="16"/>
      <c r="E476" s="16" t="s">
        <v>11</v>
      </c>
      <c r="F476" s="16" t="s">
        <v>11</v>
      </c>
      <c r="G476" s="17">
        <f t="shared" si="31"/>
        <v>95000</v>
      </c>
      <c r="H476" s="18">
        <v>95000</v>
      </c>
      <c r="I476" s="19">
        <v>3</v>
      </c>
      <c r="J476" s="18">
        <f t="shared" si="32"/>
        <v>100000</v>
      </c>
      <c r="K476" s="18" t="s">
        <v>477</v>
      </c>
      <c r="L476" s="16" t="str">
        <f t="shared" si="33"/>
        <v>فعال</v>
      </c>
      <c r="M476" s="16">
        <v>288</v>
      </c>
      <c r="N476" s="16" t="s">
        <v>1910</v>
      </c>
      <c r="O476" t="s">
        <v>1912</v>
      </c>
      <c r="Q476" s="20"/>
      <c r="AD476">
        <f>IF(AND(LEN($Q$2)&gt;=3,ISNUMBER(SEARCH($Q$2,$B476))),MAX($AD$1:AD475)+1,"")</f>
      </c>
    </row>
    <row r="477" ht="14.4" customHeight="1" spans="1:30" x14ac:dyDescent="0.25">
      <c r="A477" s="16" t="s">
        <v>1913</v>
      </c>
      <c r="B477" s="16" t="s">
        <v>323</v>
      </c>
      <c r="C477" s="16" t="s">
        <v>1914</v>
      </c>
      <c r="D477" s="16"/>
      <c r="E477" s="16" t="s">
        <v>305</v>
      </c>
      <c r="F477" s="16" t="s">
        <v>305</v>
      </c>
      <c r="G477" s="17">
        <f t="shared" si="31"/>
        <v>180000</v>
      </c>
      <c r="H477" s="18">
        <v>180000</v>
      </c>
      <c r="I477" s="19">
        <v>1</v>
      </c>
      <c r="J477" s="18">
        <f t="shared" si="32"/>
        <v>190000</v>
      </c>
      <c r="K477" s="18" t="s">
        <v>477</v>
      </c>
      <c r="L477" s="16" t="str">
        <f t="shared" si="33"/>
        <v>فعال</v>
      </c>
      <c r="M477" s="16">
        <v>288</v>
      </c>
      <c r="N477" s="16" t="s">
        <v>1913</v>
      </c>
      <c r="O477" t="s">
        <v>1915</v>
      </c>
      <c r="Q477" s="20"/>
      <c r="AD477">
        <f>IF(AND(LEN($Q$2)&gt;=3,ISNUMBER(SEARCH($Q$2,$B477))),MAX($AD$1:AD476)+1,"")</f>
      </c>
    </row>
    <row r="478" ht="14.4" customHeight="1" spans="1:30" x14ac:dyDescent="0.25">
      <c r="A478" s="16" t="s">
        <v>1916</v>
      </c>
      <c r="B478" s="16" t="s">
        <v>325</v>
      </c>
      <c r="C478" s="16" t="s">
        <v>1917</v>
      </c>
      <c r="D478" s="16"/>
      <c r="E478" s="16" t="s">
        <v>11</v>
      </c>
      <c r="F478" s="16" t="s">
        <v>11</v>
      </c>
      <c r="G478" s="17">
        <f t="shared" si="31"/>
        <v>140000</v>
      </c>
      <c r="H478" s="18">
        <v>140000</v>
      </c>
      <c r="I478" s="19">
        <v>1</v>
      </c>
      <c r="J478" s="18">
        <f t="shared" si="32"/>
        <v>150000</v>
      </c>
      <c r="K478" s="18" t="s">
        <v>477</v>
      </c>
      <c r="L478" s="16" t="str">
        <f t="shared" si="33"/>
        <v>فعال</v>
      </c>
      <c r="M478" s="16">
        <v>290</v>
      </c>
      <c r="N478" s="16" t="s">
        <v>1916</v>
      </c>
      <c r="O478" t="s">
        <v>1918</v>
      </c>
      <c r="Q478" s="20"/>
      <c r="AD478">
        <f>IF(AND(LEN($Q$2)&gt;=3,ISNUMBER(SEARCH($Q$2,$B478))),MAX($AD$1:AD477)+1,"")</f>
      </c>
    </row>
    <row r="479" ht="14.4" customHeight="1" spans="1:30" x14ac:dyDescent="0.25">
      <c r="A479" s="16" t="s">
        <v>1919</v>
      </c>
      <c r="B479" s="16" t="s">
        <v>325</v>
      </c>
      <c r="C479" s="16" t="s">
        <v>1920</v>
      </c>
      <c r="D479" s="16"/>
      <c r="E479" s="16" t="s">
        <v>305</v>
      </c>
      <c r="F479" s="16" t="s">
        <v>305</v>
      </c>
      <c r="G479" s="17">
        <f t="shared" si="31"/>
        <v>270000</v>
      </c>
      <c r="H479" s="18">
        <v>270000</v>
      </c>
      <c r="I479" s="19">
        <v>3</v>
      </c>
      <c r="J479" s="18">
        <f t="shared" si="32"/>
        <v>280000</v>
      </c>
      <c r="K479" s="18" t="s">
        <v>477</v>
      </c>
      <c r="L479" s="16" t="str">
        <f t="shared" si="33"/>
        <v>فعال</v>
      </c>
      <c r="M479" s="16">
        <v>290</v>
      </c>
      <c r="N479" s="16" t="s">
        <v>1919</v>
      </c>
      <c r="O479" t="s">
        <v>1921</v>
      </c>
      <c r="Q479" s="20"/>
      <c r="AD479">
        <f>IF(AND(LEN($Q$2)&gt;=3,ISNUMBER(SEARCH($Q$2,$B479))),MAX($AD$1:AD478)+1,"")</f>
      </c>
    </row>
    <row r="480" ht="14.4" customHeight="1" spans="1:30" x14ac:dyDescent="0.25">
      <c r="A480" s="16" t="s">
        <v>1922</v>
      </c>
      <c r="B480" s="16" t="s">
        <v>324</v>
      </c>
      <c r="C480" s="16" t="s">
        <v>1923</v>
      </c>
      <c r="D480" s="16"/>
      <c r="E480" s="16" t="s">
        <v>11</v>
      </c>
      <c r="F480" s="16" t="s">
        <v>11</v>
      </c>
      <c r="G480" s="17">
        <f t="shared" si="31"/>
        <v>70000</v>
      </c>
      <c r="H480" s="18">
        <v>70000</v>
      </c>
      <c r="I480" s="19">
        <v>1</v>
      </c>
      <c r="J480" s="18">
        <f t="shared" si="32"/>
        <v>80000</v>
      </c>
      <c r="K480" s="18" t="s">
        <v>477</v>
      </c>
      <c r="L480" s="16" t="str">
        <f t="shared" si="33"/>
        <v>فعال</v>
      </c>
      <c r="M480" s="16">
        <v>289</v>
      </c>
      <c r="N480" s="16" t="s">
        <v>1922</v>
      </c>
      <c r="O480" t="s">
        <v>1924</v>
      </c>
      <c r="Q480" s="20"/>
      <c r="AD480">
        <f>IF(AND(LEN($Q$2)&gt;=3,ISNUMBER(SEARCH($Q$2,$B480))),MAX($AD$1:AD479)+1,"")</f>
      </c>
    </row>
    <row r="481" ht="14.4" customHeight="1" spans="1:30" x14ac:dyDescent="0.25">
      <c r="A481" s="16" t="s">
        <v>1925</v>
      </c>
      <c r="B481" s="16" t="s">
        <v>324</v>
      </c>
      <c r="C481" s="16" t="s">
        <v>1926</v>
      </c>
      <c r="D481" s="16"/>
      <c r="E481" s="16" t="s">
        <v>305</v>
      </c>
      <c r="F481" s="16" t="s">
        <v>305</v>
      </c>
      <c r="G481" s="17">
        <f t="shared" si="31"/>
        <v>130000</v>
      </c>
      <c r="H481" s="18">
        <v>130000</v>
      </c>
      <c r="I481" s="19">
        <v>3</v>
      </c>
      <c r="J481" s="18">
        <f t="shared" si="32"/>
        <v>140000</v>
      </c>
      <c r="K481" s="18" t="s">
        <v>477</v>
      </c>
      <c r="L481" s="16" t="str">
        <f t="shared" si="33"/>
        <v>فعال</v>
      </c>
      <c r="M481" s="16">
        <v>289</v>
      </c>
      <c r="N481" s="16" t="s">
        <v>1925</v>
      </c>
      <c r="O481" t="s">
        <v>1927</v>
      </c>
      <c r="Q481" s="20"/>
      <c r="AD481">
        <f>IF(AND(LEN($Q$2)&gt;=3,ISNUMBER(SEARCH($Q$2,$B481))),MAX($AD$1:AD480)+1,"")</f>
      </c>
    </row>
    <row r="482" ht="14.4" customHeight="1" spans="1:30" x14ac:dyDescent="0.25">
      <c r="A482" s="16" t="s">
        <v>1928</v>
      </c>
      <c r="B482" s="16" t="s">
        <v>326</v>
      </c>
      <c r="C482" s="16" t="s">
        <v>1929</v>
      </c>
      <c r="D482" s="16"/>
      <c r="E482" s="16" t="s">
        <v>11</v>
      </c>
      <c r="F482" s="16" t="s">
        <v>11</v>
      </c>
      <c r="G482" s="17">
        <f t="shared" si="31"/>
        <v>115000</v>
      </c>
      <c r="H482" s="18">
        <v>115000</v>
      </c>
      <c r="I482" s="19">
        <v>3</v>
      </c>
      <c r="J482" s="18">
        <f t="shared" si="32"/>
        <v>120000</v>
      </c>
      <c r="K482" s="18" t="s">
        <v>477</v>
      </c>
      <c r="L482" s="16" t="str">
        <f t="shared" si="33"/>
        <v>فعال</v>
      </c>
      <c r="M482" s="16">
        <v>291</v>
      </c>
      <c r="N482" s="16" t="s">
        <v>1928</v>
      </c>
      <c r="O482" t="s">
        <v>1930</v>
      </c>
      <c r="Q482" s="20"/>
      <c r="AD482">
        <f>IF(AND(LEN($Q$2)&gt;=3,ISNUMBER(SEARCH($Q$2,$B482))),MAX($AD$1:AD481)+1,"")</f>
      </c>
    </row>
    <row r="483" ht="14.4" customHeight="1" spans="1:30" x14ac:dyDescent="0.25">
      <c r="A483" s="16" t="s">
        <v>1931</v>
      </c>
      <c r="B483" s="16" t="s">
        <v>326</v>
      </c>
      <c r="C483" s="16" t="s">
        <v>1932</v>
      </c>
      <c r="D483" s="16"/>
      <c r="E483" s="16" t="s">
        <v>305</v>
      </c>
      <c r="F483" s="16" t="s">
        <v>305</v>
      </c>
      <c r="G483" s="17">
        <f t="shared" si="31"/>
        <v>220000</v>
      </c>
      <c r="H483" s="18">
        <v>220000</v>
      </c>
      <c r="I483" s="19">
        <v>1</v>
      </c>
      <c r="J483" s="18">
        <f t="shared" si="32"/>
        <v>230000</v>
      </c>
      <c r="K483" s="18" t="s">
        <v>477</v>
      </c>
      <c r="L483" s="16" t="str">
        <f t="shared" si="33"/>
        <v>فعال</v>
      </c>
      <c r="M483" s="16">
        <v>291</v>
      </c>
      <c r="N483" s="16" t="s">
        <v>1931</v>
      </c>
      <c r="O483" t="s">
        <v>1933</v>
      </c>
      <c r="Q483" s="20"/>
      <c r="AD483">
        <f>IF(AND(LEN($Q$2)&gt;=3,ISNUMBER(SEARCH($Q$2,$B483))),MAX($AD$1:AD482)+1,"")</f>
      </c>
    </row>
    <row r="484" ht="14.4" customHeight="1" spans="1:30" x14ac:dyDescent="0.25">
      <c r="A484" s="16" t="s">
        <v>1934</v>
      </c>
      <c r="B484" s="16" t="s">
        <v>327</v>
      </c>
      <c r="C484" s="16" t="s">
        <v>1935</v>
      </c>
      <c r="D484" s="16"/>
      <c r="E484" s="16" t="s">
        <v>11</v>
      </c>
      <c r="F484" s="16" t="s">
        <v>11</v>
      </c>
      <c r="G484" s="17">
        <f t="shared" si="31"/>
        <v>80000</v>
      </c>
      <c r="H484" s="18">
        <v>80000</v>
      </c>
      <c r="I484" s="19">
        <v>1</v>
      </c>
      <c r="J484" s="18">
        <f t="shared" si="32"/>
        <v>90000</v>
      </c>
      <c r="K484" s="18" t="s">
        <v>477</v>
      </c>
      <c r="L484" s="16" t="str">
        <f t="shared" si="33"/>
        <v>فعال</v>
      </c>
      <c r="M484" s="16">
        <v>292</v>
      </c>
      <c r="N484" s="16" t="s">
        <v>1934</v>
      </c>
      <c r="O484" t="s">
        <v>1936</v>
      </c>
      <c r="Q484" s="20"/>
      <c r="AD484">
        <f>IF(AND(LEN($Q$2)&gt;=3,ISNUMBER(SEARCH($Q$2,$B484))),MAX($AD$1:AD483)+1,"")</f>
      </c>
    </row>
    <row r="485" ht="14.4" customHeight="1" spans="1:30" x14ac:dyDescent="0.25">
      <c r="A485" s="16" t="s">
        <v>1937</v>
      </c>
      <c r="B485" s="16" t="s">
        <v>327</v>
      </c>
      <c r="C485" s="16" t="s">
        <v>1938</v>
      </c>
      <c r="D485" s="16"/>
      <c r="E485" s="16" t="s">
        <v>305</v>
      </c>
      <c r="F485" s="16" t="s">
        <v>305</v>
      </c>
      <c r="G485" s="17">
        <f t="shared" si="31"/>
        <v>150000</v>
      </c>
      <c r="H485" s="18">
        <v>150000</v>
      </c>
      <c r="I485" s="19">
        <v>1</v>
      </c>
      <c r="J485" s="18">
        <f t="shared" si="32"/>
        <v>160000</v>
      </c>
      <c r="K485" s="18" t="s">
        <v>477</v>
      </c>
      <c r="L485" s="16" t="str">
        <f t="shared" si="33"/>
        <v>فعال</v>
      </c>
      <c r="M485" s="16">
        <v>292</v>
      </c>
      <c r="N485" s="16" t="s">
        <v>1937</v>
      </c>
      <c r="O485" t="s">
        <v>1939</v>
      </c>
      <c r="Q485" s="20"/>
      <c r="AD485">
        <f>IF(AND(LEN($Q$2)&gt;=3,ISNUMBER(SEARCH($Q$2,$B485))),MAX($AD$1:AD484)+1,"")</f>
      </c>
    </row>
    <row r="486" ht="14.4" customHeight="1" spans="1:30" x14ac:dyDescent="0.25">
      <c r="A486" s="16" t="s">
        <v>1940</v>
      </c>
      <c r="B486" s="16" t="s">
        <v>328</v>
      </c>
      <c r="C486" s="16" t="s">
        <v>1941</v>
      </c>
      <c r="D486" s="16"/>
      <c r="E486" s="16" t="s">
        <v>11</v>
      </c>
      <c r="F486" s="16" t="s">
        <v>11</v>
      </c>
      <c r="G486" s="17">
        <f t="shared" si="31"/>
        <v>70000</v>
      </c>
      <c r="H486" s="18">
        <v>70000</v>
      </c>
      <c r="I486" s="19">
        <v>3</v>
      </c>
      <c r="J486" s="18">
        <f t="shared" si="32"/>
        <v>80000</v>
      </c>
      <c r="K486" s="18" t="s">
        <v>477</v>
      </c>
      <c r="L486" s="16" t="str">
        <f t="shared" si="33"/>
        <v>فعال</v>
      </c>
      <c r="M486" s="16">
        <v>293</v>
      </c>
      <c r="N486" s="16" t="s">
        <v>1940</v>
      </c>
      <c r="O486" t="s">
        <v>1942</v>
      </c>
      <c r="Q486" s="20"/>
      <c r="AD486">
        <f>IF(AND(LEN($Q$2)&gt;=3,ISNUMBER(SEARCH($Q$2,$B486))),MAX($AD$1:AD485)+1,"")</f>
      </c>
    </row>
    <row r="487" ht="14.4" customHeight="1" spans="1:30" x14ac:dyDescent="0.25">
      <c r="A487" s="16" t="s">
        <v>1943</v>
      </c>
      <c r="B487" s="16" t="s">
        <v>328</v>
      </c>
      <c r="C487" s="16" t="s">
        <v>1944</v>
      </c>
      <c r="D487" s="16"/>
      <c r="E487" s="16" t="s">
        <v>305</v>
      </c>
      <c r="F487" s="16" t="s">
        <v>305</v>
      </c>
      <c r="G487" s="17">
        <f t="shared" si="31"/>
        <v>130000</v>
      </c>
      <c r="H487" s="18">
        <v>130000</v>
      </c>
      <c r="I487" s="19">
        <v>3</v>
      </c>
      <c r="J487" s="18">
        <f t="shared" si="32"/>
        <v>140000</v>
      </c>
      <c r="K487" s="18" t="s">
        <v>477</v>
      </c>
      <c r="L487" s="16" t="str">
        <f t="shared" si="33"/>
        <v>فعال</v>
      </c>
      <c r="M487" s="16">
        <v>293</v>
      </c>
      <c r="N487" s="16" t="s">
        <v>1943</v>
      </c>
      <c r="O487" t="s">
        <v>1945</v>
      </c>
      <c r="Q487" s="20"/>
      <c r="AD487">
        <f>IF(AND(LEN($Q$2)&gt;=3,ISNUMBER(SEARCH($Q$2,$B487))),MAX($AD$1:AD486)+1,"")</f>
      </c>
    </row>
    <row r="488" ht="14.4" customHeight="1" spans="1:30" x14ac:dyDescent="0.25">
      <c r="A488" s="16" t="s">
        <v>1946</v>
      </c>
      <c r="B488" s="16" t="s">
        <v>329</v>
      </c>
      <c r="C488" s="16" t="s">
        <v>1947</v>
      </c>
      <c r="D488" s="16"/>
      <c r="E488" s="16" t="s">
        <v>11</v>
      </c>
      <c r="F488" s="16" t="s">
        <v>11</v>
      </c>
      <c r="G488" s="17">
        <f t="shared" si="31"/>
        <v>70000</v>
      </c>
      <c r="H488" s="18">
        <v>70000</v>
      </c>
      <c r="I488" s="19">
        <v>3</v>
      </c>
      <c r="J488" s="18">
        <f t="shared" si="32"/>
        <v>80000</v>
      </c>
      <c r="K488" s="18" t="s">
        <v>477</v>
      </c>
      <c r="L488" s="16" t="str">
        <f t="shared" si="33"/>
        <v>فعال</v>
      </c>
      <c r="M488" s="16">
        <v>294</v>
      </c>
      <c r="N488" s="16" t="s">
        <v>1946</v>
      </c>
      <c r="O488" t="s">
        <v>1948</v>
      </c>
      <c r="Q488" s="20"/>
      <c r="AD488">
        <f>IF(AND(LEN($Q$2)&gt;=3,ISNUMBER(SEARCH($Q$2,$B488))),MAX($AD$1:AD487)+1,"")</f>
      </c>
    </row>
    <row r="489" ht="14.4" customHeight="1" spans="1:30" x14ac:dyDescent="0.25">
      <c r="A489" s="16" t="s">
        <v>1949</v>
      </c>
      <c r="B489" s="16" t="s">
        <v>329</v>
      </c>
      <c r="C489" s="16" t="s">
        <v>1950</v>
      </c>
      <c r="D489" s="16"/>
      <c r="E489" s="16" t="s">
        <v>305</v>
      </c>
      <c r="F489" s="16" t="s">
        <v>305</v>
      </c>
      <c r="G489" s="17">
        <f t="shared" si="31"/>
        <v>130000</v>
      </c>
      <c r="H489" s="18">
        <v>130000</v>
      </c>
      <c r="I489" s="19">
        <v>2</v>
      </c>
      <c r="J489" s="18">
        <f t="shared" si="32"/>
        <v>140000</v>
      </c>
      <c r="K489" s="18" t="s">
        <v>477</v>
      </c>
      <c r="L489" s="16" t="str">
        <f t="shared" si="33"/>
        <v>فعال</v>
      </c>
      <c r="M489" s="16">
        <v>294</v>
      </c>
      <c r="N489" s="16" t="s">
        <v>1949</v>
      </c>
      <c r="O489" t="s">
        <v>1951</v>
      </c>
      <c r="Q489" s="20"/>
      <c r="AD489">
        <f>IF(AND(LEN($Q$2)&gt;=3,ISNUMBER(SEARCH($Q$2,$B489))),MAX($AD$1:AD488)+1,"")</f>
      </c>
    </row>
    <row r="490" ht="14.4" customHeight="1" spans="1:30" x14ac:dyDescent="0.25">
      <c r="A490" s="16" t="s">
        <v>1952</v>
      </c>
      <c r="B490" s="16" t="s">
        <v>330</v>
      </c>
      <c r="C490" s="16" t="s">
        <v>1953</v>
      </c>
      <c r="D490" s="16"/>
      <c r="E490" s="16" t="s">
        <v>11</v>
      </c>
      <c r="F490" s="16" t="s">
        <v>11</v>
      </c>
      <c r="G490" s="17">
        <f t="shared" si="31"/>
        <v>80000</v>
      </c>
      <c r="H490" s="18">
        <v>80000</v>
      </c>
      <c r="I490" s="19">
        <v>2</v>
      </c>
      <c r="J490" s="18">
        <f t="shared" si="32"/>
        <v>90000</v>
      </c>
      <c r="K490" s="18" t="s">
        <v>477</v>
      </c>
      <c r="L490" s="16" t="str">
        <f t="shared" si="33"/>
        <v>فعال</v>
      </c>
      <c r="M490" s="16">
        <v>295</v>
      </c>
      <c r="N490" s="16" t="s">
        <v>1952</v>
      </c>
      <c r="O490" t="s">
        <v>1954</v>
      </c>
      <c r="Q490" s="20"/>
      <c r="AD490">
        <f>IF(AND(LEN($Q$2)&gt;=3,ISNUMBER(SEARCH($Q$2,$B490))),MAX($AD$1:AD489)+1,"")</f>
      </c>
    </row>
    <row r="491" ht="14.4" customHeight="1" spans="1:30" x14ac:dyDescent="0.25">
      <c r="A491" s="16" t="s">
        <v>1955</v>
      </c>
      <c r="B491" s="16" t="s">
        <v>330</v>
      </c>
      <c r="C491" s="16" t="s">
        <v>1956</v>
      </c>
      <c r="D491" s="16"/>
      <c r="E491" s="16" t="s">
        <v>305</v>
      </c>
      <c r="F491" s="16" t="s">
        <v>305</v>
      </c>
      <c r="G491" s="17">
        <f t="shared" si="31"/>
        <v>150000</v>
      </c>
      <c r="H491" s="18">
        <v>150000</v>
      </c>
      <c r="I491" s="19">
        <v>3</v>
      </c>
      <c r="J491" s="18">
        <f t="shared" si="32"/>
        <v>160000</v>
      </c>
      <c r="K491" s="18" t="s">
        <v>477</v>
      </c>
      <c r="L491" s="16" t="str">
        <f t="shared" si="33"/>
        <v>فعال</v>
      </c>
      <c r="M491" s="16">
        <v>295</v>
      </c>
      <c r="N491" s="16" t="s">
        <v>1955</v>
      </c>
      <c r="O491" t="s">
        <v>1957</v>
      </c>
      <c r="Q491" s="20"/>
      <c r="AD491">
        <f>IF(AND(LEN($Q$2)&gt;=3,ISNUMBER(SEARCH($Q$2,$B491))),MAX($AD$1:AD490)+1,"")</f>
      </c>
    </row>
    <row r="492" ht="14.4" customHeight="1" spans="1:30" x14ac:dyDescent="0.25">
      <c r="A492" s="16" t="s">
        <v>1958</v>
      </c>
      <c r="B492" s="16" t="s">
        <v>331</v>
      </c>
      <c r="C492" s="16" t="s">
        <v>1959</v>
      </c>
      <c r="D492" s="16"/>
      <c r="E492" s="16" t="s">
        <v>11</v>
      </c>
      <c r="F492" s="16" t="s">
        <v>11</v>
      </c>
      <c r="G492" s="17">
        <f t="shared" si="31"/>
        <v>120000</v>
      </c>
      <c r="H492" s="18">
        <v>120000</v>
      </c>
      <c r="I492" s="19">
        <v>3</v>
      </c>
      <c r="J492" s="18">
        <f t="shared" si="32"/>
        <v>130000</v>
      </c>
      <c r="K492" s="18" t="s">
        <v>477</v>
      </c>
      <c r="L492" s="16" t="str">
        <f t="shared" si="33"/>
        <v>فعال</v>
      </c>
      <c r="M492" s="16">
        <v>296</v>
      </c>
      <c r="N492" s="16" t="s">
        <v>1958</v>
      </c>
      <c r="O492" t="s">
        <v>1960</v>
      </c>
      <c r="Q492" s="20"/>
      <c r="AD492">
        <f>IF(AND(LEN($Q$2)&gt;=3,ISNUMBER(SEARCH($Q$2,$B492))),MAX($AD$1:AD491)+1,"")</f>
      </c>
    </row>
    <row r="493" ht="14.4" customHeight="1" spans="1:30" x14ac:dyDescent="0.25">
      <c r="A493" s="16" t="s">
        <v>1961</v>
      </c>
      <c r="B493" s="16" t="s">
        <v>331</v>
      </c>
      <c r="C493" s="16" t="s">
        <v>1962</v>
      </c>
      <c r="D493" s="16"/>
      <c r="E493" s="16" t="s">
        <v>305</v>
      </c>
      <c r="F493" s="16" t="s">
        <v>305</v>
      </c>
      <c r="G493" s="17">
        <f t="shared" si="31"/>
        <v>240000</v>
      </c>
      <c r="H493" s="18">
        <v>240000</v>
      </c>
      <c r="I493" s="19">
        <v>1</v>
      </c>
      <c r="J493" s="18">
        <f t="shared" si="32"/>
        <v>250000</v>
      </c>
      <c r="K493" s="18" t="s">
        <v>477</v>
      </c>
      <c r="L493" s="16" t="str">
        <f t="shared" si="33"/>
        <v>فعال</v>
      </c>
      <c r="M493" s="16">
        <v>296</v>
      </c>
      <c r="N493" s="16" t="s">
        <v>1961</v>
      </c>
      <c r="O493" t="s">
        <v>1963</v>
      </c>
      <c r="Q493" s="20"/>
      <c r="AD493">
        <f>IF(AND(LEN($Q$2)&gt;=3,ISNUMBER(SEARCH($Q$2,$B493))),MAX($AD$1:AD492)+1,"")</f>
      </c>
    </row>
    <row r="494" ht="14.4" customHeight="1" spans="1:30" x14ac:dyDescent="0.25">
      <c r="A494" s="16" t="s">
        <v>1964</v>
      </c>
      <c r="B494" s="16" t="s">
        <v>332</v>
      </c>
      <c r="C494" s="16" t="s">
        <v>1965</v>
      </c>
      <c r="D494" s="16"/>
      <c r="E494" s="16" t="s">
        <v>11</v>
      </c>
      <c r="F494" s="16" t="s">
        <v>11</v>
      </c>
      <c r="G494" s="17">
        <f t="shared" si="31"/>
        <v>90000</v>
      </c>
      <c r="H494" s="18">
        <v>90000</v>
      </c>
      <c r="I494" s="19">
        <v>2</v>
      </c>
      <c r="J494" s="18">
        <f t="shared" si="32"/>
        <v>100000</v>
      </c>
      <c r="K494" s="18" t="s">
        <v>477</v>
      </c>
      <c r="L494" s="16" t="str">
        <f t="shared" si="33"/>
        <v>فعال</v>
      </c>
      <c r="M494" s="16">
        <v>297</v>
      </c>
      <c r="N494" s="16" t="s">
        <v>1964</v>
      </c>
      <c r="O494" t="s">
        <v>1966</v>
      </c>
      <c r="Q494" s="20"/>
      <c r="AD494">
        <f>IF(AND(LEN($Q$2)&gt;=3,ISNUMBER(SEARCH($Q$2,$B494))),MAX($AD$1:AD493)+1,"")</f>
      </c>
    </row>
    <row r="495" ht="14.4" customHeight="1" spans="1:30" x14ac:dyDescent="0.25">
      <c r="A495" s="16" t="s">
        <v>1967</v>
      </c>
      <c r="B495" s="16" t="s">
        <v>332</v>
      </c>
      <c r="C495" s="16" t="s">
        <v>1968</v>
      </c>
      <c r="D495" s="16"/>
      <c r="E495" s="16" t="s">
        <v>305</v>
      </c>
      <c r="F495" s="16" t="s">
        <v>305</v>
      </c>
      <c r="G495" s="17">
        <f t="shared" si="31"/>
        <v>170000</v>
      </c>
      <c r="H495" s="18">
        <v>170000</v>
      </c>
      <c r="I495" s="19">
        <v>3</v>
      </c>
      <c r="J495" s="18">
        <f t="shared" si="32"/>
        <v>180000</v>
      </c>
      <c r="K495" s="18" t="s">
        <v>477</v>
      </c>
      <c r="L495" s="16" t="str">
        <f t="shared" si="33"/>
        <v>فعال</v>
      </c>
      <c r="M495" s="16">
        <v>297</v>
      </c>
      <c r="N495" s="16" t="s">
        <v>1967</v>
      </c>
      <c r="O495" t="s">
        <v>1969</v>
      </c>
      <c r="Q495" s="20"/>
      <c r="AD495">
        <f>IF(AND(LEN($Q$2)&gt;=3,ISNUMBER(SEARCH($Q$2,$B495))),MAX($AD$1:AD494)+1,"")</f>
      </c>
    </row>
    <row r="496" ht="14.4" customHeight="1" spans="1:30" x14ac:dyDescent="0.25">
      <c r="A496" s="16" t="s">
        <v>1970</v>
      </c>
      <c r="B496" s="16" t="s">
        <v>333</v>
      </c>
      <c r="C496" s="16" t="s">
        <v>1971</v>
      </c>
      <c r="D496" s="16"/>
      <c r="E496" s="16" t="s">
        <v>11</v>
      </c>
      <c r="F496" s="16" t="s">
        <v>11</v>
      </c>
      <c r="G496" s="17">
        <f t="shared" si="31"/>
        <v>95000</v>
      </c>
      <c r="H496" s="18">
        <v>95000</v>
      </c>
      <c r="I496" s="19">
        <v>3</v>
      </c>
      <c r="J496" s="18">
        <f t="shared" si="32"/>
        <v>100000</v>
      </c>
      <c r="K496" s="18" t="s">
        <v>477</v>
      </c>
      <c r="L496" s="16" t="str">
        <f t="shared" si="33"/>
        <v>فعال</v>
      </c>
      <c r="M496" s="16">
        <v>298</v>
      </c>
      <c r="N496" s="16" t="s">
        <v>1970</v>
      </c>
      <c r="O496" t="s">
        <v>1972</v>
      </c>
      <c r="Q496" s="20"/>
      <c r="AD496">
        <f>IF(AND(LEN($Q$2)&gt;=3,ISNUMBER(SEARCH($Q$2,$B496))),MAX($AD$1:AD495)+1,"")</f>
      </c>
    </row>
    <row r="497" ht="14.4" customHeight="1" spans="1:30" x14ac:dyDescent="0.25">
      <c r="A497" s="16" t="s">
        <v>1973</v>
      </c>
      <c r="B497" s="16" t="s">
        <v>333</v>
      </c>
      <c r="C497" s="16" t="s">
        <v>1974</v>
      </c>
      <c r="D497" s="16"/>
      <c r="E497" s="16" t="s">
        <v>305</v>
      </c>
      <c r="F497" s="16" t="s">
        <v>305</v>
      </c>
      <c r="G497" s="17">
        <f t="shared" si="31"/>
        <v>180000</v>
      </c>
      <c r="H497" s="18">
        <v>180000</v>
      </c>
      <c r="I497" s="19">
        <v>2</v>
      </c>
      <c r="J497" s="18">
        <f t="shared" si="32"/>
        <v>190000</v>
      </c>
      <c r="K497" s="18" t="s">
        <v>477</v>
      </c>
      <c r="L497" s="16" t="str">
        <f t="shared" si="33"/>
        <v>فعال</v>
      </c>
      <c r="M497" s="16">
        <v>298</v>
      </c>
      <c r="N497" s="16" t="s">
        <v>1973</v>
      </c>
      <c r="O497" t="s">
        <v>1975</v>
      </c>
      <c r="Q497" s="20"/>
      <c r="AD497">
        <f>IF(AND(LEN($Q$2)&gt;=3,ISNUMBER(SEARCH($Q$2,$B497))),MAX($AD$1:AD496)+1,"")</f>
      </c>
    </row>
    <row r="498" ht="14.4" customHeight="1" spans="1:30" x14ac:dyDescent="0.25">
      <c r="A498" s="16" t="s">
        <v>1976</v>
      </c>
      <c r="B498" s="16" t="s">
        <v>334</v>
      </c>
      <c r="C498" s="16" t="s">
        <v>1977</v>
      </c>
      <c r="D498" s="16"/>
      <c r="E498" s="16" t="s">
        <v>335</v>
      </c>
      <c r="F498" s="16" t="s">
        <v>335</v>
      </c>
      <c r="G498" s="17">
        <f t="shared" si="31"/>
        <v>105000</v>
      </c>
      <c r="H498" s="18">
        <v>105000</v>
      </c>
      <c r="I498" s="19">
        <v>3</v>
      </c>
      <c r="J498" s="18">
        <f t="shared" si="32"/>
        <v>110000</v>
      </c>
      <c r="K498" s="18" t="s">
        <v>477</v>
      </c>
      <c r="L498" s="16" t="str">
        <f t="shared" si="33"/>
        <v>فعال</v>
      </c>
      <c r="M498" s="16">
        <v>299</v>
      </c>
      <c r="N498" s="16" t="s">
        <v>1976</v>
      </c>
      <c r="O498" t="s">
        <v>1978</v>
      </c>
      <c r="Q498" s="20"/>
      <c r="AD498">
        <f>IF(AND(LEN($Q$2)&gt;=3,ISNUMBER(SEARCH($Q$2,$B498))),MAX($AD$1:AD497)+1,"")</f>
      </c>
    </row>
    <row r="499" ht="14.4" customHeight="1" spans="1:30" x14ac:dyDescent="0.25">
      <c r="A499" s="16" t="s">
        <v>1979</v>
      </c>
      <c r="B499" s="16" t="s">
        <v>336</v>
      </c>
      <c r="C499" s="16" t="s">
        <v>1980</v>
      </c>
      <c r="D499" s="16"/>
      <c r="E499" s="16" t="s">
        <v>11</v>
      </c>
      <c r="F499" s="16" t="s">
        <v>11</v>
      </c>
      <c r="G499" s="17">
        <f t="shared" si="31"/>
        <v>80000</v>
      </c>
      <c r="H499" s="18">
        <v>80000</v>
      </c>
      <c r="I499" s="19">
        <v>1</v>
      </c>
      <c r="J499" s="18">
        <f t="shared" si="32"/>
        <v>90000</v>
      </c>
      <c r="K499" s="18" t="s">
        <v>477</v>
      </c>
      <c r="L499" s="16" t="str">
        <f t="shared" si="33"/>
        <v>فعال</v>
      </c>
      <c r="M499" s="16">
        <v>300</v>
      </c>
      <c r="N499" s="16" t="s">
        <v>1979</v>
      </c>
      <c r="O499" t="s">
        <v>1981</v>
      </c>
      <c r="Q499" s="20"/>
      <c r="AD499">
        <f>IF(AND(LEN($Q$2)&gt;=3,ISNUMBER(SEARCH($Q$2,$B499))),MAX($AD$1:AD498)+1,"")</f>
      </c>
    </row>
    <row r="500" ht="14.4" customHeight="1" spans="1:30" x14ac:dyDescent="0.25">
      <c r="A500" s="16" t="s">
        <v>1982</v>
      </c>
      <c r="B500" s="16" t="s">
        <v>336</v>
      </c>
      <c r="C500" s="16" t="s">
        <v>1983</v>
      </c>
      <c r="D500" s="16"/>
      <c r="E500" s="16" t="s">
        <v>305</v>
      </c>
      <c r="F500" s="16" t="s">
        <v>305</v>
      </c>
      <c r="G500" s="17">
        <f t="shared" si="31"/>
        <v>150000</v>
      </c>
      <c r="H500" s="18">
        <v>150000</v>
      </c>
      <c r="I500" s="19">
        <v>3</v>
      </c>
      <c r="J500" s="18">
        <f t="shared" ref="J500:J531" si="34">IF(OR(H500="",H500="؟",H500="نامشخص"),"",CEILING(H500*(1+I500/100),10000))</f>
        <v>160000</v>
      </c>
      <c r="K500" s="18" t="s">
        <v>477</v>
      </c>
      <c r="L500" s="16" t="str">
        <f t="shared" ref="L500:L531" si="35">IF(OR($H500="",$H500="؟",$H500="نامشخص"),"نیاز به استعلام","فعال")</f>
        <v>فعال</v>
      </c>
      <c r="M500" s="16">
        <v>300</v>
      </c>
      <c r="N500" s="16" t="s">
        <v>1982</v>
      </c>
      <c r="O500" t="s">
        <v>1984</v>
      </c>
      <c r="Q500" s="20"/>
      <c r="AD500">
        <f>IF(AND(LEN($Q$2)&gt;=3,ISNUMBER(SEARCH($Q$2,$B500))),MAX($AD$1:AD499)+1,"")</f>
      </c>
    </row>
    <row r="501" ht="14.4" customHeight="1" spans="1:30" x14ac:dyDescent="0.25">
      <c r="A501" s="16" t="s">
        <v>1985</v>
      </c>
      <c r="B501" s="16" t="s">
        <v>337</v>
      </c>
      <c r="C501" s="16" t="s">
        <v>1986</v>
      </c>
      <c r="D501" s="16"/>
      <c r="E501" s="16" t="s">
        <v>11</v>
      </c>
      <c r="F501" s="16" t="s">
        <v>11</v>
      </c>
      <c r="G501" s="17">
        <f t="shared" si="31"/>
        <v>80000</v>
      </c>
      <c r="H501" s="18">
        <v>80000</v>
      </c>
      <c r="I501" s="19">
        <v>2</v>
      </c>
      <c r="J501" s="18">
        <f t="shared" si="34"/>
        <v>90000</v>
      </c>
      <c r="K501" s="18" t="s">
        <v>477</v>
      </c>
      <c r="L501" s="16" t="str">
        <f t="shared" si="35"/>
        <v>فعال</v>
      </c>
      <c r="M501" s="16">
        <v>301</v>
      </c>
      <c r="N501" s="16" t="s">
        <v>1985</v>
      </c>
      <c r="O501" t="s">
        <v>1987</v>
      </c>
      <c r="Q501" s="20"/>
      <c r="AD501">
        <f>IF(AND(LEN($Q$2)&gt;=3,ISNUMBER(SEARCH($Q$2,$B501))),MAX($AD$1:AD500)+1,"")</f>
      </c>
    </row>
    <row r="502" ht="14.4" customHeight="1" spans="1:30" x14ac:dyDescent="0.25">
      <c r="A502" s="16" t="s">
        <v>1988</v>
      </c>
      <c r="B502" s="16" t="s">
        <v>337</v>
      </c>
      <c r="C502" s="16" t="s">
        <v>1989</v>
      </c>
      <c r="D502" s="16"/>
      <c r="E502" s="16" t="s">
        <v>305</v>
      </c>
      <c r="F502" s="16" t="s">
        <v>305</v>
      </c>
      <c r="G502" s="17">
        <f t="shared" si="31"/>
        <v>150000</v>
      </c>
      <c r="H502" s="18">
        <v>150000</v>
      </c>
      <c r="I502" s="19">
        <v>2</v>
      </c>
      <c r="J502" s="18">
        <f t="shared" si="34"/>
        <v>160000</v>
      </c>
      <c r="K502" s="18" t="s">
        <v>477</v>
      </c>
      <c r="L502" s="16" t="str">
        <f t="shared" si="35"/>
        <v>فعال</v>
      </c>
      <c r="M502" s="16">
        <v>301</v>
      </c>
      <c r="N502" s="16" t="s">
        <v>1988</v>
      </c>
      <c r="O502" t="s">
        <v>1990</v>
      </c>
      <c r="Q502" s="20"/>
      <c r="AD502">
        <f>IF(AND(LEN($Q$2)&gt;=3,ISNUMBER(SEARCH($Q$2,$B502))),MAX($AD$1:AD501)+1,"")</f>
      </c>
    </row>
    <row r="503" ht="14.4" customHeight="1" spans="1:30" x14ac:dyDescent="0.25">
      <c r="A503" s="16" t="s">
        <v>1991</v>
      </c>
      <c r="B503" s="16" t="s">
        <v>338</v>
      </c>
      <c r="C503" s="16" t="s">
        <v>1992</v>
      </c>
      <c r="D503" s="16"/>
      <c r="E503" s="16" t="s">
        <v>11</v>
      </c>
      <c r="F503" s="16" t="s">
        <v>11</v>
      </c>
      <c r="G503" s="17">
        <f t="shared" si="31"/>
        <v>105000</v>
      </c>
      <c r="H503" s="18">
        <v>105000</v>
      </c>
      <c r="I503" s="19">
        <v>1</v>
      </c>
      <c r="J503" s="18">
        <f t="shared" si="34"/>
        <v>110000</v>
      </c>
      <c r="K503" s="18" t="s">
        <v>477</v>
      </c>
      <c r="L503" s="16" t="str">
        <f t="shared" si="35"/>
        <v>فعال</v>
      </c>
      <c r="M503" s="16">
        <v>302</v>
      </c>
      <c r="N503" s="16" t="s">
        <v>1991</v>
      </c>
      <c r="O503" t="s">
        <v>1993</v>
      </c>
      <c r="Q503" s="20"/>
      <c r="AD503">
        <f>IF(AND(LEN($Q$2)&gt;=3,ISNUMBER(SEARCH($Q$2,$B503))),MAX($AD$1:AD502)+1,"")</f>
      </c>
    </row>
    <row r="504" ht="14.4" customHeight="1" spans="1:30" x14ac:dyDescent="0.25">
      <c r="A504" s="16" t="s">
        <v>1994</v>
      </c>
      <c r="B504" s="16" t="s">
        <v>338</v>
      </c>
      <c r="C504" s="16" t="s">
        <v>1995</v>
      </c>
      <c r="D504" s="16"/>
      <c r="E504" s="16" t="s">
        <v>305</v>
      </c>
      <c r="F504" s="16" t="s">
        <v>305</v>
      </c>
      <c r="G504" s="17">
        <f t="shared" si="31"/>
        <v>200000</v>
      </c>
      <c r="H504" s="18">
        <v>200000</v>
      </c>
      <c r="I504" s="19">
        <v>2</v>
      </c>
      <c r="J504" s="18">
        <f t="shared" si="34"/>
        <v>210000</v>
      </c>
      <c r="K504" s="18" t="s">
        <v>477</v>
      </c>
      <c r="L504" s="16" t="str">
        <f t="shared" si="35"/>
        <v>فعال</v>
      </c>
      <c r="M504" s="16">
        <v>302</v>
      </c>
      <c r="N504" s="16" t="s">
        <v>1994</v>
      </c>
      <c r="O504" t="s">
        <v>1996</v>
      </c>
      <c r="Q504" s="20"/>
      <c r="AD504">
        <f>IF(AND(LEN($Q$2)&gt;=3,ISNUMBER(SEARCH($Q$2,$B504))),MAX($AD$1:AD503)+1,"")</f>
      </c>
    </row>
    <row r="505" ht="14.4" customHeight="1" spans="1:30" x14ac:dyDescent="0.25">
      <c r="A505" s="16" t="s">
        <v>1997</v>
      </c>
      <c r="B505" s="16" t="s">
        <v>339</v>
      </c>
      <c r="C505" s="16" t="s">
        <v>1998</v>
      </c>
      <c r="D505" s="16"/>
      <c r="E505" s="16" t="s">
        <v>11</v>
      </c>
      <c r="F505" s="16" t="s">
        <v>11</v>
      </c>
      <c r="G505" s="17">
        <f t="shared" si="31"/>
        <v>80000</v>
      </c>
      <c r="H505" s="18">
        <v>80000</v>
      </c>
      <c r="I505" s="19">
        <v>3</v>
      </c>
      <c r="J505" s="18">
        <f t="shared" si="34"/>
        <v>90000</v>
      </c>
      <c r="K505" s="18" t="s">
        <v>477</v>
      </c>
      <c r="L505" s="16" t="str">
        <f t="shared" si="35"/>
        <v>فعال</v>
      </c>
      <c r="M505" s="16">
        <v>303</v>
      </c>
      <c r="N505" s="16" t="s">
        <v>1997</v>
      </c>
      <c r="O505" t="s">
        <v>1999</v>
      </c>
      <c r="Q505" s="20"/>
      <c r="AD505">
        <f>IF(AND(LEN($Q$2)&gt;=3,ISNUMBER(SEARCH($Q$2,$B505))),MAX($AD$1:AD504)+1,"")</f>
      </c>
    </row>
    <row r="506" ht="14.4" customHeight="1" spans="1:30" x14ac:dyDescent="0.25">
      <c r="A506" s="16" t="s">
        <v>2000</v>
      </c>
      <c r="B506" s="16" t="s">
        <v>339</v>
      </c>
      <c r="C506" s="16" t="s">
        <v>2001</v>
      </c>
      <c r="D506" s="16"/>
      <c r="E506" s="16" t="s">
        <v>305</v>
      </c>
      <c r="F506" s="16" t="s">
        <v>305</v>
      </c>
      <c r="G506" s="17">
        <f t="shared" si="31"/>
        <v>150000</v>
      </c>
      <c r="H506" s="18">
        <v>150000</v>
      </c>
      <c r="I506" s="19">
        <v>1</v>
      </c>
      <c r="J506" s="18">
        <f t="shared" si="34"/>
        <v>160000</v>
      </c>
      <c r="K506" s="18" t="s">
        <v>477</v>
      </c>
      <c r="L506" s="16" t="str">
        <f t="shared" si="35"/>
        <v>فعال</v>
      </c>
      <c r="M506" s="16">
        <v>303</v>
      </c>
      <c r="N506" s="16" t="s">
        <v>2000</v>
      </c>
      <c r="O506" t="s">
        <v>2002</v>
      </c>
      <c r="Q506" s="20"/>
      <c r="AD506">
        <f>IF(AND(LEN($Q$2)&gt;=3,ISNUMBER(SEARCH($Q$2,$B506))),MAX($AD$1:AD505)+1,"")</f>
      </c>
    </row>
    <row r="507" ht="14.4" customHeight="1" spans="1:30" x14ac:dyDescent="0.25">
      <c r="A507" s="16" t="s">
        <v>2003</v>
      </c>
      <c r="B507" s="16" t="s">
        <v>340</v>
      </c>
      <c r="C507" s="16" t="s">
        <v>2004</v>
      </c>
      <c r="D507" s="16"/>
      <c r="E507" s="16" t="s">
        <v>11</v>
      </c>
      <c r="F507" s="16" t="s">
        <v>11</v>
      </c>
      <c r="G507" s="17">
        <f t="shared" si="31"/>
        <v>70000</v>
      </c>
      <c r="H507" s="18">
        <v>70000</v>
      </c>
      <c r="I507" s="19">
        <v>3</v>
      </c>
      <c r="J507" s="18">
        <f t="shared" si="34"/>
        <v>80000</v>
      </c>
      <c r="K507" s="18" t="s">
        <v>477</v>
      </c>
      <c r="L507" s="16" t="str">
        <f t="shared" si="35"/>
        <v>فعال</v>
      </c>
      <c r="M507" s="16">
        <v>304</v>
      </c>
      <c r="N507" s="16" t="s">
        <v>2003</v>
      </c>
      <c r="O507" t="s">
        <v>2005</v>
      </c>
      <c r="Q507" s="20"/>
      <c r="AD507">
        <f>IF(AND(LEN($Q$2)&gt;=3,ISNUMBER(SEARCH($Q$2,$B507))),MAX($AD$1:AD506)+1,"")</f>
      </c>
    </row>
    <row r="508" ht="14.4" customHeight="1" spans="1:30" x14ac:dyDescent="0.25">
      <c r="A508" s="16" t="s">
        <v>2006</v>
      </c>
      <c r="B508" s="16" t="s">
        <v>340</v>
      </c>
      <c r="C508" s="16" t="s">
        <v>2007</v>
      </c>
      <c r="D508" s="16"/>
      <c r="E508" s="16" t="s">
        <v>305</v>
      </c>
      <c r="F508" s="16" t="s">
        <v>305</v>
      </c>
      <c r="G508" s="17">
        <f t="shared" si="31"/>
        <v>130000</v>
      </c>
      <c r="H508" s="18">
        <v>130000</v>
      </c>
      <c r="I508" s="19">
        <v>3</v>
      </c>
      <c r="J508" s="18">
        <f t="shared" si="34"/>
        <v>140000</v>
      </c>
      <c r="K508" s="18" t="s">
        <v>477</v>
      </c>
      <c r="L508" s="16" t="str">
        <f t="shared" si="35"/>
        <v>فعال</v>
      </c>
      <c r="M508" s="16">
        <v>304</v>
      </c>
      <c r="N508" s="16" t="s">
        <v>2006</v>
      </c>
      <c r="O508" t="s">
        <v>2008</v>
      </c>
      <c r="Q508" s="20"/>
      <c r="AD508">
        <f>IF(AND(LEN($Q$2)&gt;=3,ISNUMBER(SEARCH($Q$2,$B508))),MAX($AD$1:AD507)+1,"")</f>
      </c>
    </row>
    <row r="509" ht="14.4" customHeight="1" spans="1:30" x14ac:dyDescent="0.25">
      <c r="A509" s="16" t="s">
        <v>2009</v>
      </c>
      <c r="B509" s="16" t="s">
        <v>341</v>
      </c>
      <c r="C509" s="16" t="s">
        <v>2010</v>
      </c>
      <c r="D509" s="16"/>
      <c r="E509" s="16" t="s">
        <v>11</v>
      </c>
      <c r="F509" s="16" t="s">
        <v>11</v>
      </c>
      <c r="G509" s="17">
        <f t="shared" si="31"/>
        <v>70000</v>
      </c>
      <c r="H509" s="18">
        <v>70000</v>
      </c>
      <c r="I509" s="19">
        <v>2</v>
      </c>
      <c r="J509" s="18">
        <f t="shared" si="34"/>
        <v>80000</v>
      </c>
      <c r="K509" s="18" t="s">
        <v>477</v>
      </c>
      <c r="L509" s="16" t="str">
        <f t="shared" si="35"/>
        <v>فعال</v>
      </c>
      <c r="M509" s="16">
        <v>305</v>
      </c>
      <c r="N509" s="16" t="s">
        <v>2009</v>
      </c>
      <c r="O509" t="s">
        <v>2011</v>
      </c>
      <c r="Q509" s="20"/>
      <c r="AD509">
        <f>IF(AND(LEN($Q$2)&gt;=3,ISNUMBER(SEARCH($Q$2,$B509))),MAX($AD$1:AD508)+1,"")</f>
      </c>
    </row>
    <row r="510" ht="14.4" customHeight="1" spans="1:30" x14ac:dyDescent="0.25">
      <c r="A510" s="16" t="s">
        <v>2012</v>
      </c>
      <c r="B510" s="16" t="s">
        <v>341</v>
      </c>
      <c r="C510" s="16" t="s">
        <v>2013</v>
      </c>
      <c r="D510" s="16"/>
      <c r="E510" s="16" t="s">
        <v>305</v>
      </c>
      <c r="F510" s="16" t="s">
        <v>305</v>
      </c>
      <c r="G510" s="17">
        <f t="shared" si="31"/>
        <v>130000</v>
      </c>
      <c r="H510" s="18">
        <v>130000</v>
      </c>
      <c r="I510" s="19">
        <v>3</v>
      </c>
      <c r="J510" s="18">
        <f t="shared" si="34"/>
        <v>140000</v>
      </c>
      <c r="K510" s="18" t="s">
        <v>477</v>
      </c>
      <c r="L510" s="16" t="str">
        <f t="shared" si="35"/>
        <v>فعال</v>
      </c>
      <c r="M510" s="16">
        <v>305</v>
      </c>
      <c r="N510" s="16" t="s">
        <v>2012</v>
      </c>
      <c r="O510" t="s">
        <v>2014</v>
      </c>
      <c r="Q510" s="20"/>
      <c r="AD510">
        <f>IF(AND(LEN($Q$2)&gt;=3,ISNUMBER(SEARCH($Q$2,$B510))),MAX($AD$1:AD509)+1,"")</f>
      </c>
    </row>
    <row r="511" ht="14.4" customHeight="1" spans="1:30" x14ac:dyDescent="0.25">
      <c r="A511" s="16" t="s">
        <v>2015</v>
      </c>
      <c r="B511" s="16" t="s">
        <v>342</v>
      </c>
      <c r="C511" s="16" t="s">
        <v>2016</v>
      </c>
      <c r="D511" s="16"/>
      <c r="E511" s="16" t="s">
        <v>11</v>
      </c>
      <c r="F511" s="16" t="s">
        <v>11</v>
      </c>
      <c r="G511" s="17">
        <f t="shared" si="31"/>
        <v>80000</v>
      </c>
      <c r="H511" s="18">
        <v>80000</v>
      </c>
      <c r="I511" s="19">
        <v>3</v>
      </c>
      <c r="J511" s="18">
        <f t="shared" si="34"/>
        <v>90000</v>
      </c>
      <c r="K511" s="18" t="s">
        <v>477</v>
      </c>
      <c r="L511" s="16" t="str">
        <f t="shared" si="35"/>
        <v>فعال</v>
      </c>
      <c r="M511" s="16">
        <v>306</v>
      </c>
      <c r="N511" s="16" t="s">
        <v>2015</v>
      </c>
      <c r="O511" t="s">
        <v>2017</v>
      </c>
      <c r="Q511" s="20"/>
      <c r="AD511">
        <f>IF(AND(LEN($Q$2)&gt;=3,ISNUMBER(SEARCH($Q$2,$B511))),MAX($AD$1:AD510)+1,"")</f>
      </c>
    </row>
    <row r="512" ht="14.4" customHeight="1" spans="1:30" x14ac:dyDescent="0.25">
      <c r="A512" s="16" t="s">
        <v>2018</v>
      </c>
      <c r="B512" s="16" t="s">
        <v>342</v>
      </c>
      <c r="C512" s="16" t="s">
        <v>2019</v>
      </c>
      <c r="D512" s="16"/>
      <c r="E512" s="16" t="s">
        <v>305</v>
      </c>
      <c r="F512" s="16" t="s">
        <v>305</v>
      </c>
      <c r="G512" s="17">
        <f t="shared" si="31"/>
        <v>150000</v>
      </c>
      <c r="H512" s="18">
        <v>150000</v>
      </c>
      <c r="I512" s="19">
        <v>3</v>
      </c>
      <c r="J512" s="18">
        <f t="shared" si="34"/>
        <v>160000</v>
      </c>
      <c r="K512" s="18" t="s">
        <v>477</v>
      </c>
      <c r="L512" s="16" t="str">
        <f t="shared" si="35"/>
        <v>فعال</v>
      </c>
      <c r="M512" s="16">
        <v>306</v>
      </c>
      <c r="N512" s="16" t="s">
        <v>2018</v>
      </c>
      <c r="O512" t="s">
        <v>2020</v>
      </c>
      <c r="Q512" s="20"/>
      <c r="AD512">
        <f>IF(AND(LEN($Q$2)&gt;=3,ISNUMBER(SEARCH($Q$2,$B512))),MAX($AD$1:AD511)+1,"")</f>
      </c>
    </row>
    <row r="513" ht="14.4" customHeight="1" spans="1:30" x14ac:dyDescent="0.25">
      <c r="A513" s="16" t="s">
        <v>2021</v>
      </c>
      <c r="B513" s="16" t="s">
        <v>343</v>
      </c>
      <c r="C513" s="16" t="s">
        <v>2022</v>
      </c>
      <c r="D513" s="16"/>
      <c r="E513" s="16" t="s">
        <v>11</v>
      </c>
      <c r="F513" s="16" t="s">
        <v>11</v>
      </c>
      <c r="G513" s="17">
        <f t="shared" si="31"/>
        <v>70000</v>
      </c>
      <c r="H513" s="18">
        <v>70000</v>
      </c>
      <c r="I513" s="19">
        <v>1</v>
      </c>
      <c r="J513" s="18">
        <f t="shared" si="34"/>
        <v>80000</v>
      </c>
      <c r="K513" s="18" t="s">
        <v>477</v>
      </c>
      <c r="L513" s="16" t="str">
        <f t="shared" si="35"/>
        <v>فعال</v>
      </c>
      <c r="M513" s="16">
        <v>307</v>
      </c>
      <c r="N513" s="16" t="s">
        <v>2021</v>
      </c>
      <c r="O513" t="s">
        <v>2023</v>
      </c>
      <c r="Q513" s="20"/>
      <c r="AD513">
        <f>IF(AND(LEN($Q$2)&gt;=3,ISNUMBER(SEARCH($Q$2,$B513))),MAX($AD$1:AD512)+1,"")</f>
      </c>
    </row>
    <row r="514" ht="14.4" customHeight="1" spans="1:30" x14ac:dyDescent="0.25">
      <c r="A514" s="16" t="s">
        <v>2024</v>
      </c>
      <c r="B514" s="16" t="s">
        <v>343</v>
      </c>
      <c r="C514" s="16" t="s">
        <v>2025</v>
      </c>
      <c r="D514" s="16"/>
      <c r="E514" s="16" t="s">
        <v>305</v>
      </c>
      <c r="F514" s="16" t="s">
        <v>305</v>
      </c>
      <c r="G514" s="17">
        <f t="shared" ref="G514:G542" si="36">H514</f>
        <v>130000</v>
      </c>
      <c r="H514" s="18">
        <v>130000</v>
      </c>
      <c r="I514" s="19">
        <v>2</v>
      </c>
      <c r="J514" s="18">
        <f t="shared" si="34"/>
        <v>140000</v>
      </c>
      <c r="K514" s="18" t="s">
        <v>477</v>
      </c>
      <c r="L514" s="16" t="str">
        <f t="shared" si="35"/>
        <v>فعال</v>
      </c>
      <c r="M514" s="16">
        <v>307</v>
      </c>
      <c r="N514" s="16" t="s">
        <v>2024</v>
      </c>
      <c r="O514" t="s">
        <v>2026</v>
      </c>
      <c r="Q514" s="20"/>
      <c r="AD514">
        <f>IF(AND(LEN($Q$2)&gt;=3,ISNUMBER(SEARCH($Q$2,$B514))),MAX($AD$1:AD513)+1,"")</f>
      </c>
    </row>
    <row r="515" ht="14.4" customHeight="1" spans="1:30" x14ac:dyDescent="0.25">
      <c r="A515" s="16" t="s">
        <v>2027</v>
      </c>
      <c r="B515" s="16" t="s">
        <v>344</v>
      </c>
      <c r="C515" s="16" t="s">
        <v>2028</v>
      </c>
      <c r="D515" s="16"/>
      <c r="E515" s="16" t="s">
        <v>11</v>
      </c>
      <c r="F515" s="16" t="s">
        <v>11</v>
      </c>
      <c r="G515" s="17">
        <f t="shared" si="36"/>
        <v>80000</v>
      </c>
      <c r="H515" s="18">
        <v>80000</v>
      </c>
      <c r="I515" s="19">
        <v>1</v>
      </c>
      <c r="J515" s="18">
        <f t="shared" si="34"/>
        <v>90000</v>
      </c>
      <c r="K515" s="18" t="s">
        <v>477</v>
      </c>
      <c r="L515" s="16" t="str">
        <f t="shared" si="35"/>
        <v>فعال</v>
      </c>
      <c r="M515" s="16">
        <v>308</v>
      </c>
      <c r="N515" s="16" t="s">
        <v>2027</v>
      </c>
      <c r="O515" t="s">
        <v>2029</v>
      </c>
      <c r="Q515" s="20"/>
      <c r="AD515">
        <f>IF(AND(LEN($Q$2)&gt;=3,ISNUMBER(SEARCH($Q$2,$B515))),MAX($AD$1:AD514)+1,"")</f>
      </c>
    </row>
    <row r="516" ht="14.4" customHeight="1" spans="1:30" x14ac:dyDescent="0.25">
      <c r="A516" s="16" t="s">
        <v>2030</v>
      </c>
      <c r="B516" s="16" t="s">
        <v>344</v>
      </c>
      <c r="C516" s="16" t="s">
        <v>2031</v>
      </c>
      <c r="D516" s="16"/>
      <c r="E516" s="16" t="s">
        <v>305</v>
      </c>
      <c r="F516" s="16" t="s">
        <v>305</v>
      </c>
      <c r="G516" s="17">
        <f t="shared" si="36"/>
        <v>150000</v>
      </c>
      <c r="H516" s="18">
        <v>150000</v>
      </c>
      <c r="I516" s="19">
        <v>1</v>
      </c>
      <c r="J516" s="18">
        <f t="shared" si="34"/>
        <v>160000</v>
      </c>
      <c r="K516" s="18" t="s">
        <v>477</v>
      </c>
      <c r="L516" s="16" t="str">
        <f t="shared" si="35"/>
        <v>فعال</v>
      </c>
      <c r="M516" s="16">
        <v>308</v>
      </c>
      <c r="N516" s="16" t="s">
        <v>2030</v>
      </c>
      <c r="O516" t="s">
        <v>2032</v>
      </c>
      <c r="Q516" s="20"/>
      <c r="AD516">
        <f>IF(AND(LEN($Q$2)&gt;=3,ISNUMBER(SEARCH($Q$2,$B516))),MAX($AD$1:AD515)+1,"")</f>
      </c>
    </row>
    <row r="517" ht="14.4" customHeight="1" spans="1:30" x14ac:dyDescent="0.25">
      <c r="A517" s="16" t="s">
        <v>2033</v>
      </c>
      <c r="B517" s="16" t="s">
        <v>348</v>
      </c>
      <c r="C517" s="16" t="s">
        <v>2034</v>
      </c>
      <c r="D517" s="16"/>
      <c r="E517" s="16" t="s">
        <v>11</v>
      </c>
      <c r="F517" s="16" t="s">
        <v>11</v>
      </c>
      <c r="G517" s="17">
        <f t="shared" si="36"/>
        <v>90000</v>
      </c>
      <c r="H517" s="18">
        <v>90000</v>
      </c>
      <c r="I517" s="19">
        <v>3</v>
      </c>
      <c r="J517" s="18">
        <f t="shared" si="34"/>
        <v>100000</v>
      </c>
      <c r="K517" s="18" t="s">
        <v>477</v>
      </c>
      <c r="L517" s="16" t="str">
        <f t="shared" si="35"/>
        <v>فعال</v>
      </c>
      <c r="M517" s="16">
        <v>312</v>
      </c>
      <c r="N517" s="16" t="s">
        <v>2033</v>
      </c>
      <c r="O517" t="s">
        <v>2035</v>
      </c>
      <c r="Q517" s="20"/>
      <c r="AD517">
        <f>IF(AND(LEN($Q$2)&gt;=3,ISNUMBER(SEARCH($Q$2,$B517))),MAX($AD$1:AD516)+1,"")</f>
      </c>
    </row>
    <row r="518" ht="14.4" customHeight="1" spans="1:30" x14ac:dyDescent="0.25">
      <c r="A518" s="16" t="s">
        <v>2036</v>
      </c>
      <c r="B518" s="16" t="s">
        <v>348</v>
      </c>
      <c r="C518" s="16" t="s">
        <v>2037</v>
      </c>
      <c r="D518" s="16"/>
      <c r="E518" s="16" t="s">
        <v>305</v>
      </c>
      <c r="F518" s="16" t="s">
        <v>305</v>
      </c>
      <c r="G518" s="17">
        <f t="shared" si="36"/>
        <v>170000</v>
      </c>
      <c r="H518" s="18">
        <v>170000</v>
      </c>
      <c r="I518" s="19">
        <v>3</v>
      </c>
      <c r="J518" s="18">
        <f t="shared" si="34"/>
        <v>180000</v>
      </c>
      <c r="K518" s="18" t="s">
        <v>477</v>
      </c>
      <c r="L518" s="16" t="str">
        <f t="shared" si="35"/>
        <v>فعال</v>
      </c>
      <c r="M518" s="16">
        <v>312</v>
      </c>
      <c r="N518" s="16" t="s">
        <v>2036</v>
      </c>
      <c r="O518" t="s">
        <v>2038</v>
      </c>
      <c r="Q518" s="20"/>
      <c r="AD518">
        <f>IF(AND(LEN($Q$2)&gt;=3,ISNUMBER(SEARCH($Q$2,$B518))),MAX($AD$1:AD517)+1,"")</f>
      </c>
    </row>
    <row r="519" ht="14.4" customHeight="1" spans="1:30" x14ac:dyDescent="0.25">
      <c r="A519" s="16" t="s">
        <v>2039</v>
      </c>
      <c r="B519" s="16" t="s">
        <v>345</v>
      </c>
      <c r="C519" s="16" t="s">
        <v>2040</v>
      </c>
      <c r="D519" s="16"/>
      <c r="E519" s="16" t="s">
        <v>11</v>
      </c>
      <c r="F519" s="16" t="s">
        <v>11</v>
      </c>
      <c r="G519" s="17" t="str">
        <f t="shared" si="36"/>
        <v>؟</v>
      </c>
      <c r="H519" s="18" t="s">
        <v>8</v>
      </c>
      <c r="I519" s="19">
        <v>1</v>
      </c>
      <c r="J519" s="18">
        <f t="shared" si="34"/>
      </c>
      <c r="K519" s="18" t="s">
        <v>477</v>
      </c>
      <c r="L519" s="16" t="str">
        <f t="shared" si="35"/>
        <v>نیاز به استعلام</v>
      </c>
      <c r="M519" s="16">
        <v>309</v>
      </c>
      <c r="N519" s="16" t="s">
        <v>2039</v>
      </c>
      <c r="O519" t="s">
        <v>2041</v>
      </c>
      <c r="Q519" s="20"/>
      <c r="AD519">
        <f>IF(AND(LEN($Q$2)&gt;=3,ISNUMBER(SEARCH($Q$2,$B519))),MAX($AD$1:AD518)+1,"")</f>
      </c>
    </row>
    <row r="520" ht="14.4" customHeight="1" spans="1:30" x14ac:dyDescent="0.25">
      <c r="A520" s="16" t="s">
        <v>2042</v>
      </c>
      <c r="B520" s="16" t="s">
        <v>345</v>
      </c>
      <c r="C520" s="16" t="s">
        <v>2043</v>
      </c>
      <c r="D520" s="16"/>
      <c r="E520" s="16" t="s">
        <v>305</v>
      </c>
      <c r="F520" s="16" t="s">
        <v>305</v>
      </c>
      <c r="G520" s="17" t="str">
        <f t="shared" si="36"/>
        <v>؟</v>
      </c>
      <c r="H520" s="18" t="s">
        <v>8</v>
      </c>
      <c r="I520" s="19">
        <v>2</v>
      </c>
      <c r="J520" s="18">
        <f t="shared" si="34"/>
      </c>
      <c r="K520" s="18" t="s">
        <v>477</v>
      </c>
      <c r="L520" s="16" t="str">
        <f t="shared" si="35"/>
        <v>نیاز به استعلام</v>
      </c>
      <c r="M520" s="16">
        <v>309</v>
      </c>
      <c r="N520" s="16" t="s">
        <v>2042</v>
      </c>
      <c r="O520" t="s">
        <v>2044</v>
      </c>
      <c r="Q520" s="20"/>
      <c r="AD520">
        <f>IF(AND(LEN($Q$2)&gt;=3,ISNUMBER(SEARCH($Q$2,$B520))),MAX($AD$1:AD519)+1,"")</f>
      </c>
    </row>
    <row r="521" ht="14.4" customHeight="1" spans="1:30" x14ac:dyDescent="0.25">
      <c r="A521" s="16" t="s">
        <v>2045</v>
      </c>
      <c r="B521" s="16" t="s">
        <v>346</v>
      </c>
      <c r="C521" s="16" t="s">
        <v>2046</v>
      </c>
      <c r="D521" s="16"/>
      <c r="E521" s="16" t="s">
        <v>11</v>
      </c>
      <c r="F521" s="16" t="s">
        <v>11</v>
      </c>
      <c r="G521" s="17">
        <f t="shared" si="36"/>
        <v>195000</v>
      </c>
      <c r="H521" s="18">
        <v>195000</v>
      </c>
      <c r="I521" s="19">
        <v>3</v>
      </c>
      <c r="J521" s="18">
        <f t="shared" si="34"/>
        <v>210000</v>
      </c>
      <c r="K521" s="18" t="s">
        <v>477</v>
      </c>
      <c r="L521" s="16" t="str">
        <f t="shared" si="35"/>
        <v>فعال</v>
      </c>
      <c r="M521" s="16">
        <v>310</v>
      </c>
      <c r="N521" s="16" t="s">
        <v>2045</v>
      </c>
      <c r="O521" t="s">
        <v>2047</v>
      </c>
      <c r="Q521" s="20"/>
      <c r="AD521">
        <f>IF(AND(LEN($Q$2)&gt;=3,ISNUMBER(SEARCH($Q$2,$B521))),MAX($AD$1:AD520)+1,"")</f>
      </c>
    </row>
    <row r="522" ht="14.4" customHeight="1" spans="1:30" x14ac:dyDescent="0.25">
      <c r="A522" s="16" t="s">
        <v>2048</v>
      </c>
      <c r="B522" s="16" t="s">
        <v>346</v>
      </c>
      <c r="C522" s="16" t="s">
        <v>2049</v>
      </c>
      <c r="D522" s="16"/>
      <c r="E522" s="16" t="s">
        <v>305</v>
      </c>
      <c r="F522" s="16" t="s">
        <v>305</v>
      </c>
      <c r="G522" s="17">
        <f t="shared" si="36"/>
        <v>380000</v>
      </c>
      <c r="H522" s="18">
        <v>380000</v>
      </c>
      <c r="I522" s="19">
        <v>1</v>
      </c>
      <c r="J522" s="18">
        <f t="shared" si="34"/>
        <v>390000</v>
      </c>
      <c r="K522" s="18" t="s">
        <v>477</v>
      </c>
      <c r="L522" s="16" t="str">
        <f t="shared" si="35"/>
        <v>فعال</v>
      </c>
      <c r="M522" s="16">
        <v>310</v>
      </c>
      <c r="N522" s="16" t="s">
        <v>2048</v>
      </c>
      <c r="O522" t="s">
        <v>2050</v>
      </c>
      <c r="Q522" s="20"/>
      <c r="AD522">
        <f>IF(AND(LEN($Q$2)&gt;=3,ISNUMBER(SEARCH($Q$2,$B522))),MAX($AD$1:AD521)+1,"")</f>
      </c>
    </row>
    <row r="523" ht="14.4" customHeight="1" spans="1:30" x14ac:dyDescent="0.25">
      <c r="A523" s="16" t="s">
        <v>2051</v>
      </c>
      <c r="B523" s="16" t="s">
        <v>347</v>
      </c>
      <c r="C523" s="16" t="s">
        <v>2052</v>
      </c>
      <c r="D523" s="16"/>
      <c r="E523" s="16" t="s">
        <v>11</v>
      </c>
      <c r="F523" s="16" t="s">
        <v>11</v>
      </c>
      <c r="G523" s="17" t="str">
        <f t="shared" si="36"/>
        <v>؟</v>
      </c>
      <c r="H523" s="18" t="s">
        <v>8</v>
      </c>
      <c r="I523" s="19">
        <v>3</v>
      </c>
      <c r="J523" s="18">
        <f t="shared" si="34"/>
      </c>
      <c r="K523" s="18" t="s">
        <v>477</v>
      </c>
      <c r="L523" s="16" t="str">
        <f t="shared" si="35"/>
        <v>نیاز به استعلام</v>
      </c>
      <c r="M523" s="16">
        <v>311</v>
      </c>
      <c r="N523" s="16" t="s">
        <v>2051</v>
      </c>
      <c r="O523" t="s">
        <v>2053</v>
      </c>
      <c r="Q523" s="20"/>
      <c r="AD523">
        <f>IF(AND(LEN($Q$2)&gt;=3,ISNUMBER(SEARCH($Q$2,$B523))),MAX($AD$1:AD522)+1,"")</f>
      </c>
    </row>
    <row r="524" ht="14.4" customHeight="1" spans="1:30" x14ac:dyDescent="0.25">
      <c r="A524" s="16" t="s">
        <v>2054</v>
      </c>
      <c r="B524" s="16" t="s">
        <v>347</v>
      </c>
      <c r="C524" s="16" t="s">
        <v>2055</v>
      </c>
      <c r="D524" s="16"/>
      <c r="E524" s="16" t="s">
        <v>305</v>
      </c>
      <c r="F524" s="16" t="s">
        <v>305</v>
      </c>
      <c r="G524" s="17" t="str">
        <f t="shared" si="36"/>
        <v>؟</v>
      </c>
      <c r="H524" s="18" t="s">
        <v>8</v>
      </c>
      <c r="I524" s="19">
        <v>3</v>
      </c>
      <c r="J524" s="18">
        <f t="shared" si="34"/>
      </c>
      <c r="K524" s="18" t="s">
        <v>477</v>
      </c>
      <c r="L524" s="16" t="str">
        <f t="shared" si="35"/>
        <v>نیاز به استعلام</v>
      </c>
      <c r="M524" s="16">
        <v>311</v>
      </c>
      <c r="N524" s="16" t="s">
        <v>2054</v>
      </c>
      <c r="O524" t="s">
        <v>2056</v>
      </c>
      <c r="Q524" s="20"/>
      <c r="AD524">
        <f>IF(AND(LEN($Q$2)&gt;=3,ISNUMBER(SEARCH($Q$2,$B524))),MAX($AD$1:AD523)+1,"")</f>
      </c>
    </row>
    <row r="525" ht="14.4" customHeight="1" spans="1:30" x14ac:dyDescent="0.25">
      <c r="A525" s="16" t="s">
        <v>2057</v>
      </c>
      <c r="B525" s="16" t="s">
        <v>349</v>
      </c>
      <c r="C525" s="16" t="s">
        <v>2058</v>
      </c>
      <c r="D525" s="16"/>
      <c r="E525" s="16" t="s">
        <v>11</v>
      </c>
      <c r="F525" s="16" t="s">
        <v>11</v>
      </c>
      <c r="G525" s="17">
        <f t="shared" si="36"/>
        <v>120000</v>
      </c>
      <c r="H525" s="18">
        <v>120000</v>
      </c>
      <c r="I525" s="19">
        <v>1</v>
      </c>
      <c r="J525" s="18">
        <f t="shared" si="34"/>
        <v>130000</v>
      </c>
      <c r="K525" s="18" t="s">
        <v>477</v>
      </c>
      <c r="L525" s="16" t="str">
        <f t="shared" si="35"/>
        <v>فعال</v>
      </c>
      <c r="M525" s="16">
        <v>313</v>
      </c>
      <c r="N525" s="16" t="s">
        <v>2057</v>
      </c>
      <c r="O525" t="s">
        <v>2059</v>
      </c>
      <c r="Q525" s="20"/>
      <c r="AD525">
        <f>IF(AND(LEN($Q$2)&gt;=3,ISNUMBER(SEARCH($Q$2,$B525))),MAX($AD$1:AD524)+1,"")</f>
      </c>
    </row>
    <row r="526" ht="14.4" customHeight="1" spans="1:30" x14ac:dyDescent="0.25">
      <c r="A526" s="16" t="s">
        <v>2060</v>
      </c>
      <c r="B526" s="16" t="s">
        <v>349</v>
      </c>
      <c r="C526" s="16" t="s">
        <v>2061</v>
      </c>
      <c r="D526" s="16"/>
      <c r="E526" s="16" t="s">
        <v>305</v>
      </c>
      <c r="F526" s="16" t="s">
        <v>305</v>
      </c>
      <c r="G526" s="17">
        <f t="shared" si="36"/>
        <v>240000</v>
      </c>
      <c r="H526" s="18">
        <v>240000</v>
      </c>
      <c r="I526" s="19">
        <v>3</v>
      </c>
      <c r="J526" s="18">
        <f t="shared" si="34"/>
        <v>250000</v>
      </c>
      <c r="K526" s="18" t="s">
        <v>477</v>
      </c>
      <c r="L526" s="16" t="str">
        <f t="shared" si="35"/>
        <v>فعال</v>
      </c>
      <c r="M526" s="16">
        <v>313</v>
      </c>
      <c r="N526" s="16" t="s">
        <v>2060</v>
      </c>
      <c r="O526" t="s">
        <v>2062</v>
      </c>
      <c r="Q526" s="20"/>
      <c r="AD526">
        <f>IF(AND(LEN($Q$2)&gt;=3,ISNUMBER(SEARCH($Q$2,$B526))),MAX($AD$1:AD525)+1,"")</f>
      </c>
    </row>
    <row r="527" ht="14.4" customHeight="1" spans="1:30" x14ac:dyDescent="0.25">
      <c r="A527" s="16" t="s">
        <v>2063</v>
      </c>
      <c r="B527" s="16" t="s">
        <v>350</v>
      </c>
      <c r="C527" s="16" t="s">
        <v>2064</v>
      </c>
      <c r="D527" s="16"/>
      <c r="E527" s="16" t="s">
        <v>11</v>
      </c>
      <c r="F527" s="16" t="s">
        <v>11</v>
      </c>
      <c r="G527" s="17">
        <f t="shared" si="36"/>
        <v>95000</v>
      </c>
      <c r="H527" s="18">
        <v>95000</v>
      </c>
      <c r="I527" s="19">
        <v>1</v>
      </c>
      <c r="J527" s="18">
        <f t="shared" si="34"/>
        <v>100000</v>
      </c>
      <c r="K527" s="18" t="s">
        <v>477</v>
      </c>
      <c r="L527" s="16" t="str">
        <f t="shared" si="35"/>
        <v>فعال</v>
      </c>
      <c r="M527" s="16">
        <v>314</v>
      </c>
      <c r="N527" s="16" t="s">
        <v>2063</v>
      </c>
      <c r="O527" t="s">
        <v>2065</v>
      </c>
      <c r="Q527" s="20"/>
      <c r="AD527">
        <f>IF(AND(LEN($Q$2)&gt;=3,ISNUMBER(SEARCH($Q$2,$B527))),MAX($AD$1:AD526)+1,"")</f>
      </c>
    </row>
    <row r="528" ht="14.4" customHeight="1" spans="1:30" x14ac:dyDescent="0.25">
      <c r="A528" s="16" t="s">
        <v>2066</v>
      </c>
      <c r="B528" s="16" t="s">
        <v>350</v>
      </c>
      <c r="C528" s="16" t="s">
        <v>2067</v>
      </c>
      <c r="D528" s="16"/>
      <c r="E528" s="16" t="s">
        <v>305</v>
      </c>
      <c r="F528" s="16" t="s">
        <v>305</v>
      </c>
      <c r="G528" s="17">
        <f t="shared" si="36"/>
        <v>180000</v>
      </c>
      <c r="H528" s="18">
        <v>180000</v>
      </c>
      <c r="I528" s="19">
        <v>1</v>
      </c>
      <c r="J528" s="18">
        <f t="shared" si="34"/>
        <v>190000</v>
      </c>
      <c r="K528" s="18" t="s">
        <v>477</v>
      </c>
      <c r="L528" s="16" t="str">
        <f t="shared" si="35"/>
        <v>فعال</v>
      </c>
      <c r="M528" s="16">
        <v>314</v>
      </c>
      <c r="N528" s="16" t="s">
        <v>2066</v>
      </c>
      <c r="O528" t="s">
        <v>2068</v>
      </c>
      <c r="Q528" s="20"/>
      <c r="AD528">
        <f>IF(AND(LEN($Q$2)&gt;=3,ISNUMBER(SEARCH($Q$2,$B528))),MAX($AD$1:AD527)+1,"")</f>
      </c>
    </row>
    <row r="529" ht="14.4" customHeight="1" spans="1:30" x14ac:dyDescent="0.25">
      <c r="A529" s="16" t="s">
        <v>2069</v>
      </c>
      <c r="B529" s="16" t="s">
        <v>351</v>
      </c>
      <c r="C529" s="16" t="s">
        <v>2070</v>
      </c>
      <c r="D529" s="16"/>
      <c r="E529" s="16" t="s">
        <v>11</v>
      </c>
      <c r="F529" s="16" t="s">
        <v>11</v>
      </c>
      <c r="G529" s="17">
        <f t="shared" si="36"/>
        <v>80000</v>
      </c>
      <c r="H529" s="18">
        <v>80000</v>
      </c>
      <c r="I529" s="19">
        <v>2</v>
      </c>
      <c r="J529" s="18">
        <f t="shared" si="34"/>
        <v>90000</v>
      </c>
      <c r="K529" s="18" t="s">
        <v>477</v>
      </c>
      <c r="L529" s="16" t="str">
        <f t="shared" si="35"/>
        <v>فعال</v>
      </c>
      <c r="M529" s="16">
        <v>315</v>
      </c>
      <c r="N529" s="16" t="s">
        <v>2069</v>
      </c>
      <c r="O529" t="s">
        <v>2071</v>
      </c>
      <c r="Q529" s="20"/>
      <c r="AD529">
        <f>IF(AND(LEN($Q$2)&gt;=3,ISNUMBER(SEARCH($Q$2,$B529))),MAX($AD$1:AD528)+1,"")</f>
      </c>
    </row>
    <row r="530" ht="14.4" customHeight="1" spans="1:30" x14ac:dyDescent="0.25">
      <c r="A530" s="16" t="s">
        <v>2072</v>
      </c>
      <c r="B530" s="16" t="s">
        <v>351</v>
      </c>
      <c r="C530" s="16" t="s">
        <v>2073</v>
      </c>
      <c r="D530" s="16"/>
      <c r="E530" s="16" t="s">
        <v>305</v>
      </c>
      <c r="F530" s="16" t="s">
        <v>305</v>
      </c>
      <c r="G530" s="17">
        <f t="shared" si="36"/>
        <v>150000</v>
      </c>
      <c r="H530" s="18">
        <v>150000</v>
      </c>
      <c r="I530" s="19">
        <v>1</v>
      </c>
      <c r="J530" s="18">
        <f t="shared" si="34"/>
        <v>160000</v>
      </c>
      <c r="K530" s="18" t="s">
        <v>477</v>
      </c>
      <c r="L530" s="16" t="str">
        <f t="shared" si="35"/>
        <v>فعال</v>
      </c>
      <c r="M530" s="16">
        <v>315</v>
      </c>
      <c r="N530" s="16" t="s">
        <v>2072</v>
      </c>
      <c r="O530" t="s">
        <v>2074</v>
      </c>
      <c r="Q530" s="20"/>
      <c r="AD530">
        <f>IF(AND(LEN($Q$2)&gt;=3,ISNUMBER(SEARCH($Q$2,$B530))),MAX($AD$1:AD529)+1,"")</f>
      </c>
    </row>
    <row r="531" ht="14.4" customHeight="1" spans="1:30" x14ac:dyDescent="0.25">
      <c r="A531" s="16" t="s">
        <v>2075</v>
      </c>
      <c r="B531" s="16" t="s">
        <v>352</v>
      </c>
      <c r="C531" s="16" t="s">
        <v>2076</v>
      </c>
      <c r="D531" s="16"/>
      <c r="E531" s="16" t="s">
        <v>11</v>
      </c>
      <c r="F531" s="16" t="s">
        <v>11</v>
      </c>
      <c r="G531" s="17">
        <f t="shared" si="36"/>
        <v>75000</v>
      </c>
      <c r="H531" s="18">
        <v>75000</v>
      </c>
      <c r="I531" s="19">
        <v>2</v>
      </c>
      <c r="J531" s="18">
        <f t="shared" si="34"/>
        <v>80000</v>
      </c>
      <c r="K531" s="18" t="s">
        <v>477</v>
      </c>
      <c r="L531" s="16" t="str">
        <f t="shared" si="35"/>
        <v>فعال</v>
      </c>
      <c r="M531" s="16">
        <v>316</v>
      </c>
      <c r="N531" s="16" t="s">
        <v>2075</v>
      </c>
      <c r="O531" t="s">
        <v>2077</v>
      </c>
      <c r="Q531" s="20"/>
      <c r="AD531">
        <f>IF(AND(LEN($Q$2)&gt;=3,ISNUMBER(SEARCH($Q$2,$B531))),MAX($AD$1:AD530)+1,"")</f>
      </c>
    </row>
    <row r="532" ht="14.4" customHeight="1" spans="1:30" x14ac:dyDescent="0.25">
      <c r="A532" s="16" t="s">
        <v>2078</v>
      </c>
      <c r="B532" s="16" t="s">
        <v>352</v>
      </c>
      <c r="C532" s="16" t="s">
        <v>2079</v>
      </c>
      <c r="D532" s="16"/>
      <c r="E532" s="16" t="s">
        <v>305</v>
      </c>
      <c r="F532" s="16" t="s">
        <v>305</v>
      </c>
      <c r="G532" s="17">
        <f t="shared" si="36"/>
        <v>140000</v>
      </c>
      <c r="H532" s="18">
        <v>140000</v>
      </c>
      <c r="I532" s="19">
        <v>3</v>
      </c>
      <c r="J532" s="18">
        <f t="shared" ref="J532:J542" si="37">IF(OR(H532="",H532="؟",H532="نامشخص"),"",CEILING(H532*(1+I532/100),10000))</f>
        <v>150000</v>
      </c>
      <c r="K532" s="18" t="s">
        <v>477</v>
      </c>
      <c r="L532" s="16" t="str">
        <f t="shared" ref="L532:L542" si="38">IF(OR($H532="",$H532="؟",$H532="نامشخص"),"نیاز به استعلام","فعال")</f>
        <v>فعال</v>
      </c>
      <c r="M532" s="16">
        <v>316</v>
      </c>
      <c r="N532" s="16" t="s">
        <v>2078</v>
      </c>
      <c r="O532" t="s">
        <v>2080</v>
      </c>
      <c r="Q532" s="20"/>
      <c r="AD532">
        <f>IF(AND(LEN($Q$2)&gt;=3,ISNUMBER(SEARCH($Q$2,$B532))),MAX($AD$1:AD531)+1,"")</f>
      </c>
    </row>
    <row r="533" ht="14.4" customHeight="1" spans="1:30" x14ac:dyDescent="0.25">
      <c r="A533" s="16" t="s">
        <v>2081</v>
      </c>
      <c r="B533" s="16" t="s">
        <v>353</v>
      </c>
      <c r="C533" s="16" t="s">
        <v>2082</v>
      </c>
      <c r="D533" s="16"/>
      <c r="E533" s="16" t="s">
        <v>11</v>
      </c>
      <c r="F533" s="16" t="s">
        <v>11</v>
      </c>
      <c r="G533" s="17">
        <f t="shared" si="36"/>
        <v>230000</v>
      </c>
      <c r="H533" s="18">
        <v>230000</v>
      </c>
      <c r="I533" s="19">
        <v>2</v>
      </c>
      <c r="J533" s="18">
        <f t="shared" si="37"/>
        <v>240000</v>
      </c>
      <c r="K533" s="18" t="s">
        <v>477</v>
      </c>
      <c r="L533" s="16" t="str">
        <f t="shared" si="38"/>
        <v>فعال</v>
      </c>
      <c r="M533" s="16">
        <v>317</v>
      </c>
      <c r="N533" s="16" t="s">
        <v>2081</v>
      </c>
      <c r="O533" t="s">
        <v>2083</v>
      </c>
      <c r="Q533" s="20"/>
      <c r="AD533">
        <f>IF(AND(LEN($Q$2)&gt;=3,ISNUMBER(SEARCH($Q$2,$B533))),MAX($AD$1:AD532)+1,"")</f>
      </c>
    </row>
    <row r="534" ht="14.4" customHeight="1" spans="1:30" x14ac:dyDescent="0.25">
      <c r="A534" s="16" t="s">
        <v>2084</v>
      </c>
      <c r="B534" s="16" t="s">
        <v>353</v>
      </c>
      <c r="C534" s="16" t="s">
        <v>2085</v>
      </c>
      <c r="D534" s="16"/>
      <c r="E534" s="16" t="s">
        <v>305</v>
      </c>
      <c r="F534" s="16" t="s">
        <v>305</v>
      </c>
      <c r="G534" s="17">
        <f t="shared" si="36"/>
        <v>450000</v>
      </c>
      <c r="H534" s="18">
        <v>450000</v>
      </c>
      <c r="I534" s="19">
        <v>2</v>
      </c>
      <c r="J534" s="18">
        <f t="shared" si="37"/>
        <v>460000</v>
      </c>
      <c r="K534" s="18" t="s">
        <v>477</v>
      </c>
      <c r="L534" s="16" t="str">
        <f t="shared" si="38"/>
        <v>فعال</v>
      </c>
      <c r="M534" s="16">
        <v>317</v>
      </c>
      <c r="N534" s="16" t="s">
        <v>2084</v>
      </c>
      <c r="O534" t="s">
        <v>2086</v>
      </c>
      <c r="Q534" s="20"/>
      <c r="AD534">
        <f>IF(AND(LEN($Q$2)&gt;=3,ISNUMBER(SEARCH($Q$2,$B534))),MAX($AD$1:AD533)+1,"")</f>
      </c>
    </row>
    <row r="535" ht="14.4" customHeight="1" spans="1:30" x14ac:dyDescent="0.25">
      <c r="A535" s="16" t="s">
        <v>2087</v>
      </c>
      <c r="B535" s="16" t="s">
        <v>354</v>
      </c>
      <c r="C535" s="16" t="s">
        <v>2088</v>
      </c>
      <c r="D535" s="16"/>
      <c r="E535" s="16" t="s">
        <v>11</v>
      </c>
      <c r="F535" s="16" t="s">
        <v>11</v>
      </c>
      <c r="G535" s="17">
        <f t="shared" si="36"/>
        <v>80000</v>
      </c>
      <c r="H535" s="18">
        <v>80000</v>
      </c>
      <c r="I535" s="19">
        <v>3</v>
      </c>
      <c r="J535" s="18">
        <f t="shared" si="37"/>
        <v>90000</v>
      </c>
      <c r="K535" s="18" t="s">
        <v>477</v>
      </c>
      <c r="L535" s="16" t="str">
        <f t="shared" si="38"/>
        <v>فعال</v>
      </c>
      <c r="M535" s="16">
        <v>318</v>
      </c>
      <c r="N535" s="16" t="s">
        <v>2087</v>
      </c>
      <c r="O535" t="s">
        <v>2089</v>
      </c>
      <c r="Q535" s="20"/>
      <c r="AD535">
        <f>IF(AND(LEN($Q$2)&gt;=3,ISNUMBER(SEARCH($Q$2,$B535))),MAX($AD$1:AD534)+1,"")</f>
      </c>
    </row>
    <row r="536" ht="14.4" customHeight="1" spans="1:30" x14ac:dyDescent="0.25">
      <c r="A536" s="16" t="s">
        <v>2090</v>
      </c>
      <c r="B536" s="16" t="s">
        <v>354</v>
      </c>
      <c r="C536" s="16" t="s">
        <v>2091</v>
      </c>
      <c r="D536" s="16"/>
      <c r="E536" s="16" t="s">
        <v>305</v>
      </c>
      <c r="F536" s="16" t="s">
        <v>305</v>
      </c>
      <c r="G536" s="17">
        <f t="shared" si="36"/>
        <v>150000</v>
      </c>
      <c r="H536" s="18">
        <v>150000</v>
      </c>
      <c r="I536" s="19">
        <v>2</v>
      </c>
      <c r="J536" s="18">
        <f t="shared" si="37"/>
        <v>160000</v>
      </c>
      <c r="K536" s="18" t="s">
        <v>477</v>
      </c>
      <c r="L536" s="16" t="str">
        <f t="shared" si="38"/>
        <v>فعال</v>
      </c>
      <c r="M536" s="16">
        <v>318</v>
      </c>
      <c r="N536" s="16" t="s">
        <v>2090</v>
      </c>
      <c r="O536" t="s">
        <v>2092</v>
      </c>
      <c r="Q536" s="20"/>
      <c r="AD536">
        <f>IF(AND(LEN($Q$2)&gt;=3,ISNUMBER(SEARCH($Q$2,$B536))),MAX($AD$1:AD535)+1,"")</f>
      </c>
    </row>
    <row r="537" ht="14.4" customHeight="1" spans="1:30" x14ac:dyDescent="0.25">
      <c r="A537" s="16" t="s">
        <v>2093</v>
      </c>
      <c r="B537" s="16" t="s">
        <v>386</v>
      </c>
      <c r="C537" s="16" t="s">
        <v>2094</v>
      </c>
      <c r="D537" s="16"/>
      <c r="E537" s="16"/>
      <c r="F537" s="16"/>
      <c r="G537" s="17">
        <f t="shared" si="36"/>
        <v>290000</v>
      </c>
      <c r="H537" s="18">
        <v>290000</v>
      </c>
      <c r="I537" s="19">
        <v>2</v>
      </c>
      <c r="J537" s="18">
        <f t="shared" si="37"/>
        <v>300000</v>
      </c>
      <c r="K537" s="18" t="s">
        <v>477</v>
      </c>
      <c r="L537" s="16" t="str">
        <f t="shared" si="38"/>
        <v>فعال</v>
      </c>
      <c r="M537" s="16">
        <v>343</v>
      </c>
      <c r="N537" s="16" t="s">
        <v>2093</v>
      </c>
      <c r="O537" t="s">
        <v>2095</v>
      </c>
      <c r="Q537" s="20"/>
      <c r="AD537">
        <f>IF(AND(LEN($Q$2)&gt;=3,ISNUMBER(SEARCH($Q$2,$B537))),MAX($AD$1:AD536)+1,"")</f>
      </c>
    </row>
    <row r="538" ht="14.4" customHeight="1" spans="1:30" x14ac:dyDescent="0.25">
      <c r="A538" s="16" t="s">
        <v>2096</v>
      </c>
      <c r="B538" s="16" t="s">
        <v>435</v>
      </c>
      <c r="C538" s="16" t="s">
        <v>2097</v>
      </c>
      <c r="D538" s="16"/>
      <c r="E538" s="16" t="s">
        <v>47</v>
      </c>
      <c r="F538" s="16" t="s">
        <v>47</v>
      </c>
      <c r="G538" s="17">
        <f t="shared" si="36"/>
        <v>250000</v>
      </c>
      <c r="H538" s="18">
        <v>250000</v>
      </c>
      <c r="I538" s="19">
        <v>2</v>
      </c>
      <c r="J538" s="18">
        <f t="shared" si="37"/>
        <v>260000</v>
      </c>
      <c r="K538" s="18" t="s">
        <v>477</v>
      </c>
      <c r="L538" s="16" t="str">
        <f t="shared" si="38"/>
        <v>فعال</v>
      </c>
      <c r="M538" s="16">
        <v>386</v>
      </c>
      <c r="N538" s="16" t="s">
        <v>2096</v>
      </c>
      <c r="O538" t="s">
        <v>2098</v>
      </c>
      <c r="Q538" s="20"/>
      <c r="AD538">
        <f>IF(AND(LEN($Q$2)&gt;=3,ISNUMBER(SEARCH($Q$2,$B538))),MAX($AD$1:AD537)+1,"")</f>
      </c>
    </row>
    <row r="539" ht="14.4" customHeight="1" spans="1:30" x14ac:dyDescent="0.25">
      <c r="A539" s="16" t="s">
        <v>2099</v>
      </c>
      <c r="B539" s="16" t="s">
        <v>445</v>
      </c>
      <c r="C539" s="16" t="s">
        <v>2100</v>
      </c>
      <c r="D539" s="16"/>
      <c r="E539" s="16"/>
      <c r="F539" s="16"/>
      <c r="G539" s="17">
        <f t="shared" si="36"/>
        <v>120000</v>
      </c>
      <c r="H539" s="18">
        <v>120000</v>
      </c>
      <c r="I539" s="19">
        <v>1</v>
      </c>
      <c r="J539" s="18">
        <f t="shared" si="37"/>
        <v>130000</v>
      </c>
      <c r="K539" s="18" t="s">
        <v>477</v>
      </c>
      <c r="L539" s="16" t="str">
        <f t="shared" si="38"/>
        <v>فعال</v>
      </c>
      <c r="M539" s="16">
        <v>395</v>
      </c>
      <c r="N539" s="16" t="s">
        <v>2099</v>
      </c>
      <c r="O539" t="s">
        <v>2101</v>
      </c>
      <c r="Q539" s="20"/>
      <c r="AD539">
        <f>IF(AND(LEN($Q$2)&gt;=3,ISNUMBER(SEARCH($Q$2,$B539))),MAX($AD$1:AD538)+1,"")</f>
      </c>
    </row>
    <row r="540" ht="14.4" customHeight="1" spans="1:30" x14ac:dyDescent="0.25">
      <c r="A540" s="16" t="s">
        <v>2102</v>
      </c>
      <c r="B540" s="16" t="s">
        <v>449</v>
      </c>
      <c r="C540" s="16" t="s">
        <v>2103</v>
      </c>
      <c r="D540" s="16"/>
      <c r="E540" s="16" t="s">
        <v>47</v>
      </c>
      <c r="F540" s="16" t="s">
        <v>47</v>
      </c>
      <c r="G540" s="17">
        <f t="shared" si="36"/>
        <v>1500000</v>
      </c>
      <c r="H540" s="18">
        <v>1500000</v>
      </c>
      <c r="I540" s="19">
        <v>1</v>
      </c>
      <c r="J540" s="18">
        <f t="shared" si="37"/>
        <v>1520000</v>
      </c>
      <c r="K540" s="18" t="s">
        <v>477</v>
      </c>
      <c r="L540" s="16" t="str">
        <f t="shared" si="38"/>
        <v>فعال</v>
      </c>
      <c r="M540" s="16">
        <v>399</v>
      </c>
      <c r="N540" s="16" t="s">
        <v>2102</v>
      </c>
      <c r="O540" t="s">
        <v>2104</v>
      </c>
      <c r="Q540" s="20"/>
      <c r="AD540">
        <f>IF(AND(LEN($Q$2)&gt;=3,ISNUMBER(SEARCH($Q$2,$B540))),MAX($AD$1:AD539)+1,"")</f>
      </c>
    </row>
    <row r="541" ht="14.4" customHeight="1" spans="1:30" x14ac:dyDescent="0.25">
      <c r="A541" s="16" t="s">
        <v>2105</v>
      </c>
      <c r="B541" s="16" t="s">
        <v>449</v>
      </c>
      <c r="C541" s="16" t="s">
        <v>2106</v>
      </c>
      <c r="D541" s="16"/>
      <c r="E541" s="16" t="s">
        <v>438</v>
      </c>
      <c r="F541" s="16" t="s">
        <v>438</v>
      </c>
      <c r="G541" s="17">
        <f t="shared" si="36"/>
        <v>260000</v>
      </c>
      <c r="H541" s="18">
        <v>260000</v>
      </c>
      <c r="I541" s="19">
        <v>2</v>
      </c>
      <c r="J541" s="18">
        <f t="shared" si="37"/>
        <v>270000</v>
      </c>
      <c r="K541" s="18" t="s">
        <v>477</v>
      </c>
      <c r="L541" s="16" t="str">
        <f t="shared" si="38"/>
        <v>فعال</v>
      </c>
      <c r="M541" s="16">
        <v>399</v>
      </c>
      <c r="N541" s="16" t="s">
        <v>2105</v>
      </c>
      <c r="O541" t="s">
        <v>2107</v>
      </c>
      <c r="Q541" s="20"/>
      <c r="AD541">
        <f>IF(AND(LEN($Q$2)&gt;=3,ISNUMBER(SEARCH($Q$2,$B541))),MAX($AD$1:AD540)+1,"")</f>
      </c>
    </row>
    <row r="542" ht="14.4" customHeight="1" spans="1:30" x14ac:dyDescent="0.25">
      <c r="A542" s="16" t="s">
        <v>2108</v>
      </c>
      <c r="B542" s="16" t="s">
        <v>451</v>
      </c>
      <c r="C542" s="16" t="s">
        <v>2109</v>
      </c>
      <c r="D542" s="16"/>
      <c r="E542" s="16" t="s">
        <v>452</v>
      </c>
      <c r="F542" s="16" t="s">
        <v>452</v>
      </c>
      <c r="G542" s="17">
        <f t="shared" si="36"/>
        <v>180000</v>
      </c>
      <c r="H542" s="18">
        <v>180000</v>
      </c>
      <c r="I542" s="19">
        <v>3</v>
      </c>
      <c r="J542" s="18">
        <f t="shared" si="37"/>
        <v>190000</v>
      </c>
      <c r="K542" s="18" t="s">
        <v>477</v>
      </c>
      <c r="L542" s="16" t="str">
        <f t="shared" si="38"/>
        <v>فعال</v>
      </c>
      <c r="M542" s="16">
        <v>401</v>
      </c>
      <c r="N542" s="16" t="s">
        <v>2108</v>
      </c>
      <c r="O542" t="s">
        <v>2110</v>
      </c>
      <c r="Q542" s="20"/>
      <c r="AD542">
        <f>IF(AND(LEN($Q$2)&gt;=3,ISNUMBER(SEARCH($Q$2,$B542))),MAX($AD$1:AD541)+1,"")</f>
      </c>
    </row>
    <row r="543" ht="14.4" customHeight="1" spans="1:17" x14ac:dyDescent="0.25">
      <c r="A543" s="16" t="s">
        <v>2111</v>
      </c>
      <c r="B543" s="16" t="s">
        <v>428</v>
      </c>
      <c r="C543" s="16" t="s">
        <v>2112</v>
      </c>
      <c r="D543" s="16" t="s">
        <v>2113</v>
      </c>
      <c r="E543" s="16" t="s">
        <v>218</v>
      </c>
      <c r="F543" s="16" t="s">
        <v>218</v>
      </c>
      <c r="G543" s="17">
        <v>1500000</v>
      </c>
      <c r="H543" s="18">
        <v>1500000</v>
      </c>
      <c r="I543" s="19" t="s">
        <v>2113</v>
      </c>
      <c r="J543" s="18" t="s">
        <v>2113</v>
      </c>
      <c r="K543" s="18" t="s">
        <v>2114</v>
      </c>
      <c r="L543" s="16" t="s">
        <v>2115</v>
      </c>
      <c r="M543" s="16">
        <v>379</v>
      </c>
      <c r="N543" s="16" t="s">
        <v>2111</v>
      </c>
      <c r="O543" t="s">
        <v>2116</v>
      </c>
      <c r="Q543" s="20"/>
    </row>
    <row r="544" ht="14.4" customHeight="1" spans="1:17" x14ac:dyDescent="0.25">
      <c r="A544" s="16" t="s">
        <v>2117</v>
      </c>
      <c r="B544" s="16" t="s">
        <v>429</v>
      </c>
      <c r="C544" s="16" t="s">
        <v>2118</v>
      </c>
      <c r="D544" s="16" t="s">
        <v>2113</v>
      </c>
      <c r="E544" s="16" t="s">
        <v>218</v>
      </c>
      <c r="F544" s="16" t="s">
        <v>218</v>
      </c>
      <c r="G544" s="17">
        <v>1500000</v>
      </c>
      <c r="H544" s="18">
        <v>1500000</v>
      </c>
      <c r="I544" s="19" t="s">
        <v>2113</v>
      </c>
      <c r="J544" s="18" t="s">
        <v>2113</v>
      </c>
      <c r="K544" s="18" t="s">
        <v>2114</v>
      </c>
      <c r="L544" s="16" t="s">
        <v>2115</v>
      </c>
      <c r="M544" s="16">
        <v>380</v>
      </c>
      <c r="N544" s="16" t="s">
        <v>2117</v>
      </c>
      <c r="O544" t="s">
        <v>2119</v>
      </c>
      <c r="Q544" s="20"/>
    </row>
    <row r="545" ht="14.4" customHeight="1" spans="1:17" x14ac:dyDescent="0.25">
      <c r="A545" s="16" t="s">
        <v>2120</v>
      </c>
      <c r="B545" s="16" t="s">
        <v>5</v>
      </c>
      <c r="C545" s="16" t="s">
        <v>2121</v>
      </c>
      <c r="D545" s="16" t="s">
        <v>2113</v>
      </c>
      <c r="E545" s="16" t="s">
        <v>6</v>
      </c>
      <c r="F545" s="16" t="s">
        <v>6</v>
      </c>
      <c r="G545" s="17">
        <v>1212222</v>
      </c>
      <c r="H545" s="18">
        <v>1212222</v>
      </c>
      <c r="I545" s="19" t="s">
        <v>2113</v>
      </c>
      <c r="J545" s="18" t="s">
        <v>2113</v>
      </c>
      <c r="K545" s="18" t="s">
        <v>2114</v>
      </c>
      <c r="L545" s="16" t="s">
        <v>2115</v>
      </c>
      <c r="M545" s="16">
        <v>2</v>
      </c>
      <c r="N545" s="16" t="s">
        <v>2120</v>
      </c>
      <c r="O545" t="s">
        <v>2122</v>
      </c>
      <c r="Q545" s="20"/>
    </row>
    <row r="546" ht="14.4" customHeight="1" spans="1:17" x14ac:dyDescent="0.25">
      <c r="A546" s="16" t="s">
        <v>2123</v>
      </c>
      <c r="B546" s="16" t="s">
        <v>217</v>
      </c>
      <c r="C546" s="16" t="s">
        <v>2124</v>
      </c>
      <c r="D546" s="16" t="s">
        <v>2113</v>
      </c>
      <c r="E546" s="16" t="s">
        <v>218</v>
      </c>
      <c r="F546" s="16" t="s">
        <v>218</v>
      </c>
      <c r="G546" s="17">
        <v>21111</v>
      </c>
      <c r="H546" s="18">
        <v>21111</v>
      </c>
      <c r="I546" s="19" t="s">
        <v>2113</v>
      </c>
      <c r="J546" s="18" t="s">
        <v>2113</v>
      </c>
      <c r="K546" s="18" t="s">
        <v>2114</v>
      </c>
      <c r="L546" s="16" t="s">
        <v>2115</v>
      </c>
      <c r="M546" s="16">
        <v>198</v>
      </c>
      <c r="N546" s="16" t="s">
        <v>2123</v>
      </c>
      <c r="O546" t="s">
        <v>2125</v>
      </c>
      <c r="Q546" s="20"/>
    </row>
    <row r="547" ht="14.4" customHeight="1" spans="1:17" x14ac:dyDescent="0.25">
      <c r="A547" s="16" t="s">
        <v>2126</v>
      </c>
      <c r="B547" s="16" t="s">
        <v>219</v>
      </c>
      <c r="C547" s="16" t="s">
        <v>2127</v>
      </c>
      <c r="D547" s="16" t="s">
        <v>2113</v>
      </c>
      <c r="E547" s="16" t="s">
        <v>218</v>
      </c>
      <c r="F547" s="16" t="s">
        <v>218</v>
      </c>
      <c r="G547" s="17">
        <v>1211111</v>
      </c>
      <c r="H547" s="18">
        <v>1211111</v>
      </c>
      <c r="I547" s="19" t="s">
        <v>2113</v>
      </c>
      <c r="J547" s="18" t="s">
        <v>2113</v>
      </c>
      <c r="K547" s="18" t="s">
        <v>2114</v>
      </c>
      <c r="L547" s="16" t="s">
        <v>2115</v>
      </c>
      <c r="M547" s="16">
        <v>199</v>
      </c>
      <c r="N547" s="16" t="s">
        <v>2126</v>
      </c>
      <c r="O547" t="s">
        <v>2128</v>
      </c>
      <c r="Q547" s="20"/>
    </row>
    <row r="548" ht="14.4" customHeight="1" spans="1:17" x14ac:dyDescent="0.25">
      <c r="A548" s="16" t="s">
        <v>2129</v>
      </c>
      <c r="B548" s="16" t="s">
        <v>220</v>
      </c>
      <c r="C548" s="16" t="s">
        <v>2130</v>
      </c>
      <c r="D548" s="16" t="s">
        <v>2113</v>
      </c>
      <c r="E548" s="16" t="s">
        <v>218</v>
      </c>
      <c r="F548" s="16" t="s">
        <v>218</v>
      </c>
      <c r="G548" s="17">
        <v>11000000</v>
      </c>
      <c r="H548" s="18">
        <v>11000000</v>
      </c>
      <c r="I548" s="19" t="s">
        <v>2113</v>
      </c>
      <c r="J548" s="18" t="s">
        <v>2113</v>
      </c>
      <c r="K548" s="18" t="s">
        <v>2114</v>
      </c>
      <c r="L548" s="16" t="s">
        <v>2115</v>
      </c>
      <c r="M548" s="16">
        <v>200</v>
      </c>
      <c r="N548" s="16" t="s">
        <v>2129</v>
      </c>
      <c r="O548" t="s">
        <v>2131</v>
      </c>
      <c r="Q548" s="20"/>
    </row>
    <row r="549" ht="14.4" customHeight="1" spans="1:17" x14ac:dyDescent="0.25">
      <c r="A549" s="16" t="s">
        <v>2132</v>
      </c>
      <c r="B549" s="16" t="s">
        <v>220</v>
      </c>
      <c r="C549" s="16" t="s">
        <v>2133</v>
      </c>
      <c r="D549" s="16" t="s">
        <v>2113</v>
      </c>
      <c r="E549" s="16" t="s">
        <v>221</v>
      </c>
      <c r="F549" s="16" t="s">
        <v>221</v>
      </c>
      <c r="G549" s="17">
        <v>325000</v>
      </c>
      <c r="H549" s="18">
        <v>325000</v>
      </c>
      <c r="I549" s="19" t="s">
        <v>2113</v>
      </c>
      <c r="J549" s="18" t="s">
        <v>2113</v>
      </c>
      <c r="K549" s="18" t="s">
        <v>2114</v>
      </c>
      <c r="L549" s="16" t="s">
        <v>2115</v>
      </c>
      <c r="M549" s="16">
        <v>200</v>
      </c>
      <c r="N549" s="16" t="s">
        <v>2132</v>
      </c>
      <c r="O549" t="s">
        <v>2134</v>
      </c>
      <c r="Q549" s="20"/>
    </row>
    <row r="550" ht="14.4" customHeight="1" spans="1:17" x14ac:dyDescent="0.25">
      <c r="A550" s="16" t="s">
        <v>2135</v>
      </c>
      <c r="B550" s="16" t="s">
        <v>220</v>
      </c>
      <c r="C550" s="16" t="s">
        <v>2136</v>
      </c>
      <c r="D550" s="16" t="s">
        <v>2113</v>
      </c>
      <c r="E550" s="16" t="s">
        <v>222</v>
      </c>
      <c r="F550" s="16" t="s">
        <v>222</v>
      </c>
      <c r="G550" s="17">
        <v>45000000</v>
      </c>
      <c r="H550" s="18">
        <v>45000000</v>
      </c>
      <c r="I550" s="19" t="s">
        <v>2113</v>
      </c>
      <c r="J550" s="18" t="s">
        <v>2113</v>
      </c>
      <c r="K550" s="18" t="s">
        <v>2114</v>
      </c>
      <c r="L550" s="16" t="s">
        <v>2115</v>
      </c>
      <c r="M550" s="16">
        <v>200</v>
      </c>
      <c r="N550" s="16" t="s">
        <v>2135</v>
      </c>
      <c r="O550" t="s">
        <v>2137</v>
      </c>
      <c r="Q550" s="20"/>
    </row>
  </sheetData>
  <autoFilter ref="A1:K542"/>
  <mergeCells count="2">
    <mergeCell ref="P1:V1"/>
    <mergeCell ref="Q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9"/>
  <sheetViews>
    <sheetView workbookViewId="0" zoomScale="100" zoomScaleNormal="100"/>
  </sheetViews>
  <sheetFormatPr defaultRowHeight="13.8" outlineLevelRow="0" outlineLevelCol="0" x14ac:dyDescent="0" customHeight="1"/>
  <cols>
    <col min="1" max="1" width="28" customWidth="1"/>
    <col min="2" max="5" width="14" customWidth="1"/>
    <col min="7" max="7" width="60" customWidth="1"/>
  </cols>
  <sheetData>
    <row r="1" ht="13.8" customHeight="1" spans="1:7" x14ac:dyDescent="0.25">
      <c r="A1" s="24" t="s">
        <v>459</v>
      </c>
      <c r="B1" s="24" t="s">
        <v>2138</v>
      </c>
      <c r="C1" s="24" t="s">
        <v>2139</v>
      </c>
      <c r="D1" s="24" t="s">
        <v>2140</v>
      </c>
      <c r="E1" s="24" t="s">
        <v>2141</v>
      </c>
      <c r="F1" s="24"/>
      <c r="G1" s="24" t="s">
        <v>2142</v>
      </c>
    </row>
    <row r="2" ht="13.8" customHeight="1" spans="1:4" x14ac:dyDescent="0.25">
      <c r="A2" t="s">
        <v>14</v>
      </c>
      <c r="B2" s="25" t="s">
        <v>2143</v>
      </c>
      <c r="C2" t="s">
        <v>9</v>
      </c>
      <c r="D2" s="25"/>
    </row>
    <row r="3" ht="13.8" customHeight="1" spans="1:4" x14ac:dyDescent="0.25">
      <c r="A3" t="s">
        <v>15</v>
      </c>
      <c r="B3" s="25" t="s">
        <v>2144</v>
      </c>
      <c r="C3" t="s">
        <v>9</v>
      </c>
      <c r="D3" s="25"/>
    </row>
    <row r="4" ht="13.8" customHeight="1" spans="1:4" x14ac:dyDescent="0.25">
      <c r="A4" t="s">
        <v>13</v>
      </c>
      <c r="B4" s="25" t="s">
        <v>2145</v>
      </c>
      <c r="C4" t="s">
        <v>9</v>
      </c>
      <c r="D4" s="25"/>
    </row>
    <row r="5" ht="13.8" customHeight="1" spans="1:4" x14ac:dyDescent="0.25">
      <c r="A5" t="s">
        <v>16</v>
      </c>
      <c r="B5" s="25" t="s">
        <v>2144</v>
      </c>
      <c r="C5" t="s">
        <v>9</v>
      </c>
      <c r="D5" s="25"/>
    </row>
    <row r="6" ht="13.8" customHeight="1" spans="1:4" x14ac:dyDescent="0.25">
      <c r="A6" t="s">
        <v>17</v>
      </c>
      <c r="B6" s="25" t="s">
        <v>2146</v>
      </c>
      <c r="C6" t="s">
        <v>9</v>
      </c>
      <c r="D6" s="25"/>
    </row>
    <row r="7" ht="13.8" customHeight="1" spans="1:4" x14ac:dyDescent="0.25">
      <c r="A7" t="s">
        <v>18</v>
      </c>
      <c r="B7" s="25" t="s">
        <v>2147</v>
      </c>
      <c r="C7" t="s">
        <v>9</v>
      </c>
      <c r="D7" s="25"/>
    </row>
    <row r="8" ht="13.8" customHeight="1" spans="1:4" x14ac:dyDescent="0.25">
      <c r="A8" t="s">
        <v>19</v>
      </c>
      <c r="B8" s="25" t="s">
        <v>2148</v>
      </c>
      <c r="C8" t="s">
        <v>9</v>
      </c>
      <c r="D8" s="25"/>
    </row>
    <row r="9" ht="13.8" customHeight="1" spans="1:4" x14ac:dyDescent="0.25">
      <c r="A9" t="s">
        <v>20</v>
      </c>
      <c r="B9" s="25" t="s">
        <v>2149</v>
      </c>
      <c r="C9" t="s">
        <v>9</v>
      </c>
      <c r="D9" s="25"/>
    </row>
    <row r="10" ht="13.8" customHeight="1" spans="1:4" x14ac:dyDescent="0.25">
      <c r="A10" t="s">
        <v>21</v>
      </c>
      <c r="B10" s="25" t="s">
        <v>2147</v>
      </c>
      <c r="C10" t="s">
        <v>9</v>
      </c>
      <c r="D10" s="25"/>
    </row>
    <row r="11" ht="13.8" customHeight="1" spans="1:4" x14ac:dyDescent="0.25">
      <c r="A11" t="s">
        <v>22</v>
      </c>
      <c r="B11" s="25" t="s">
        <v>2146</v>
      </c>
      <c r="C11" t="s">
        <v>9</v>
      </c>
      <c r="D11" s="25"/>
    </row>
    <row r="12" ht="13.8" customHeight="1" spans="1:4" x14ac:dyDescent="0.25">
      <c r="A12" t="s">
        <v>23</v>
      </c>
      <c r="B12" s="25" t="s">
        <v>2147</v>
      </c>
      <c r="C12" t="s">
        <v>9</v>
      </c>
      <c r="D12" s="25"/>
    </row>
    <row r="13" ht="13.8" customHeight="1" spans="1:4" x14ac:dyDescent="0.25">
      <c r="A13" t="s">
        <v>24</v>
      </c>
      <c r="B13" s="25" t="s">
        <v>2148</v>
      </c>
      <c r="C13" t="s">
        <v>9</v>
      </c>
      <c r="D13" s="25"/>
    </row>
    <row r="14" ht="13.8" customHeight="1" spans="1:4" x14ac:dyDescent="0.25">
      <c r="A14" t="s">
        <v>25</v>
      </c>
      <c r="B14" s="25" t="s">
        <v>2146</v>
      </c>
      <c r="C14" t="s">
        <v>9</v>
      </c>
      <c r="D14" s="25"/>
    </row>
    <row r="15" ht="13.8" customHeight="1" spans="1:4" x14ac:dyDescent="0.25">
      <c r="A15" t="s">
        <v>26</v>
      </c>
      <c r="B15" s="25" t="s">
        <v>2147</v>
      </c>
      <c r="C15" t="s">
        <v>9</v>
      </c>
      <c r="D15" s="25"/>
    </row>
    <row r="16" ht="13.8" customHeight="1" spans="1:4" x14ac:dyDescent="0.25">
      <c r="A16" t="s">
        <v>27</v>
      </c>
      <c r="B16" s="25" t="s">
        <v>2150</v>
      </c>
      <c r="C16" t="s">
        <v>9</v>
      </c>
      <c r="D16" s="25"/>
    </row>
    <row r="17" ht="13.8" customHeight="1" spans="1:4" x14ac:dyDescent="0.25">
      <c r="A17" t="s">
        <v>28</v>
      </c>
      <c r="B17" s="25" t="s">
        <v>2148</v>
      </c>
      <c r="C17" t="s">
        <v>9</v>
      </c>
      <c r="D17" s="25"/>
    </row>
    <row r="18" ht="13.8" customHeight="1" spans="1:4" x14ac:dyDescent="0.25">
      <c r="A18" t="s">
        <v>29</v>
      </c>
      <c r="B18" s="25" t="s">
        <v>2151</v>
      </c>
      <c r="C18" t="s">
        <v>9</v>
      </c>
      <c r="D18" s="25"/>
    </row>
    <row r="19" ht="13.8" customHeight="1" spans="1:4" x14ac:dyDescent="0.25">
      <c r="A19" t="s">
        <v>30</v>
      </c>
      <c r="B19" s="25" t="s">
        <v>2144</v>
      </c>
      <c r="C19" t="s">
        <v>9</v>
      </c>
      <c r="D19" s="25"/>
    </row>
    <row r="20" ht="13.8" customHeight="1" spans="1:4" x14ac:dyDescent="0.25">
      <c r="A20" t="s">
        <v>31</v>
      </c>
      <c r="B20" s="25" t="s">
        <v>2148</v>
      </c>
      <c r="C20" t="s">
        <v>9</v>
      </c>
      <c r="D20" s="25"/>
    </row>
    <row r="21" ht="13.8" customHeight="1" spans="1:4" x14ac:dyDescent="0.25">
      <c r="A21" t="s">
        <v>32</v>
      </c>
      <c r="B21" s="25" t="s">
        <v>2146</v>
      </c>
      <c r="C21" t="s">
        <v>9</v>
      </c>
      <c r="D21" s="25"/>
    </row>
    <row r="22" ht="13.8" customHeight="1" spans="1:4" x14ac:dyDescent="0.25">
      <c r="A22" t="s">
        <v>34</v>
      </c>
      <c r="B22" s="25" t="s">
        <v>2147</v>
      </c>
      <c r="C22" t="s">
        <v>9</v>
      </c>
      <c r="D22" s="25"/>
    </row>
    <row r="23" ht="13.8" customHeight="1" spans="1:4" x14ac:dyDescent="0.25">
      <c r="A23" t="s">
        <v>35</v>
      </c>
      <c r="B23" s="25" t="s">
        <v>2152</v>
      </c>
      <c r="C23" t="s">
        <v>9</v>
      </c>
      <c r="D23" s="25"/>
    </row>
    <row r="24" ht="13.8" customHeight="1" spans="1:4" x14ac:dyDescent="0.25">
      <c r="A24" t="s">
        <v>36</v>
      </c>
      <c r="B24" s="25" t="s">
        <v>2151</v>
      </c>
      <c r="C24" t="s">
        <v>9</v>
      </c>
      <c r="D24" s="25"/>
    </row>
    <row r="25" ht="13.8" customHeight="1" spans="1:4" x14ac:dyDescent="0.25">
      <c r="A25" t="s">
        <v>40</v>
      </c>
      <c r="B25" s="25" t="s">
        <v>2153</v>
      </c>
      <c r="C25" t="s">
        <v>9</v>
      </c>
      <c r="D25" s="25"/>
    </row>
    <row r="26" ht="13.8" customHeight="1" spans="1:4" x14ac:dyDescent="0.25">
      <c r="A26" t="s">
        <v>41</v>
      </c>
      <c r="B26" s="25" t="s">
        <v>2154</v>
      </c>
      <c r="C26" t="s">
        <v>9</v>
      </c>
      <c r="D26" s="25"/>
    </row>
    <row r="27" ht="13.8" customHeight="1" spans="1:4" x14ac:dyDescent="0.25">
      <c r="A27" t="s">
        <v>42</v>
      </c>
      <c r="B27" s="25" t="s">
        <v>2155</v>
      </c>
      <c r="C27" t="s">
        <v>9</v>
      </c>
      <c r="D27" s="25"/>
    </row>
    <row r="28" ht="13.8" customHeight="1" spans="1:4" x14ac:dyDescent="0.25">
      <c r="A28" t="s">
        <v>43</v>
      </c>
      <c r="B28" s="25" t="s">
        <v>2156</v>
      </c>
      <c r="C28" t="s">
        <v>9</v>
      </c>
      <c r="D28" s="25"/>
    </row>
    <row r="29" ht="13.8" customHeight="1" spans="1:4" x14ac:dyDescent="0.25">
      <c r="A29" t="s">
        <v>44</v>
      </c>
      <c r="B29" s="25" t="s">
        <v>2157</v>
      </c>
      <c r="C29" t="s">
        <v>9</v>
      </c>
      <c r="D29" s="25"/>
    </row>
    <row r="30" ht="14.4" customHeight="1" spans="1:4" x14ac:dyDescent="0.25">
      <c r="A30" t="s">
        <v>45</v>
      </c>
      <c r="B30" s="25" t="s">
        <v>2158</v>
      </c>
      <c r="C30" t="s">
        <v>9</v>
      </c>
      <c r="D30" s="25"/>
    </row>
    <row r="31" ht="14.4" customHeight="1" spans="1:4" x14ac:dyDescent="0.25">
      <c r="A31" t="s">
        <v>48</v>
      </c>
      <c r="B31" s="25" t="s">
        <v>2146</v>
      </c>
      <c r="C31" t="s">
        <v>9</v>
      </c>
      <c r="D31" s="25"/>
    </row>
    <row r="32" ht="14.4" customHeight="1" spans="1:4" x14ac:dyDescent="0.25">
      <c r="A32" t="s">
        <v>49</v>
      </c>
      <c r="B32" s="25" t="s">
        <v>2159</v>
      </c>
      <c r="C32" t="s">
        <v>9</v>
      </c>
      <c r="D32" s="25"/>
    </row>
    <row r="33" ht="14.4" customHeight="1" spans="1:4" x14ac:dyDescent="0.25">
      <c r="A33" t="s">
        <v>7</v>
      </c>
      <c r="B33" s="25" t="s">
        <v>2160</v>
      </c>
      <c r="C33" t="s">
        <v>9</v>
      </c>
      <c r="D33" s="25"/>
    </row>
    <row r="34" ht="14.4" customHeight="1" spans="1:5" x14ac:dyDescent="0.25">
      <c r="A34" t="s">
        <v>10</v>
      </c>
      <c r="B34" s="25" t="s">
        <v>2161</v>
      </c>
      <c r="C34" t="s">
        <v>11</v>
      </c>
      <c r="D34" s="25" t="s">
        <v>2162</v>
      </c>
      <c r="E34" t="s">
        <v>305</v>
      </c>
    </row>
    <row r="35" ht="14.4" customHeight="1" spans="1:4" x14ac:dyDescent="0.25">
      <c r="A35" t="s">
        <v>37</v>
      </c>
      <c r="B35" s="25" t="s">
        <v>2163</v>
      </c>
      <c r="C35" t="s">
        <v>9</v>
      </c>
      <c r="D35" s="25"/>
    </row>
    <row r="36" ht="14.4" customHeight="1" spans="1:4" x14ac:dyDescent="0.25">
      <c r="A36" t="s">
        <v>38</v>
      </c>
      <c r="B36" s="25" t="s">
        <v>2164</v>
      </c>
      <c r="C36" t="s">
        <v>9</v>
      </c>
      <c r="D36" s="25"/>
    </row>
    <row r="37" ht="14.4" customHeight="1" spans="1:4" x14ac:dyDescent="0.25">
      <c r="A37" t="s">
        <v>39</v>
      </c>
      <c r="B37" s="25" t="s">
        <v>2165</v>
      </c>
      <c r="C37" t="s">
        <v>9</v>
      </c>
      <c r="D37" s="25"/>
    </row>
    <row r="38" ht="14.4" customHeight="1" spans="1:4" x14ac:dyDescent="0.25">
      <c r="A38" t="s">
        <v>46</v>
      </c>
      <c r="B38" s="25" t="s">
        <v>2166</v>
      </c>
      <c r="C38" t="s">
        <v>47</v>
      </c>
      <c r="D38" s="25"/>
    </row>
    <row r="39" ht="14.4" customHeight="1" spans="1:4" x14ac:dyDescent="0.25">
      <c r="A39" t="s">
        <v>50</v>
      </c>
      <c r="B39" s="25" t="s">
        <v>2167</v>
      </c>
      <c r="C39" t="s">
        <v>9</v>
      </c>
      <c r="D39" s="25"/>
    </row>
    <row r="40" ht="14.4" customHeight="1" spans="1:4" x14ac:dyDescent="0.25">
      <c r="A40" t="s">
        <v>51</v>
      </c>
      <c r="B40" s="25" t="s">
        <v>2168</v>
      </c>
      <c r="C40" t="s">
        <v>9</v>
      </c>
      <c r="D40" s="25"/>
    </row>
    <row r="41" ht="14.4" customHeight="1" spans="1:4" x14ac:dyDescent="0.25">
      <c r="A41" t="s">
        <v>52</v>
      </c>
      <c r="B41" s="25" t="s">
        <v>2169</v>
      </c>
      <c r="C41" t="s">
        <v>9</v>
      </c>
      <c r="D41" s="25"/>
    </row>
    <row r="42" ht="14.4" customHeight="1" spans="1:4" x14ac:dyDescent="0.25">
      <c r="A42" t="s">
        <v>53</v>
      </c>
      <c r="B42" s="25" t="s">
        <v>2170</v>
      </c>
      <c r="C42" t="s">
        <v>9</v>
      </c>
      <c r="D42" s="25"/>
    </row>
    <row r="43" ht="14.4" customHeight="1" spans="1:4" x14ac:dyDescent="0.25">
      <c r="A43" t="s">
        <v>54</v>
      </c>
      <c r="B43" s="25" t="s">
        <v>2160</v>
      </c>
      <c r="C43" t="s">
        <v>9</v>
      </c>
      <c r="D43" s="25"/>
    </row>
    <row r="44" ht="14.4" customHeight="1" spans="1:4" x14ac:dyDescent="0.25">
      <c r="A44" t="s">
        <v>55</v>
      </c>
      <c r="B44" s="25" t="s">
        <v>2171</v>
      </c>
      <c r="C44" t="s">
        <v>9</v>
      </c>
      <c r="D44" s="25"/>
    </row>
    <row r="45" ht="14.4" customHeight="1" spans="1:4" x14ac:dyDescent="0.25">
      <c r="A45" t="s">
        <v>56</v>
      </c>
      <c r="B45" s="25" t="s">
        <v>2172</v>
      </c>
      <c r="C45" t="s">
        <v>9</v>
      </c>
      <c r="D45" s="25"/>
    </row>
    <row r="46" ht="14.4" customHeight="1" spans="1:4" x14ac:dyDescent="0.25">
      <c r="A46" t="s">
        <v>57</v>
      </c>
      <c r="B46" s="25" t="s">
        <v>2173</v>
      </c>
      <c r="C46" t="s">
        <v>9</v>
      </c>
      <c r="D46" s="25"/>
    </row>
    <row r="47" ht="14.4" customHeight="1" spans="1:4" x14ac:dyDescent="0.25">
      <c r="A47" t="s">
        <v>58</v>
      </c>
      <c r="B47" s="25" t="s">
        <v>2154</v>
      </c>
      <c r="C47" t="s">
        <v>9</v>
      </c>
      <c r="D47" s="25"/>
    </row>
    <row r="48" ht="14.4" customHeight="1" spans="1:4" x14ac:dyDescent="0.25">
      <c r="A48" t="s">
        <v>59</v>
      </c>
      <c r="B48" s="25" t="s">
        <v>2174</v>
      </c>
      <c r="C48" t="s">
        <v>9</v>
      </c>
      <c r="D48" s="25"/>
    </row>
    <row r="49" ht="14.4" customHeight="1" spans="1:4" x14ac:dyDescent="0.25">
      <c r="A49" t="s">
        <v>60</v>
      </c>
      <c r="B49" s="25" t="s">
        <v>2175</v>
      </c>
      <c r="C49" t="s">
        <v>9</v>
      </c>
      <c r="D49" s="25"/>
    </row>
    <row r="50" ht="14.4" customHeight="1" spans="1:4" x14ac:dyDescent="0.25">
      <c r="A50" t="s">
        <v>61</v>
      </c>
      <c r="B50" s="25" t="s">
        <v>2176</v>
      </c>
      <c r="C50" t="s">
        <v>9</v>
      </c>
      <c r="D50" s="25"/>
    </row>
    <row r="51" ht="14.4" customHeight="1" spans="1:4" x14ac:dyDescent="0.25">
      <c r="A51" t="s">
        <v>62</v>
      </c>
      <c r="B51" s="25" t="s">
        <v>2147</v>
      </c>
      <c r="C51" t="s">
        <v>9</v>
      </c>
      <c r="D51" s="25"/>
    </row>
    <row r="52" ht="14.4" customHeight="1" spans="1:4" x14ac:dyDescent="0.25">
      <c r="A52" t="s">
        <v>63</v>
      </c>
      <c r="B52" s="25" t="s">
        <v>2177</v>
      </c>
      <c r="C52" t="s">
        <v>9</v>
      </c>
      <c r="D52" s="25"/>
    </row>
    <row r="53" ht="14.4" customHeight="1" spans="1:4" x14ac:dyDescent="0.25">
      <c r="A53" t="s">
        <v>64</v>
      </c>
      <c r="B53" s="25" t="s">
        <v>2178</v>
      </c>
      <c r="C53" t="s">
        <v>9</v>
      </c>
      <c r="D53" s="25"/>
    </row>
    <row r="54" ht="14.4" customHeight="1" spans="1:4" x14ac:dyDescent="0.25">
      <c r="A54" t="s">
        <v>65</v>
      </c>
      <c r="B54" s="25" t="s">
        <v>2144</v>
      </c>
      <c r="C54" t="s">
        <v>47</v>
      </c>
      <c r="D54" s="25"/>
    </row>
    <row r="55" ht="14.4" customHeight="1" spans="1:5" x14ac:dyDescent="0.25">
      <c r="A55" t="s">
        <v>71</v>
      </c>
      <c r="B55" s="25" t="s">
        <v>2179</v>
      </c>
      <c r="C55" t="s">
        <v>67</v>
      </c>
      <c r="D55" s="25" t="s">
        <v>2180</v>
      </c>
      <c r="E55" t="s">
        <v>68</v>
      </c>
    </row>
    <row r="56" ht="14.4" customHeight="1" spans="1:4" x14ac:dyDescent="0.25">
      <c r="A56" t="s">
        <v>73</v>
      </c>
      <c r="B56" s="25" t="s">
        <v>2181</v>
      </c>
      <c r="C56" t="s">
        <v>9</v>
      </c>
      <c r="D56" s="25"/>
    </row>
    <row r="57" ht="14.4" customHeight="1" spans="1:5" x14ac:dyDescent="0.25">
      <c r="A57" t="s">
        <v>74</v>
      </c>
      <c r="B57" s="25" t="s">
        <v>2179</v>
      </c>
      <c r="C57" t="s">
        <v>67</v>
      </c>
      <c r="D57" s="25" t="s">
        <v>2180</v>
      </c>
      <c r="E57" t="s">
        <v>68</v>
      </c>
    </row>
    <row r="58" ht="14.4" customHeight="1" spans="1:5" x14ac:dyDescent="0.25">
      <c r="A58" t="s">
        <v>75</v>
      </c>
      <c r="B58" s="25" t="s">
        <v>2179</v>
      </c>
      <c r="C58" t="s">
        <v>68</v>
      </c>
      <c r="D58" s="25" t="s">
        <v>2180</v>
      </c>
      <c r="E58" t="s">
        <v>72</v>
      </c>
    </row>
    <row r="59" ht="14.4" customHeight="1" spans="1:5" x14ac:dyDescent="0.25">
      <c r="A59" t="s">
        <v>66</v>
      </c>
      <c r="B59" s="25" t="s">
        <v>2179</v>
      </c>
      <c r="C59" t="s">
        <v>67</v>
      </c>
      <c r="D59" s="25" t="s">
        <v>2180</v>
      </c>
      <c r="E59" t="s">
        <v>68</v>
      </c>
    </row>
    <row r="60" ht="14.4" customHeight="1" spans="1:4" x14ac:dyDescent="0.25">
      <c r="A60" t="s">
        <v>70</v>
      </c>
      <c r="B60" s="25" t="s">
        <v>2182</v>
      </c>
      <c r="C60" t="s">
        <v>9</v>
      </c>
      <c r="D60" s="25"/>
    </row>
    <row r="61" ht="14.4" customHeight="1" spans="1:4" x14ac:dyDescent="0.25">
      <c r="A61" t="s">
        <v>76</v>
      </c>
      <c r="B61" s="25" t="s">
        <v>2160</v>
      </c>
      <c r="C61" t="s">
        <v>9</v>
      </c>
      <c r="D61" s="25"/>
    </row>
    <row r="62" ht="14.4" customHeight="1" spans="1:4" x14ac:dyDescent="0.25">
      <c r="A62" t="s">
        <v>77</v>
      </c>
      <c r="B62" s="25" t="s">
        <v>2183</v>
      </c>
      <c r="C62" t="s">
        <v>9</v>
      </c>
      <c r="D62" s="25"/>
    </row>
    <row r="63" ht="14.4" customHeight="1" spans="1:4" x14ac:dyDescent="0.25">
      <c r="A63" t="s">
        <v>78</v>
      </c>
      <c r="B63" s="25" t="s">
        <v>2144</v>
      </c>
      <c r="C63" t="s">
        <v>9</v>
      </c>
      <c r="D63" s="25"/>
    </row>
    <row r="64" ht="14.4" customHeight="1" spans="1:4" x14ac:dyDescent="0.25">
      <c r="A64" t="s">
        <v>79</v>
      </c>
      <c r="B64" s="25" t="s">
        <v>2146</v>
      </c>
      <c r="C64" t="s">
        <v>9</v>
      </c>
      <c r="D64" s="25"/>
    </row>
    <row r="65" ht="14.4" customHeight="1" spans="1:4" x14ac:dyDescent="0.25">
      <c r="A65" t="s">
        <v>80</v>
      </c>
      <c r="B65" s="25" t="s">
        <v>2144</v>
      </c>
      <c r="C65" t="s">
        <v>9</v>
      </c>
      <c r="D65" s="25"/>
    </row>
    <row r="66" ht="14.4" customHeight="1" spans="1:4" x14ac:dyDescent="0.25">
      <c r="A66" t="s">
        <v>81</v>
      </c>
      <c r="B66" s="25" t="s">
        <v>2144</v>
      </c>
      <c r="C66" t="s">
        <v>9</v>
      </c>
      <c r="D66" s="25"/>
    </row>
    <row r="67" ht="14.4" customHeight="1" spans="1:4" x14ac:dyDescent="0.25">
      <c r="A67" t="s">
        <v>82</v>
      </c>
      <c r="B67" s="25" t="s">
        <v>2184</v>
      </c>
      <c r="C67" t="s">
        <v>9</v>
      </c>
      <c r="D67" s="25"/>
    </row>
    <row r="68" ht="14.4" customHeight="1" spans="1:4" x14ac:dyDescent="0.25">
      <c r="A68" t="s">
        <v>83</v>
      </c>
      <c r="B68" s="25" t="s">
        <v>2173</v>
      </c>
      <c r="C68" t="s">
        <v>9</v>
      </c>
      <c r="D68" s="25"/>
    </row>
    <row r="69" ht="14.4" customHeight="1" spans="1:4" x14ac:dyDescent="0.25">
      <c r="A69" t="s">
        <v>84</v>
      </c>
      <c r="B69" s="25" t="s">
        <v>2159</v>
      </c>
      <c r="C69" t="s">
        <v>9</v>
      </c>
      <c r="D69" s="25"/>
    </row>
    <row r="70" ht="14.4" customHeight="1" spans="1:4" x14ac:dyDescent="0.25">
      <c r="A70" t="s">
        <v>85</v>
      </c>
      <c r="B70" s="25" t="s">
        <v>2146</v>
      </c>
      <c r="C70" t="s">
        <v>9</v>
      </c>
      <c r="D70" s="25"/>
    </row>
    <row r="71" ht="14.4" customHeight="1" spans="1:4" x14ac:dyDescent="0.25">
      <c r="A71" t="s">
        <v>86</v>
      </c>
      <c r="B71" s="25" t="s">
        <v>2169</v>
      </c>
      <c r="C71" t="s">
        <v>9</v>
      </c>
      <c r="D71" s="25"/>
    </row>
    <row r="72" ht="14.4" customHeight="1" spans="1:4" x14ac:dyDescent="0.25">
      <c r="A72" t="s">
        <v>88</v>
      </c>
      <c r="B72" s="25" t="s">
        <v>2185</v>
      </c>
      <c r="C72" t="s">
        <v>9</v>
      </c>
      <c r="D72" s="25"/>
    </row>
    <row r="73" ht="14.4" customHeight="1" spans="1:4" x14ac:dyDescent="0.25">
      <c r="A73" t="s">
        <v>89</v>
      </c>
      <c r="B73" s="25" t="s">
        <v>2160</v>
      </c>
      <c r="C73" t="s">
        <v>9</v>
      </c>
      <c r="D73" s="25"/>
    </row>
    <row r="74" ht="14.4" customHeight="1" spans="1:5" x14ac:dyDescent="0.25">
      <c r="A74" t="s">
        <v>90</v>
      </c>
      <c r="B74" s="25" t="s">
        <v>2186</v>
      </c>
      <c r="C74" t="s">
        <v>91</v>
      </c>
      <c r="D74" s="25" t="s">
        <v>2143</v>
      </c>
      <c r="E74" t="s">
        <v>9</v>
      </c>
    </row>
    <row r="75" ht="14.4" customHeight="1" spans="1:5" x14ac:dyDescent="0.25">
      <c r="A75" t="s">
        <v>92</v>
      </c>
      <c r="B75" s="25" t="s">
        <v>2187</v>
      </c>
      <c r="C75" t="s">
        <v>91</v>
      </c>
      <c r="D75" s="25" t="s">
        <v>2158</v>
      </c>
      <c r="E75" t="s">
        <v>9</v>
      </c>
    </row>
    <row r="76" ht="14.4" customHeight="1" spans="1:4" x14ac:dyDescent="0.25">
      <c r="A76" t="s">
        <v>93</v>
      </c>
      <c r="B76" s="25" t="s">
        <v>2187</v>
      </c>
      <c r="C76" t="s">
        <v>91</v>
      </c>
      <c r="D76" s="25"/>
    </row>
    <row r="77" ht="14.4" customHeight="1" spans="1:5" x14ac:dyDescent="0.25">
      <c r="A77" t="s">
        <v>94</v>
      </c>
      <c r="B77" s="25" t="s">
        <v>2186</v>
      </c>
      <c r="C77" t="s">
        <v>91</v>
      </c>
      <c r="D77" s="25" t="s">
        <v>2188</v>
      </c>
      <c r="E77" t="s">
        <v>9</v>
      </c>
    </row>
    <row r="78" ht="14.4" customHeight="1" spans="1:4" x14ac:dyDescent="0.25">
      <c r="A78" t="s">
        <v>96</v>
      </c>
      <c r="B78" s="25" t="s">
        <v>2189</v>
      </c>
      <c r="C78" t="s">
        <v>9</v>
      </c>
      <c r="D78" s="25"/>
    </row>
    <row r="79" ht="14.4" customHeight="1" spans="1:4" x14ac:dyDescent="0.25">
      <c r="A79" t="s">
        <v>100</v>
      </c>
      <c r="B79" s="25" t="s">
        <v>2190</v>
      </c>
      <c r="C79" t="s">
        <v>9</v>
      </c>
      <c r="D79" s="25"/>
    </row>
    <row r="80" ht="14.4" customHeight="1" spans="1:5" x14ac:dyDescent="0.25">
      <c r="A80" t="s">
        <v>97</v>
      </c>
      <c r="B80" s="25" t="s">
        <v>2191</v>
      </c>
      <c r="C80" t="s">
        <v>98</v>
      </c>
      <c r="D80" s="25" t="s">
        <v>2161</v>
      </c>
      <c r="E80" t="s">
        <v>99</v>
      </c>
    </row>
    <row r="81" ht="14.4" customHeight="1" spans="1:4" x14ac:dyDescent="0.25">
      <c r="A81" t="s">
        <v>101</v>
      </c>
      <c r="B81" s="25" t="s">
        <v>2192</v>
      </c>
      <c r="C81" t="s">
        <v>9</v>
      </c>
      <c r="D81" s="25"/>
    </row>
    <row r="82" ht="14.4" customHeight="1" spans="1:4" x14ac:dyDescent="0.25">
      <c r="A82" t="s">
        <v>102</v>
      </c>
      <c r="B82" s="25" t="s">
        <v>2156</v>
      </c>
      <c r="C82" t="s">
        <v>9</v>
      </c>
      <c r="D82" s="25"/>
    </row>
    <row r="83" ht="14.4" customHeight="1" spans="1:4" x14ac:dyDescent="0.25">
      <c r="A83" t="s">
        <v>104</v>
      </c>
      <c r="B83" s="25" t="s">
        <v>2193</v>
      </c>
      <c r="C83" t="s">
        <v>9</v>
      </c>
      <c r="D83" s="25"/>
    </row>
    <row r="84" ht="14.4" customHeight="1" spans="1:4" x14ac:dyDescent="0.25">
      <c r="A84" t="s">
        <v>105</v>
      </c>
      <c r="B84" s="25" t="s">
        <v>2167</v>
      </c>
      <c r="C84" t="s">
        <v>9</v>
      </c>
      <c r="D84" s="25"/>
    </row>
    <row r="85" ht="14.4" customHeight="1" spans="1:4" x14ac:dyDescent="0.25">
      <c r="A85" t="s">
        <v>106</v>
      </c>
      <c r="B85" s="25" t="s">
        <v>2194</v>
      </c>
      <c r="C85" t="s">
        <v>9</v>
      </c>
      <c r="D85" s="25"/>
    </row>
    <row r="86" ht="14.4" customHeight="1" spans="1:4" x14ac:dyDescent="0.25">
      <c r="A86" t="s">
        <v>107</v>
      </c>
      <c r="B86" s="25" t="s">
        <v>2160</v>
      </c>
      <c r="C86" t="s">
        <v>9</v>
      </c>
      <c r="D86" s="25"/>
    </row>
    <row r="87" ht="14.4" customHeight="1" spans="1:4" x14ac:dyDescent="0.25">
      <c r="A87" t="s">
        <v>108</v>
      </c>
      <c r="B87" s="25" t="s">
        <v>2195</v>
      </c>
      <c r="C87" t="s">
        <v>9</v>
      </c>
      <c r="D87" s="25"/>
    </row>
    <row r="88" ht="14.4" customHeight="1" spans="1:4" x14ac:dyDescent="0.25">
      <c r="A88" t="s">
        <v>109</v>
      </c>
      <c r="B88" s="25" t="s">
        <v>2196</v>
      </c>
      <c r="C88" t="s">
        <v>9</v>
      </c>
      <c r="D88" s="25"/>
    </row>
    <row r="89" ht="14.4" customHeight="1" spans="1:4" x14ac:dyDescent="0.25">
      <c r="A89" t="s">
        <v>110</v>
      </c>
      <c r="B89" s="25" t="s">
        <v>2152</v>
      </c>
      <c r="C89" t="s">
        <v>9</v>
      </c>
      <c r="D89" s="25"/>
    </row>
    <row r="90" ht="14.4" customHeight="1" spans="1:4" x14ac:dyDescent="0.25">
      <c r="A90" t="s">
        <v>111</v>
      </c>
      <c r="B90" s="25" t="s">
        <v>2197</v>
      </c>
      <c r="C90" t="s">
        <v>9</v>
      </c>
      <c r="D90" s="25"/>
    </row>
    <row r="91" ht="14.4" customHeight="1" spans="1:4" x14ac:dyDescent="0.25">
      <c r="A91" t="s">
        <v>112</v>
      </c>
      <c r="B91" s="25" t="s">
        <v>2169</v>
      </c>
      <c r="C91" t="s">
        <v>9</v>
      </c>
      <c r="D91" s="25"/>
    </row>
    <row r="92" ht="14.4" customHeight="1" spans="1:4" x14ac:dyDescent="0.25">
      <c r="A92" t="s">
        <v>113</v>
      </c>
      <c r="B92" s="25" t="s">
        <v>2198</v>
      </c>
      <c r="C92" t="s">
        <v>9</v>
      </c>
      <c r="D92" s="25"/>
    </row>
    <row r="93" ht="14.4" customHeight="1" spans="1:4" x14ac:dyDescent="0.25">
      <c r="A93" t="s">
        <v>114</v>
      </c>
      <c r="B93" s="25" t="s">
        <v>2198</v>
      </c>
      <c r="C93" t="s">
        <v>9</v>
      </c>
      <c r="D93" s="25"/>
    </row>
    <row r="94" ht="14.4" customHeight="1" spans="1:4" x14ac:dyDescent="0.25">
      <c r="A94" t="s">
        <v>115</v>
      </c>
      <c r="B94" s="25" t="s">
        <v>2153</v>
      </c>
      <c r="C94" t="s">
        <v>9</v>
      </c>
      <c r="D94" s="25"/>
    </row>
    <row r="95" ht="14.4" customHeight="1" spans="1:4" x14ac:dyDescent="0.25">
      <c r="A95" t="s">
        <v>116</v>
      </c>
      <c r="B95" s="25" t="s">
        <v>2169</v>
      </c>
      <c r="C95" t="s">
        <v>9</v>
      </c>
      <c r="D95" s="25"/>
    </row>
    <row r="96" ht="14.4" customHeight="1" spans="1:4" x14ac:dyDescent="0.25">
      <c r="A96" t="s">
        <v>117</v>
      </c>
      <c r="B96" s="25" t="s">
        <v>2192</v>
      </c>
      <c r="C96" t="s">
        <v>9</v>
      </c>
      <c r="D96" s="25"/>
    </row>
    <row r="97" ht="14.4" customHeight="1" spans="1:4" x14ac:dyDescent="0.25">
      <c r="A97" t="s">
        <v>118</v>
      </c>
      <c r="B97" s="25" t="s">
        <v>2199</v>
      </c>
      <c r="C97" t="s">
        <v>9</v>
      </c>
      <c r="D97" s="25"/>
    </row>
    <row r="98" ht="14.4" customHeight="1" spans="1:4" x14ac:dyDescent="0.25">
      <c r="A98" t="s">
        <v>121</v>
      </c>
      <c r="B98" s="25" t="s">
        <v>2151</v>
      </c>
      <c r="C98" t="s">
        <v>9</v>
      </c>
      <c r="D98" s="25"/>
    </row>
    <row r="99" ht="14.4" customHeight="1" spans="1:4" x14ac:dyDescent="0.25">
      <c r="A99" t="s">
        <v>119</v>
      </c>
      <c r="B99" s="25" t="s">
        <v>2152</v>
      </c>
      <c r="C99" t="s">
        <v>120</v>
      </c>
      <c r="D99" s="25"/>
    </row>
    <row r="100" ht="14.4" customHeight="1" spans="1:4" x14ac:dyDescent="0.25">
      <c r="A100" t="s">
        <v>122</v>
      </c>
      <c r="B100" s="25" t="s">
        <v>2146</v>
      </c>
      <c r="C100" t="s">
        <v>9</v>
      </c>
      <c r="D100" s="25"/>
    </row>
    <row r="101" ht="14.4" customHeight="1" spans="1:4" x14ac:dyDescent="0.25">
      <c r="A101" t="s">
        <v>123</v>
      </c>
      <c r="B101" s="25" t="s">
        <v>2200</v>
      </c>
      <c r="C101" t="s">
        <v>124</v>
      </c>
      <c r="D101" s="25"/>
    </row>
    <row r="102" ht="14.4" customHeight="1" spans="1:4" x14ac:dyDescent="0.25">
      <c r="A102" t="s">
        <v>125</v>
      </c>
      <c r="B102" s="25" t="s">
        <v>2196</v>
      </c>
      <c r="C102" t="s">
        <v>124</v>
      </c>
      <c r="D102" s="25"/>
    </row>
    <row r="103" ht="14.4" customHeight="1" spans="1:4" x14ac:dyDescent="0.25">
      <c r="A103" t="s">
        <v>126</v>
      </c>
      <c r="B103" s="25" t="s">
        <v>2201</v>
      </c>
      <c r="C103" t="s">
        <v>9</v>
      </c>
      <c r="D103" s="25"/>
    </row>
    <row r="104" ht="14.4" customHeight="1" spans="1:4" x14ac:dyDescent="0.25">
      <c r="A104" t="s">
        <v>127</v>
      </c>
      <c r="B104" s="25" t="s">
        <v>2196</v>
      </c>
      <c r="C104" t="s">
        <v>9</v>
      </c>
      <c r="D104" s="25"/>
    </row>
    <row r="105" ht="14.4" customHeight="1" spans="1:4" x14ac:dyDescent="0.25">
      <c r="A105" t="s">
        <v>128</v>
      </c>
      <c r="B105" s="25" t="s">
        <v>2196</v>
      </c>
      <c r="C105" t="s">
        <v>9</v>
      </c>
      <c r="D105" s="25"/>
    </row>
    <row r="106" ht="14.4" customHeight="1" spans="1:4" x14ac:dyDescent="0.25">
      <c r="A106" t="s">
        <v>129</v>
      </c>
      <c r="B106" s="25" t="s">
        <v>2201</v>
      </c>
      <c r="C106" t="s">
        <v>9</v>
      </c>
      <c r="D106" s="25"/>
    </row>
    <row r="107" ht="14.4" customHeight="1" spans="1:4" x14ac:dyDescent="0.25">
      <c r="A107" t="s">
        <v>130</v>
      </c>
      <c r="B107" s="25" t="s">
        <v>2160</v>
      </c>
      <c r="C107" t="s">
        <v>9</v>
      </c>
      <c r="D107" s="25"/>
    </row>
    <row r="108" ht="14.4" customHeight="1" spans="1:4" x14ac:dyDescent="0.25">
      <c r="A108" t="s">
        <v>131</v>
      </c>
      <c r="B108" s="25" t="s">
        <v>2202</v>
      </c>
      <c r="C108" t="s">
        <v>132</v>
      </c>
      <c r="D108" s="25"/>
    </row>
    <row r="109" ht="14.4" customHeight="1" spans="1:4" x14ac:dyDescent="0.25">
      <c r="A109" t="s">
        <v>133</v>
      </c>
      <c r="B109" s="25" t="s">
        <v>2165</v>
      </c>
      <c r="C109" t="s">
        <v>9</v>
      </c>
      <c r="D109" s="25"/>
    </row>
    <row r="110" ht="14.4" customHeight="1" spans="1:4" x14ac:dyDescent="0.25">
      <c r="A110" t="s">
        <v>135</v>
      </c>
      <c r="B110" s="25" t="s">
        <v>2144</v>
      </c>
      <c r="C110" t="s">
        <v>9</v>
      </c>
      <c r="D110" s="25"/>
    </row>
    <row r="111" ht="14.4" customHeight="1" spans="1:4" x14ac:dyDescent="0.25">
      <c r="A111" t="s">
        <v>136</v>
      </c>
      <c r="B111" s="25" t="s">
        <v>2203</v>
      </c>
      <c r="C111" t="s">
        <v>9</v>
      </c>
      <c r="D111" s="25"/>
    </row>
    <row r="112" ht="14.4" customHeight="1" spans="1:4" x14ac:dyDescent="0.25">
      <c r="A112" t="s">
        <v>137</v>
      </c>
      <c r="B112" s="25" t="s">
        <v>2204</v>
      </c>
      <c r="C112" t="s">
        <v>9</v>
      </c>
      <c r="D112" s="25"/>
    </row>
    <row r="113" ht="14.4" customHeight="1" spans="1:4" x14ac:dyDescent="0.25">
      <c r="A113" t="s">
        <v>138</v>
      </c>
      <c r="B113" s="25" t="s">
        <v>2160</v>
      </c>
      <c r="C113" t="s">
        <v>9</v>
      </c>
      <c r="D113" s="25"/>
    </row>
    <row r="114" ht="14.4" customHeight="1" spans="1:4" x14ac:dyDescent="0.25">
      <c r="A114" t="s">
        <v>139</v>
      </c>
      <c r="B114" s="25" t="s">
        <v>2148</v>
      </c>
      <c r="C114" t="s">
        <v>9</v>
      </c>
      <c r="D114" s="25"/>
    </row>
    <row r="115" ht="14.4" customHeight="1" spans="1:4" x14ac:dyDescent="0.25">
      <c r="A115" t="s">
        <v>140</v>
      </c>
      <c r="B115" s="25" t="s">
        <v>2181</v>
      </c>
      <c r="C115" t="s">
        <v>9</v>
      </c>
      <c r="D115" s="25"/>
    </row>
    <row r="116" ht="14.4" customHeight="1" spans="1:4" x14ac:dyDescent="0.25">
      <c r="A116" t="s">
        <v>141</v>
      </c>
      <c r="B116" s="25" t="s">
        <v>2151</v>
      </c>
      <c r="C116" t="s">
        <v>9</v>
      </c>
      <c r="D116" s="25"/>
    </row>
    <row r="117" ht="14.4" customHeight="1" spans="1:4" x14ac:dyDescent="0.25">
      <c r="A117" t="s">
        <v>142</v>
      </c>
      <c r="B117" s="25" t="s">
        <v>2160</v>
      </c>
      <c r="C117" t="s">
        <v>9</v>
      </c>
      <c r="D117" s="25"/>
    </row>
    <row r="118" ht="14.4" customHeight="1" spans="1:4" x14ac:dyDescent="0.25">
      <c r="A118" t="s">
        <v>143</v>
      </c>
      <c r="B118" s="25" t="s">
        <v>2205</v>
      </c>
      <c r="C118" t="s">
        <v>9</v>
      </c>
      <c r="D118" s="25"/>
    </row>
    <row r="119" ht="14.4" customHeight="1" spans="1:4" x14ac:dyDescent="0.25">
      <c r="A119" t="s">
        <v>144</v>
      </c>
      <c r="B119" s="25" t="s">
        <v>2190</v>
      </c>
      <c r="C119" t="s">
        <v>9</v>
      </c>
      <c r="D119" s="25"/>
    </row>
    <row r="120" ht="14.4" customHeight="1" spans="1:4" x14ac:dyDescent="0.25">
      <c r="A120" t="s">
        <v>145</v>
      </c>
      <c r="B120" s="25" t="s">
        <v>2147</v>
      </c>
      <c r="C120" t="s">
        <v>146</v>
      </c>
      <c r="D120" s="25"/>
    </row>
    <row r="121" ht="14.4" customHeight="1" spans="1:5" x14ac:dyDescent="0.25">
      <c r="A121" t="s">
        <v>147</v>
      </c>
      <c r="B121" s="25" t="s">
        <v>2206</v>
      </c>
      <c r="C121" t="s">
        <v>11</v>
      </c>
      <c r="D121" s="25" t="s">
        <v>2146</v>
      </c>
      <c r="E121" t="s">
        <v>305</v>
      </c>
    </row>
    <row r="122" ht="14.4" customHeight="1" spans="1:5" x14ac:dyDescent="0.25">
      <c r="A122" t="s">
        <v>154</v>
      </c>
      <c r="B122" s="25" t="s">
        <v>2207</v>
      </c>
      <c r="C122" t="s">
        <v>216</v>
      </c>
      <c r="D122" s="25" t="s">
        <v>2202</v>
      </c>
      <c r="E122" t="s">
        <v>314</v>
      </c>
    </row>
    <row r="123" ht="14.4" customHeight="1" spans="1:5" x14ac:dyDescent="0.25">
      <c r="A123" t="s">
        <v>156</v>
      </c>
      <c r="B123" s="25" t="s">
        <v>2208</v>
      </c>
      <c r="C123" t="s">
        <v>216</v>
      </c>
      <c r="D123" s="25" t="s">
        <v>2181</v>
      </c>
      <c r="E123" t="s">
        <v>314</v>
      </c>
    </row>
    <row r="124" ht="14.4" customHeight="1" spans="1:5" x14ac:dyDescent="0.25">
      <c r="A124" t="s">
        <v>157</v>
      </c>
      <c r="B124" s="25" t="s">
        <v>2207</v>
      </c>
      <c r="C124" t="s">
        <v>216</v>
      </c>
      <c r="D124" s="25" t="s">
        <v>2202</v>
      </c>
      <c r="E124" t="s">
        <v>314</v>
      </c>
    </row>
    <row r="125" ht="14.4" customHeight="1" spans="1:5" x14ac:dyDescent="0.25">
      <c r="A125" t="s">
        <v>159</v>
      </c>
      <c r="B125" s="25" t="s">
        <v>2207</v>
      </c>
      <c r="C125" t="s">
        <v>216</v>
      </c>
      <c r="D125" s="25" t="s">
        <v>2202</v>
      </c>
      <c r="E125" t="s">
        <v>314</v>
      </c>
    </row>
    <row r="126" ht="14.4" customHeight="1" spans="1:5" x14ac:dyDescent="0.25">
      <c r="A126" t="s">
        <v>148</v>
      </c>
      <c r="B126" s="25" t="s">
        <v>2179</v>
      </c>
      <c r="C126" t="s">
        <v>216</v>
      </c>
      <c r="D126" s="25" t="s">
        <v>2209</v>
      </c>
      <c r="E126" t="s">
        <v>314</v>
      </c>
    </row>
    <row r="127" ht="14.4" customHeight="1" spans="1:5" x14ac:dyDescent="0.25">
      <c r="A127" t="s">
        <v>151</v>
      </c>
      <c r="B127" s="25" t="s">
        <v>2210</v>
      </c>
      <c r="C127" t="s">
        <v>216</v>
      </c>
      <c r="D127" s="25" t="s">
        <v>2211</v>
      </c>
      <c r="E127" t="s">
        <v>314</v>
      </c>
    </row>
    <row r="128" ht="14.4" customHeight="1" spans="1:5" x14ac:dyDescent="0.25">
      <c r="A128" t="s">
        <v>152</v>
      </c>
      <c r="B128" s="25" t="s">
        <v>2212</v>
      </c>
      <c r="C128" t="s">
        <v>11</v>
      </c>
      <c r="D128" s="25" t="s">
        <v>2213</v>
      </c>
      <c r="E128" t="s">
        <v>305</v>
      </c>
    </row>
    <row r="129" ht="14.4" customHeight="1" spans="1:5" x14ac:dyDescent="0.25">
      <c r="A129" t="s">
        <v>153</v>
      </c>
      <c r="B129" s="25" t="s">
        <v>2214</v>
      </c>
      <c r="C129" t="s">
        <v>11</v>
      </c>
      <c r="D129" s="25" t="s">
        <v>2167</v>
      </c>
      <c r="E129" t="s">
        <v>305</v>
      </c>
    </row>
    <row r="130" ht="14.4" customHeight="1" spans="1:5" x14ac:dyDescent="0.25">
      <c r="A130" t="s">
        <v>155</v>
      </c>
      <c r="B130" s="25" t="s">
        <v>2159</v>
      </c>
      <c r="C130" t="s">
        <v>11</v>
      </c>
      <c r="D130" s="25" t="s">
        <v>2215</v>
      </c>
      <c r="E130" t="s">
        <v>305</v>
      </c>
    </row>
    <row r="131" ht="14.4" customHeight="1" spans="1:5" x14ac:dyDescent="0.25">
      <c r="A131" t="s">
        <v>158</v>
      </c>
      <c r="B131" s="25" t="s">
        <v>2207</v>
      </c>
      <c r="C131" t="s">
        <v>216</v>
      </c>
      <c r="D131" s="25" t="s">
        <v>2202</v>
      </c>
      <c r="E131" t="s">
        <v>314</v>
      </c>
    </row>
    <row r="132" ht="14.4" customHeight="1" spans="1:5" x14ac:dyDescent="0.25">
      <c r="A132" t="s">
        <v>160</v>
      </c>
      <c r="B132" s="25" t="s">
        <v>2216</v>
      </c>
      <c r="C132" t="s">
        <v>216</v>
      </c>
      <c r="D132" s="25" t="s">
        <v>2150</v>
      </c>
      <c r="E132" t="s">
        <v>314</v>
      </c>
    </row>
    <row r="133" ht="14.4" customHeight="1" spans="1:5" x14ac:dyDescent="0.25">
      <c r="A133" t="s">
        <v>161</v>
      </c>
      <c r="B133" s="25" t="s">
        <v>2216</v>
      </c>
      <c r="C133" t="s">
        <v>216</v>
      </c>
      <c r="D133" s="25" t="s">
        <v>2217</v>
      </c>
      <c r="E133" t="s">
        <v>314</v>
      </c>
    </row>
    <row r="134" ht="14.4" customHeight="1" spans="1:5" x14ac:dyDescent="0.25">
      <c r="A134" t="s">
        <v>162</v>
      </c>
      <c r="B134" s="25" t="s">
        <v>2218</v>
      </c>
      <c r="C134" t="s">
        <v>216</v>
      </c>
      <c r="D134" s="25" t="s">
        <v>2156</v>
      </c>
      <c r="E134" t="s">
        <v>314</v>
      </c>
    </row>
    <row r="135" ht="14.4" customHeight="1" spans="1:5" x14ac:dyDescent="0.25">
      <c r="A135" t="s">
        <v>162</v>
      </c>
      <c r="B135" s="25" t="s">
        <v>2219</v>
      </c>
      <c r="C135" t="s">
        <v>11</v>
      </c>
      <c r="D135" s="25" t="s">
        <v>2220</v>
      </c>
      <c r="E135" t="s">
        <v>305</v>
      </c>
    </row>
    <row r="136" ht="14.4" customHeight="1" spans="1:5" x14ac:dyDescent="0.25">
      <c r="A136" t="s">
        <v>164</v>
      </c>
      <c r="B136" s="25" t="s">
        <v>2221</v>
      </c>
      <c r="C136" t="s">
        <v>11</v>
      </c>
      <c r="D136" s="25" t="s">
        <v>2222</v>
      </c>
      <c r="E136" t="s">
        <v>305</v>
      </c>
    </row>
    <row r="137" ht="14.4" customHeight="1" spans="1:5" x14ac:dyDescent="0.25">
      <c r="A137" t="s">
        <v>164</v>
      </c>
      <c r="B137" s="25" t="s">
        <v>2216</v>
      </c>
      <c r="C137" t="s">
        <v>216</v>
      </c>
      <c r="D137" s="25" t="s">
        <v>2217</v>
      </c>
      <c r="E137" t="s">
        <v>314</v>
      </c>
    </row>
    <row r="138" ht="14.4" customHeight="1" spans="1:5" x14ac:dyDescent="0.25">
      <c r="A138" t="s">
        <v>165</v>
      </c>
      <c r="B138" s="25" t="s">
        <v>2223</v>
      </c>
      <c r="C138" t="s">
        <v>216</v>
      </c>
      <c r="D138" s="25" t="s">
        <v>2224</v>
      </c>
      <c r="E138" t="s">
        <v>314</v>
      </c>
    </row>
    <row r="139" ht="14.4" customHeight="1" spans="1:5" x14ac:dyDescent="0.25">
      <c r="A139" t="s">
        <v>166</v>
      </c>
      <c r="B139" s="25" t="s">
        <v>2208</v>
      </c>
      <c r="C139" t="s">
        <v>216</v>
      </c>
      <c r="D139" s="25" t="s">
        <v>2181</v>
      </c>
      <c r="E139" t="s">
        <v>314</v>
      </c>
    </row>
    <row r="140" ht="14.4" customHeight="1" spans="1:5" x14ac:dyDescent="0.25">
      <c r="A140" t="s">
        <v>167</v>
      </c>
      <c r="B140" s="25" t="s">
        <v>2208</v>
      </c>
      <c r="C140" t="s">
        <v>216</v>
      </c>
      <c r="D140" s="25" t="s">
        <v>2181</v>
      </c>
      <c r="E140" t="s">
        <v>314</v>
      </c>
    </row>
    <row r="141" ht="14.4" customHeight="1" spans="1:4" x14ac:dyDescent="0.25">
      <c r="A141" t="s">
        <v>163</v>
      </c>
      <c r="B141" s="25" t="s">
        <v>2196</v>
      </c>
      <c r="C141" t="s">
        <v>9</v>
      </c>
      <c r="D141" s="25"/>
    </row>
    <row r="142" ht="14.4" customHeight="1" spans="1:5" x14ac:dyDescent="0.25">
      <c r="A142" t="s">
        <v>169</v>
      </c>
      <c r="B142" s="25" t="s">
        <v>2225</v>
      </c>
      <c r="C142" t="s">
        <v>216</v>
      </c>
      <c r="D142" s="25" t="s">
        <v>2210</v>
      </c>
      <c r="E142" t="s">
        <v>314</v>
      </c>
    </row>
    <row r="143" ht="14.4" customHeight="1" spans="1:5" x14ac:dyDescent="0.25">
      <c r="A143" t="s">
        <v>170</v>
      </c>
      <c r="B143" s="25" t="s">
        <v>2216</v>
      </c>
      <c r="C143" t="s">
        <v>216</v>
      </c>
      <c r="D143" s="25" t="s">
        <v>2150</v>
      </c>
      <c r="E143" t="s">
        <v>314</v>
      </c>
    </row>
    <row r="144" ht="14.4" customHeight="1" spans="1:5" x14ac:dyDescent="0.25">
      <c r="A144" t="s">
        <v>171</v>
      </c>
      <c r="B144" s="25" t="s">
        <v>2208</v>
      </c>
      <c r="C144" t="s">
        <v>216</v>
      </c>
      <c r="D144" s="25" t="s">
        <v>2181</v>
      </c>
      <c r="E144" t="s">
        <v>314</v>
      </c>
    </row>
    <row r="145" ht="14.4" customHeight="1" spans="1:5" x14ac:dyDescent="0.25">
      <c r="A145" t="s">
        <v>172</v>
      </c>
      <c r="B145" s="25" t="s">
        <v>2226</v>
      </c>
      <c r="C145" t="s">
        <v>216</v>
      </c>
      <c r="D145" s="25" t="s">
        <v>2227</v>
      </c>
      <c r="E145" t="s">
        <v>314</v>
      </c>
    </row>
    <row r="146" ht="14.4" customHeight="1" spans="1:5" x14ac:dyDescent="0.25">
      <c r="A146" t="s">
        <v>173</v>
      </c>
      <c r="B146" s="25" t="s">
        <v>2223</v>
      </c>
      <c r="C146" t="s">
        <v>216</v>
      </c>
      <c r="D146" s="25" t="s">
        <v>2224</v>
      </c>
      <c r="E146" t="s">
        <v>314</v>
      </c>
    </row>
    <row r="147" ht="14.4" customHeight="1" spans="1:5" x14ac:dyDescent="0.25">
      <c r="A147" t="s">
        <v>174</v>
      </c>
      <c r="B147" s="25" t="s">
        <v>2226</v>
      </c>
      <c r="C147" t="s">
        <v>216</v>
      </c>
      <c r="D147" s="25" t="s">
        <v>2227</v>
      </c>
      <c r="E147" t="s">
        <v>314</v>
      </c>
    </row>
    <row r="148" ht="14.4" customHeight="1" spans="1:5" x14ac:dyDescent="0.25">
      <c r="A148" t="s">
        <v>175</v>
      </c>
      <c r="B148" s="25" t="s">
        <v>2216</v>
      </c>
      <c r="C148" t="s">
        <v>216</v>
      </c>
      <c r="D148" s="25" t="s">
        <v>2217</v>
      </c>
      <c r="E148" t="s">
        <v>314</v>
      </c>
    </row>
    <row r="149" ht="14.4" customHeight="1" spans="1:5" x14ac:dyDescent="0.25">
      <c r="A149" t="s">
        <v>176</v>
      </c>
      <c r="B149" s="25" t="s">
        <v>2218</v>
      </c>
      <c r="C149" t="s">
        <v>216</v>
      </c>
      <c r="D149" s="25" t="s">
        <v>2228</v>
      </c>
      <c r="E149" t="s">
        <v>314</v>
      </c>
    </row>
    <row r="150" ht="14.4" customHeight="1" spans="1:5" x14ac:dyDescent="0.25">
      <c r="A150" t="s">
        <v>177</v>
      </c>
      <c r="B150" s="25" t="s">
        <v>2226</v>
      </c>
      <c r="C150" t="s">
        <v>216</v>
      </c>
      <c r="D150" s="25" t="s">
        <v>2227</v>
      </c>
      <c r="E150" t="s">
        <v>314</v>
      </c>
    </row>
    <row r="151" ht="14.4" customHeight="1" spans="1:5" x14ac:dyDescent="0.25">
      <c r="A151" t="s">
        <v>178</v>
      </c>
      <c r="B151" s="25" t="s">
        <v>2229</v>
      </c>
      <c r="C151" t="s">
        <v>11</v>
      </c>
      <c r="D151" s="25" t="s">
        <v>2230</v>
      </c>
      <c r="E151" t="s">
        <v>305</v>
      </c>
    </row>
    <row r="152" ht="14.4" customHeight="1" spans="1:5" x14ac:dyDescent="0.25">
      <c r="A152" t="s">
        <v>178</v>
      </c>
      <c r="B152" s="25" t="s">
        <v>2216</v>
      </c>
      <c r="C152" t="s">
        <v>216</v>
      </c>
      <c r="D152" s="25" t="s">
        <v>2217</v>
      </c>
      <c r="E152" t="s">
        <v>314</v>
      </c>
    </row>
    <row r="153" ht="14.4" customHeight="1" spans="1:5" x14ac:dyDescent="0.25">
      <c r="A153" t="s">
        <v>179</v>
      </c>
      <c r="B153" s="25" t="s">
        <v>2208</v>
      </c>
      <c r="C153" t="s">
        <v>216</v>
      </c>
      <c r="D153" s="25" t="s">
        <v>2181</v>
      </c>
      <c r="E153" t="s">
        <v>314</v>
      </c>
    </row>
    <row r="154" ht="14.4" customHeight="1" spans="1:5" x14ac:dyDescent="0.25">
      <c r="A154" t="s">
        <v>180</v>
      </c>
      <c r="B154" s="25" t="s">
        <v>2208</v>
      </c>
      <c r="C154" t="s">
        <v>216</v>
      </c>
      <c r="D154" s="25" t="s">
        <v>2181</v>
      </c>
      <c r="E154" t="s">
        <v>314</v>
      </c>
    </row>
    <row r="155" ht="14.4" customHeight="1" spans="1:5" x14ac:dyDescent="0.25">
      <c r="A155" t="s">
        <v>181</v>
      </c>
      <c r="B155" s="25" t="s">
        <v>2202</v>
      </c>
      <c r="C155" t="s">
        <v>216</v>
      </c>
      <c r="D155" s="25" t="s">
        <v>2163</v>
      </c>
      <c r="E155" t="s">
        <v>314</v>
      </c>
    </row>
    <row r="156" ht="14.4" customHeight="1" spans="1:5" x14ac:dyDescent="0.25">
      <c r="A156" t="s">
        <v>182</v>
      </c>
      <c r="B156" s="25" t="s">
        <v>2206</v>
      </c>
      <c r="C156" t="s">
        <v>11</v>
      </c>
      <c r="D156" s="25" t="s">
        <v>2146</v>
      </c>
      <c r="E156" t="s">
        <v>305</v>
      </c>
    </row>
    <row r="157" ht="14.4" customHeight="1" spans="1:5" x14ac:dyDescent="0.25">
      <c r="A157" t="s">
        <v>183</v>
      </c>
      <c r="B157" s="25" t="s">
        <v>2160</v>
      </c>
      <c r="C157" t="s">
        <v>216</v>
      </c>
      <c r="D157" s="25" t="s">
        <v>2231</v>
      </c>
      <c r="E157" t="s">
        <v>314</v>
      </c>
    </row>
    <row r="158" ht="14.4" customHeight="1" spans="1:5" x14ac:dyDescent="0.25">
      <c r="A158" t="s">
        <v>184</v>
      </c>
      <c r="B158" s="25" t="s">
        <v>2225</v>
      </c>
      <c r="C158" t="s">
        <v>216</v>
      </c>
      <c r="D158" s="25" t="s">
        <v>2210</v>
      </c>
      <c r="E158" t="s">
        <v>314</v>
      </c>
    </row>
    <row r="159" ht="14.4" customHeight="1" spans="1:5" x14ac:dyDescent="0.25">
      <c r="A159" t="s">
        <v>185</v>
      </c>
      <c r="B159" s="25" t="s">
        <v>2185</v>
      </c>
      <c r="C159" t="s">
        <v>216</v>
      </c>
      <c r="D159" s="25" t="s">
        <v>2232</v>
      </c>
      <c r="E159" t="s">
        <v>314</v>
      </c>
    </row>
    <row r="160" ht="14.4" customHeight="1" spans="1:5" x14ac:dyDescent="0.25">
      <c r="A160" t="s">
        <v>186</v>
      </c>
      <c r="B160" s="25" t="s">
        <v>2233</v>
      </c>
      <c r="C160" t="s">
        <v>11</v>
      </c>
      <c r="D160" s="25" t="s">
        <v>2234</v>
      </c>
      <c r="E160" t="s">
        <v>305</v>
      </c>
    </row>
    <row r="161" ht="14.4" customHeight="1" spans="1:5" x14ac:dyDescent="0.25">
      <c r="A161" t="s">
        <v>187</v>
      </c>
      <c r="B161" s="25" t="s">
        <v>2208</v>
      </c>
      <c r="C161" t="s">
        <v>216</v>
      </c>
      <c r="D161" s="25" t="s">
        <v>2181</v>
      </c>
      <c r="E161" t="s">
        <v>314</v>
      </c>
    </row>
    <row r="162" ht="14.4" customHeight="1" spans="1:5" x14ac:dyDescent="0.25">
      <c r="A162" t="s">
        <v>188</v>
      </c>
      <c r="B162" s="25" t="s">
        <v>2225</v>
      </c>
      <c r="C162" t="s">
        <v>216</v>
      </c>
      <c r="D162" s="25" t="s">
        <v>2210</v>
      </c>
      <c r="E162" t="s">
        <v>314</v>
      </c>
    </row>
    <row r="163" ht="14.4" customHeight="1" spans="1:5" x14ac:dyDescent="0.25">
      <c r="A163" t="s">
        <v>189</v>
      </c>
      <c r="B163" s="25" t="s">
        <v>2208</v>
      </c>
      <c r="C163" t="s">
        <v>216</v>
      </c>
      <c r="D163" s="25" t="s">
        <v>2181</v>
      </c>
      <c r="E163" t="s">
        <v>314</v>
      </c>
    </row>
    <row r="164" ht="14.4" customHeight="1" spans="1:5" x14ac:dyDescent="0.25">
      <c r="A164" t="s">
        <v>190</v>
      </c>
      <c r="B164" s="25" t="s">
        <v>2235</v>
      </c>
      <c r="C164" t="s">
        <v>191</v>
      </c>
      <c r="D164" s="25" t="s">
        <v>2175</v>
      </c>
      <c r="E164" t="s">
        <v>9</v>
      </c>
    </row>
    <row r="165" ht="14.4" customHeight="1" spans="1:5" x14ac:dyDescent="0.25">
      <c r="A165" t="s">
        <v>192</v>
      </c>
      <c r="B165" s="25" t="s">
        <v>2181</v>
      </c>
      <c r="C165" t="s">
        <v>216</v>
      </c>
      <c r="D165" s="25" t="s">
        <v>2160</v>
      </c>
      <c r="E165" t="s">
        <v>314</v>
      </c>
    </row>
    <row r="166" ht="14.4" customHeight="1" spans="1:5" x14ac:dyDescent="0.25">
      <c r="A166" t="s">
        <v>193</v>
      </c>
      <c r="B166" s="25" t="s">
        <v>2236</v>
      </c>
      <c r="C166" t="s">
        <v>11</v>
      </c>
      <c r="D166" s="25" t="s">
        <v>2237</v>
      </c>
      <c r="E166" t="s">
        <v>305</v>
      </c>
    </row>
    <row r="167" ht="14.4" customHeight="1" spans="1:5" x14ac:dyDescent="0.25">
      <c r="A167" t="s">
        <v>193</v>
      </c>
      <c r="B167" s="25" t="s">
        <v>2216</v>
      </c>
      <c r="C167" t="s">
        <v>216</v>
      </c>
      <c r="D167" s="25" t="s">
        <v>2217</v>
      </c>
      <c r="E167" t="s">
        <v>314</v>
      </c>
    </row>
    <row r="168" ht="14.4" customHeight="1" spans="1:5" x14ac:dyDescent="0.25">
      <c r="A168" t="s">
        <v>194</v>
      </c>
      <c r="B168" s="25" t="s">
        <v>2216</v>
      </c>
      <c r="C168" t="s">
        <v>216</v>
      </c>
      <c r="D168" s="25" t="s">
        <v>2217</v>
      </c>
      <c r="E168" t="s">
        <v>314</v>
      </c>
    </row>
    <row r="169" ht="14.4" customHeight="1" spans="1:5" x14ac:dyDescent="0.25">
      <c r="A169" t="s">
        <v>195</v>
      </c>
      <c r="B169" s="25" t="s">
        <v>2225</v>
      </c>
      <c r="C169" t="s">
        <v>216</v>
      </c>
      <c r="D169" s="25" t="s">
        <v>2210</v>
      </c>
      <c r="E169" t="s">
        <v>314</v>
      </c>
    </row>
    <row r="170" ht="14.4" customHeight="1" spans="1:5" x14ac:dyDescent="0.25">
      <c r="A170" t="s">
        <v>196</v>
      </c>
      <c r="B170" s="25" t="s">
        <v>2229</v>
      </c>
      <c r="C170" t="s">
        <v>11</v>
      </c>
      <c r="D170" s="25" t="s">
        <v>2230</v>
      </c>
      <c r="E170" t="s">
        <v>305</v>
      </c>
    </row>
    <row r="171" ht="14.4" customHeight="1" spans="1:5" x14ac:dyDescent="0.25">
      <c r="A171" t="s">
        <v>196</v>
      </c>
      <c r="B171" s="25" t="s">
        <v>2208</v>
      </c>
      <c r="C171" t="s">
        <v>216</v>
      </c>
      <c r="D171" s="25" t="s">
        <v>2181</v>
      </c>
      <c r="E171" t="s">
        <v>314</v>
      </c>
    </row>
    <row r="172" ht="14.4" customHeight="1" spans="1:5" x14ac:dyDescent="0.25">
      <c r="A172" t="s">
        <v>197</v>
      </c>
      <c r="B172" s="25" t="s">
        <v>2159</v>
      </c>
      <c r="C172" t="s">
        <v>11</v>
      </c>
      <c r="D172" s="25" t="s">
        <v>2215</v>
      </c>
      <c r="E172" t="s">
        <v>305</v>
      </c>
    </row>
    <row r="173" ht="14.4" customHeight="1" spans="1:5" x14ac:dyDescent="0.25">
      <c r="A173" t="s">
        <v>198</v>
      </c>
      <c r="B173" s="25" t="s">
        <v>2206</v>
      </c>
      <c r="C173" t="s">
        <v>11</v>
      </c>
      <c r="D173" s="25" t="s">
        <v>2146</v>
      </c>
      <c r="E173" t="s">
        <v>305</v>
      </c>
    </row>
    <row r="174" ht="14.4" customHeight="1" spans="1:5" x14ac:dyDescent="0.25">
      <c r="A174" t="s">
        <v>199</v>
      </c>
      <c r="B174" s="25" t="s">
        <v>2160</v>
      </c>
      <c r="C174" t="s">
        <v>9</v>
      </c>
      <c r="D174" s="25" t="s">
        <v>2160</v>
      </c>
      <c r="E174" t="s">
        <v>9</v>
      </c>
    </row>
    <row r="175" ht="14.4" customHeight="1" spans="1:5" x14ac:dyDescent="0.25">
      <c r="A175" t="s">
        <v>200</v>
      </c>
      <c r="B175" s="25" t="s">
        <v>2238</v>
      </c>
      <c r="C175" t="s">
        <v>216</v>
      </c>
      <c r="D175" s="25" t="s">
        <v>2207</v>
      </c>
      <c r="E175" t="s">
        <v>314</v>
      </c>
    </row>
    <row r="176" ht="14.4" customHeight="1" spans="1:5" x14ac:dyDescent="0.25">
      <c r="A176" t="s">
        <v>201</v>
      </c>
      <c r="B176" s="25" t="s">
        <v>2239</v>
      </c>
      <c r="C176" t="s">
        <v>216</v>
      </c>
      <c r="D176" s="25" t="s">
        <v>2240</v>
      </c>
      <c r="E176" t="s">
        <v>314</v>
      </c>
    </row>
    <row r="177" ht="14.4" customHeight="1" spans="1:5" x14ac:dyDescent="0.25">
      <c r="A177" t="s">
        <v>202</v>
      </c>
      <c r="B177" s="25" t="s">
        <v>2226</v>
      </c>
      <c r="C177" t="s">
        <v>216</v>
      </c>
      <c r="D177" s="25" t="s">
        <v>2227</v>
      </c>
      <c r="E177" t="s">
        <v>314</v>
      </c>
    </row>
    <row r="178" ht="14.4" customHeight="1" spans="1:5" x14ac:dyDescent="0.25">
      <c r="A178" t="s">
        <v>203</v>
      </c>
      <c r="B178" s="25" t="s">
        <v>2225</v>
      </c>
      <c r="C178" t="s">
        <v>216</v>
      </c>
      <c r="D178" s="25" t="s">
        <v>2210</v>
      </c>
      <c r="E178" t="s">
        <v>314</v>
      </c>
    </row>
    <row r="179" ht="14.4" customHeight="1" spans="1:5" x14ac:dyDescent="0.25">
      <c r="A179" t="s">
        <v>204</v>
      </c>
      <c r="B179" s="25" t="s">
        <v>2225</v>
      </c>
      <c r="C179" t="s">
        <v>216</v>
      </c>
      <c r="D179" s="25" t="s">
        <v>2210</v>
      </c>
      <c r="E179" t="s">
        <v>314</v>
      </c>
    </row>
    <row r="180" ht="14.4" customHeight="1" spans="1:5" x14ac:dyDescent="0.25">
      <c r="A180" t="s">
        <v>205</v>
      </c>
      <c r="B180" s="25" t="s">
        <v>2226</v>
      </c>
      <c r="C180" t="s">
        <v>216</v>
      </c>
      <c r="D180" s="25" t="s">
        <v>2227</v>
      </c>
      <c r="E180" t="s">
        <v>314</v>
      </c>
    </row>
    <row r="181" ht="14.4" customHeight="1" spans="1:5" x14ac:dyDescent="0.25">
      <c r="A181" t="s">
        <v>206</v>
      </c>
      <c r="B181" s="25" t="s">
        <v>2225</v>
      </c>
      <c r="C181" t="s">
        <v>216</v>
      </c>
      <c r="D181" s="25" t="s">
        <v>2210</v>
      </c>
      <c r="E181" t="s">
        <v>314</v>
      </c>
    </row>
    <row r="182" ht="14.4" customHeight="1" spans="1:5" x14ac:dyDescent="0.25">
      <c r="A182" t="s">
        <v>207</v>
      </c>
      <c r="B182" s="25" t="s">
        <v>2241</v>
      </c>
      <c r="C182" t="s">
        <v>216</v>
      </c>
      <c r="D182" s="25" t="s">
        <v>2154</v>
      </c>
      <c r="E182" t="s">
        <v>314</v>
      </c>
    </row>
    <row r="183" ht="14.4" customHeight="1" spans="1:5" x14ac:dyDescent="0.25">
      <c r="A183" t="s">
        <v>208</v>
      </c>
      <c r="B183" s="25" t="s">
        <v>2225</v>
      </c>
      <c r="C183" t="s">
        <v>216</v>
      </c>
      <c r="D183" s="25" t="s">
        <v>2210</v>
      </c>
      <c r="E183" t="s">
        <v>314</v>
      </c>
    </row>
    <row r="184" ht="14.4" customHeight="1" spans="1:5" x14ac:dyDescent="0.25">
      <c r="A184" t="s">
        <v>209</v>
      </c>
      <c r="B184" s="25" t="s">
        <v>2216</v>
      </c>
      <c r="C184" t="s">
        <v>216</v>
      </c>
      <c r="D184" s="25" t="s">
        <v>2150</v>
      </c>
      <c r="E184" t="s">
        <v>314</v>
      </c>
    </row>
    <row r="185" ht="14.4" customHeight="1" spans="1:5" x14ac:dyDescent="0.25">
      <c r="A185" t="s">
        <v>210</v>
      </c>
      <c r="B185" s="25" t="s">
        <v>2225</v>
      </c>
      <c r="C185" t="s">
        <v>216</v>
      </c>
      <c r="D185" s="25" t="s">
        <v>2210</v>
      </c>
      <c r="E185" t="s">
        <v>314</v>
      </c>
    </row>
    <row r="186" ht="14.4" customHeight="1" spans="1:5" x14ac:dyDescent="0.25">
      <c r="A186" t="s">
        <v>211</v>
      </c>
      <c r="B186" s="25" t="s">
        <v>2216</v>
      </c>
      <c r="C186" t="s">
        <v>216</v>
      </c>
      <c r="D186" s="25" t="s">
        <v>2150</v>
      </c>
      <c r="E186" t="s">
        <v>314</v>
      </c>
    </row>
    <row r="187" ht="14.4" customHeight="1" spans="1:5" x14ac:dyDescent="0.25">
      <c r="A187" t="s">
        <v>212</v>
      </c>
      <c r="B187" s="25" t="s">
        <v>2225</v>
      </c>
      <c r="C187" t="s">
        <v>216</v>
      </c>
      <c r="D187" s="25" t="s">
        <v>2210</v>
      </c>
      <c r="E187" t="s">
        <v>314</v>
      </c>
    </row>
    <row r="188" ht="14.4" customHeight="1" spans="1:5" x14ac:dyDescent="0.25">
      <c r="A188" t="s">
        <v>213</v>
      </c>
      <c r="B188" s="25" t="s">
        <v>2146</v>
      </c>
      <c r="C188" t="s">
        <v>11</v>
      </c>
      <c r="D188" s="25" t="s">
        <v>2242</v>
      </c>
      <c r="E188" t="s">
        <v>305</v>
      </c>
    </row>
    <row r="189" ht="14.4" customHeight="1" spans="1:5" x14ac:dyDescent="0.25">
      <c r="A189" t="s">
        <v>213</v>
      </c>
      <c r="B189" s="25" t="s">
        <v>2225</v>
      </c>
      <c r="C189" t="s">
        <v>216</v>
      </c>
      <c r="D189" s="25" t="s">
        <v>2210</v>
      </c>
      <c r="E189" t="s">
        <v>314</v>
      </c>
    </row>
    <row r="190" ht="14.4" customHeight="1" spans="1:5" x14ac:dyDescent="0.25">
      <c r="A190" t="s">
        <v>214</v>
      </c>
      <c r="B190" s="25" t="s">
        <v>2208</v>
      </c>
      <c r="C190" t="s">
        <v>216</v>
      </c>
      <c r="D190" s="25" t="s">
        <v>2181</v>
      </c>
      <c r="E190" t="s">
        <v>314</v>
      </c>
    </row>
    <row r="191" ht="14.4" customHeight="1" spans="1:5" x14ac:dyDescent="0.25">
      <c r="A191" t="s">
        <v>215</v>
      </c>
      <c r="B191" s="25" t="s">
        <v>2208</v>
      </c>
      <c r="C191" t="s">
        <v>216</v>
      </c>
      <c r="D191" s="25" t="s">
        <v>2160</v>
      </c>
      <c r="E191" t="s">
        <v>314</v>
      </c>
    </row>
    <row r="192" ht="14.4" customHeight="1" spans="1:4" x14ac:dyDescent="0.25">
      <c r="A192" t="s">
        <v>223</v>
      </c>
      <c r="B192" s="25" t="s">
        <v>2229</v>
      </c>
      <c r="C192" t="s">
        <v>9</v>
      </c>
      <c r="D192" s="25"/>
    </row>
    <row r="193" ht="14.4" customHeight="1" spans="1:4" x14ac:dyDescent="0.25">
      <c r="A193" t="s">
        <v>224</v>
      </c>
      <c r="B193" s="25" t="s">
        <v>2243</v>
      </c>
      <c r="C193" t="s">
        <v>9</v>
      </c>
      <c r="D193" s="25"/>
    </row>
    <row r="194" ht="14.4" customHeight="1" spans="1:4" x14ac:dyDescent="0.25">
      <c r="A194" t="s">
        <v>225</v>
      </c>
      <c r="B194" s="25" t="s">
        <v>2160</v>
      </c>
      <c r="C194" t="s">
        <v>9</v>
      </c>
      <c r="D194" s="25"/>
    </row>
    <row r="195" ht="14.4" customHeight="1" spans="1:4" x14ac:dyDescent="0.25">
      <c r="A195" t="s">
        <v>226</v>
      </c>
      <c r="B195" s="25" t="s">
        <v>2160</v>
      </c>
      <c r="C195" t="s">
        <v>9</v>
      </c>
      <c r="D195" s="25"/>
    </row>
    <row r="196" ht="14.4" customHeight="1" spans="1:4" x14ac:dyDescent="0.25">
      <c r="A196" t="s">
        <v>227</v>
      </c>
      <c r="B196" s="25" t="s">
        <v>2160</v>
      </c>
      <c r="C196" t="s">
        <v>9</v>
      </c>
      <c r="D196" s="25"/>
    </row>
    <row r="197" ht="14.4" customHeight="1" spans="1:4" x14ac:dyDescent="0.25">
      <c r="A197" t="s">
        <v>228</v>
      </c>
      <c r="B197" s="25" t="s">
        <v>2160</v>
      </c>
      <c r="C197" t="s">
        <v>9</v>
      </c>
      <c r="D197" s="25"/>
    </row>
    <row r="198" ht="14.4" customHeight="1" spans="1:4" x14ac:dyDescent="0.25">
      <c r="A198" t="s">
        <v>229</v>
      </c>
      <c r="B198" s="25" t="s">
        <v>2189</v>
      </c>
      <c r="C198" t="s">
        <v>9</v>
      </c>
      <c r="D198" s="25"/>
    </row>
    <row r="199" ht="14.4" customHeight="1" spans="1:4" x14ac:dyDescent="0.25">
      <c r="A199" t="s">
        <v>230</v>
      </c>
      <c r="B199" s="25" t="s">
        <v>2229</v>
      </c>
      <c r="C199" t="s">
        <v>9</v>
      </c>
      <c r="D199" s="25"/>
    </row>
    <row r="200" ht="14.4" customHeight="1" spans="1:4" x14ac:dyDescent="0.25">
      <c r="A200" t="s">
        <v>231</v>
      </c>
      <c r="B200" s="25" t="s">
        <v>2244</v>
      </c>
      <c r="C200" t="s">
        <v>9</v>
      </c>
      <c r="D200" s="25"/>
    </row>
    <row r="201" ht="14.4" customHeight="1" spans="1:4" x14ac:dyDescent="0.25">
      <c r="A201" t="s">
        <v>232</v>
      </c>
      <c r="B201" s="25" t="s">
        <v>2237</v>
      </c>
      <c r="C201" t="s">
        <v>9</v>
      </c>
      <c r="D201" s="25"/>
    </row>
    <row r="202" ht="14.4" customHeight="1" spans="1:4" x14ac:dyDescent="0.25">
      <c r="A202" t="s">
        <v>233</v>
      </c>
      <c r="B202" s="25" t="s">
        <v>2245</v>
      </c>
      <c r="C202" t="s">
        <v>9</v>
      </c>
      <c r="D202" s="25"/>
    </row>
    <row r="203" ht="14.4" customHeight="1" spans="1:4" x14ac:dyDescent="0.25">
      <c r="A203" t="s">
        <v>234</v>
      </c>
      <c r="B203" s="25" t="s">
        <v>2229</v>
      </c>
      <c r="C203" t="s">
        <v>9</v>
      </c>
      <c r="D203" s="25"/>
    </row>
    <row r="204" ht="14.4" customHeight="1" spans="1:5" x14ac:dyDescent="0.25">
      <c r="A204" t="s">
        <v>235</v>
      </c>
      <c r="B204" s="25" t="s">
        <v>2223</v>
      </c>
      <c r="C204" t="s">
        <v>236</v>
      </c>
      <c r="D204" s="25" t="s">
        <v>2224</v>
      </c>
      <c r="E204" t="s">
        <v>237</v>
      </c>
    </row>
    <row r="205" ht="14.4" customHeight="1" spans="1:5" x14ac:dyDescent="0.25">
      <c r="A205" t="s">
        <v>238</v>
      </c>
      <c r="B205" s="25" t="s">
        <v>2185</v>
      </c>
      <c r="C205" t="s">
        <v>236</v>
      </c>
      <c r="D205" s="25" t="s">
        <v>2179</v>
      </c>
      <c r="E205" t="s">
        <v>237</v>
      </c>
    </row>
    <row r="206" ht="14.4" customHeight="1" spans="1:4" x14ac:dyDescent="0.25">
      <c r="A206" t="s">
        <v>239</v>
      </c>
      <c r="B206" s="25" t="s">
        <v>2207</v>
      </c>
      <c r="C206" t="s">
        <v>9</v>
      </c>
      <c r="D206" s="25"/>
    </row>
    <row r="207" ht="14.4" customHeight="1" spans="1:4" x14ac:dyDescent="0.25">
      <c r="A207" t="s">
        <v>240</v>
      </c>
      <c r="B207" s="25" t="s">
        <v>2246</v>
      </c>
      <c r="C207" t="s">
        <v>9</v>
      </c>
      <c r="D207" s="25"/>
    </row>
    <row r="208" ht="14.4" customHeight="1" spans="1:4" x14ac:dyDescent="0.25">
      <c r="A208" t="s">
        <v>241</v>
      </c>
      <c r="B208" s="25" t="s">
        <v>2220</v>
      </c>
      <c r="C208" t="s">
        <v>9</v>
      </c>
      <c r="D208" s="25"/>
    </row>
    <row r="209" ht="14.4" customHeight="1" spans="1:4" x14ac:dyDescent="0.25">
      <c r="A209" t="s">
        <v>243</v>
      </c>
      <c r="B209" s="25" t="s">
        <v>2220</v>
      </c>
      <c r="C209" t="s">
        <v>9</v>
      </c>
      <c r="D209" s="25"/>
    </row>
    <row r="210" ht="14.4" customHeight="1" spans="1:4" x14ac:dyDescent="0.25">
      <c r="A210" t="s">
        <v>244</v>
      </c>
      <c r="B210" s="25" t="s">
        <v>2159</v>
      </c>
      <c r="C210" t="s">
        <v>9</v>
      </c>
      <c r="D210" s="25"/>
    </row>
    <row r="211" ht="14.4" customHeight="1" spans="1:4" x14ac:dyDescent="0.25">
      <c r="A211" t="s">
        <v>245</v>
      </c>
      <c r="B211" s="25" t="s">
        <v>2156</v>
      </c>
      <c r="C211" t="s">
        <v>9</v>
      </c>
      <c r="D211" s="25"/>
    </row>
    <row r="212" ht="14.4" customHeight="1" spans="1:4" x14ac:dyDescent="0.25">
      <c r="A212" t="s">
        <v>246</v>
      </c>
      <c r="B212" s="25" t="s">
        <v>2220</v>
      </c>
      <c r="C212" t="s">
        <v>9</v>
      </c>
      <c r="D212" s="25"/>
    </row>
    <row r="213" ht="14.4" customHeight="1" spans="1:4" x14ac:dyDescent="0.25">
      <c r="A213" t="s">
        <v>247</v>
      </c>
      <c r="B213" s="25" t="s">
        <v>2229</v>
      </c>
      <c r="C213" t="s">
        <v>9</v>
      </c>
      <c r="D213" s="25"/>
    </row>
    <row r="214" ht="14.4" customHeight="1" spans="1:4" x14ac:dyDescent="0.25">
      <c r="A214" t="s">
        <v>248</v>
      </c>
      <c r="B214" s="25" t="s">
        <v>2177</v>
      </c>
      <c r="C214" t="s">
        <v>9</v>
      </c>
      <c r="D214" s="25"/>
    </row>
    <row r="215" ht="14.4" customHeight="1" spans="1:4" x14ac:dyDescent="0.25">
      <c r="A215" t="s">
        <v>249</v>
      </c>
      <c r="B215" s="25" t="s">
        <v>2229</v>
      </c>
      <c r="C215" t="s">
        <v>9</v>
      </c>
      <c r="D215" s="25"/>
    </row>
    <row r="216" ht="14.4" customHeight="1" spans="1:4" x14ac:dyDescent="0.25">
      <c r="A216" t="s">
        <v>250</v>
      </c>
      <c r="B216" s="25" t="s">
        <v>2229</v>
      </c>
      <c r="C216" t="s">
        <v>9</v>
      </c>
      <c r="D216" s="25"/>
    </row>
    <row r="217" ht="14.4" customHeight="1" spans="1:4" x14ac:dyDescent="0.25">
      <c r="A217" t="s">
        <v>251</v>
      </c>
      <c r="B217" s="25" t="s">
        <v>2247</v>
      </c>
      <c r="C217" t="s">
        <v>9</v>
      </c>
      <c r="D217" s="25"/>
    </row>
    <row r="218" ht="14.4" customHeight="1" spans="1:4" x14ac:dyDescent="0.25">
      <c r="A218" t="s">
        <v>252</v>
      </c>
      <c r="B218" s="25" t="s">
        <v>2248</v>
      </c>
      <c r="C218" t="s">
        <v>9</v>
      </c>
      <c r="D218" s="25"/>
    </row>
    <row r="219" ht="14.4" customHeight="1" spans="1:4" x14ac:dyDescent="0.25">
      <c r="A219" t="s">
        <v>253</v>
      </c>
      <c r="B219" s="25" t="s">
        <v>2247</v>
      </c>
      <c r="C219" t="s">
        <v>9</v>
      </c>
      <c r="D219" s="25"/>
    </row>
    <row r="220" ht="14.4" customHeight="1" spans="1:4" x14ac:dyDescent="0.25">
      <c r="A220" t="s">
        <v>254</v>
      </c>
      <c r="B220" s="25" t="s">
        <v>2219</v>
      </c>
      <c r="C220" t="s">
        <v>9</v>
      </c>
      <c r="D220" s="25"/>
    </row>
    <row r="221" ht="14.4" customHeight="1" spans="1:4" x14ac:dyDescent="0.25">
      <c r="A221" t="s">
        <v>255</v>
      </c>
      <c r="B221" s="25" t="s">
        <v>2147</v>
      </c>
      <c r="C221" t="s">
        <v>9</v>
      </c>
      <c r="D221" s="25"/>
    </row>
    <row r="222" ht="14.4" customHeight="1" spans="1:4" x14ac:dyDescent="0.25">
      <c r="A222" t="s">
        <v>256</v>
      </c>
      <c r="B222" s="25" t="s">
        <v>2146</v>
      </c>
      <c r="C222" t="s">
        <v>9</v>
      </c>
      <c r="D222" s="25"/>
    </row>
    <row r="223" ht="14.4" customHeight="1" spans="1:4" x14ac:dyDescent="0.25">
      <c r="A223" t="s">
        <v>257</v>
      </c>
      <c r="B223" s="25" t="s">
        <v>2160</v>
      </c>
      <c r="C223" t="s">
        <v>9</v>
      </c>
      <c r="D223" s="25"/>
    </row>
    <row r="224" ht="14.4" customHeight="1" spans="1:4" x14ac:dyDescent="0.25">
      <c r="A224" t="s">
        <v>258</v>
      </c>
      <c r="B224" s="25" t="s">
        <v>2160</v>
      </c>
      <c r="C224" t="s">
        <v>9</v>
      </c>
      <c r="D224" s="25"/>
    </row>
    <row r="225" ht="14.4" customHeight="1" spans="1:5" x14ac:dyDescent="0.25">
      <c r="A225" t="s">
        <v>259</v>
      </c>
      <c r="B225" s="25" t="s">
        <v>2179</v>
      </c>
      <c r="C225" t="s">
        <v>11</v>
      </c>
      <c r="D225" s="25" t="s">
        <v>2229</v>
      </c>
      <c r="E225" t="s">
        <v>305</v>
      </c>
    </row>
    <row r="226" ht="14.4" customHeight="1" spans="1:5" x14ac:dyDescent="0.25">
      <c r="A226" t="s">
        <v>260</v>
      </c>
      <c r="B226" s="25" t="s">
        <v>2249</v>
      </c>
      <c r="C226" t="s">
        <v>11</v>
      </c>
      <c r="D226" s="25" t="s">
        <v>2163</v>
      </c>
      <c r="E226" t="s">
        <v>305</v>
      </c>
    </row>
    <row r="227" ht="14.4" customHeight="1" spans="1:4" x14ac:dyDescent="0.25">
      <c r="A227" t="s">
        <v>261</v>
      </c>
      <c r="B227" s="25" t="s">
        <v>2160</v>
      </c>
      <c r="C227" t="s">
        <v>9</v>
      </c>
      <c r="D227" s="25"/>
    </row>
    <row r="228" ht="14.4" customHeight="1" spans="1:4" x14ac:dyDescent="0.25">
      <c r="A228" t="s">
        <v>262</v>
      </c>
      <c r="B228" s="25" t="s">
        <v>2150</v>
      </c>
      <c r="C228" t="s">
        <v>9</v>
      </c>
      <c r="D228" s="25"/>
    </row>
    <row r="229" ht="14.4" customHeight="1" spans="1:4" x14ac:dyDescent="0.25">
      <c r="A229" t="s">
        <v>263</v>
      </c>
      <c r="B229" s="25" t="s">
        <v>2144</v>
      </c>
      <c r="C229" t="s">
        <v>9</v>
      </c>
      <c r="D229" s="25"/>
    </row>
    <row r="230" ht="14.4" customHeight="1" spans="1:4" x14ac:dyDescent="0.25">
      <c r="A230" t="s">
        <v>264</v>
      </c>
      <c r="B230" s="25" t="s">
        <v>2173</v>
      </c>
      <c r="C230" t="s">
        <v>9</v>
      </c>
      <c r="D230" s="25"/>
    </row>
    <row r="231" ht="14.4" customHeight="1" spans="1:4" x14ac:dyDescent="0.25">
      <c r="A231" t="s">
        <v>265</v>
      </c>
      <c r="B231" s="25" t="s">
        <v>2173</v>
      </c>
      <c r="C231" t="s">
        <v>9</v>
      </c>
      <c r="D231" s="25"/>
    </row>
    <row r="232" ht="14.4" customHeight="1" spans="1:4" x14ac:dyDescent="0.25">
      <c r="A232" t="s">
        <v>266</v>
      </c>
      <c r="B232" s="25" t="s">
        <v>2160</v>
      </c>
      <c r="C232" t="s">
        <v>9</v>
      </c>
      <c r="D232" s="25"/>
    </row>
    <row r="233" ht="14.4" customHeight="1" spans="1:4" x14ac:dyDescent="0.25">
      <c r="A233" t="s">
        <v>267</v>
      </c>
      <c r="B233" s="25" t="s">
        <v>2177</v>
      </c>
      <c r="C233" t="s">
        <v>9</v>
      </c>
      <c r="D233" s="25"/>
    </row>
    <row r="234" ht="14.4" customHeight="1" spans="1:4" x14ac:dyDescent="0.25">
      <c r="A234" t="s">
        <v>268</v>
      </c>
      <c r="B234" s="25" t="s">
        <v>2144</v>
      </c>
      <c r="C234" t="s">
        <v>9</v>
      </c>
      <c r="D234" s="25"/>
    </row>
    <row r="235" ht="14.4" customHeight="1" spans="1:4" x14ac:dyDescent="0.25">
      <c r="A235" t="s">
        <v>269</v>
      </c>
      <c r="B235" s="25" t="s">
        <v>2151</v>
      </c>
      <c r="C235" t="s">
        <v>9</v>
      </c>
      <c r="D235" s="25"/>
    </row>
    <row r="236" ht="14.4" customHeight="1" spans="1:4" x14ac:dyDescent="0.25">
      <c r="A236" t="s">
        <v>270</v>
      </c>
      <c r="B236" s="25" t="s">
        <v>2250</v>
      </c>
      <c r="C236" t="s">
        <v>9</v>
      </c>
      <c r="D236" s="25"/>
    </row>
    <row r="237" ht="14.4" customHeight="1" spans="1:4" x14ac:dyDescent="0.25">
      <c r="A237" t="s">
        <v>271</v>
      </c>
      <c r="B237" s="25" t="s">
        <v>2251</v>
      </c>
      <c r="C237" t="s">
        <v>272</v>
      </c>
      <c r="D237" s="25"/>
    </row>
    <row r="238" ht="14.4" customHeight="1" spans="1:4" x14ac:dyDescent="0.25">
      <c r="A238" t="s">
        <v>273</v>
      </c>
      <c r="B238" s="25" t="s">
        <v>2251</v>
      </c>
      <c r="C238" t="s">
        <v>272</v>
      </c>
      <c r="D238" s="25"/>
    </row>
    <row r="239" ht="14.4" customHeight="1" spans="1:4" x14ac:dyDescent="0.25">
      <c r="A239" t="s">
        <v>274</v>
      </c>
      <c r="B239" s="25" t="s">
        <v>2251</v>
      </c>
      <c r="C239" t="s">
        <v>272</v>
      </c>
      <c r="D239" s="25"/>
    </row>
    <row r="240" ht="14.4" customHeight="1" spans="1:4" x14ac:dyDescent="0.25">
      <c r="A240" t="s">
        <v>275</v>
      </c>
      <c r="B240" s="25" t="s">
        <v>2251</v>
      </c>
      <c r="C240" t="s">
        <v>272</v>
      </c>
      <c r="D240" s="25"/>
    </row>
    <row r="241" ht="14.4" customHeight="1" spans="1:4" x14ac:dyDescent="0.25">
      <c r="A241" t="s">
        <v>276</v>
      </c>
      <c r="B241" s="25" t="s">
        <v>2251</v>
      </c>
      <c r="C241" t="s">
        <v>272</v>
      </c>
      <c r="D241" s="25"/>
    </row>
    <row r="242" ht="14.4" customHeight="1" spans="1:4" x14ac:dyDescent="0.25">
      <c r="A242" t="s">
        <v>277</v>
      </c>
      <c r="B242" s="25" t="s">
        <v>2227</v>
      </c>
      <c r="C242" t="s">
        <v>272</v>
      </c>
      <c r="D242" s="25"/>
    </row>
    <row r="243" ht="14.4" customHeight="1" spans="1:5" x14ac:dyDescent="0.25">
      <c r="A243" t="s">
        <v>278</v>
      </c>
      <c r="B243" s="25" t="s">
        <v>2191</v>
      </c>
      <c r="C243" t="s">
        <v>272</v>
      </c>
      <c r="D243" s="25" t="s">
        <v>2199</v>
      </c>
      <c r="E243" t="s">
        <v>279</v>
      </c>
    </row>
    <row r="244" ht="14.4" customHeight="1" spans="1:4" x14ac:dyDescent="0.25">
      <c r="A244" t="s">
        <v>280</v>
      </c>
      <c r="B244" s="25" t="s">
        <v>2252</v>
      </c>
      <c r="C244" t="s">
        <v>272</v>
      </c>
      <c r="D244" s="25"/>
    </row>
    <row r="245" ht="14.4" customHeight="1" spans="1:4" x14ac:dyDescent="0.25">
      <c r="A245" t="s">
        <v>281</v>
      </c>
      <c r="B245" s="25" t="s">
        <v>2169</v>
      </c>
      <c r="C245" t="s">
        <v>9</v>
      </c>
      <c r="D245" s="25"/>
    </row>
    <row r="246" ht="14.4" customHeight="1" spans="1:4" x14ac:dyDescent="0.25">
      <c r="A246" t="s">
        <v>282</v>
      </c>
      <c r="B246" s="25" t="s">
        <v>2145</v>
      </c>
      <c r="C246" t="s">
        <v>9</v>
      </c>
      <c r="D246" s="25"/>
    </row>
    <row r="247" ht="14.4" customHeight="1" spans="1:4" x14ac:dyDescent="0.25">
      <c r="A247" t="s">
        <v>283</v>
      </c>
      <c r="B247" s="25" t="s">
        <v>2181</v>
      </c>
      <c r="C247" t="s">
        <v>9</v>
      </c>
      <c r="D247" s="25"/>
    </row>
    <row r="248" ht="14.4" customHeight="1" spans="1:4" x14ac:dyDescent="0.25">
      <c r="A248" t="s">
        <v>286</v>
      </c>
      <c r="B248" s="25" t="s">
        <v>2181</v>
      </c>
      <c r="C248" t="s">
        <v>9</v>
      </c>
      <c r="D248" s="25"/>
    </row>
    <row r="249" ht="14.4" customHeight="1" spans="1:4" x14ac:dyDescent="0.25">
      <c r="A249" t="s">
        <v>287</v>
      </c>
      <c r="B249" s="25" t="s">
        <v>2181</v>
      </c>
      <c r="C249" t="s">
        <v>9</v>
      </c>
      <c r="D249" s="25"/>
    </row>
    <row r="250" ht="14.4" customHeight="1" spans="1:4" x14ac:dyDescent="0.25">
      <c r="A250" t="s">
        <v>284</v>
      </c>
      <c r="B250" s="25" t="s">
        <v>2156</v>
      </c>
      <c r="C250" t="s">
        <v>9</v>
      </c>
      <c r="D250" s="25"/>
    </row>
    <row r="251" ht="14.4" customHeight="1" spans="1:4" x14ac:dyDescent="0.25">
      <c r="A251" t="s">
        <v>285</v>
      </c>
      <c r="B251" s="25" t="s">
        <v>2181</v>
      </c>
      <c r="C251" t="s">
        <v>9</v>
      </c>
      <c r="D251" s="25"/>
    </row>
    <row r="252" ht="14.4" customHeight="1" spans="1:4" x14ac:dyDescent="0.25">
      <c r="A252" t="s">
        <v>288</v>
      </c>
      <c r="B252" s="25" t="s">
        <v>2179</v>
      </c>
      <c r="C252" t="s">
        <v>9</v>
      </c>
      <c r="D252" s="25"/>
    </row>
    <row r="253" ht="14.4" customHeight="1" spans="1:4" x14ac:dyDescent="0.25">
      <c r="A253" t="s">
        <v>289</v>
      </c>
      <c r="B253" s="25" t="s">
        <v>2181</v>
      </c>
      <c r="C253" t="s">
        <v>9</v>
      </c>
      <c r="D253" s="25"/>
    </row>
    <row r="254" ht="14.4" customHeight="1" spans="1:4" x14ac:dyDescent="0.25">
      <c r="A254" t="s">
        <v>290</v>
      </c>
      <c r="B254" s="25" t="s">
        <v>2181</v>
      </c>
      <c r="C254" t="s">
        <v>9</v>
      </c>
      <c r="D254" s="25"/>
    </row>
    <row r="255" ht="14.4" customHeight="1" spans="1:4" x14ac:dyDescent="0.25">
      <c r="A255" t="s">
        <v>291</v>
      </c>
      <c r="B255" s="25" t="s">
        <v>2181</v>
      </c>
      <c r="C255" t="s">
        <v>9</v>
      </c>
      <c r="D255" s="25"/>
    </row>
    <row r="256" ht="14.4" customHeight="1" spans="1:4" x14ac:dyDescent="0.25">
      <c r="A256" t="s">
        <v>292</v>
      </c>
      <c r="B256" s="25" t="s">
        <v>2181</v>
      </c>
      <c r="C256" t="s">
        <v>9</v>
      </c>
      <c r="D256" s="25"/>
    </row>
    <row r="257" ht="14.4" customHeight="1" spans="1:4" x14ac:dyDescent="0.25">
      <c r="A257" t="s">
        <v>293</v>
      </c>
      <c r="B257" s="25" t="s">
        <v>2181</v>
      </c>
      <c r="C257" t="s">
        <v>9</v>
      </c>
      <c r="D257" s="25"/>
    </row>
    <row r="258" ht="14.4" customHeight="1" spans="1:4" x14ac:dyDescent="0.25">
      <c r="A258" t="s">
        <v>294</v>
      </c>
      <c r="B258" s="25" t="s">
        <v>2225</v>
      </c>
      <c r="C258" t="s">
        <v>9</v>
      </c>
      <c r="D258" s="25"/>
    </row>
    <row r="259" ht="14.4" customHeight="1" spans="1:4" x14ac:dyDescent="0.25">
      <c r="A259" t="s">
        <v>295</v>
      </c>
      <c r="B259" s="25" t="s">
        <v>2181</v>
      </c>
      <c r="C259" t="s">
        <v>9</v>
      </c>
      <c r="D259" s="25"/>
    </row>
    <row r="260" ht="14.4" customHeight="1" spans="1:4" x14ac:dyDescent="0.25">
      <c r="A260" t="s">
        <v>296</v>
      </c>
      <c r="B260" s="25" t="s">
        <v>2156</v>
      </c>
      <c r="C260" t="s">
        <v>9</v>
      </c>
      <c r="D260" s="25"/>
    </row>
    <row r="261" ht="14.4" customHeight="1" spans="1:4" x14ac:dyDescent="0.25">
      <c r="A261" t="s">
        <v>297</v>
      </c>
      <c r="B261" s="25" t="s">
        <v>2181</v>
      </c>
      <c r="C261" t="s">
        <v>9</v>
      </c>
      <c r="D261" s="25"/>
    </row>
    <row r="262" ht="14.4" customHeight="1" spans="1:4" x14ac:dyDescent="0.25">
      <c r="A262" t="s">
        <v>298</v>
      </c>
      <c r="B262" s="25" t="s">
        <v>2156</v>
      </c>
      <c r="C262" t="s">
        <v>9</v>
      </c>
      <c r="D262" s="25"/>
    </row>
    <row r="263" ht="14.4" customHeight="1" spans="1:4" x14ac:dyDescent="0.25">
      <c r="A263" t="s">
        <v>299</v>
      </c>
      <c r="B263" s="25" t="s">
        <v>2229</v>
      </c>
      <c r="C263" t="s">
        <v>9</v>
      </c>
      <c r="D263" s="25"/>
    </row>
    <row r="264" ht="14.4" customHeight="1" spans="1:4" x14ac:dyDescent="0.25">
      <c r="A264" t="s">
        <v>300</v>
      </c>
      <c r="B264" s="25" t="s">
        <v>2253</v>
      </c>
      <c r="C264" t="s">
        <v>9</v>
      </c>
      <c r="D264" s="25"/>
    </row>
    <row r="265" ht="14.4" customHeight="1" spans="1:5" x14ac:dyDescent="0.25">
      <c r="A265" t="s">
        <v>301</v>
      </c>
      <c r="B265" s="25" t="s">
        <v>2231</v>
      </c>
      <c r="C265" t="s">
        <v>302</v>
      </c>
      <c r="D265" s="25" t="s">
        <v>2254</v>
      </c>
      <c r="E265" t="s">
        <v>303</v>
      </c>
    </row>
    <row r="266" ht="14.4" customHeight="1" spans="1:5" x14ac:dyDescent="0.25">
      <c r="A266" t="s">
        <v>304</v>
      </c>
      <c r="B266" s="25" t="s">
        <v>2255</v>
      </c>
      <c r="C266" t="s">
        <v>11</v>
      </c>
      <c r="D266" s="25" t="s">
        <v>2253</v>
      </c>
      <c r="E266" t="s">
        <v>305</v>
      </c>
    </row>
    <row r="267" ht="14.4" customHeight="1" spans="1:5" x14ac:dyDescent="0.25">
      <c r="A267" t="s">
        <v>306</v>
      </c>
      <c r="B267" s="25" t="s">
        <v>2255</v>
      </c>
      <c r="C267" t="s">
        <v>11</v>
      </c>
      <c r="D267" s="25" t="s">
        <v>2256</v>
      </c>
      <c r="E267" t="s">
        <v>305</v>
      </c>
    </row>
    <row r="268" ht="14.4" customHeight="1" spans="1:5" x14ac:dyDescent="0.25">
      <c r="A268" t="s">
        <v>307</v>
      </c>
      <c r="B268" s="25" t="s">
        <v>2257</v>
      </c>
      <c r="C268" t="s">
        <v>308</v>
      </c>
      <c r="D268" s="25" t="s">
        <v>2258</v>
      </c>
      <c r="E268" t="s">
        <v>309</v>
      </c>
    </row>
    <row r="269" ht="14.4" customHeight="1" spans="1:5" x14ac:dyDescent="0.25">
      <c r="A269" t="s">
        <v>310</v>
      </c>
      <c r="B269" s="25" t="s">
        <v>2186</v>
      </c>
      <c r="C269" t="s">
        <v>311</v>
      </c>
      <c r="D269" s="25" t="s">
        <v>2259</v>
      </c>
      <c r="E269" t="s">
        <v>312</v>
      </c>
    </row>
    <row r="270" ht="14.4" customHeight="1" spans="1:5" x14ac:dyDescent="0.25">
      <c r="A270" t="s">
        <v>313</v>
      </c>
      <c r="B270" s="25" t="s">
        <v>2260</v>
      </c>
      <c r="C270" t="s">
        <v>216</v>
      </c>
      <c r="D270" s="25" t="s">
        <v>2187</v>
      </c>
      <c r="E270" t="s">
        <v>314</v>
      </c>
    </row>
    <row r="271" ht="14.4" customHeight="1" spans="1:4" x14ac:dyDescent="0.25">
      <c r="A271" t="s">
        <v>315</v>
      </c>
      <c r="B271" s="25" t="s">
        <v>2166</v>
      </c>
      <c r="C271" t="s">
        <v>9</v>
      </c>
      <c r="D271" s="25"/>
    </row>
    <row r="272" ht="14.4" customHeight="1" spans="1:5" x14ac:dyDescent="0.25">
      <c r="A272" t="s">
        <v>316</v>
      </c>
      <c r="B272" s="25" t="s">
        <v>2261</v>
      </c>
      <c r="C272" t="s">
        <v>132</v>
      </c>
      <c r="D272" s="25" t="s">
        <v>2259</v>
      </c>
      <c r="E272" t="s">
        <v>317</v>
      </c>
    </row>
    <row r="273" ht="14.4" customHeight="1" spans="1:5" x14ac:dyDescent="0.25">
      <c r="A273" t="s">
        <v>318</v>
      </c>
      <c r="B273" s="25" t="s">
        <v>2262</v>
      </c>
      <c r="C273" t="s">
        <v>311</v>
      </c>
      <c r="D273" s="25" t="s">
        <v>2166</v>
      </c>
      <c r="E273" t="s">
        <v>303</v>
      </c>
    </row>
    <row r="274" ht="14.4" customHeight="1" spans="1:5" x14ac:dyDescent="0.25">
      <c r="A274" t="s">
        <v>319</v>
      </c>
      <c r="B274" s="25" t="s">
        <v>2208</v>
      </c>
      <c r="C274" t="s">
        <v>216</v>
      </c>
      <c r="D274" s="25" t="s">
        <v>2181</v>
      </c>
      <c r="E274" t="s">
        <v>314</v>
      </c>
    </row>
    <row r="275" ht="14.4" customHeight="1" spans="1:5" x14ac:dyDescent="0.25">
      <c r="A275" t="s">
        <v>320</v>
      </c>
      <c r="B275" s="25" t="s">
        <v>2216</v>
      </c>
      <c r="C275" t="s">
        <v>11</v>
      </c>
      <c r="D275" s="25" t="s">
        <v>2150</v>
      </c>
      <c r="E275" t="s">
        <v>305</v>
      </c>
    </row>
    <row r="276" ht="14.4" customHeight="1" spans="1:5" x14ac:dyDescent="0.25">
      <c r="A276" t="s">
        <v>321</v>
      </c>
      <c r="B276" s="25" t="s">
        <v>2208</v>
      </c>
      <c r="C276" t="s">
        <v>11</v>
      </c>
      <c r="D276" s="25" t="s">
        <v>2181</v>
      </c>
      <c r="E276" t="s">
        <v>305</v>
      </c>
    </row>
    <row r="277" ht="14.4" customHeight="1" spans="1:5" x14ac:dyDescent="0.25">
      <c r="A277" t="s">
        <v>322</v>
      </c>
      <c r="B277" s="25" t="s">
        <v>2154</v>
      </c>
      <c r="C277" t="s">
        <v>11</v>
      </c>
      <c r="D277" s="25" t="s">
        <v>2164</v>
      </c>
      <c r="E277" t="s">
        <v>305</v>
      </c>
    </row>
    <row r="278" ht="14.4" customHeight="1" spans="1:5" x14ac:dyDescent="0.25">
      <c r="A278" t="s">
        <v>323</v>
      </c>
      <c r="B278" s="25" t="s">
        <v>2218</v>
      </c>
      <c r="C278" t="s">
        <v>11</v>
      </c>
      <c r="D278" s="25" t="s">
        <v>2156</v>
      </c>
      <c r="E278" t="s">
        <v>305</v>
      </c>
    </row>
    <row r="279" ht="14.4" customHeight="1" spans="1:5" x14ac:dyDescent="0.25">
      <c r="A279" t="s">
        <v>325</v>
      </c>
      <c r="B279" s="25" t="s">
        <v>2154</v>
      </c>
      <c r="C279" t="s">
        <v>11</v>
      </c>
      <c r="D279" s="25" t="s">
        <v>2164</v>
      </c>
      <c r="E279" t="s">
        <v>305</v>
      </c>
    </row>
    <row r="280" ht="14.4" customHeight="1" spans="1:5" x14ac:dyDescent="0.25">
      <c r="A280" t="s">
        <v>324</v>
      </c>
      <c r="B280" s="25" t="s">
        <v>2231</v>
      </c>
      <c r="C280" t="s">
        <v>11</v>
      </c>
      <c r="D280" s="25" t="s">
        <v>2185</v>
      </c>
      <c r="E280" t="s">
        <v>305</v>
      </c>
    </row>
    <row r="281" ht="14.4" customHeight="1" spans="1:5" x14ac:dyDescent="0.25">
      <c r="A281" t="s">
        <v>326</v>
      </c>
      <c r="B281" s="25" t="s">
        <v>2226</v>
      </c>
      <c r="C281" t="s">
        <v>11</v>
      </c>
      <c r="D281" s="25" t="s">
        <v>2227</v>
      </c>
      <c r="E281" t="s">
        <v>305</v>
      </c>
    </row>
    <row r="282" ht="14.4" customHeight="1" spans="1:5" x14ac:dyDescent="0.25">
      <c r="A282" t="s">
        <v>327</v>
      </c>
      <c r="B282" s="25" t="s">
        <v>2207</v>
      </c>
      <c r="C282" t="s">
        <v>11</v>
      </c>
      <c r="D282" s="25" t="s">
        <v>2202</v>
      </c>
      <c r="E282" t="s">
        <v>305</v>
      </c>
    </row>
    <row r="283" ht="14.4" customHeight="1" spans="1:5" x14ac:dyDescent="0.25">
      <c r="A283" t="s">
        <v>328</v>
      </c>
      <c r="B283" s="25" t="s">
        <v>2231</v>
      </c>
      <c r="C283" t="s">
        <v>11</v>
      </c>
      <c r="D283" s="25" t="s">
        <v>2185</v>
      </c>
      <c r="E283" t="s">
        <v>305</v>
      </c>
    </row>
    <row r="284" ht="14.4" customHeight="1" spans="1:5" x14ac:dyDescent="0.25">
      <c r="A284" t="s">
        <v>329</v>
      </c>
      <c r="B284" s="25" t="s">
        <v>2231</v>
      </c>
      <c r="C284" t="s">
        <v>11</v>
      </c>
      <c r="D284" s="25" t="s">
        <v>2185</v>
      </c>
      <c r="E284" t="s">
        <v>305</v>
      </c>
    </row>
    <row r="285" ht="14.4" customHeight="1" spans="1:5" x14ac:dyDescent="0.25">
      <c r="A285" t="s">
        <v>330</v>
      </c>
      <c r="B285" s="25" t="s">
        <v>2207</v>
      </c>
      <c r="C285" t="s">
        <v>11</v>
      </c>
      <c r="D285" s="25" t="s">
        <v>2202</v>
      </c>
      <c r="E285" t="s">
        <v>305</v>
      </c>
    </row>
    <row r="286" ht="14.4" customHeight="1" spans="1:5" x14ac:dyDescent="0.25">
      <c r="A286" t="s">
        <v>332</v>
      </c>
      <c r="B286" s="25" t="s">
        <v>2225</v>
      </c>
      <c r="C286" t="s">
        <v>11</v>
      </c>
      <c r="D286" s="25" t="s">
        <v>2210</v>
      </c>
      <c r="E286" t="s">
        <v>305</v>
      </c>
    </row>
    <row r="287" ht="14.4" customHeight="1" spans="1:5" x14ac:dyDescent="0.25">
      <c r="A287" t="s">
        <v>333</v>
      </c>
      <c r="B287" s="25" t="s">
        <v>2218</v>
      </c>
      <c r="C287" t="s">
        <v>11</v>
      </c>
      <c r="D287" s="25" t="s">
        <v>2156</v>
      </c>
      <c r="E287" t="s">
        <v>305</v>
      </c>
    </row>
    <row r="288" ht="14.4" customHeight="1" spans="1:4" x14ac:dyDescent="0.25">
      <c r="A288" t="s">
        <v>334</v>
      </c>
      <c r="B288" s="25" t="s">
        <v>2263</v>
      </c>
      <c r="C288" t="s">
        <v>335</v>
      </c>
      <c r="D288" s="25"/>
    </row>
    <row r="289" ht="14.4" customHeight="1" spans="1:5" x14ac:dyDescent="0.25">
      <c r="A289" t="s">
        <v>336</v>
      </c>
      <c r="B289" s="25" t="s">
        <v>2207</v>
      </c>
      <c r="C289" t="s">
        <v>11</v>
      </c>
      <c r="D289" s="25" t="s">
        <v>2202</v>
      </c>
      <c r="E289" t="s">
        <v>305</v>
      </c>
    </row>
    <row r="290" ht="14.4" customHeight="1" spans="1:5" x14ac:dyDescent="0.25">
      <c r="A290" t="s">
        <v>337</v>
      </c>
      <c r="B290" s="25" t="s">
        <v>2207</v>
      </c>
      <c r="C290" t="s">
        <v>11</v>
      </c>
      <c r="D290" s="25" t="s">
        <v>2202</v>
      </c>
      <c r="E290" t="s">
        <v>305</v>
      </c>
    </row>
    <row r="291" ht="14.4" customHeight="1" spans="1:5" x14ac:dyDescent="0.25">
      <c r="A291" t="s">
        <v>338</v>
      </c>
      <c r="B291" s="25" t="s">
        <v>2263</v>
      </c>
      <c r="C291" t="s">
        <v>11</v>
      </c>
      <c r="D291" s="25" t="s">
        <v>2155</v>
      </c>
      <c r="E291" t="s">
        <v>305</v>
      </c>
    </row>
    <row r="292" ht="14.4" customHeight="1" spans="1:5" x14ac:dyDescent="0.25">
      <c r="A292" t="s">
        <v>339</v>
      </c>
      <c r="B292" s="25" t="s">
        <v>2207</v>
      </c>
      <c r="C292" t="s">
        <v>11</v>
      </c>
      <c r="D292" s="25" t="s">
        <v>2202</v>
      </c>
      <c r="E292" t="s">
        <v>305</v>
      </c>
    </row>
    <row r="293" ht="14.4" customHeight="1" spans="1:5" x14ac:dyDescent="0.25">
      <c r="A293" t="s">
        <v>340</v>
      </c>
      <c r="B293" s="25" t="s">
        <v>2231</v>
      </c>
      <c r="C293" t="s">
        <v>11</v>
      </c>
      <c r="D293" s="25" t="s">
        <v>2185</v>
      </c>
      <c r="E293" t="s">
        <v>305</v>
      </c>
    </row>
    <row r="294" ht="14.4" customHeight="1" spans="1:5" x14ac:dyDescent="0.25">
      <c r="A294" t="s">
        <v>341</v>
      </c>
      <c r="B294" s="25" t="s">
        <v>2231</v>
      </c>
      <c r="C294" t="s">
        <v>11</v>
      </c>
      <c r="D294" s="25" t="s">
        <v>2185</v>
      </c>
      <c r="E294" t="s">
        <v>305</v>
      </c>
    </row>
    <row r="295" ht="14.4" customHeight="1" spans="1:5" x14ac:dyDescent="0.25">
      <c r="A295" t="s">
        <v>342</v>
      </c>
      <c r="B295" s="25" t="s">
        <v>2207</v>
      </c>
      <c r="C295" t="s">
        <v>11</v>
      </c>
      <c r="D295" s="25" t="s">
        <v>2202</v>
      </c>
      <c r="E295" t="s">
        <v>305</v>
      </c>
    </row>
    <row r="296" ht="14.4" customHeight="1" spans="1:5" x14ac:dyDescent="0.25">
      <c r="A296" t="s">
        <v>343</v>
      </c>
      <c r="B296" s="25" t="s">
        <v>2231</v>
      </c>
      <c r="C296" t="s">
        <v>11</v>
      </c>
      <c r="D296" s="25" t="s">
        <v>2185</v>
      </c>
      <c r="E296" t="s">
        <v>305</v>
      </c>
    </row>
    <row r="297" ht="14.4" customHeight="1" spans="1:5" x14ac:dyDescent="0.25">
      <c r="A297" t="s">
        <v>348</v>
      </c>
      <c r="B297" s="25" t="s">
        <v>2225</v>
      </c>
      <c r="C297" t="s">
        <v>11</v>
      </c>
      <c r="D297" s="25" t="s">
        <v>2210</v>
      </c>
      <c r="E297" t="s">
        <v>305</v>
      </c>
    </row>
    <row r="298" ht="14.4" customHeight="1" spans="1:5" x14ac:dyDescent="0.25">
      <c r="A298" t="s">
        <v>345</v>
      </c>
      <c r="B298" s="25" t="s">
        <v>2160</v>
      </c>
      <c r="C298" t="s">
        <v>11</v>
      </c>
      <c r="D298" s="25" t="s">
        <v>2160</v>
      </c>
      <c r="E298" t="s">
        <v>305</v>
      </c>
    </row>
    <row r="299" ht="14.4" customHeight="1" spans="1:5" x14ac:dyDescent="0.25">
      <c r="A299" t="s">
        <v>346</v>
      </c>
      <c r="B299" s="25" t="s">
        <v>2217</v>
      </c>
      <c r="C299" t="s">
        <v>11</v>
      </c>
      <c r="D299" s="25" t="s">
        <v>2248</v>
      </c>
      <c r="E299" t="s">
        <v>305</v>
      </c>
    </row>
    <row r="300" ht="14.4" customHeight="1" spans="1:5" x14ac:dyDescent="0.25">
      <c r="A300" t="s">
        <v>347</v>
      </c>
      <c r="B300" s="25" t="s">
        <v>2160</v>
      </c>
      <c r="C300" t="s">
        <v>11</v>
      </c>
      <c r="D300" s="25" t="s">
        <v>2160</v>
      </c>
      <c r="E300" t="s">
        <v>305</v>
      </c>
    </row>
    <row r="301" ht="14.4" customHeight="1" spans="1:5" x14ac:dyDescent="0.25">
      <c r="A301" t="s">
        <v>349</v>
      </c>
      <c r="B301" s="25" t="s">
        <v>2181</v>
      </c>
      <c r="C301" t="s">
        <v>11</v>
      </c>
      <c r="D301" s="25" t="s">
        <v>2182</v>
      </c>
      <c r="E301" t="s">
        <v>305</v>
      </c>
    </row>
    <row r="302" ht="14.4" customHeight="1" spans="1:5" x14ac:dyDescent="0.25">
      <c r="A302" t="s">
        <v>350</v>
      </c>
      <c r="B302" s="25" t="s">
        <v>2218</v>
      </c>
      <c r="C302" t="s">
        <v>11</v>
      </c>
      <c r="D302" s="25" t="s">
        <v>2156</v>
      </c>
      <c r="E302" t="s">
        <v>305</v>
      </c>
    </row>
    <row r="303" ht="14.4" customHeight="1" spans="1:5" x14ac:dyDescent="0.25">
      <c r="A303" t="s">
        <v>351</v>
      </c>
      <c r="B303" s="25" t="s">
        <v>2207</v>
      </c>
      <c r="C303" t="s">
        <v>11</v>
      </c>
      <c r="D303" s="25" t="s">
        <v>2202</v>
      </c>
      <c r="E303" t="s">
        <v>305</v>
      </c>
    </row>
    <row r="304" ht="14.4" customHeight="1" spans="1:5" x14ac:dyDescent="0.25">
      <c r="A304" t="s">
        <v>352</v>
      </c>
      <c r="B304" s="25" t="s">
        <v>2241</v>
      </c>
      <c r="C304" t="s">
        <v>11</v>
      </c>
      <c r="D304" s="25" t="s">
        <v>2154</v>
      </c>
      <c r="E304" t="s">
        <v>305</v>
      </c>
    </row>
    <row r="305" ht="14.4" customHeight="1" spans="1:5" x14ac:dyDescent="0.25">
      <c r="A305" t="s">
        <v>353</v>
      </c>
      <c r="B305" s="25" t="s">
        <v>2251</v>
      </c>
      <c r="C305" t="s">
        <v>11</v>
      </c>
      <c r="D305" s="25" t="s">
        <v>2247</v>
      </c>
      <c r="E305" t="s">
        <v>305</v>
      </c>
    </row>
    <row r="306" ht="14.4" customHeight="1" spans="1:5" x14ac:dyDescent="0.25">
      <c r="A306" t="s">
        <v>354</v>
      </c>
      <c r="B306" s="25" t="s">
        <v>2207</v>
      </c>
      <c r="C306" t="s">
        <v>11</v>
      </c>
      <c r="D306" s="25" t="s">
        <v>2202</v>
      </c>
      <c r="E306" t="s">
        <v>305</v>
      </c>
    </row>
    <row r="307" ht="14.4" customHeight="1" spans="1:5" x14ac:dyDescent="0.25">
      <c r="A307" t="s">
        <v>355</v>
      </c>
      <c r="B307" s="25" t="s">
        <v>2189</v>
      </c>
      <c r="C307" t="s">
        <v>356</v>
      </c>
      <c r="D307" s="25" t="s">
        <v>2219</v>
      </c>
      <c r="E307" t="s">
        <v>357</v>
      </c>
    </row>
    <row r="308" ht="14.4" customHeight="1" spans="1:4" x14ac:dyDescent="0.25">
      <c r="A308" t="s">
        <v>358</v>
      </c>
      <c r="B308" s="25" t="s">
        <v>2160</v>
      </c>
      <c r="C308" t="s">
        <v>9</v>
      </c>
      <c r="D308" s="25"/>
    </row>
    <row r="309" ht="14.4" customHeight="1" spans="1:4" x14ac:dyDescent="0.25">
      <c r="A309" t="s">
        <v>359</v>
      </c>
      <c r="B309" s="25" t="s">
        <v>2160</v>
      </c>
      <c r="C309" t="s">
        <v>9</v>
      </c>
      <c r="D309" s="25"/>
    </row>
    <row r="310" ht="14.4" customHeight="1" spans="1:4" x14ac:dyDescent="0.25">
      <c r="A310" t="s">
        <v>360</v>
      </c>
      <c r="B310" s="25" t="s">
        <v>2160</v>
      </c>
      <c r="C310" t="s">
        <v>9</v>
      </c>
      <c r="D310" s="25"/>
    </row>
    <row r="311" ht="14.4" customHeight="1" spans="1:4" x14ac:dyDescent="0.25">
      <c r="A311" t="s">
        <v>361</v>
      </c>
      <c r="B311" s="25" t="s">
        <v>2144</v>
      </c>
      <c r="C311" t="s">
        <v>9</v>
      </c>
      <c r="D311" s="25"/>
    </row>
    <row r="312" ht="14.4" customHeight="1" spans="1:4" x14ac:dyDescent="0.25">
      <c r="A312" t="s">
        <v>362</v>
      </c>
      <c r="B312" s="25" t="s">
        <v>2160</v>
      </c>
      <c r="C312" t="s">
        <v>9</v>
      </c>
      <c r="D312" s="25"/>
    </row>
    <row r="313" ht="14.4" customHeight="1" spans="1:5" x14ac:dyDescent="0.25">
      <c r="A313" t="s">
        <v>363</v>
      </c>
      <c r="B313" s="25" t="s">
        <v>2179</v>
      </c>
      <c r="C313" t="s">
        <v>364</v>
      </c>
      <c r="D313" s="25" t="s">
        <v>2264</v>
      </c>
      <c r="E313" t="s">
        <v>365</v>
      </c>
    </row>
    <row r="314" ht="14.4" customHeight="1" spans="1:5" x14ac:dyDescent="0.25">
      <c r="A314" t="s">
        <v>366</v>
      </c>
      <c r="B314" s="25" t="s">
        <v>2265</v>
      </c>
      <c r="C314" t="s">
        <v>9</v>
      </c>
      <c r="D314" s="25" t="s">
        <v>2202</v>
      </c>
      <c r="E314" t="s">
        <v>91</v>
      </c>
    </row>
    <row r="315" ht="14.4" customHeight="1" spans="1:4" x14ac:dyDescent="0.25">
      <c r="A315" t="s">
        <v>367</v>
      </c>
      <c r="B315" s="25" t="s">
        <v>2253</v>
      </c>
      <c r="C315" t="s">
        <v>368</v>
      </c>
      <c r="D315" s="25"/>
    </row>
    <row r="316" ht="14.4" customHeight="1" spans="1:4" x14ac:dyDescent="0.25">
      <c r="A316" t="s">
        <v>369</v>
      </c>
      <c r="B316" s="25" t="s">
        <v>2160</v>
      </c>
      <c r="C316" t="s">
        <v>9</v>
      </c>
      <c r="D316" s="25"/>
    </row>
    <row r="317" ht="14.4" customHeight="1" spans="1:4" x14ac:dyDescent="0.25">
      <c r="A317" t="s">
        <v>370</v>
      </c>
      <c r="B317" s="25" t="s">
        <v>2148</v>
      </c>
      <c r="C317" t="s">
        <v>9</v>
      </c>
      <c r="D317" s="25"/>
    </row>
    <row r="318" ht="14.4" customHeight="1" spans="1:4" x14ac:dyDescent="0.25">
      <c r="A318" t="s">
        <v>371</v>
      </c>
      <c r="B318" s="25" t="s">
        <v>2266</v>
      </c>
      <c r="C318" t="s">
        <v>9</v>
      </c>
      <c r="D318" s="25"/>
    </row>
    <row r="319" ht="14.4" customHeight="1" spans="1:4" x14ac:dyDescent="0.25">
      <c r="A319" t="s">
        <v>372</v>
      </c>
      <c r="B319" s="25" t="s">
        <v>2145</v>
      </c>
      <c r="C319" t="s">
        <v>9</v>
      </c>
      <c r="D319" s="25"/>
    </row>
    <row r="320" ht="14.4" customHeight="1" spans="1:4" x14ac:dyDescent="0.25">
      <c r="A320" t="s">
        <v>374</v>
      </c>
      <c r="B320" s="25" t="s">
        <v>2144</v>
      </c>
      <c r="C320" t="s">
        <v>9</v>
      </c>
      <c r="D320" s="25"/>
    </row>
    <row r="321" ht="14.4" customHeight="1" spans="1:4" x14ac:dyDescent="0.25">
      <c r="A321" t="s">
        <v>373</v>
      </c>
      <c r="B321" s="25" t="s">
        <v>2152</v>
      </c>
      <c r="C321" t="s">
        <v>9</v>
      </c>
      <c r="D321" s="25"/>
    </row>
    <row r="322" ht="14.4" customHeight="1" spans="1:4" x14ac:dyDescent="0.25">
      <c r="A322" t="s">
        <v>375</v>
      </c>
      <c r="B322" s="25" t="s">
        <v>2229</v>
      </c>
      <c r="C322" t="s">
        <v>9</v>
      </c>
      <c r="D322" s="25"/>
    </row>
    <row r="323" ht="14.4" customHeight="1" spans="1:4" x14ac:dyDescent="0.25">
      <c r="A323" t="s">
        <v>376</v>
      </c>
      <c r="B323" s="25" t="s">
        <v>2179</v>
      </c>
      <c r="C323" t="s">
        <v>9</v>
      </c>
      <c r="D323" s="25"/>
    </row>
    <row r="324" ht="14.4" customHeight="1" spans="1:5" x14ac:dyDescent="0.25">
      <c r="A324" t="s">
        <v>377</v>
      </c>
      <c r="B324" s="25" t="s">
        <v>2197</v>
      </c>
      <c r="C324" t="s">
        <v>9</v>
      </c>
      <c r="D324" s="25" t="s">
        <v>2227</v>
      </c>
      <c r="E324" t="s">
        <v>378</v>
      </c>
    </row>
    <row r="325" ht="14.4" customHeight="1" spans="1:5" x14ac:dyDescent="0.25">
      <c r="A325" t="s">
        <v>379</v>
      </c>
      <c r="B325" s="25" t="s">
        <v>2197</v>
      </c>
      <c r="C325" t="s">
        <v>9</v>
      </c>
      <c r="D325" s="25" t="s">
        <v>2227</v>
      </c>
      <c r="E325" t="s">
        <v>378</v>
      </c>
    </row>
    <row r="326" ht="14.4" customHeight="1" spans="1:4" x14ac:dyDescent="0.25">
      <c r="A326" t="s">
        <v>380</v>
      </c>
      <c r="B326" s="25" t="s">
        <v>2267</v>
      </c>
      <c r="C326" t="s">
        <v>9</v>
      </c>
      <c r="D326" s="25"/>
    </row>
    <row r="327" ht="14.4" customHeight="1" spans="1:4" x14ac:dyDescent="0.25">
      <c r="A327" t="s">
        <v>381</v>
      </c>
      <c r="B327" s="25" t="s">
        <v>2246</v>
      </c>
      <c r="C327" t="s">
        <v>9</v>
      </c>
      <c r="D327" s="25"/>
    </row>
    <row r="328" ht="14.4" customHeight="1" spans="1:4" x14ac:dyDescent="0.25">
      <c r="A328" t="s">
        <v>382</v>
      </c>
      <c r="B328" s="25" t="s">
        <v>2166</v>
      </c>
      <c r="C328" t="s">
        <v>383</v>
      </c>
      <c r="D328" s="25"/>
    </row>
    <row r="329" ht="14.4" customHeight="1" spans="1:4" x14ac:dyDescent="0.25">
      <c r="A329" t="s">
        <v>384</v>
      </c>
      <c r="B329" s="25" t="s">
        <v>2152</v>
      </c>
      <c r="C329" t="s">
        <v>9</v>
      </c>
      <c r="D329" s="25"/>
    </row>
    <row r="330" ht="14.4" customHeight="1" spans="1:4" x14ac:dyDescent="0.25">
      <c r="A330" t="s">
        <v>385</v>
      </c>
      <c r="B330" s="25" t="s">
        <v>2146</v>
      </c>
      <c r="C330" t="s">
        <v>9</v>
      </c>
      <c r="D330" s="25"/>
    </row>
    <row r="331" ht="14.4" customHeight="1" spans="1:4" x14ac:dyDescent="0.25">
      <c r="A331" t="s">
        <v>386</v>
      </c>
      <c r="B331" s="25" t="s">
        <v>2152</v>
      </c>
      <c r="C331" t="s">
        <v>9</v>
      </c>
      <c r="D331" s="25"/>
    </row>
    <row r="332" ht="14.4" customHeight="1" spans="1:5" x14ac:dyDescent="0.25">
      <c r="A332" t="s">
        <v>388</v>
      </c>
      <c r="B332" s="25" t="s">
        <v>2159</v>
      </c>
      <c r="C332" t="s">
        <v>394</v>
      </c>
      <c r="D332" s="25" t="s">
        <v>2214</v>
      </c>
      <c r="E332" t="s">
        <v>9</v>
      </c>
    </row>
    <row r="333" ht="14.4" customHeight="1" spans="1:4" x14ac:dyDescent="0.25">
      <c r="A333" t="s">
        <v>390</v>
      </c>
      <c r="B333" s="25" t="s">
        <v>2268</v>
      </c>
      <c r="C333" t="s">
        <v>9</v>
      </c>
      <c r="D333" s="25"/>
    </row>
    <row r="334" ht="14.4" customHeight="1" spans="1:4" x14ac:dyDescent="0.25">
      <c r="A334" t="s">
        <v>391</v>
      </c>
      <c r="B334" s="25" t="s">
        <v>2152</v>
      </c>
      <c r="C334" t="s">
        <v>9</v>
      </c>
      <c r="D334" s="25"/>
    </row>
    <row r="335" ht="14.4" customHeight="1" spans="1:4" x14ac:dyDescent="0.25">
      <c r="A335" t="s">
        <v>392</v>
      </c>
      <c r="B335" s="25" t="s">
        <v>2160</v>
      </c>
      <c r="C335" t="s">
        <v>9</v>
      </c>
      <c r="D335" s="25"/>
    </row>
    <row r="336" ht="14.4" customHeight="1" spans="1:5" x14ac:dyDescent="0.25">
      <c r="A336" t="s">
        <v>393</v>
      </c>
      <c r="B336" s="25" t="s">
        <v>2269</v>
      </c>
      <c r="C336" t="s">
        <v>394</v>
      </c>
      <c r="D336" s="25" t="s">
        <v>2167</v>
      </c>
      <c r="E336" t="s">
        <v>9</v>
      </c>
    </row>
    <row r="337" ht="14.4" customHeight="1" spans="1:4" x14ac:dyDescent="0.25">
      <c r="A337" t="s">
        <v>395</v>
      </c>
      <c r="B337" s="25" t="s">
        <v>2229</v>
      </c>
      <c r="C337" t="s">
        <v>396</v>
      </c>
      <c r="D337" s="25"/>
    </row>
    <row r="338" ht="14.4" customHeight="1" spans="1:4" x14ac:dyDescent="0.25">
      <c r="A338" t="s">
        <v>397</v>
      </c>
      <c r="B338" s="25" t="s">
        <v>2229</v>
      </c>
      <c r="C338" t="s">
        <v>396</v>
      </c>
      <c r="D338" s="25"/>
    </row>
    <row r="339" ht="14.4" customHeight="1" spans="1:4" x14ac:dyDescent="0.25">
      <c r="A339" t="s">
        <v>398</v>
      </c>
      <c r="B339" s="25" t="s">
        <v>2160</v>
      </c>
      <c r="C339" t="s">
        <v>9</v>
      </c>
      <c r="D339" s="25"/>
    </row>
    <row r="340" ht="14.4" customHeight="1" spans="1:5" x14ac:dyDescent="0.25">
      <c r="A340" t="s">
        <v>399</v>
      </c>
      <c r="B340" s="25" t="s">
        <v>2196</v>
      </c>
      <c r="C340" t="s">
        <v>396</v>
      </c>
      <c r="D340" s="25" t="s">
        <v>2270</v>
      </c>
      <c r="E340" t="s">
        <v>400</v>
      </c>
    </row>
    <row r="341" ht="14.4" customHeight="1" spans="1:4" x14ac:dyDescent="0.25">
      <c r="A341" t="s">
        <v>401</v>
      </c>
      <c r="B341" s="25" t="s">
        <v>2147</v>
      </c>
      <c r="C341" t="s">
        <v>9</v>
      </c>
      <c r="D341" s="25"/>
    </row>
    <row r="342" ht="14.4" customHeight="1" spans="1:4" x14ac:dyDescent="0.25">
      <c r="A342" t="s">
        <v>402</v>
      </c>
      <c r="B342" s="25" t="s">
        <v>2144</v>
      </c>
      <c r="C342" t="s">
        <v>9</v>
      </c>
      <c r="D342" s="25"/>
    </row>
    <row r="343" ht="14.4" customHeight="1" spans="1:4" x14ac:dyDescent="0.25">
      <c r="A343" t="s">
        <v>403</v>
      </c>
      <c r="B343" s="25" t="s">
        <v>2196</v>
      </c>
      <c r="C343" t="s">
        <v>9</v>
      </c>
      <c r="D343" s="25"/>
    </row>
    <row r="344" ht="14.4" customHeight="1" spans="1:4" x14ac:dyDescent="0.25">
      <c r="A344" t="s">
        <v>404</v>
      </c>
      <c r="B344" s="25" t="s">
        <v>2229</v>
      </c>
      <c r="C344" t="s">
        <v>9</v>
      </c>
      <c r="D344" s="25"/>
    </row>
    <row r="345" ht="14.4" customHeight="1" spans="1:4" x14ac:dyDescent="0.25">
      <c r="A345" t="s">
        <v>405</v>
      </c>
      <c r="B345" s="25" t="s">
        <v>2259</v>
      </c>
      <c r="C345" t="s">
        <v>406</v>
      </c>
      <c r="D345" s="25"/>
    </row>
    <row r="346" ht="14.4" customHeight="1" spans="1:4" x14ac:dyDescent="0.25">
      <c r="A346" t="s">
        <v>407</v>
      </c>
      <c r="B346" s="25" t="s">
        <v>2160</v>
      </c>
      <c r="C346" t="s">
        <v>9</v>
      </c>
      <c r="D346" s="25"/>
    </row>
    <row r="347" ht="14.4" customHeight="1" spans="1:4" x14ac:dyDescent="0.25">
      <c r="A347" t="s">
        <v>408</v>
      </c>
      <c r="B347" s="25" t="s">
        <v>2160</v>
      </c>
      <c r="C347" t="s">
        <v>9</v>
      </c>
      <c r="D347" s="25"/>
    </row>
    <row r="348" ht="14.4" customHeight="1" spans="1:4" x14ac:dyDescent="0.25">
      <c r="A348" t="s">
        <v>409</v>
      </c>
      <c r="B348" s="25" t="s">
        <v>2144</v>
      </c>
      <c r="C348" t="s">
        <v>9</v>
      </c>
      <c r="D348" s="25"/>
    </row>
    <row r="349" ht="14.4" customHeight="1" spans="1:4" x14ac:dyDescent="0.25">
      <c r="A349" t="s">
        <v>410</v>
      </c>
      <c r="B349" s="25" t="s">
        <v>2145</v>
      </c>
      <c r="C349" t="s">
        <v>9</v>
      </c>
      <c r="D349" s="25"/>
    </row>
    <row r="350" ht="14.4" customHeight="1" spans="1:4" x14ac:dyDescent="0.25">
      <c r="A350" t="s">
        <v>411</v>
      </c>
      <c r="B350" s="25" t="s">
        <v>2271</v>
      </c>
      <c r="C350" t="s">
        <v>9</v>
      </c>
      <c r="D350" s="25"/>
    </row>
    <row r="351" ht="14.4" customHeight="1" spans="1:4" x14ac:dyDescent="0.25">
      <c r="A351" t="s">
        <v>412</v>
      </c>
      <c r="B351" s="25" t="s">
        <v>2272</v>
      </c>
      <c r="C351" t="s">
        <v>9</v>
      </c>
      <c r="D351" s="25"/>
    </row>
    <row r="352" ht="14.4" customHeight="1" spans="1:4" x14ac:dyDescent="0.25">
      <c r="A352" t="s">
        <v>413</v>
      </c>
      <c r="B352" s="25" t="s">
        <v>2145</v>
      </c>
      <c r="C352" t="s">
        <v>9</v>
      </c>
      <c r="D352" s="25"/>
    </row>
    <row r="353" ht="14.4" customHeight="1" spans="1:4" x14ac:dyDescent="0.25">
      <c r="A353" t="s">
        <v>414</v>
      </c>
      <c r="B353" s="25" t="s">
        <v>2189</v>
      </c>
      <c r="C353" t="s">
        <v>9</v>
      </c>
      <c r="D353" s="25"/>
    </row>
    <row r="354" ht="14.4" customHeight="1" spans="1:4" x14ac:dyDescent="0.25">
      <c r="A354" t="s">
        <v>415</v>
      </c>
      <c r="B354" s="25" t="s">
        <v>2247</v>
      </c>
      <c r="C354" t="s">
        <v>9</v>
      </c>
      <c r="D354" s="25"/>
    </row>
    <row r="355" ht="14.4" customHeight="1" spans="1:4" x14ac:dyDescent="0.25">
      <c r="A355" t="s">
        <v>417</v>
      </c>
      <c r="B355" s="25" t="s">
        <v>2146</v>
      </c>
      <c r="C355" t="s">
        <v>9</v>
      </c>
      <c r="D355" s="25"/>
    </row>
    <row r="356" ht="14.4" customHeight="1" spans="1:4" x14ac:dyDescent="0.25">
      <c r="A356" t="s">
        <v>419</v>
      </c>
      <c r="B356" s="25" t="s">
        <v>2167</v>
      </c>
      <c r="C356" t="s">
        <v>9</v>
      </c>
      <c r="D356" s="25"/>
    </row>
    <row r="357" ht="14.4" customHeight="1" spans="1:4" x14ac:dyDescent="0.25">
      <c r="A357" t="s">
        <v>420</v>
      </c>
      <c r="B357" s="25" t="s">
        <v>2267</v>
      </c>
      <c r="C357" t="s">
        <v>9</v>
      </c>
      <c r="D357" s="25"/>
    </row>
    <row r="358" ht="14.4" customHeight="1" spans="1:4" x14ac:dyDescent="0.25">
      <c r="A358" t="s">
        <v>421</v>
      </c>
      <c r="B358" s="25" t="s">
        <v>2168</v>
      </c>
      <c r="C358" t="s">
        <v>9</v>
      </c>
      <c r="D358" s="25"/>
    </row>
    <row r="359" ht="14.4" customHeight="1" spans="1:4" x14ac:dyDescent="0.25">
      <c r="A359" t="s">
        <v>416</v>
      </c>
      <c r="B359" s="25" t="s">
        <v>2247</v>
      </c>
      <c r="C359" t="s">
        <v>9</v>
      </c>
      <c r="D359" s="25"/>
    </row>
    <row r="360" ht="14.4" customHeight="1" spans="1:4" x14ac:dyDescent="0.25">
      <c r="A360" t="s">
        <v>418</v>
      </c>
      <c r="B360" s="25" t="s">
        <v>2273</v>
      </c>
      <c r="C360" t="s">
        <v>9</v>
      </c>
      <c r="D360" s="25"/>
    </row>
    <row r="361" ht="14.4" customHeight="1" spans="1:4" x14ac:dyDescent="0.25">
      <c r="A361" t="s">
        <v>422</v>
      </c>
      <c r="B361" s="25" t="s">
        <v>2181</v>
      </c>
      <c r="C361" t="s">
        <v>9</v>
      </c>
      <c r="D361" s="25"/>
    </row>
    <row r="362" ht="14.4" customHeight="1" spans="1:4" x14ac:dyDescent="0.25">
      <c r="A362" t="s">
        <v>423</v>
      </c>
      <c r="B362" s="25" t="s">
        <v>2215</v>
      </c>
      <c r="C362" t="s">
        <v>9</v>
      </c>
      <c r="D362" s="25"/>
    </row>
    <row r="363" ht="14.4" customHeight="1" spans="1:4" x14ac:dyDescent="0.25">
      <c r="A363" t="s">
        <v>424</v>
      </c>
      <c r="B363" s="25" t="s">
        <v>2160</v>
      </c>
      <c r="C363" t="s">
        <v>9</v>
      </c>
      <c r="D363" s="25"/>
    </row>
    <row r="364" ht="14.4" customHeight="1" spans="1:4" x14ac:dyDescent="0.25">
      <c r="A364" t="s">
        <v>425</v>
      </c>
      <c r="B364" s="25" t="s">
        <v>2160</v>
      </c>
      <c r="C364" t="s">
        <v>9</v>
      </c>
      <c r="D364" s="25"/>
    </row>
    <row r="365" ht="14.4" customHeight="1" spans="1:4" x14ac:dyDescent="0.25">
      <c r="A365" t="s">
        <v>426</v>
      </c>
      <c r="B365" s="25" t="s">
        <v>2152</v>
      </c>
      <c r="C365" t="s">
        <v>9</v>
      </c>
      <c r="D365" s="25"/>
    </row>
    <row r="366" ht="14.4" customHeight="1" spans="1:4" x14ac:dyDescent="0.25">
      <c r="A366" t="s">
        <v>427</v>
      </c>
      <c r="B366" s="25" t="s">
        <v>2242</v>
      </c>
      <c r="C366" t="s">
        <v>9</v>
      </c>
      <c r="D366" s="25"/>
    </row>
    <row r="367" ht="14.4" customHeight="1" spans="1:4" x14ac:dyDescent="0.25">
      <c r="A367" t="s">
        <v>430</v>
      </c>
      <c r="B367" s="25" t="s">
        <v>2148</v>
      </c>
      <c r="C367" t="s">
        <v>9</v>
      </c>
      <c r="D367" s="25"/>
    </row>
    <row r="368" ht="14.4" customHeight="1" spans="1:4" x14ac:dyDescent="0.25">
      <c r="A368" t="s">
        <v>431</v>
      </c>
      <c r="B368" s="25" t="s">
        <v>2160</v>
      </c>
      <c r="C368" t="s">
        <v>9</v>
      </c>
      <c r="D368" s="25"/>
    </row>
    <row r="369" ht="14.4" customHeight="1" spans="1:4" x14ac:dyDescent="0.25">
      <c r="A369" t="s">
        <v>432</v>
      </c>
      <c r="B369" s="25" t="s">
        <v>2234</v>
      </c>
      <c r="C369" t="s">
        <v>9</v>
      </c>
      <c r="D369" s="25"/>
    </row>
    <row r="370" ht="14.4" customHeight="1" spans="1:4" x14ac:dyDescent="0.25">
      <c r="A370" t="s">
        <v>433</v>
      </c>
      <c r="B370" s="25" t="s">
        <v>2274</v>
      </c>
      <c r="C370" t="s">
        <v>9</v>
      </c>
      <c r="D370" s="25"/>
    </row>
    <row r="371" ht="14.4" customHeight="1" spans="1:4" x14ac:dyDescent="0.25">
      <c r="A371" t="s">
        <v>434</v>
      </c>
      <c r="B371" s="25" t="s">
        <v>2275</v>
      </c>
      <c r="C371" t="s">
        <v>9</v>
      </c>
      <c r="D371" s="25"/>
    </row>
    <row r="372" ht="14.4" customHeight="1" spans="1:4" x14ac:dyDescent="0.25">
      <c r="A372" t="s">
        <v>436</v>
      </c>
      <c r="B372" s="25" t="s">
        <v>2164</v>
      </c>
      <c r="C372" t="s">
        <v>9</v>
      </c>
      <c r="D372" s="25"/>
    </row>
    <row r="373" ht="14.4" customHeight="1" spans="1:4" x14ac:dyDescent="0.25">
      <c r="A373" t="s">
        <v>493</v>
      </c>
      <c r="B373" s="25" t="s">
        <v>2179</v>
      </c>
      <c r="C373" t="s">
        <v>9</v>
      </c>
      <c r="D373" s="25"/>
    </row>
    <row r="374" ht="14.4" customHeight="1" spans="1:4" x14ac:dyDescent="0.25">
      <c r="A374" t="s">
        <v>439</v>
      </c>
      <c r="B374" s="25" t="s">
        <v>2149</v>
      </c>
      <c r="C374" t="s">
        <v>9</v>
      </c>
      <c r="D374" s="25"/>
    </row>
    <row r="375" ht="14.4" customHeight="1" spans="1:4" x14ac:dyDescent="0.25">
      <c r="A375" t="s">
        <v>440</v>
      </c>
      <c r="B375" s="25" t="s">
        <v>2181</v>
      </c>
      <c r="C375" t="s">
        <v>378</v>
      </c>
      <c r="D375" s="25"/>
    </row>
    <row r="376" ht="14.4" customHeight="1" spans="1:4" x14ac:dyDescent="0.25">
      <c r="A376" t="s">
        <v>441</v>
      </c>
      <c r="B376" s="25" t="s">
        <v>2227</v>
      </c>
      <c r="C376" t="s">
        <v>9</v>
      </c>
      <c r="D376" s="25"/>
    </row>
    <row r="377" ht="14.4" customHeight="1" spans="1:4" x14ac:dyDescent="0.25">
      <c r="A377" t="s">
        <v>442</v>
      </c>
      <c r="B377" s="25" t="s">
        <v>2216</v>
      </c>
      <c r="C377" t="s">
        <v>378</v>
      </c>
      <c r="D377" s="25"/>
    </row>
    <row r="378" ht="14.4" customHeight="1" spans="1:4" x14ac:dyDescent="0.25">
      <c r="A378" t="s">
        <v>443</v>
      </c>
      <c r="B378" s="25" t="s">
        <v>2202</v>
      </c>
      <c r="C378" t="s">
        <v>9</v>
      </c>
      <c r="D378" s="25"/>
    </row>
    <row r="379" ht="14.4" customHeight="1" spans="1:4" x14ac:dyDescent="0.25">
      <c r="A379" t="s">
        <v>444</v>
      </c>
      <c r="B379" s="25" t="s">
        <v>2181</v>
      </c>
      <c r="C379" t="s">
        <v>9</v>
      </c>
      <c r="D379" s="25"/>
    </row>
    <row r="380" ht="14.4" customHeight="1" spans="1:4" x14ac:dyDescent="0.25">
      <c r="A380" t="s">
        <v>446</v>
      </c>
      <c r="B380" s="25" t="s">
        <v>2202</v>
      </c>
      <c r="C380" t="s">
        <v>9</v>
      </c>
      <c r="D380" s="25"/>
    </row>
    <row r="381" ht="14.4" customHeight="1" spans="1:4" x14ac:dyDescent="0.25">
      <c r="A381" t="s">
        <v>447</v>
      </c>
      <c r="B381" s="25" t="s">
        <v>2166</v>
      </c>
      <c r="C381" t="s">
        <v>9</v>
      </c>
      <c r="D381" s="25"/>
    </row>
    <row r="382" ht="14.4" customHeight="1" spans="1:4" x14ac:dyDescent="0.25">
      <c r="A382" t="s">
        <v>448</v>
      </c>
      <c r="B382" s="25" t="s">
        <v>2160</v>
      </c>
      <c r="C382" t="s">
        <v>9</v>
      </c>
      <c r="D382" s="25"/>
    </row>
    <row r="383" ht="14.4" customHeight="1" spans="1:5" x14ac:dyDescent="0.25">
      <c r="A383" t="s">
        <v>437</v>
      </c>
      <c r="B383" s="25" t="s">
        <v>2175</v>
      </c>
      <c r="C383" t="s">
        <v>47</v>
      </c>
      <c r="D383" s="25" t="s">
        <v>2224</v>
      </c>
      <c r="E383" t="s">
        <v>438</v>
      </c>
    </row>
    <row r="384" ht="14.4" customHeight="1" spans="1:4" x14ac:dyDescent="0.25">
      <c r="A384" t="s">
        <v>450</v>
      </c>
      <c r="B384" s="25" t="s">
        <v>2161</v>
      </c>
      <c r="C384" t="s">
        <v>236</v>
      </c>
      <c r="D384" s="25"/>
    </row>
    <row r="385" ht="14.4" customHeight="1" spans="1:4" x14ac:dyDescent="0.25">
      <c r="A385" t="s">
        <v>454</v>
      </c>
      <c r="B385" s="25" t="s">
        <v>2234</v>
      </c>
      <c r="C385" t="s">
        <v>9</v>
      </c>
      <c r="D385" s="25"/>
    </row>
    <row r="386" ht="14.4" customHeight="1" spans="1:4" x14ac:dyDescent="0.25">
      <c r="A386" t="s">
        <v>455</v>
      </c>
      <c r="B386" s="25" t="s">
        <v>2260</v>
      </c>
      <c r="C386" t="s">
        <v>9</v>
      </c>
      <c r="D386" s="25"/>
    </row>
    <row r="387" ht="14.4" customHeight="1" spans="1:4" x14ac:dyDescent="0.25">
      <c r="A387" t="s">
        <v>456</v>
      </c>
      <c r="B387" s="25" t="s">
        <v>2260</v>
      </c>
      <c r="C387" t="s">
        <v>9</v>
      </c>
      <c r="D387" s="25"/>
    </row>
    <row r="388" ht="14.4" customHeight="1" spans="1:4" x14ac:dyDescent="0.25">
      <c r="A388" t="s">
        <v>457</v>
      </c>
      <c r="B388" s="25" t="s">
        <v>2175</v>
      </c>
      <c r="C388" t="s">
        <v>9</v>
      </c>
      <c r="D388" s="25"/>
    </row>
    <row r="389" ht="14.4" customHeight="1" spans="1:4" x14ac:dyDescent="0.25">
      <c r="A389" t="s">
        <v>453</v>
      </c>
      <c r="B389" s="25" t="s">
        <v>2147</v>
      </c>
      <c r="C389" t="s">
        <v>9</v>
      </c>
      <c r="D389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/>
  </sheetViews>
  <sheetFormatPr defaultRowHeight="13.8" outlineLevelRow="0" outlineLevelCol="0" x14ac:dyDescent="0" customHeight="1"/>
  <cols>
    <col min="1" max="1" width="23.109375" customWidth="1"/>
    <col min="2" max="2" width="12" customWidth="1"/>
    <col min="3" max="3" width="8.88671875" customWidth="1"/>
  </cols>
  <sheetData>
    <row r="1" ht="13.8" customHeight="1" spans="1:3" x14ac:dyDescent="0.25">
      <c r="A1" s="11" t="s">
        <v>2276</v>
      </c>
      <c r="B1" s="11" t="s">
        <v>2277</v>
      </c>
      <c r="C1" s="11" t="s">
        <v>2278</v>
      </c>
    </row>
    <row r="2" ht="13.8" customHeight="1" spans="1:2" x14ac:dyDescent="0.25">
      <c r="A2" t="s">
        <v>2279</v>
      </c>
      <c r="B2" t="s">
        <v>2280</v>
      </c>
    </row>
    <row r="3" ht="13.8" customHeight="1" spans="1:2" x14ac:dyDescent="0.25">
      <c r="A3" t="s">
        <v>2281</v>
      </c>
      <c r="B3" t="s">
        <v>2282</v>
      </c>
    </row>
    <row r="4" ht="13.8" customHeight="1" spans="1:2" x14ac:dyDescent="0.25">
      <c r="A4" t="s">
        <v>2283</v>
      </c>
      <c r="B4" t="s">
        <v>2284</v>
      </c>
    </row>
    <row r="5" ht="13.8" customHeight="1" spans="1:2" x14ac:dyDescent="0.25">
      <c r="A5" t="s">
        <v>2285</v>
      </c>
      <c r="B5" t="s">
        <v>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/>
  </sheetViews>
  <sheetFormatPr defaultRowHeight="13.8" outlineLevelRow="0" outlineLevelCol="0" x14ac:dyDescent="0" customHeight="1"/>
  <cols>
    <col min="1" max="1" width="28.44140625" customWidth="1"/>
    <col min="2" max="2" width="18.5546875" customWidth="1"/>
    <col min="3" max="3" width="16.21875" customWidth="1"/>
    <col min="4" max="4" width="18.44140625" customWidth="1"/>
  </cols>
  <sheetData>
    <row r="1" ht="16.8" customHeight="1" spans="1:4" x14ac:dyDescent="0.25">
      <c r="A1" s="26" t="s">
        <v>2287</v>
      </c>
      <c r="B1" s="26"/>
      <c r="C1" s="26"/>
      <c r="D1" s="26"/>
    </row>
    <row r="2" ht="14.4" customHeight="1" spans="1:4" x14ac:dyDescent="0.25">
      <c r="A2" s="11" t="s">
        <v>2288</v>
      </c>
      <c r="B2" s="11" t="s">
        <v>2289</v>
      </c>
      <c r="C2" s="11" t="s">
        <v>2290</v>
      </c>
      <c r="D2" s="11" t="s">
        <v>2291</v>
      </c>
    </row>
    <row r="3" ht="14.4" customHeight="1" spans="1:4" x14ac:dyDescent="0.25">
      <c r="A3" t="s">
        <v>2292</v>
      </c>
      <c r="B3" s="27">
        <v>955290000</v>
      </c>
      <c r="C3" s="22"/>
      <c r="D3" s="22"/>
    </row>
    <row r="4" ht="14.4" customHeight="1" spans="1:4" x14ac:dyDescent="0.25">
      <c r="A4" t="s">
        <v>2293</v>
      </c>
      <c r="B4" s="27">
        <v>1739672104</v>
      </c>
      <c r="C4" s="22">
        <v>9850000</v>
      </c>
      <c r="D4" s="22"/>
    </row>
    <row r="5" ht="14.4" customHeight="1" spans="1:4" x14ac:dyDescent="0.25">
      <c r="A5" t="s">
        <v>2294</v>
      </c>
      <c r="B5" s="27">
        <v>1941516604</v>
      </c>
      <c r="C5" s="22">
        <v>7000000</v>
      </c>
      <c r="D5" s="22">
        <v>14809000</v>
      </c>
    </row>
    <row r="6" ht="14.4" customHeight="1" spans="1:4" x14ac:dyDescent="0.25">
      <c r="A6" t="s">
        <v>2295</v>
      </c>
      <c r="B6" s="27"/>
      <c r="C6" s="22"/>
      <c r="D6" s="22"/>
    </row>
    <row r="7" ht="14.4" customHeight="1" spans="1:4" x14ac:dyDescent="0.25">
      <c r="A7" t="s">
        <v>2296</v>
      </c>
      <c r="B7" s="27"/>
      <c r="C7" s="22"/>
      <c r="D7" s="22"/>
    </row>
    <row r="8" ht="14.4" customHeight="1" spans="1:4" x14ac:dyDescent="0.25">
      <c r="A8" t="s">
        <v>2297</v>
      </c>
      <c r="B8" s="27"/>
      <c r="C8" s="22"/>
      <c r="D8" s="22"/>
    </row>
    <row r="9" ht="14.4" customHeight="1" spans="1:4" x14ac:dyDescent="0.25">
      <c r="A9" t="s">
        <v>2298</v>
      </c>
      <c r="B9" s="27"/>
      <c r="C9" s="22"/>
      <c r="D9" s="22"/>
    </row>
    <row r="10" ht="14.4" customHeight="1" spans="1:4" x14ac:dyDescent="0.25">
      <c r="A10" t="s">
        <v>2299</v>
      </c>
      <c r="B10" s="27"/>
      <c r="C10" s="22"/>
      <c r="D10" s="22"/>
    </row>
    <row r="11" ht="14.4" customHeight="1" spans="1:4" x14ac:dyDescent="0.25">
      <c r="A11" t="s">
        <v>2300</v>
      </c>
      <c r="B11" s="27"/>
      <c r="C11" s="22"/>
      <c r="D11" s="22"/>
    </row>
    <row r="12" ht="14.4" customHeight="1" spans="1:4" x14ac:dyDescent="0.25">
      <c r="A12" t="s">
        <v>2301</v>
      </c>
      <c r="B12" s="27"/>
      <c r="C12" s="22"/>
      <c r="D12" s="22"/>
    </row>
    <row r="13" ht="14.4" customHeight="1" spans="1:4" x14ac:dyDescent="0.25">
      <c r="A13" t="s">
        <v>2302</v>
      </c>
      <c r="B13" s="27"/>
      <c r="C13" s="22"/>
      <c r="D13" s="22"/>
    </row>
    <row r="14" ht="14.4" customHeight="1" spans="1:4" x14ac:dyDescent="0.25">
      <c r="A14" t="s">
        <v>2303</v>
      </c>
      <c r="B14" s="27"/>
      <c r="C14" s="22"/>
      <c r="D14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/>
  </sheetViews>
  <sheetFormatPr defaultRowHeight="13.8" outlineLevelRow="0" outlineLevelCol="0" x14ac:dyDescent="0" customHeight="1"/>
  <cols>
    <col min="1" max="1" width="16.6640625" customWidth="1"/>
    <col min="2" max="2" width="97" customWidth="1"/>
  </cols>
  <sheetData>
    <row r="1" ht="13.8" customHeight="1" spans="1:2" x14ac:dyDescent="0.25">
      <c r="A1" s="28" t="s">
        <v>2304</v>
      </c>
      <c r="B1" s="28" t="s">
        <v>2305</v>
      </c>
    </row>
    <row r="2" ht="13.8" customHeight="1" spans="1:2" x14ac:dyDescent="0.25">
      <c r="A2" s="29" t="s">
        <v>2306</v>
      </c>
      <c r="B2" s="29" t="s">
        <v>2307</v>
      </c>
    </row>
    <row r="3" ht="13.8" customHeight="1" spans="1:2" x14ac:dyDescent="0.25">
      <c r="A3" s="29" t="s">
        <v>2308</v>
      </c>
      <c r="B3" s="29" t="s">
        <v>2309</v>
      </c>
    </row>
    <row r="4" ht="13.8" customHeight="1" spans="1:2" x14ac:dyDescent="0.25">
      <c r="A4" s="29" t="s">
        <v>2310</v>
      </c>
      <c r="B4" s="29" t="s">
        <v>2311</v>
      </c>
    </row>
    <row r="5" ht="13.8" customHeight="1" spans="1:2" x14ac:dyDescent="0.25">
      <c r="A5" s="29" t="s">
        <v>2312</v>
      </c>
      <c r="B5" s="29" t="s">
        <v>2313</v>
      </c>
    </row>
    <row r="6" ht="13.8" customHeight="1" spans="1:2" x14ac:dyDescent="0.25">
      <c r="A6" s="29" t="s">
        <v>2314</v>
      </c>
      <c r="B6" s="29" t="s">
        <v>2315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rightToLeft="1" zoomScale="100" zoomScaleNormal="100"/>
  </sheetViews>
  <sheetFormatPr defaultRowHeight="14.4" outlineLevelRow="0" outlineLevelCol="0" x14ac:dyDescent="0" customHeight="1"/>
  <sheetData>
    <row r="1" ht="14.4" customHeight="1" spans="1:8" x14ac:dyDescent="0.25">
      <c r="A1" t="s">
        <v>2316</v>
      </c>
      <c r="B1" t="s">
        <v>2317</v>
      </c>
      <c r="C1" t="s">
        <v>459</v>
      </c>
      <c r="D1" t="s">
        <v>460</v>
      </c>
      <c r="E1" t="s">
        <v>462</v>
      </c>
      <c r="F1" t="s">
        <v>458</v>
      </c>
      <c r="G1" t="s">
        <v>2318</v>
      </c>
      <c r="H1" t="s">
        <v>2319</v>
      </c>
    </row>
    <row r="2" ht="14.4" customHeight="1" spans="1:8" x14ac:dyDescent="0.25">
      <c r="A2" t="s">
        <v>2320</v>
      </c>
      <c r="B2" t="s">
        <v>2321</v>
      </c>
      <c r="C2" t="s">
        <v>37</v>
      </c>
      <c r="D2" t="s">
        <v>475</v>
      </c>
      <c r="E2" t="s">
        <v>9</v>
      </c>
      <c r="F2" t="s">
        <v>474</v>
      </c>
      <c r="G2">
        <v>250000</v>
      </c>
      <c r="H2">
        <v>295001</v>
      </c>
    </row>
    <row r="3" ht="14.4" customHeight="1" spans="1:8" x14ac:dyDescent="0.25">
      <c r="A3" t="s">
        <v>2320</v>
      </c>
      <c r="B3" t="s">
        <v>2322</v>
      </c>
      <c r="C3" t="s">
        <v>37</v>
      </c>
      <c r="D3" t="s">
        <v>475</v>
      </c>
      <c r="E3" t="s">
        <v>9</v>
      </c>
      <c r="F3" t="s">
        <v>474</v>
      </c>
      <c r="G3">
        <v>295001</v>
      </c>
      <c r="H3">
        <v>295002</v>
      </c>
    </row>
    <row r="4" ht="14.4" customHeight="1" spans="1:8" x14ac:dyDescent="0.25">
      <c r="A4" t="s">
        <v>2323</v>
      </c>
      <c r="B4" t="s">
        <v>2324</v>
      </c>
      <c r="C4" t="s">
        <v>2325</v>
      </c>
      <c r="D4" t="s">
        <v>2326</v>
      </c>
      <c r="E4" t="s">
        <v>216</v>
      </c>
      <c r="G4">
        <v>250000</v>
      </c>
      <c r="H4">
        <v>2500001</v>
      </c>
    </row>
    <row r="5" ht="14.4" customHeight="1" spans="1:8" x14ac:dyDescent="0.25">
      <c r="A5" t="s">
        <v>2323</v>
      </c>
      <c r="B5" t="s">
        <v>2324</v>
      </c>
      <c r="C5" t="s">
        <v>2325</v>
      </c>
      <c r="D5" t="s">
        <v>2326</v>
      </c>
      <c r="E5" t="s">
        <v>216</v>
      </c>
      <c r="G5">
        <v>2500001</v>
      </c>
      <c r="H5">
        <v>2500000</v>
      </c>
    </row>
    <row r="6" ht="14.4" customHeight="1" spans="1:8" x14ac:dyDescent="0.25">
      <c r="A6" t="s">
        <v>2323</v>
      </c>
      <c r="B6" t="s">
        <v>2327</v>
      </c>
      <c r="C6" t="s">
        <v>10</v>
      </c>
      <c r="D6" t="s">
        <v>2328</v>
      </c>
      <c r="E6" t="s">
        <v>11</v>
      </c>
      <c r="F6" t="s">
        <v>1680</v>
      </c>
      <c r="G6">
        <v>110000</v>
      </c>
      <c r="H6">
        <v>110001</v>
      </c>
    </row>
    <row r="7" ht="14.4" customHeight="1" spans="1:8" x14ac:dyDescent="0.25">
      <c r="A7" t="s">
        <v>2323</v>
      </c>
      <c r="B7" t="s">
        <v>2329</v>
      </c>
      <c r="C7" t="s">
        <v>37</v>
      </c>
      <c r="D7" t="s">
        <v>475</v>
      </c>
      <c r="E7" t="s">
        <v>9</v>
      </c>
      <c r="F7" t="s">
        <v>474</v>
      </c>
      <c r="G7">
        <v>295002</v>
      </c>
      <c r="H7">
        <v>250000</v>
      </c>
    </row>
    <row r="8" ht="14.4" customHeight="1" spans="1:8" x14ac:dyDescent="0.25">
      <c r="A8" t="s">
        <v>2323</v>
      </c>
      <c r="B8" t="s">
        <v>2329</v>
      </c>
      <c r="C8" t="s">
        <v>148</v>
      </c>
      <c r="D8" t="s">
        <v>2330</v>
      </c>
      <c r="E8" t="s">
        <v>216</v>
      </c>
      <c r="F8" t="s">
        <v>827</v>
      </c>
      <c r="G8">
        <v>2500000</v>
      </c>
      <c r="H8">
        <v>250000</v>
      </c>
    </row>
    <row r="9" ht="14.4" customHeight="1" spans="1:8" x14ac:dyDescent="0.25">
      <c r="A9" t="s">
        <v>2323</v>
      </c>
      <c r="B9" t="s">
        <v>2331</v>
      </c>
      <c r="C9" t="s">
        <v>10</v>
      </c>
      <c r="D9" t="s">
        <v>2328</v>
      </c>
      <c r="E9" t="s">
        <v>11</v>
      </c>
      <c r="F9" t="s">
        <v>1680</v>
      </c>
      <c r="G9">
        <v>110001</v>
      </c>
      <c r="H9">
        <v>110000</v>
      </c>
    </row>
    <row r="10" ht="14.4" customHeight="1" spans="1:8" x14ac:dyDescent="0.25">
      <c r="A10" t="s">
        <v>2323</v>
      </c>
      <c r="B10" t="s">
        <v>2331</v>
      </c>
      <c r="C10" t="s">
        <v>10</v>
      </c>
      <c r="D10" t="s">
        <v>2328</v>
      </c>
      <c r="E10" t="s">
        <v>11</v>
      </c>
      <c r="F10" t="s">
        <v>1680</v>
      </c>
      <c r="G10">
        <v>110000</v>
      </c>
      <c r="H10">
        <v>110001</v>
      </c>
    </row>
    <row r="11" spans="1:8" x14ac:dyDescent="0.25">
      <c r="A11" t="s">
        <v>2323</v>
      </c>
      <c r="B11" t="s">
        <v>2332</v>
      </c>
      <c r="C11" t="s">
        <v>2333</v>
      </c>
      <c r="D11" t="s">
        <v>2334</v>
      </c>
      <c r="E11" t="s">
        <v>9</v>
      </c>
      <c r="F11" t="s">
        <v>2335</v>
      </c>
      <c r="G11">
        <v>15000</v>
      </c>
      <c r="H11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قیمت</vt:lpstr>
      <vt:lpstr>site_prices</vt:lpstr>
      <vt:lpstr>داده خام</vt:lpstr>
      <vt:lpstr>تلفن</vt:lpstr>
      <vt:lpstr>کارتخوان</vt:lpstr>
      <vt:lpstr>راهنما</vt:lpstr>
      <vt:lpstr>تغییرات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2026-07-05T18:34:07Z</dcterms:created>
  <dcterms:modified xsi:type="dcterms:W3CDTF">2026-07-15T19:51:21Z</dcterms:modified>
</cp:coreProperties>
</file>