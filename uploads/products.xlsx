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d76eaba3e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قیمت ها" sheetId="1" r:id="R9e8f3e735cc44dd2"/>
    <x:sheet xmlns:r="http://schemas.openxmlformats.org/officeDocument/2006/relationships" name="site_prices" sheetId="2" r:id="R9658c446cfba4bab"/>
    <x:sheet xmlns:r="http://schemas.openxmlformats.org/officeDocument/2006/relationships" name="داده خام" sheetId="3" r:id="R3557c7b9f0ed42db"/>
    <x:sheet xmlns:r="http://schemas.openxmlformats.org/officeDocument/2006/relationships" name="category_map" sheetId="4" r:id="R9cd34290ed4048f0"/>
    <x:sheet xmlns:r="http://schemas.openxmlformats.org/officeDocument/2006/relationships" name="product_import_ready" sheetId="5" r:id="R8783282f79484183"/>
    <x:sheet xmlns:r="http://schemas.openxmlformats.org/officeDocument/2006/relationships" name="category_changes_log" sheetId="6" r:id="R35ec28c9b1ae4a34"/>
    <x:sheet xmlns:r="http://schemas.openxmlformats.org/officeDocument/2006/relationships" name="product_import_cleaned" sheetId="7" r:id="Rb7d1c9284ee64a09"/>
    <x:sheet xmlns:r="http://schemas.openxmlformats.org/officeDocument/2006/relationships" name="product_merge_map" sheetId="8" r:id="R6efb3a14233b4d18"/>
    <x:sheet xmlns:r="http://schemas.openxmlformats.org/officeDocument/2006/relationships" name="category_fix_log_v2" sheetId="9" r:id="Rb3c68d51920c4022"/>
    <x:sheet xmlns:r="http://schemas.openxmlformats.org/officeDocument/2006/relationships" name="cleanup_summary" sheetId="10" r:id="Rf2acae652aa24575"/>
  </x:sheets>
</x:workbook>
</file>

<file path=xl/sharedStrings.xml><?xml version="1.0" encoding="utf-8"?>
<x:sst xmlns:x="http://schemas.openxmlformats.org/spreadsheetml/2006/main">
  <x:si>
    <x:t xml:space="preserve">سیستم ساده و حرفه‌ای ویرایش قیمت محصولات</x:t>
  </x:si>
  <x:si>
    <x:t xml:space="preserve">جستجو و ویرایش سریع قیمت</x:t>
  </x:si>
  <x:si>
    <x:t xml:space="preserve">قیمت‌ها را فقط در ستون‌های زرد «قیمت ۱» و «قیمت ۲» ویرایش کن. جستجو سمت راست فقط محصول را پیدا می‌کند و با لینک، مستقیم روی سلول قیمت همان محصول می‌برد.</x:t>
  </x:si>
  <x:si>
    <x:t xml:space="preserve">جستجو:</x:t>
  </x:si>
  <x:si>
    <x:t xml:space="preserve">گاو</x:t>
  </x:si>
  <x:si>
    <x:t xml:space="preserve">نام محصول</x:t>
  </x:si>
  <x:si>
    <x:t xml:space="preserve">قیمت ۱</x:t>
  </x:si>
  <x:si>
    <x:t xml:space="preserve">نوع/وزن ۱</x:t>
  </x:si>
  <x:si>
    <x:t xml:space="preserve">قیمت اولیه ۱</x:t>
  </x:si>
  <x:si>
    <x:t xml:space="preserve">قیمت ۲</x:t>
  </x:si>
  <x:si>
    <x:t xml:space="preserve">نوع/وزن ۲</x:t>
  </x:si>
  <x:si>
    <x:t xml:space="preserve">قیمت اولیه ۲</x:t>
  </x:si>
  <x:si>
    <x:t xml:space="preserve">وضعیت</x:t>
  </x:si>
  <x:si>
    <x:t xml:space="preserve">حداقل ۳ حرف بنویس. نتیجه‌ها پایین می‌آیند؛ روی «ویرایش قیمت» کلیک کن تا مستقیم روی سلول واقعی قیمت بروی.</x:t>
  </x:si>
  <x:si>
    <x:t xml:space="preserve">ادویه استیک</x:t>
  </x:si>
  <x:si>
    <x:t xml:space="preserve">1/150</x:t>
  </x:si>
  <x:si>
    <x:t xml:space="preserve">کیلو</x:t>
  </x:si>
  <x:si>
    <x:t xml:space="preserve">ویرایش قیمت ۱</x:t>
  </x:si>
  <x:si>
    <x:t xml:space="preserve">ویرایش قیمت ۲</x:t>
  </x:si>
  <x:si>
    <x:t xml:space="preserve">ادویه الویه</x:t>
  </x:si>
  <x:si>
    <x:t xml:space="preserve">ادویه آبگوشتی</x:t>
  </x:si>
  <x:si>
    <x:t xml:space="preserve">ادویه پلویی</x:t>
  </x:si>
  <x:si>
    <x:t xml:space="preserve">ادویه پنیر فرانسه</x:t>
  </x:si>
  <x:si>
    <x:t xml:space="preserve">1/100</x:t>
  </x:si>
  <x:si>
    <x:t xml:space="preserve">ادویه پیاز و سبزیجات</x:t>
  </x:si>
  <x:si>
    <x:t xml:space="preserve">ادویه ترشی</x:t>
  </x:si>
  <x:si>
    <x:t xml:space="preserve">ادویه تند</x:t>
  </x:si>
  <x:si>
    <x:t xml:space="preserve">ادویه چدار</x:t>
  </x:si>
  <x:si>
    <x:t xml:space="preserve">ادویه دود</x:t>
  </x:si>
  <x:si>
    <x:t xml:space="preserve">ادویه سالاد ایتالیایی</x:t>
  </x:si>
  <x:si>
    <x:t xml:space="preserve">ادویه سس سزار</x:t>
  </x:si>
  <x:si>
    <x:t xml:space="preserve">ادویه سیب پنیری</x:t>
  </x:si>
  <x:si>
    <x:t xml:space="preserve">ادویه سیر و کره</x:t>
  </x:si>
  <x:si>
    <x:t xml:space="preserve">ادویه عربی</x:t>
  </x:si>
  <x:si>
    <x:t xml:space="preserve">ادویه فلافل</x:t>
  </x:si>
  <x:si>
    <x:t xml:space="preserve">ادویه قرمه سبزی</x:t>
  </x:si>
  <x:si>
    <x:t xml:space="preserve">ادویه کاچی</x:t>
  </x:si>
  <x:si>
    <x:t xml:space="preserve">ادویه کاری</x:t>
  </x:si>
  <x:si>
    <x:t xml:space="preserve">ادویه کره</x:t>
  </x:si>
  <x:si>
    <x:t xml:space="preserve">ادویه لیمو فلفلی</x:t>
  </x:si>
  <x:si>
    <x:t xml:space="preserve">ادویه ماهی</x:t>
  </x:si>
  <x:si>
    <x:t xml:space="preserve">ادویه مرغ</x:t>
  </x:si>
  <x:si>
    <x:t xml:space="preserve">روش استفاده: جستجو کن، روی لینک ویرایش کلیک کن، عدد قیمت را در سلول زرد تغییر بده. این مدل هیچ فرمول حلقه‌ای ندارد.</x:t>
  </x:si>
  <x:si>
    <x:t xml:space="preserve">ارده</x:t>
  </x:si>
  <x:si>
    <x:t xml:space="preserve">اسپند پودر</x:t>
  </x:si>
  <x:si>
    <x:t xml:space="preserve">اسپند تخم</x:t>
  </x:si>
  <x:si>
    <x:t xml:space="preserve">اسپند نخودی</x:t>
  </x:si>
  <x:si>
    <x:t xml:space="preserve">استویا</x:t>
  </x:si>
  <x:si>
    <x:t xml:space="preserve">2/400</x:t>
  </x:si>
  <x:si>
    <x:t xml:space="preserve">اسطوخودوس</x:t>
  </x:si>
  <x:si>
    <x:t xml:space="preserve">2/800</x:t>
  </x:si>
  <x:si>
    <x:t xml:space="preserve">انبه پودر</x:t>
  </x:si>
  <x:si>
    <x:t xml:space="preserve">انجیر خشک</x:t>
  </x:si>
  <x:si>
    <x:t xml:space="preserve">آب زرشک</x:t>
  </x:si>
  <x:si>
    <x:t xml:space="preserve">؟</x:t>
  </x:si>
  <x:si>
    <x:t xml:space="preserve">آبغوره</x:t>
  </x:si>
  <x:si>
    <x:t xml:space="preserve">نیم لیتر</x:t>
  </x:si>
  <x:si>
    <x:t xml:space="preserve">1 لیتر</x:t>
  </x:si>
  <x:si>
    <x:t xml:space="preserve">آرد برنج</x:t>
  </x:si>
  <x:si>
    <x:t xml:space="preserve">آرد سوخاری</x:t>
  </x:si>
  <x:si>
    <x:t xml:space="preserve">آرد نخودچی</x:t>
  </x:si>
  <x:si>
    <x:t xml:space="preserve">آسیاب ادویه</x:t>
  </x:si>
  <x:si>
    <x:t xml:space="preserve">کیلویی</x:t>
  </x:si>
  <x:si>
    <x:t xml:space="preserve">آویشن شیرازی</x:t>
  </x:si>
  <x:si>
    <x:t xml:space="preserve">4/500</x:t>
  </x:si>
  <x:si>
    <x:t xml:space="preserve">آویشن کوهی</x:t>
  </x:si>
  <x:si>
    <x:t xml:space="preserve">3/900</x:t>
  </x:si>
  <x:si>
    <x:t xml:space="preserve">بابونه</x:t>
  </x:si>
  <x:si>
    <x:t xml:space="preserve">1/800</x:t>
  </x:si>
  <x:si>
    <x:t xml:space="preserve">بادام زمینی</x:t>
  </x:si>
  <x:si>
    <x:t xml:space="preserve">بادام زمینی آستانه</x:t>
  </x:si>
  <x:si>
    <x:t xml:space="preserve">بادرنجبویه</x:t>
  </x:si>
  <x:si>
    <x:t xml:space="preserve">2/900</x:t>
  </x:si>
  <x:si>
    <x:t xml:space="preserve">بادیان ستاره ای</x:t>
  </x:si>
  <x:si>
    <x:t xml:space="preserve">1/950</x:t>
  </x:si>
  <x:si>
    <x:t xml:space="preserve">بارهنگ</x:t>
  </x:si>
  <x:si>
    <x:t xml:space="preserve">باقلا خشک</x:t>
  </x:si>
  <x:si>
    <x:t xml:space="preserve">بامیه پودر</x:t>
  </x:si>
  <x:si>
    <x:t xml:space="preserve">1/250</x:t>
  </x:si>
  <x:si>
    <x:t xml:space="preserve">برگ بو</x:t>
  </x:si>
  <x:si>
    <x:t xml:space="preserve">1/500</x:t>
  </x:si>
  <x:si>
    <x:t xml:space="preserve">بکینگ پودر</x:t>
  </x:si>
  <x:si>
    <x:t xml:space="preserve">بلوط</x:t>
  </x:si>
  <x:si>
    <x:t xml:space="preserve">به خشک</x:t>
  </x:si>
  <x:si>
    <x:t xml:space="preserve">پاپریکا</x:t>
  </x:si>
  <x:si>
    <x:t xml:space="preserve">پاکت</x:t>
  </x:si>
  <x:si>
    <x:t xml:space="preserve">پماد سرد</x:t>
  </x:si>
  <x:si>
    <x:t xml:space="preserve">10 گرمی</x:t>
  </x:si>
  <x:si>
    <x:t xml:space="preserve">20 گرمی</x:t>
  </x:si>
  <x:si>
    <x:t xml:space="preserve">پماد سیاه</x:t>
  </x:si>
  <x:si>
    <x:t xml:space="preserve">پماد گرم</x:t>
  </x:si>
  <x:si>
    <x:t xml:space="preserve">پماد لطیف</x:t>
  </x:si>
  <x:si>
    <x:t xml:space="preserve">30 گرمی</x:t>
  </x:si>
  <x:si>
    <x:t xml:space="preserve">پمادر درد (پماد ویکس)</x:t>
  </x:si>
  <x:si>
    <x:t xml:space="preserve">پمادر درد (پماد ویکس) 55 گرمی</x:t>
  </x:si>
  <x:si>
    <x:t xml:space="preserve">پودر خربزه</x:t>
  </x:si>
  <x:si>
    <x:t xml:space="preserve">پودر سوخاری دانه درشت نارنجی</x:t>
  </x:si>
  <x:si>
    <x:t xml:space="preserve">پودر شربت</x:t>
  </x:si>
  <x:si>
    <x:t xml:space="preserve">پودر کشک گوسفندی</x:t>
  </x:si>
  <x:si>
    <x:t xml:space="preserve">پونه خشک</x:t>
  </x:si>
  <x:si>
    <x:t xml:space="preserve">پیاز پودر</x:t>
  </x:si>
  <x:si>
    <x:t xml:space="preserve">تخم ریحان</x:t>
  </x:si>
  <x:si>
    <x:t xml:space="preserve">تخم شربتی</x:t>
  </x:si>
  <x:si>
    <x:t xml:space="preserve">تخم کتان</x:t>
  </x:si>
  <x:si>
    <x:t xml:space="preserve">تخم مغز آفتابگردان</x:t>
  </x:si>
  <x:si>
    <x:t xml:space="preserve">تخم مغز کدو</x:t>
  </x:si>
  <x:si>
    <x:t xml:space="preserve">تمرهندی</x:t>
  </x:si>
  <x:si>
    <x:t xml:space="preserve">توت خشک</x:t>
  </x:si>
  <x:si>
    <x:t xml:space="preserve">تی بگ چربی سوز 15 گرمی</x:t>
  </x:si>
  <x:si>
    <x:t xml:space="preserve">بسته</x:t>
  </x:si>
  <x:si>
    <x:t xml:space="preserve">تی بگ خواب آور 7 گرمی</x:t>
  </x:si>
  <x:si>
    <x:t xml:space="preserve">تی بگ ناب سرا</x:t>
  </x:si>
  <x:si>
    <x:t xml:space="preserve">تی بگ ویتامین سی 7 گرمی</x:t>
  </x:si>
  <x:si>
    <x:t xml:space="preserve">2/100</x:t>
  </x:si>
  <x:si>
    <x:t xml:space="preserve">جدوار</x:t>
  </x:si>
  <x:si>
    <x:t xml:space="preserve">1/200</x:t>
  </x:si>
  <x:si>
    <x:t xml:space="preserve">جو دوسر پرک خارجی</x:t>
  </x:si>
  <x:si>
    <x:t xml:space="preserve">جوانه گندم</x:t>
  </x:si>
  <x:si>
    <x:t xml:space="preserve">پودر</x:t>
  </x:si>
  <x:si>
    <x:t xml:space="preserve">تازه</x:t>
  </x:si>
  <x:si>
    <x:t xml:space="preserve">جوز هندی</x:t>
  </x:si>
  <x:si>
    <x:t xml:space="preserve">3/800</x:t>
  </x:si>
  <x:si>
    <x:t xml:space="preserve">جوش شیرین</x:t>
  </x:si>
  <x:si>
    <x:t xml:space="preserve">جوهر لیمو</x:t>
  </x:si>
  <x:si>
    <x:t xml:space="preserve">چای انبه</x:t>
  </x:si>
  <x:si>
    <x:t xml:space="preserve">چای ترش ایرانی</x:t>
  </x:si>
  <x:si>
    <x:t xml:space="preserve">3/250</x:t>
  </x:si>
  <x:si>
    <x:t xml:space="preserve">چای ترش خارجی</x:t>
  </x:si>
  <x:si>
    <x:t xml:space="preserve">چای توت فرنگی</x:t>
  </x:si>
  <x:si>
    <x:t xml:space="preserve">3/700</x:t>
  </x:si>
  <x:si>
    <x:t xml:space="preserve">چای چوب</x:t>
  </x:si>
  <x:si>
    <x:t xml:space="preserve">چای سبز ایرانی</x:t>
  </x:si>
  <x:si>
    <x:t xml:space="preserve">چای کرک پسته زعفران</x:t>
  </x:si>
  <x:si>
    <x:t xml:space="preserve">1/850</x:t>
  </x:si>
  <x:si>
    <x:t xml:space="preserve">چای کرک کارامل</x:t>
  </x:si>
  <x:si>
    <x:t xml:space="preserve">چای کرک لاته موزی</x:t>
  </x:si>
  <x:si>
    <x:t xml:space="preserve">1/590</x:t>
  </x:si>
  <x:si>
    <x:t xml:space="preserve">چای کرک هل</x:t>
  </x:si>
  <x:si>
    <x:t xml:space="preserve">چای کوهی</x:t>
  </x:si>
  <x:si>
    <x:t xml:space="preserve">چای ماسالا</x:t>
  </x:si>
  <x:si>
    <x:t xml:space="preserve">چای مراکش</x:t>
  </x:si>
  <x:si>
    <x:t xml:space="preserve">چای میوه ای</x:t>
  </x:si>
  <x:si>
    <x:t xml:space="preserve">چهار تخم</x:t>
  </x:si>
  <x:si>
    <x:t xml:space="preserve">چوبک</x:t>
  </x:si>
  <x:si>
    <x:t xml:space="preserve">ریشه خشک</x:t>
  </x:si>
  <x:si>
    <x:t xml:space="preserve">چیاسید</x:t>
  </x:si>
  <x:si>
    <x:t xml:space="preserve">حلوا ارده پسته ای</x:t>
  </x:si>
  <x:si>
    <x:t xml:space="preserve">500 گرمی</x:t>
  </x:si>
  <x:si>
    <x:t xml:space="preserve">حلوا ارده ساده</x:t>
  </x:si>
  <x:si>
    <x:t xml:space="preserve">حلوا پشمکی</x:t>
  </x:si>
  <x:si>
    <x:t xml:space="preserve">حلوا روغنی</x:t>
  </x:si>
  <x:si>
    <x:t xml:space="preserve">حلوا طنابی</x:t>
  </x:si>
  <x:si>
    <x:t xml:space="preserve">حلوا کشی</x:t>
  </x:si>
  <x:si>
    <x:t xml:space="preserve">حنا</x:t>
  </x:si>
  <x:si>
    <x:t xml:space="preserve">حنا بی رنگ</x:t>
  </x:si>
  <x:si>
    <x:t xml:space="preserve">250 گرمی</x:t>
  </x:si>
  <x:si>
    <x:t xml:space="preserve">خاکشیر همدان</x:t>
  </x:si>
  <x:si>
    <x:t xml:space="preserve">خرفه</x:t>
  </x:si>
  <x:si>
    <x:t xml:space="preserve">خمیر مایه فریمان</x:t>
  </x:si>
  <x:si>
    <x:t xml:space="preserve">دارچین سیگاری</x:t>
  </x:si>
  <x:si>
    <x:t xml:space="preserve">1/900</x:t>
  </x:si>
  <x:si>
    <x:t xml:space="preserve">دارچین سیلان</x:t>
  </x:si>
  <x:si>
    <x:t xml:space="preserve">دارچین گل سرخی</x:t>
  </x:si>
  <x:si>
    <x:t xml:space="preserve">دمنوش 10 گیاه</x:t>
  </x:si>
  <x:si>
    <x:t xml:space="preserve">دمنوش آویشن</x:t>
  </x:si>
  <x:si>
    <x:t xml:space="preserve">ذرت مکزیکی</x:t>
  </x:si>
  <x:si>
    <x:t xml:space="preserve">رازیانه</x:t>
  </x:si>
  <x:si>
    <x:t xml:space="preserve">رب انار</x:t>
  </x:si>
  <x:si>
    <x:t xml:space="preserve">رزماری</x:t>
  </x:si>
  <x:si>
    <x:t xml:space="preserve">برگ</x:t>
  </x:si>
  <x:si>
    <x:t xml:space="preserve">روغن ارده</x:t>
  </x:si>
  <x:si>
    <x:t xml:space="preserve">روغن اسطوخودوس</x:t>
  </x:si>
  <x:si>
    <x:t xml:space="preserve">30 میل</x:t>
  </x:si>
  <x:si>
    <x:t xml:space="preserve">60 میل</x:t>
  </x:si>
  <x:si>
    <x:t xml:space="preserve">روغن اکالیپتوس</x:t>
  </x:si>
  <x:si>
    <x:t xml:space="preserve">روغن الاغ</x:t>
  </x:si>
  <x:si>
    <x:t xml:space="preserve">روغن انار</x:t>
  </x:si>
  <x:si>
    <x:t xml:space="preserve">روغن آرگان درجه 1</x:t>
  </x:si>
  <x:si>
    <x:t xml:space="preserve">روغن آرگان درجه 2</x:t>
  </x:si>
  <x:si>
    <x:t xml:space="preserve">روغن آرگان مراکش درجه 1</x:t>
  </x:si>
  <x:si>
    <x:t xml:space="preserve">3/750</x:t>
  </x:si>
  <x:si>
    <x:t xml:space="preserve">7/500</x:t>
  </x:si>
  <x:si>
    <x:t xml:space="preserve">روغن آرگان مراکش درجه 2</x:t>
  </x:si>
  <x:si>
    <x:t xml:space="preserve">2/250</x:t>
  </x:si>
  <x:si>
    <x:t xml:space="preserve">روغن آفتابگردان</x:t>
  </x:si>
  <x:si>
    <x:t xml:space="preserve">روغن آمله</x:t>
  </x:si>
  <x:si>
    <x:t xml:space="preserve">روغن آووکادو</x:t>
  </x:si>
  <x:si>
    <x:t xml:space="preserve">روغن بابونه</x:t>
  </x:si>
  <x:si>
    <x:t xml:space="preserve">روغن بادام تلخ</x:t>
  </x:si>
  <x:si>
    <x:t xml:space="preserve">1/300</x:t>
  </x:si>
  <x:si>
    <x:t xml:space="preserve">2/600</x:t>
  </x:si>
  <x:si>
    <x:t xml:space="preserve">روغن بادام شیرین</x:t>
  </x:si>
  <x:si>
    <x:t xml:space="preserve">1/550</x:t>
  </x:si>
  <x:si>
    <x:t xml:space="preserve">3/100</x:t>
  </x:si>
  <x:si>
    <x:t xml:space="preserve">روغن بنفشه</x:t>
  </x:si>
  <x:si>
    <x:t xml:space="preserve">روغن پونه</x:t>
  </x:si>
  <x:si>
    <x:t xml:space="preserve">روغن ترخون</x:t>
  </x:si>
  <x:si>
    <x:t xml:space="preserve">روغن تقویت مو (ناب سرا)</x:t>
  </x:si>
  <x:si>
    <x:t xml:space="preserve">روغن جوانه گندم</x:t>
  </x:si>
  <x:si>
    <x:t xml:space="preserve">روغن جوجوبا</x:t>
  </x:si>
  <x:si>
    <x:t xml:space="preserve">روغن حنظل</x:t>
  </x:si>
  <x:si>
    <x:t xml:space="preserve">روغن خارمریم</x:t>
  </x:si>
  <x:si>
    <x:t xml:space="preserve">روغن خراطین</x:t>
  </x:si>
  <x:si>
    <x:t xml:space="preserve">روغن خشخاش</x:t>
  </x:si>
  <x:si>
    <x:t xml:space="preserve">روغن درخت چای</x:t>
  </x:si>
  <x:si>
    <x:t xml:space="preserve">روغن درمنه</x:t>
  </x:si>
  <x:si>
    <x:t xml:space="preserve">روغن رازیانه</x:t>
  </x:si>
  <x:si>
    <x:t xml:space="preserve">روغن رزماری</x:t>
  </x:si>
  <x:si>
    <x:t xml:space="preserve">1/000</x:t>
  </x:si>
  <x:si>
    <x:t xml:space="preserve">روغن زردچوبه</x:t>
  </x:si>
  <x:si>
    <x:t xml:space="preserve">روغن زنجبیل</x:t>
  </x:si>
  <x:si>
    <x:t xml:space="preserve">روغن زنیان</x:t>
  </x:si>
  <x:si>
    <x:t xml:space="preserve">روغن زیتون</x:t>
  </x:si>
  <x:si>
    <x:t xml:space="preserve">روغن زیتون موضعی</x:t>
  </x:si>
  <x:si>
    <x:t xml:space="preserve">روغن سقز</x:t>
  </x:si>
  <x:si>
    <x:t xml:space="preserve">روغن سیاهدانه</x:t>
  </x:si>
  <x:si>
    <x:t xml:space="preserve">روغن سیاهدانه هندی</x:t>
  </x:si>
  <x:si>
    <x:t xml:space="preserve">1/760</x:t>
  </x:si>
  <x:si>
    <x:t xml:space="preserve">3/500</x:t>
  </x:si>
  <x:si>
    <x:t xml:space="preserve">روغن سیر</x:t>
  </x:si>
  <x:si>
    <x:t xml:space="preserve">روغن شترمرغ</x:t>
  </x:si>
  <x:si>
    <x:t xml:space="preserve">روغن شوید</x:t>
  </x:si>
  <x:si>
    <x:t xml:space="preserve">روغن شی باتر</x:t>
  </x:si>
  <x:si>
    <x:t xml:space="preserve">90 گرم</x:t>
  </x:si>
  <x:si>
    <x:t xml:space="preserve">روغن ضد التهاب</x:t>
  </x:si>
  <x:si>
    <x:t xml:space="preserve">روغن ضد درد</x:t>
  </x:si>
  <x:si>
    <x:t xml:space="preserve">1/475</x:t>
  </x:si>
  <x:si>
    <x:t xml:space="preserve">2/950</x:t>
  </x:si>
  <x:si>
    <x:t xml:space="preserve">روغن فندق</x:t>
  </x:si>
  <x:si>
    <x:t xml:space="preserve">روغن کدو</x:t>
  </x:si>
  <x:si>
    <x:t xml:space="preserve">روغن کرچک</x:t>
  </x:si>
  <x:si>
    <x:t xml:space="preserve">روغن کلزا</x:t>
  </x:si>
  <x:si>
    <x:t xml:space="preserve">روغن کنجد</x:t>
  </x:si>
  <x:si>
    <x:t xml:space="preserve">روغن کنجد #</x:t>
  </x:si>
  <x:si>
    <x:t xml:space="preserve">روغن کنجد موضعی</x:t>
  </x:si>
  <x:si>
    <x:t xml:space="preserve">روغن کندر</x:t>
  </x:si>
  <x:si>
    <x:t xml:space="preserve">روغن کندش</x:t>
  </x:si>
  <x:si>
    <x:t xml:space="preserve">روغن کوسه</x:t>
  </x:si>
  <x:si>
    <x:t xml:space="preserve">روغن کوهان شتر</x:t>
  </x:si>
  <x:si>
    <x:t xml:space="preserve">روغن گردو</x:t>
  </x:si>
  <x:si>
    <x:t xml:space="preserve">روغن گل سرخ</x:t>
  </x:si>
  <x:si>
    <x:t xml:space="preserve">روغن گلیسیرین</x:t>
  </x:si>
  <x:si>
    <x:t xml:space="preserve">روغن لیمو</x:t>
  </x:si>
  <x:si>
    <x:t xml:space="preserve">روغن ماکادمیا</x:t>
  </x:si>
  <x:si>
    <x:t xml:space="preserve">روغن مورد</x:t>
  </x:si>
  <x:si>
    <x:t xml:space="preserve">روغن مورینگا</x:t>
  </x:si>
  <x:si>
    <x:t xml:space="preserve">روغن میخک</x:t>
  </x:si>
  <x:si>
    <x:t xml:space="preserve">روغن نارگیل</x:t>
  </x:si>
  <x:si>
    <x:t xml:space="preserve">2/200</x:t>
  </x:si>
  <x:si>
    <x:t xml:space="preserve">روغن هسته انگور</x:t>
  </x:si>
  <x:si>
    <x:t xml:space="preserve">روغن هسته نارنج</x:t>
  </x:si>
  <x:si>
    <x:t xml:space="preserve">زاج</x:t>
  </x:si>
  <x:si>
    <x:t xml:space="preserve">زردچوبه چارمنار</x:t>
  </x:si>
  <x:si>
    <x:t xml:space="preserve">زردچوبه زرین</x:t>
  </x:si>
  <x:si>
    <x:t xml:space="preserve">زرشک پفکی</x:t>
  </x:si>
  <x:si>
    <x:t xml:space="preserve">زرشک ناپاک</x:t>
  </x:si>
  <x:si>
    <x:t xml:space="preserve">زعفران</x:t>
  </x:si>
  <x:si>
    <x:t xml:space="preserve">زنجبیل چینی</x:t>
  </x:si>
  <x:si>
    <x:t xml:space="preserve">زنیان</x:t>
  </x:si>
  <x:si>
    <x:t xml:space="preserve">زیره سبز</x:t>
  </x:si>
  <x:si>
    <x:t xml:space="preserve">1/340</x:t>
  </x:si>
  <x:si>
    <x:t xml:space="preserve">زیره سیاه</x:t>
  </x:si>
  <x:si>
    <x:t xml:space="preserve">ژلاتین</x:t>
  </x:si>
  <x:si>
    <x:t xml:space="preserve">سدر</x:t>
  </x:si>
  <x:si>
    <x:t xml:space="preserve">سرکه انگور</x:t>
  </x:si>
  <x:si>
    <x:t xml:space="preserve">نیم کیلو</x:t>
  </x:si>
  <x:si>
    <x:t xml:space="preserve">1کیلو</x:t>
  </x:si>
  <x:si>
    <x:t xml:space="preserve">سرکه سیب</x:t>
  </x:si>
  <x:si>
    <x:t xml:space="preserve">سرمه</x:t>
  </x:si>
  <x:si>
    <x:t xml:space="preserve">سفیده تخم مرغ</x:t>
  </x:si>
  <x:si>
    <x:t xml:space="preserve">3/000</x:t>
  </x:si>
  <x:si>
    <x:t xml:space="preserve">سماق قرمز پودر</x:t>
  </x:si>
  <x:si>
    <x:t xml:space="preserve">سماق قهوه ای پودر</x:t>
  </x:si>
  <x:si>
    <x:t xml:space="preserve">سماق ناساب</x:t>
  </x:si>
  <x:si>
    <x:t xml:space="preserve">سمنو</x:t>
  </x:si>
  <x:si>
    <x:t xml:space="preserve">سنبل الطیب</x:t>
  </x:si>
  <x:si>
    <x:t xml:space="preserve">سنجد</x:t>
  </x:si>
  <x:si>
    <x:t xml:space="preserve">سنجد پودر</x:t>
  </x:si>
  <x:si>
    <x:t xml:space="preserve">سویق ترکیبی</x:t>
  </x:si>
  <x:si>
    <x:t xml:space="preserve">سویق جوانه جو</x:t>
  </x:si>
  <x:si>
    <x:t xml:space="preserve">سویق جوانه عدس</x:t>
  </x:si>
  <x:si>
    <x:t xml:space="preserve">سویق جوانه گندم</x:t>
  </x:si>
  <x:si>
    <x:t xml:space="preserve">سویق جوانه ماش</x:t>
  </x:si>
  <x:si>
    <x:t xml:space="preserve">سیاهدانه</x:t>
  </x:si>
  <x:si>
    <x:t xml:space="preserve">سیر سیاه</x:t>
  </x:si>
  <x:si>
    <x:t xml:space="preserve">سیر همدان</x:t>
  </x:si>
  <x:si>
    <x:t xml:space="preserve">سیر هندی</x:t>
  </x:si>
  <x:si>
    <x:t xml:space="preserve">شربت آلبالو</x:t>
  </x:si>
  <x:si>
    <x:t xml:space="preserve">شربت سرکه انگبین</x:t>
  </x:si>
  <x:si>
    <x:t xml:space="preserve">شربت سکنجبین</x:t>
  </x:si>
  <x:si>
    <x:t xml:space="preserve">شکر سفید</x:t>
  </x:si>
  <x:si>
    <x:t xml:space="preserve">شکر قهوه ای</x:t>
  </x:si>
  <x:si>
    <x:t xml:space="preserve">شکلات تخته ای وانیلی</x:t>
  </x:si>
  <x:si>
    <x:t xml:space="preserve">شکلات چیپسی تلخ</x:t>
  </x:si>
  <x:si>
    <x:t xml:space="preserve">شکلات نسوز کوکی</x:t>
  </x:si>
  <x:si>
    <x:t xml:space="preserve">شلغم پودر</x:t>
  </x:si>
  <x:si>
    <x:t xml:space="preserve">شنبلیله</x:t>
  </x:si>
  <x:si>
    <x:t xml:space="preserve">شنبلیله تخم</x:t>
  </x:si>
  <x:si>
    <x:t xml:space="preserve">شوید خشک</x:t>
  </x:si>
  <x:si>
    <x:t xml:space="preserve">شیرخشک قنادی</x:t>
  </x:si>
  <x:si>
    <x:t xml:space="preserve">شیره 3 شیره</x:t>
  </x:si>
  <x:si>
    <x:t xml:space="preserve">500 گرم</x:t>
  </x:si>
  <x:si>
    <x:t xml:space="preserve">شیره 4 شیره</x:t>
  </x:si>
  <x:si>
    <x:t xml:space="preserve">شیره انجیر</x:t>
  </x:si>
  <x:si>
    <x:t xml:space="preserve">شیره انگور</x:t>
  </x:si>
  <x:si>
    <x:t xml:space="preserve">شیره توت</x:t>
  </x:si>
  <x:si>
    <x:t xml:space="preserve">شیره خرما</x:t>
  </x:si>
  <x:si>
    <x:t xml:space="preserve">شیره سفید</x:t>
  </x:si>
  <x:si>
    <x:t xml:space="preserve">1 کیلو</x:t>
  </x:si>
  <x:si>
    <x:t xml:space="preserve">شیره سیب</x:t>
  </x:si>
  <x:si>
    <x:t xml:space="preserve">شیره شیرین بیان</x:t>
  </x:si>
  <x:si>
    <x:t xml:space="preserve">شیرین بیان چوب</x:t>
  </x:si>
  <x:si>
    <x:t xml:space="preserve">صابون 7 گیاه</x:t>
  </x:si>
  <x:si>
    <x:t xml:space="preserve">صابون انار</x:t>
  </x:si>
  <x:si>
    <x:t xml:space="preserve">صابون انگور</x:t>
  </x:si>
  <x:si>
    <x:t xml:space="preserve">صابون آرگان</x:t>
  </x:si>
  <x:si>
    <x:t xml:space="preserve">صابون آلبالو</x:t>
  </x:si>
  <x:si>
    <x:t xml:space="preserve">صابون تریاک</x:t>
  </x:si>
  <x:si>
    <x:t xml:space="preserve">صابون درخت چای</x:t>
  </x:si>
  <x:si>
    <x:t xml:space="preserve">صابون ذغال اکتیو</x:t>
  </x:si>
  <x:si>
    <x:t xml:space="preserve">صابون زردآلو</x:t>
  </x:si>
  <x:si>
    <x:t xml:space="preserve">صابون زردچوبه</x:t>
  </x:si>
  <x:si>
    <x:t xml:space="preserve">صابون زیتون</x:t>
  </x:si>
  <x:si>
    <x:t xml:space="preserve">صابون سفیداب</x:t>
  </x:si>
  <x:si>
    <x:t xml:space="preserve">صابون سیاهدانه</x:t>
  </x:si>
  <x:si>
    <x:t xml:space="preserve">صابون شیرالاغ</x:t>
  </x:si>
  <x:si>
    <x:t xml:space="preserve">صابون فندق</x:t>
  </x:si>
  <x:si>
    <x:t xml:space="preserve">صابون ماکادمیا</x:t>
  </x:si>
  <x:si>
    <x:t xml:space="preserve">صمغ</x:t>
  </x:si>
  <x:si>
    <x:t xml:space="preserve">ظرف 300 گرمی</x:t>
  </x:si>
  <x:si>
    <x:t xml:space="preserve">ظرف اسپری</x:t>
  </x:si>
  <x:si>
    <x:t xml:space="preserve">سبز</x:t>
  </x:si>
  <x:si>
    <x:t xml:space="preserve">بزرگ</x:t>
  </x:si>
  <x:si>
    <x:t xml:space="preserve">ظرف بطری پلاستیکی</x:t>
  </x:si>
  <x:si>
    <x:t xml:space="preserve">ظرف بطری شیشه ای</x:t>
  </x:si>
  <x:si>
    <x:t xml:space="preserve">ظرف جار</x:t>
  </x:si>
  <x:si>
    <x:t xml:space="preserve">جار 25</x:t>
  </x:si>
  <x:si>
    <x:t xml:space="preserve">جار 50</x:t>
  </x:si>
  <x:si>
    <x:t xml:space="preserve">ظرف جار سایز 2</x:t>
  </x:si>
  <x:si>
    <x:t xml:space="preserve">کوچک</x:t>
  </x:si>
  <x:si>
    <x:t xml:space="preserve">متوسط</x:t>
  </x:si>
  <x:si>
    <x:t xml:space="preserve">ظرف روغن موضعی</x:t>
  </x:si>
  <x:si>
    <x:t xml:space="preserve">ظرف سطلی یک کیلویی</x:t>
  </x:si>
  <x:si>
    <x:t xml:space="preserve">ظرف کتابی</x:t>
  </x:si>
  <x:si>
    <x:t xml:space="preserve">400 گرمی</x:t>
  </x:si>
  <x:si>
    <x:t xml:space="preserve">ظرف کوزه ای</x:t>
  </x:si>
  <x:si>
    <x:t xml:space="preserve">عرق استنشاقی</x:t>
  </x:si>
  <x:si>
    <x:t xml:space="preserve">عرق اسطوخودوس</x:t>
  </x:si>
  <x:si>
    <x:t xml:space="preserve">عرق اکالیپتوس</x:t>
  </x:si>
  <x:si>
    <x:t xml:space="preserve">عرق آویشن</x:t>
  </x:si>
  <x:si>
    <x:t xml:space="preserve">عرق بابونه</x:t>
  </x:si>
  <x:si>
    <x:t xml:space="preserve">عرق بهار نارنج</x:t>
  </x:si>
  <x:si>
    <x:t xml:space="preserve">عرق بولاغ اوتی</x:t>
  </x:si>
  <x:si>
    <x:t xml:space="preserve">عرق بیدمشک</x:t>
  </x:si>
  <x:si>
    <x:t xml:space="preserve">عرق پونه</x:t>
  </x:si>
  <x:si>
    <x:t xml:space="preserve">عرق چهل گیاه</x:t>
  </x:si>
  <x:si>
    <x:t xml:space="preserve">عرق خارشتر</x:t>
  </x:si>
  <x:si>
    <x:t xml:space="preserve">عرق دارچین</x:t>
  </x:si>
  <x:si>
    <x:t xml:space="preserve">عرق رازیانه</x:t>
  </x:si>
  <x:si>
    <x:t xml:space="preserve">عرق رزماری</x:t>
  </x:si>
  <x:si>
    <x:t xml:space="preserve">عرق رزماری اسپری</x:t>
  </x:si>
  <x:si>
    <x:t xml:space="preserve">300 میل</x:t>
  </x:si>
  <x:si>
    <x:t xml:space="preserve">عرق زنجبیل</x:t>
  </x:si>
  <x:si>
    <x:t xml:space="preserve">عرق زنیان</x:t>
  </x:si>
  <x:si>
    <x:t xml:space="preserve">عرق زیره سبز</x:t>
  </x:si>
  <x:si>
    <x:t xml:space="preserve">عرق شاتره</x:t>
  </x:si>
  <x:si>
    <x:t xml:space="preserve">عرق شنبلیله</x:t>
  </x:si>
  <x:si>
    <x:t xml:space="preserve">عرق شوید</x:t>
  </x:si>
  <x:si>
    <x:t xml:space="preserve">عرق کاسنی</x:t>
  </x:si>
  <x:si>
    <x:t xml:space="preserve">عرق کاکوتی</x:t>
  </x:si>
  <x:si>
    <x:t xml:space="preserve">عرق گل گاوزبان</x:t>
  </x:si>
  <x:si>
    <x:t xml:space="preserve">عرق گلاب ساده</x:t>
  </x:si>
  <x:si>
    <x:t xml:space="preserve">عرق گلاب سنگین</x:t>
  </x:si>
  <x:si>
    <x:t xml:space="preserve">عرق گلاب ویژه</x:t>
  </x:si>
  <x:si>
    <x:t xml:space="preserve">عرق محرک پیاز مو</x:t>
  </x:si>
  <x:si>
    <x:t xml:space="preserve">عرق معجون سنگ کلیه</x:t>
  </x:si>
  <x:si>
    <x:t xml:space="preserve">عرق نعناع سنگین</x:t>
  </x:si>
  <x:si>
    <x:t xml:space="preserve">عرق نعناع فلفلی</x:t>
  </x:si>
  <x:si>
    <x:t xml:space="preserve">عرق هل سنگین</x:t>
  </x:si>
  <x:si>
    <x:t xml:space="preserve">عرق یونجه</x:t>
  </x:si>
  <x:si>
    <x:t xml:space="preserve">عسل بهار نارنج</x:t>
  </x:si>
  <x:si>
    <x:t xml:space="preserve">بدون موم</x:t>
  </x:si>
  <x:si>
    <x:t xml:space="preserve">با موم</x:t>
  </x:si>
  <x:si>
    <x:t xml:space="preserve">عسل جنگلی</x:t>
  </x:si>
  <x:si>
    <x:t xml:space="preserve">عسل چند گیاه</x:t>
  </x:si>
  <x:si>
    <x:t xml:space="preserve">عسل سیاهدانه</x:t>
  </x:si>
  <x:si>
    <x:t xml:space="preserve">عسل کنار</x:t>
  </x:si>
  <x:si>
    <x:t xml:space="preserve">عسل یونجه</x:t>
  </x:si>
  <x:si>
    <x:t xml:space="preserve">عناب</x:t>
  </x:si>
  <x:si>
    <x:t xml:space="preserve">بسته زرگل</x:t>
  </x:si>
  <x:si>
    <x:t xml:space="preserve">بسته طلا</x:t>
  </x:si>
  <x:si>
    <x:t xml:space="preserve">عناب خشک</x:t>
  </x:si>
  <x:si>
    <x:t xml:space="preserve">عود</x:t>
  </x:si>
  <x:si>
    <x:t xml:space="preserve">شاخه ای</x:t>
  </x:si>
  <x:si>
    <x:t xml:space="preserve">غوره پودر</x:t>
  </x:si>
  <x:si>
    <x:t xml:space="preserve">فلفل ترکی</x:t>
  </x:si>
  <x:si>
    <x:t xml:space="preserve">فلفل سیاه</x:t>
  </x:si>
  <x:si>
    <x:t xml:space="preserve">2/300</x:t>
  </x:si>
  <x:si>
    <x:t xml:space="preserve">فلفل قرمز ایرانی</x:t>
  </x:si>
  <x:si>
    <x:t xml:space="preserve">فلفل قرمز هندی (رنگ)</x:t>
  </x:si>
  <x:si>
    <x:t xml:space="preserve">فلفل قرمز هندی تند</x:t>
  </x:si>
  <x:si>
    <x:t xml:space="preserve">قرص کمر</x:t>
  </x:si>
  <x:si>
    <x:t xml:space="preserve">قره قروت</x:t>
  </x:si>
  <x:si>
    <x:t xml:space="preserve">قهوه اسپرسو</x:t>
  </x:si>
  <x:si>
    <x:t xml:space="preserve">بسته ای</x:t>
  </x:si>
  <x:si>
    <x:t xml:space="preserve">قهوه ترک</x:t>
  </x:si>
  <x:si>
    <x:t xml:space="preserve">قهوه فوری</x:t>
  </x:si>
  <x:si>
    <x:t xml:space="preserve">4/900</x:t>
  </x:si>
  <x:si>
    <x:t xml:space="preserve">کاکائو</x:t>
  </x:si>
  <x:si>
    <x:t xml:space="preserve">کپسول خالی</x:t>
  </x:si>
  <x:si>
    <x:t xml:space="preserve">25 عددی</x:t>
  </x:si>
  <x:si>
    <x:t xml:space="preserve">کرم ارده</x:t>
  </x:si>
  <x:si>
    <x:t xml:space="preserve">کرم بادام زمینی</x:t>
  </x:si>
  <x:si>
    <x:t xml:space="preserve">کرم کنجد</x:t>
  </x:si>
  <x:si>
    <x:t xml:space="preserve">کره بادام درختی</x:t>
  </x:si>
  <x:si>
    <x:t xml:space="preserve">180 گرم</x:t>
  </x:si>
  <x:si>
    <x:t xml:space="preserve">کره بادام زمینی</x:t>
  </x:si>
  <x:si>
    <x:t xml:space="preserve">کره بادام زمینی عسلی</x:t>
  </x:si>
  <x:si>
    <x:t xml:space="preserve">کره بادام هندی</x:t>
  </x:si>
  <x:si>
    <x:t xml:space="preserve">کره پسته</x:t>
  </x:si>
  <x:si>
    <x:t xml:space="preserve">کره پنج مغز</x:t>
  </x:si>
  <x:si>
    <x:t xml:space="preserve">195 گرم</x:t>
  </x:si>
  <x:si>
    <x:t xml:space="preserve">کره فندق</x:t>
  </x:si>
  <x:si>
    <x:t xml:space="preserve">کره کدو</x:t>
  </x:si>
  <x:si>
    <x:t xml:space="preserve">کره نارگیل</x:t>
  </x:si>
  <x:si>
    <x:t xml:space="preserve">255 گرم</x:t>
  </x:si>
  <x:si>
    <x:t xml:space="preserve">کشمش با هسته (مویز)</x:t>
  </x:si>
  <x:si>
    <x:t xml:space="preserve">کشمش سبز</x:t>
  </x:si>
  <x:si>
    <x:t xml:space="preserve">کلوچه زنجبیلی با شکر قهوه ای</x:t>
  </x:si>
  <x:si>
    <x:t xml:space="preserve">کلوچه زنجبیلی با مغز خرما</x:t>
  </x:si>
  <x:si>
    <x:t xml:space="preserve">کلوچه کلمپه</x:t>
  </x:si>
  <x:si>
    <x:t xml:space="preserve">عددی</x:t>
  </x:si>
  <x:si>
    <x:t xml:space="preserve">کنجد خام ایرانی</x:t>
  </x:si>
  <x:si>
    <x:t xml:space="preserve">کنجد دزفول</x:t>
  </x:si>
  <x:si>
    <x:t xml:space="preserve">کنجد سفید</x:t>
  </x:si>
  <x:si>
    <x:t xml:space="preserve">کنجد قهوه ای</x:t>
  </x:si>
  <x:si>
    <x:t xml:space="preserve">کنجد لار ارده</x:t>
  </x:si>
  <x:si>
    <x:t xml:space="preserve">کندر خوراکی</x:t>
  </x:si>
  <x:si>
    <x:t xml:space="preserve">4/400</x:t>
  </x:si>
  <x:si>
    <x:t xml:space="preserve">کینوا سفید</x:t>
  </x:si>
  <x:si>
    <x:t xml:space="preserve">گرده گل</x:t>
  </x:si>
  <x:si>
    <x:t xml:space="preserve">گشنیز</x:t>
  </x:si>
  <x:si>
    <x:t xml:space="preserve">گل ختمی</x:t>
  </x:si>
  <x:si>
    <x:t xml:space="preserve">گل سرخ پرک</x:t>
  </x:si>
  <x:si>
    <x:t xml:space="preserve">گل سرخ غنچه</x:t>
  </x:si>
  <x:si>
    <x:t xml:space="preserve">گل گاوزبان</x:t>
  </x:si>
  <x:si>
    <x:t xml:space="preserve">گلپر</x:t>
  </x:si>
  <x:si>
    <x:t xml:space="preserve">گلرنگ</x:t>
  </x:si>
  <x:si>
    <x:t xml:space="preserve">3/200</x:t>
  </x:si>
  <x:si>
    <x:t xml:space="preserve">گندم</x:t>
  </x:si>
  <x:si>
    <x:t xml:space="preserve">گوجه پودر</x:t>
  </x:si>
  <x:si>
    <x:t xml:space="preserve">لبو</x:t>
  </x:si>
  <x:si>
    <x:t xml:space="preserve">لواشک</x:t>
  </x:si>
  <x:si>
    <x:t xml:space="preserve">لیمو اسلایس</x:t>
  </x:si>
  <x:si>
    <x:t xml:space="preserve">لیمو ببری</x:t>
  </x:si>
  <x:si>
    <x:t xml:space="preserve">مرزه</x:t>
  </x:si>
  <x:si>
    <x:t xml:space="preserve">مصفی خون</x:t>
  </x:si>
  <x:si>
    <x:t xml:space="preserve">موسیر</x:t>
  </x:si>
  <x:si>
    <x:t xml:space="preserve">میخک</x:t>
  </x:si>
  <x:si>
    <x:t xml:space="preserve">3/300</x:t>
  </x:si>
  <x:si>
    <x:t xml:space="preserve">نارگیل سریلانکا چرب</x:t>
  </x:si>
  <x:si>
    <x:t xml:space="preserve">1/750</x:t>
  </x:si>
  <x:si>
    <x:t xml:space="preserve">نشاسته ذرت</x:t>
  </x:si>
  <x:si>
    <x:t xml:space="preserve">نشاسته گندم گل</x:t>
  </x:si>
  <x:si>
    <x:t xml:space="preserve">نعناع خشک</x:t>
  </x:si>
  <x:si>
    <x:t xml:space="preserve">نمک ارومیه</x:t>
  </x:si>
  <x:si>
    <x:t xml:space="preserve">نمک جهرم دل نمک</x:t>
  </x:si>
  <x:si>
    <x:t xml:space="preserve">نمک دریا</x:t>
  </x:si>
  <x:si>
    <x:t xml:space="preserve">نمک صورتی</x:t>
  </x:si>
  <x:si>
    <x:t xml:space="preserve">نمک صورتی سنگ</x:t>
  </x:si>
  <x:si>
    <x:t xml:space="preserve">نمک نارنجی</x:t>
  </x:si>
  <x:si>
    <x:t xml:space="preserve">نمک نخودی (سنگ)</x:t>
  </x:si>
  <x:si>
    <x:t xml:space="preserve">نوتلا</x:t>
  </x:si>
  <x:si>
    <x:t xml:space="preserve">نوتلا ناب سرا</x:t>
  </x:si>
  <x:si>
    <x:t xml:space="preserve">بسته بندی</x:t>
  </x:si>
  <x:si>
    <x:t xml:space="preserve">نوره</x:t>
  </x:si>
  <x:si>
    <x:t xml:space="preserve">هل باد</x:t>
  </x:si>
  <x:si>
    <x:t xml:space="preserve">هل پودر</x:t>
  </x:si>
  <x:si>
    <x:t xml:space="preserve">12/500</x:t>
  </x:si>
  <x:si>
    <x:t xml:space="preserve">هل پیور اسپایس</x:t>
  </x:si>
  <x:si>
    <x:t xml:space="preserve">هلیله سیاه</x:t>
  </x:si>
  <x:si>
    <x:t xml:space="preserve">وانیل خرسی شکری</x:t>
  </x:si>
  <x:si>
    <x:t xml:space="preserve">product_id</x:t>
  </x:si>
  <x:si>
    <x:t xml:space="preserve">slug</x:t>
  </x:si>
  <x:si>
    <x:t xml:space="preserve">دسته‌بندی</x:t>
  </x:si>
  <x:si>
    <x:t xml:space="preserve">نوع/وزن</x:t>
  </x:si>
  <x:si>
    <x:t xml:space="preserve">واحد</x:t>
  </x:si>
  <x:si>
    <x:t xml:space="preserve">قیمت خام</x:t>
  </x:si>
  <x:si>
    <x:t xml:space="preserve">price_toman</x:t>
  </x:si>
  <x:si>
    <x:t xml:space="preserve">source_row</x:t>
  </x:si>
  <x:si>
    <x:t xml:space="preserve">site_key</x:t>
  </x:si>
  <x:si>
    <x:t xml:space="preserve">جستجوی سریع برای خواندن سایت</x:t>
  </x:si>
  <x:si>
    <x:t xml:space="preserve">NS-0034-1</x:t>
  </x:si>
  <x:si>
    <x:t xml:space="preserve">rice_flour</x:t>
  </x:si>
  <x:si>
    <x:t xml:space="preserve">آرد و قنادی</x:t>
  </x:si>
  <x:si>
    <x:t xml:space="preserve">NS-0035-1</x:t>
  </x:si>
  <x:si>
    <x:t xml:space="preserve">breadcrumbs</x:t>
  </x:si>
  <x:si>
    <x:t xml:space="preserve">NS-0036-1</x:t>
  </x:si>
  <x:si>
    <x:t xml:space="preserve">chickpea_flour</x:t>
  </x:si>
  <x:si>
    <x:t xml:space="preserve">NS-0049-1</x:t>
  </x:si>
  <x:si>
    <x:t xml:space="preserve">baking_powder</x:t>
  </x:si>
  <x:si>
    <x:t xml:space="preserve">NS-0371-1</x:t>
  </x:si>
  <x:si>
    <x:t xml:space="preserve">corn_starch</x:t>
  </x:si>
  <x:si>
    <x:t xml:space="preserve">NS-0372-1</x:t>
  </x:si>
  <x:si>
    <x:t xml:space="preserve">wheat_starch</x:t>
  </x:si>
  <x:si>
    <x:t xml:space="preserve">NS-0201-1</x:t>
  </x:si>
  <x:si>
    <x:t xml:space="preserve">gelatin</x:t>
  </x:si>
  <x:si>
    <x:t xml:space="preserve">NS-0003-1</x:t>
  </x:si>
  <x:si>
    <x:t xml:space="preserve">spice_abgoosht</x:t>
  </x:si>
  <x:si>
    <x:t xml:space="preserve">ادویه و چاشنی</x:t>
  </x:si>
  <x:si>
    <x:t xml:space="preserve">NS-0001-1</x:t>
  </x:si>
  <x:si>
    <x:t xml:space="preserve">spice_steak</x:t>
  </x:si>
  <x:si>
    <x:t xml:space="preserve">NS-0002-1</x:t>
  </x:si>
  <x:si>
    <x:t xml:space="preserve">spice_olivieh</x:t>
  </x:si>
  <x:si>
    <x:t xml:space="preserve">NS-0007-1</x:t>
  </x:si>
  <x:si>
    <x:t xml:space="preserve">spice_pickle</x:t>
  </x:si>
  <x:si>
    <x:t xml:space="preserve">NS-0008-1</x:t>
  </x:si>
  <x:si>
    <x:t xml:space="preserve">spice_hot</x:t>
  </x:si>
  <x:si>
    <x:t xml:space="preserve">NS-0010-1</x:t>
  </x:si>
  <x:si>
    <x:t xml:space="preserve">spice_smoked</x:t>
  </x:si>
  <x:si>
    <x:t xml:space="preserve">NS-0011-1</x:t>
  </x:si>
  <x:si>
    <x:t xml:space="preserve">spice_salad_italian</x:t>
  </x:si>
  <x:si>
    <x:t xml:space="preserve">NS-0012-1</x:t>
  </x:si>
  <x:si>
    <x:t xml:space="preserve">spice_sauce_caesar</x:t>
  </x:si>
  <x:si>
    <x:t xml:space="preserve">NS-0013-1</x:t>
  </x:si>
  <x:si>
    <x:t xml:space="preserve">spice_apple_cheese</x:t>
  </x:si>
  <x:si>
    <x:t xml:space="preserve">NS-0014-1</x:t>
  </x:si>
  <x:si>
    <x:t xml:space="preserve">spice_garlic_v_butter</x:t>
  </x:si>
  <x:si>
    <x:t xml:space="preserve">NS-0015-1</x:t>
  </x:si>
  <x:si>
    <x:t xml:space="preserve">spice_arabic</x:t>
  </x:si>
  <x:si>
    <x:t xml:space="preserve">NS-0016-1</x:t>
  </x:si>
  <x:si>
    <x:t xml:space="preserve">spice_falafel</x:t>
  </x:si>
  <x:si>
    <x:t xml:space="preserve">NS-0017-1</x:t>
  </x:si>
  <x:si>
    <x:t xml:space="preserve">spice_ghormeh_sabzi</x:t>
  </x:si>
  <x:si>
    <x:t xml:space="preserve">NS-0021-1</x:t>
  </x:si>
  <x:si>
    <x:t xml:space="preserve">spice_lemon_peppermint</x:t>
  </x:si>
  <x:si>
    <x:t xml:space="preserve">NS-0022-1</x:t>
  </x:si>
  <x:si>
    <x:t xml:space="preserve">spice_fish</x:t>
  </x:si>
  <x:si>
    <x:t xml:space="preserve">NS-0023-1</x:t>
  </x:si>
  <x:si>
    <x:t xml:space="preserve">spice_chicken</x:t>
  </x:si>
  <x:si>
    <x:t xml:space="preserve">NS-0004-1</x:t>
  </x:si>
  <x:si>
    <x:t xml:space="preserve">spice_polo</x:t>
  </x:si>
  <x:si>
    <x:t xml:space="preserve">NS-0005-1</x:t>
  </x:si>
  <x:si>
    <x:t xml:space="preserve">spice_cheese_french</x:t>
  </x:si>
  <x:si>
    <x:t xml:space="preserve">NS-0006-1</x:t>
  </x:si>
  <x:si>
    <x:t xml:space="preserve">spice_onion_v_vegetables</x:t>
  </x:si>
  <x:si>
    <x:t xml:space="preserve">NS-0009-1</x:t>
  </x:si>
  <x:si>
    <x:t xml:space="preserve">spice_cheddar</x:t>
  </x:si>
  <x:si>
    <x:t xml:space="preserve">NS-0019-1</x:t>
  </x:si>
  <x:si>
    <x:t xml:space="preserve">spice_curry</x:t>
  </x:si>
  <x:si>
    <x:t xml:space="preserve">NS-0018-1</x:t>
  </x:si>
  <x:si>
    <x:t xml:space="preserve">spice_kachi</x:t>
  </x:si>
  <x:si>
    <x:t xml:space="preserve">NS-0020-1</x:t>
  </x:si>
  <x:si>
    <x:t xml:space="preserve">spice_butter</x:t>
  </x:si>
  <x:si>
    <x:t xml:space="preserve">NS-0112-1</x:t>
  </x:si>
  <x:si>
    <x:t xml:space="preserve">cinnamon_ceylon</x:t>
  </x:si>
  <x:si>
    <x:t xml:space="preserve">NS-0111-1</x:t>
  </x:si>
  <x:si>
    <x:t xml:space="preserve">cinnamon_cigar</x:t>
  </x:si>
  <x:si>
    <x:t xml:space="preserve">NS-0113-1</x:t>
  </x:si>
  <x:si>
    <x:t xml:space="preserve">cinnamon_flower_red</x:t>
  </x:si>
  <x:si>
    <x:t xml:space="preserve">NS-0117-1</x:t>
  </x:si>
  <x:si>
    <x:t xml:space="preserve">fennel</x:t>
  </x:si>
  <x:si>
    <x:t xml:space="preserve">NS-0193-1</x:t>
  </x:si>
  <x:si>
    <x:t xml:space="preserve">turmeric_zarrin</x:t>
  </x:si>
  <x:si>
    <x:t xml:space="preserve">NS-0192-1</x:t>
  </x:si>
  <x:si>
    <x:t xml:space="preserve">turmeric_chahar_menar</x:t>
  </x:si>
  <x:si>
    <x:t xml:space="preserve">NS-0196-1</x:t>
  </x:si>
  <x:si>
    <x:t xml:space="preserve">saffron</x:t>
  </x:si>
  <x:si>
    <x:t xml:space="preserve">NS-0197-1</x:t>
  </x:si>
  <x:si>
    <x:t xml:space="preserve">ginger_chinese</x:t>
  </x:si>
  <x:si>
    <x:t xml:space="preserve">NS-0199-1</x:t>
  </x:si>
  <x:si>
    <x:t xml:space="preserve">cumin_green</x:t>
  </x:si>
  <x:si>
    <x:t xml:space="preserve">NS-0200-1</x:t>
  </x:si>
  <x:si>
    <x:t xml:space="preserve">cumin_black</x:t>
  </x:si>
  <x:si>
    <x:t xml:space="preserve">NS-0206-1</x:t>
  </x:si>
  <x:si>
    <x:t xml:space="preserve">egg_white</x:t>
  </x:si>
  <x:si>
    <x:t xml:space="preserve">NS-0207-1</x:t>
  </x:si>
  <x:si>
    <x:t xml:space="preserve">red_sumac_powder</x:t>
  </x:si>
  <x:si>
    <x:t xml:space="preserve">NS-0208-1</x:t>
  </x:si>
  <x:si>
    <x:t xml:space="preserve">brown_sumac_powder</x:t>
  </x:si>
  <x:si>
    <x:t xml:space="preserve">NS-0209-1</x:t>
  </x:si>
  <x:si>
    <x:t xml:space="preserve">whole_sumac</x:t>
  </x:si>
  <x:si>
    <x:t xml:space="preserve">NS-0220-1</x:t>
  </x:si>
  <x:si>
    <x:t xml:space="preserve">black_garlic</x:t>
  </x:si>
  <x:si>
    <x:t xml:space="preserve">NS-0221-1</x:t>
  </x:si>
  <x:si>
    <x:t xml:space="preserve">garlic_hamedan</x:t>
  </x:si>
  <x:si>
    <x:t xml:space="preserve">NS-0222-1</x:t>
  </x:si>
  <x:si>
    <x:t xml:space="preserve">garlic_cashew</x:t>
  </x:si>
  <x:si>
    <x:t xml:space="preserve">NS-0255-1</x:t>
  </x:si>
  <x:si>
    <x:t xml:space="preserve">soap_turmeric</x:t>
  </x:si>
  <x:si>
    <x:t xml:space="preserve">NS-0316-1</x:t>
  </x:si>
  <x:si>
    <x:t xml:space="preserve">flfl_turkish</x:t>
  </x:si>
  <x:si>
    <x:t xml:space="preserve">NS-0317-1</x:t>
  </x:si>
  <x:si>
    <x:t xml:space="preserve">black_pepper</x:t>
  </x:si>
  <x:si>
    <x:t xml:space="preserve">NS-0318-1</x:t>
  </x:si>
  <x:si>
    <x:t xml:space="preserve">iranian_red_pepper</x:t>
  </x:si>
  <x:si>
    <x:t xml:space="preserve">NS-0319-1</x:t>
  </x:si>
  <x:si>
    <x:t xml:space="preserve">indian_red_pepper</x:t>
  </x:si>
  <x:si>
    <x:t xml:space="preserve">NS-0320-1</x:t>
  </x:si>
  <x:si>
    <x:t xml:space="preserve">hot_indian_red_pepper</x:t>
  </x:si>
  <x:si>
    <x:t xml:space="preserve">NS-0368-1</x:t>
  </x:si>
  <x:si>
    <x:t xml:space="preserve">mvsyr</x:t>
  </x:si>
  <x:si>
    <x:t xml:space="preserve">NS-0369-1</x:t>
  </x:si>
  <x:si>
    <x:t xml:space="preserve">clove</x:t>
  </x:si>
  <x:si>
    <x:t xml:space="preserve">NS-0374-1</x:t>
  </x:si>
  <x:si>
    <x:t xml:space="preserve">urmia_salt</x:t>
  </x:si>
  <x:si>
    <x:t xml:space="preserve">NS-0375-1</x:t>
  </x:si>
  <x:si>
    <x:t xml:space="preserve">salt_jhrm_dl_salt</x:t>
  </x:si>
  <x:si>
    <x:t xml:space="preserve">NS-0376-1</x:t>
  </x:si>
  <x:si>
    <x:t xml:space="preserve">sea_salt</x:t>
  </x:si>
  <x:si>
    <x:t xml:space="preserve">NS-0377-1</x:t>
  </x:si>
  <x:si>
    <x:t xml:space="preserve">pink_salt</x:t>
  </x:si>
  <x:si>
    <x:t xml:space="preserve">NS-0378-1</x:t>
  </x:si>
  <x:si>
    <x:t xml:space="preserve">pink_rock_salt</x:t>
  </x:si>
  <x:si>
    <x:t xml:space="preserve">NS-0379-1</x:t>
  </x:si>
  <x:si>
    <x:t xml:space="preserve">salt_orange</x:t>
  </x:si>
  <x:si>
    <x:t xml:space="preserve">NS-0384-1</x:t>
  </x:si>
  <x:si>
    <x:t xml:space="preserve">cardamom_pods</x:t>
  </x:si>
  <x:si>
    <x:t xml:space="preserve">NS-0385-1</x:t>
  </x:si>
  <x:si>
    <x:t xml:space="preserve">cardamom_powder</x:t>
  </x:si>
  <x:si>
    <x:t xml:space="preserve">NS-0386-1</x:t>
  </x:si>
  <x:si>
    <x:t xml:space="preserve">cardamom_pure_spice</x:t>
  </x:si>
  <x:si>
    <x:t xml:space="preserve">NS-0387-1</x:t>
  </x:si>
  <x:si>
    <x:t xml:space="preserve">chebulic_myrobalan_black</x:t>
  </x:si>
  <x:si>
    <x:t xml:space="preserve">NS-0052-1</x:t>
  </x:si>
  <x:si>
    <x:t xml:space="preserve">paprika</x:t>
  </x:si>
  <x:si>
    <x:t xml:space="preserve">NS-0065-1</x:t>
  </x:si>
  <x:si>
    <x:t xml:space="preserve">onion_powder</x:t>
  </x:si>
  <x:si>
    <x:t xml:space="preserve">NS-0358-1</x:t>
  </x:si>
  <x:si>
    <x:t xml:space="preserve">golpar</x:t>
  </x:si>
  <x:si>
    <x:t xml:space="preserve">NS-0027-1</x:t>
  </x:si>
  <x:si>
    <x:t xml:space="preserve">espand_chickpea</x:t>
  </x:si>
  <x:si>
    <x:t xml:space="preserve">حبوبات و غلات</x:t>
  </x:si>
  <x:si>
    <x:t xml:space="preserve">NS-0046-1</x:t>
  </x:si>
  <x:si>
    <x:t xml:space="preserve">fava_bean_dried</x:t>
  </x:si>
  <x:si>
    <x:t xml:space="preserve">NS-0078-1</x:t>
  </x:si>
  <x:si>
    <x:t xml:space="preserve">imported_rolled_oats</x:t>
  </x:si>
  <x:si>
    <x:t xml:space="preserve">NS-0079-1</x:t>
  </x:si>
  <x:si>
    <x:t xml:space="preserve">wheat_germ_powder</x:t>
  </x:si>
  <x:si>
    <x:t xml:space="preserve">NS-0079-2</x:t>
  </x:si>
  <x:si>
    <x:t xml:space="preserve">wheat_germ_fresh</x:t>
  </x:si>
  <x:si>
    <x:t xml:space="preserve">NS-0080-1</x:t>
  </x:si>
  <x:si>
    <x:t xml:space="preserve">nutmeg_cashew</x:t>
  </x:si>
  <x:si>
    <x:t xml:space="preserve">NS-0081-1</x:t>
  </x:si>
  <x:si>
    <x:t xml:space="preserve">baking_soda</x:t>
  </x:si>
  <x:si>
    <x:t xml:space="preserve">NS-0082-1</x:t>
  </x:si>
  <x:si>
    <x:t xml:space="preserve">citric_acid</x:t>
  </x:si>
  <x:si>
    <x:t xml:space="preserve">NS-0116-1</x:t>
  </x:si>
  <x:si>
    <x:t xml:space="preserve">mexican_corn</x:t>
  </x:si>
  <x:si>
    <x:t xml:space="preserve">NS-0215-1</x:t>
  </x:si>
  <x:si>
    <x:t xml:space="preserve">saviq_sprout_barley</x:t>
  </x:si>
  <x:si>
    <x:t xml:space="preserve">NS-0216-1</x:t>
  </x:si>
  <x:si>
    <x:t xml:space="preserve">saviq_sprout_lentil</x:t>
  </x:si>
  <x:si>
    <x:t xml:space="preserve">NS-0218-1</x:t>
  </x:si>
  <x:si>
    <x:t xml:space="preserve">saviq_sprout_mung</x:t>
  </x:si>
  <x:si>
    <x:t xml:space="preserve">NS-0217-1</x:t>
  </x:si>
  <x:si>
    <x:t xml:space="preserve">saviq_sprout_wheat</x:t>
  </x:si>
  <x:si>
    <x:t xml:space="preserve">NS-0380-1</x:t>
  </x:si>
  <x:si>
    <x:t xml:space="preserve">salt_chickpea</x:t>
  </x:si>
  <x:si>
    <x:t xml:space="preserve">NS-0351-1</x:t>
  </x:si>
  <x:si>
    <x:t xml:space="preserve">white_quinoa</x:t>
  </x:si>
  <x:si>
    <x:t xml:space="preserve">NS-0360-1</x:t>
  </x:si>
  <x:si>
    <x:t xml:space="preserve">wheat</x:t>
  </x:si>
  <x:si>
    <x:t xml:space="preserve">NS-0031-1</x:t>
  </x:si>
  <x:si>
    <x:t xml:space="preserve">dried_fig</x:t>
  </x:si>
  <x:si>
    <x:t xml:space="preserve">خشکبار و آجیل</x:t>
  </x:si>
  <x:si>
    <x:t xml:space="preserve">NS-0041-1</x:t>
  </x:si>
  <x:si>
    <x:t xml:space="preserve">peanut</x:t>
  </x:si>
  <x:si>
    <x:t xml:space="preserve">NS-0042-1</x:t>
  </x:si>
  <x:si>
    <x:t xml:space="preserve">almond_peanut_astaneh</x:t>
  </x:si>
  <x:si>
    <x:t xml:space="preserve">NS-0072-1</x:t>
  </x:si>
  <x:si>
    <x:t xml:space="preserve">dried_mulberry</x:t>
  </x:si>
  <x:si>
    <x:t xml:space="preserve">NS-0195-1</x:t>
  </x:si>
  <x:si>
    <x:t xml:space="preserve">uncleaned_barberry</x:t>
  </x:si>
  <x:si>
    <x:t xml:space="preserve">NS-0194-1</x:t>
  </x:si>
  <x:si>
    <x:t xml:space="preserve">puffed_barberry</x:t>
  </x:si>
  <x:si>
    <x:t xml:space="preserve">NS-0212-1</x:t>
  </x:si>
  <x:si>
    <x:t xml:space="preserve">oleaster</x:t>
  </x:si>
  <x:si>
    <x:t xml:space="preserve">NS-0213-1</x:t>
  </x:si>
  <x:si>
    <x:t xml:space="preserve">oleaster_powder</x:t>
  </x:si>
  <x:si>
    <x:t xml:space="preserve">NS-0238-1</x:t>
  </x:si>
  <x:si>
    <x:t xml:space="preserve">fig_syrup</x:t>
  </x:si>
  <x:si>
    <x:t xml:space="preserve">گرم</x:t>
  </x:si>
  <x:si>
    <x:t xml:space="preserve">NS-0254-1</x:t>
  </x:si>
  <x:si>
    <x:t xml:space="preserve">soap_apricot</x:t>
  </x:si>
  <x:si>
    <x:t xml:space="preserve">NS-0260-1</x:t>
  </x:si>
  <x:si>
    <x:t xml:space="preserve">soap_hazelnut</x:t>
  </x:si>
  <x:si>
    <x:t xml:space="preserve">NS-0312-1</x:t>
  </x:si>
  <x:si>
    <x:t xml:space="preserve">jujube_bsth_zrgl</x:t>
  </x:si>
  <x:si>
    <x:t xml:space="preserve">NS-0312-2</x:t>
  </x:si>
  <x:si>
    <x:t xml:space="preserve">jujube_bsth_tla</x:t>
  </x:si>
  <x:si>
    <x:t xml:space="preserve">NS-0313-1</x:t>
  </x:si>
  <x:si>
    <x:t xml:space="preserve">jujube_dried_1</x:t>
  </x:si>
  <x:si>
    <x:t xml:space="preserve">NS-0313-2</x:t>
  </x:si>
  <x:si>
    <x:t xml:space="preserve">jujube_dried_bsth</x:t>
  </x:si>
  <x:si>
    <x:t xml:space="preserve">NS-0329-1</x:t>
  </x:si>
  <x:si>
    <x:t xml:space="preserve">peanut_cream</x:t>
  </x:si>
  <x:si>
    <x:t xml:space="preserve">NS-0330-1</x:t>
  </x:si>
  <x:si>
    <x:t xml:space="preserve">sesame_cream</x:t>
  </x:si>
  <x:si>
    <x:t xml:space="preserve">NS-0331-1</x:t>
  </x:si>
  <x:si>
    <x:t xml:space="preserve">almond_butter_180_warm</x:t>
  </x:si>
  <x:si>
    <x:t xml:space="preserve">NS-0331-2</x:t>
  </x:si>
  <x:si>
    <x:t xml:space="preserve">almond_butter_2</x:t>
  </x:si>
  <x:si>
    <x:t xml:space="preserve">NS-0332-1</x:t>
  </x:si>
  <x:si>
    <x:t xml:space="preserve">peanut_butter</x:t>
  </x:si>
  <x:si>
    <x:t xml:space="preserve">NS-0334-1</x:t>
  </x:si>
  <x:si>
    <x:t xml:space="preserve">cashew_butter</x:t>
  </x:si>
  <x:si>
    <x:t xml:space="preserve">NS-0337-1</x:t>
  </x:si>
  <x:si>
    <x:t xml:space="preserve">hazelnut_butter</x:t>
  </x:si>
  <x:si>
    <x:t xml:space="preserve">NS-0335-1</x:t>
  </x:si>
  <x:si>
    <x:t xml:space="preserve">pistachio_butter_180_warm</x:t>
  </x:si>
  <x:si>
    <x:t xml:space="preserve">NS-0335-2</x:t>
  </x:si>
  <x:si>
    <x:t xml:space="preserve">pistachio_butter_2</x:t>
  </x:si>
  <x:si>
    <x:t xml:space="preserve">NS-0340-1</x:t>
  </x:si>
  <x:si>
    <x:t xml:space="preserve">raisin_with_seed</x:t>
  </x:si>
  <x:si>
    <x:t xml:space="preserve">NS-0341-1</x:t>
  </x:si>
  <x:si>
    <x:t xml:space="preserve">green_raisin</x:t>
  </x:si>
  <x:si>
    <x:t xml:space="preserve">NS-0345-1</x:t>
  </x:si>
  <x:si>
    <x:t xml:space="preserve">sesame_raw_iranian</x:t>
  </x:si>
  <x:si>
    <x:t xml:space="preserve">NS-0346-1</x:t>
  </x:si>
  <x:si>
    <x:t xml:space="preserve">sesame_dezful</x:t>
  </x:si>
  <x:si>
    <x:t xml:space="preserve">NS-0347-1</x:t>
  </x:si>
  <x:si>
    <x:t xml:space="preserve">white_sesame</x:t>
  </x:si>
  <x:si>
    <x:t xml:space="preserve">NS-0348-1</x:t>
  </x:si>
  <x:si>
    <x:t xml:space="preserve">brown_sesame</x:t>
  </x:si>
  <x:si>
    <x:t xml:space="preserve">NS-0103-1</x:t>
  </x:si>
  <x:si>
    <x:t xml:space="preserve">halva_oily</x:t>
  </x:si>
  <x:si>
    <x:t xml:space="preserve">روغن</x:t>
  </x:si>
  <x:si>
    <x:t xml:space="preserve">NS-0125-1</x:t>
  </x:si>
  <x:si>
    <x:t xml:space="preserve">oil_argan_grade_1_30ml</x:t>
  </x:si>
  <x:si>
    <x:t xml:space="preserve">میل</x:t>
  </x:si>
  <x:si>
    <x:t xml:space="preserve">NS-0125-2</x:t>
  </x:si>
  <x:si>
    <x:t xml:space="preserve">oil_argan_grade_1_60ml</x:t>
  </x:si>
  <x:si>
    <x:t xml:space="preserve">NS-0126-1</x:t>
  </x:si>
  <x:si>
    <x:t xml:space="preserve">oil_argan_grade_2_30ml</x:t>
  </x:si>
  <x:si>
    <x:t xml:space="preserve">NS-0126-2</x:t>
  </x:si>
  <x:si>
    <x:t xml:space="preserve">oil_argan_grade_2_60ml</x:t>
  </x:si>
  <x:si>
    <x:t xml:space="preserve">NS-0127-1</x:t>
  </x:si>
  <x:si>
    <x:t xml:space="preserve">oil_argan_moroccan_grade_1_half_liter</x:t>
  </x:si>
  <x:si>
    <x:t xml:space="preserve">لیتر</x:t>
  </x:si>
  <x:si>
    <x:t xml:space="preserve">NS-0127-2</x:t>
  </x:si>
  <x:si>
    <x:t xml:space="preserve">oil_argan_moroccan_grade_1_1_liter</x:t>
  </x:si>
  <x:si>
    <x:t xml:space="preserve">NS-0128-1</x:t>
  </x:si>
  <x:si>
    <x:t xml:space="preserve">oil_argan_moroccan_grade_2_half_liter</x:t>
  </x:si>
  <x:si>
    <x:t xml:space="preserve">NS-0128-2</x:t>
  </x:si>
  <x:si>
    <x:t xml:space="preserve">oil_argan_moroccan_grade_2_1_liter</x:t>
  </x:si>
  <x:si>
    <x:t xml:space="preserve">NS-0129-1</x:t>
  </x:si>
  <x:si>
    <x:t xml:space="preserve">oil_sunflower_half_liter</x:t>
  </x:si>
  <x:si>
    <x:t xml:space="preserve">NS-0129-2</x:t>
  </x:si>
  <x:si>
    <x:t xml:space="preserve">oil_sunflower_1_liter</x:t>
  </x:si>
  <x:si>
    <x:t xml:space="preserve">NS-0130-1</x:t>
  </x:si>
  <x:si>
    <x:t xml:space="preserve">oil_amla_30ml</x:t>
  </x:si>
  <x:si>
    <x:t xml:space="preserve">NS-0130-2</x:t>
  </x:si>
  <x:si>
    <x:t xml:space="preserve">oil_amla_60ml</x:t>
  </x:si>
  <x:si>
    <x:t xml:space="preserve">NS-0131-1</x:t>
  </x:si>
  <x:si>
    <x:t xml:space="preserve">oil_avocado_30ml</x:t>
  </x:si>
  <x:si>
    <x:t xml:space="preserve">NS-0131-2</x:t>
  </x:si>
  <x:si>
    <x:t xml:space="preserve">oil_avocado_60ml</x:t>
  </x:si>
  <x:si>
    <x:t xml:space="preserve">NS-0120-1</x:t>
  </x:si>
  <x:si>
    <x:t xml:space="preserve">oil_tahini_half_liter</x:t>
  </x:si>
  <x:si>
    <x:t xml:space="preserve">NS-0120-2</x:t>
  </x:si>
  <x:si>
    <x:t xml:space="preserve">oil_tahini_1_liter</x:t>
  </x:si>
  <x:si>
    <x:t xml:space="preserve">NS-0121-1</x:t>
  </x:si>
  <x:si>
    <x:t xml:space="preserve">oil_lavender_30ml</x:t>
  </x:si>
  <x:si>
    <x:t xml:space="preserve">NS-0121-2</x:t>
  </x:si>
  <x:si>
    <x:t xml:space="preserve">oil_lavender_60ml</x:t>
  </x:si>
  <x:si>
    <x:t xml:space="preserve">NS-0123-1</x:t>
  </x:si>
  <x:si>
    <x:t xml:space="preserve">oil_donkey_30ml</x:t>
  </x:si>
  <x:si>
    <x:t xml:space="preserve">NS-0123-2</x:t>
  </x:si>
  <x:si>
    <x:t xml:space="preserve">oil_donkey_60ml</x:t>
  </x:si>
  <x:si>
    <x:t xml:space="preserve">NS-0124-1</x:t>
  </x:si>
  <x:si>
    <x:t xml:space="preserve">oil_pomegranate_30ml</x:t>
  </x:si>
  <x:si>
    <x:t xml:space="preserve">NS-0124-2</x:t>
  </x:si>
  <x:si>
    <x:t xml:space="preserve">oil_pomegranate_60ml</x:t>
  </x:si>
  <x:si>
    <x:t xml:space="preserve">NS-0122-1</x:t>
  </x:si>
  <x:si>
    <x:t xml:space="preserve">oil_eucalyptus_30ml</x:t>
  </x:si>
  <x:si>
    <x:t xml:space="preserve">NS-0122-2</x:t>
  </x:si>
  <x:si>
    <x:t xml:space="preserve">oil_eucalyptus_60ml</x:t>
  </x:si>
  <x:si>
    <x:t xml:space="preserve">NS-0132-1</x:t>
  </x:si>
  <x:si>
    <x:t xml:space="preserve">oil_chamomile_30ml</x:t>
  </x:si>
  <x:si>
    <x:t xml:space="preserve">NS-0132-2</x:t>
  </x:si>
  <x:si>
    <x:t xml:space="preserve">oil_chamomile_60ml</x:t>
  </x:si>
  <x:si>
    <x:t xml:space="preserve">NS-0133-1</x:t>
  </x:si>
  <x:si>
    <x:t xml:space="preserve">bitter_almond_oil_30ml</x:t>
  </x:si>
  <x:si>
    <x:t xml:space="preserve">NS-0134-1</x:t>
  </x:si>
  <x:si>
    <x:t xml:space="preserve">bitter_almond_oil_half_liter</x:t>
  </x:si>
  <x:si>
    <x:t xml:space="preserve">NS-0133-2</x:t>
  </x:si>
  <x:si>
    <x:t xml:space="preserve">bitter_almond_oil_60ml</x:t>
  </x:si>
  <x:si>
    <x:t xml:space="preserve">NS-0134-2</x:t>
  </x:si>
  <x:si>
    <x:t xml:space="preserve">bitter_almond_oil_1_liter</x:t>
  </x:si>
  <x:si>
    <x:t xml:space="preserve">NS-0135-1</x:t>
  </x:si>
  <x:si>
    <x:t xml:space="preserve">sweet_almond_oil_half_liter</x:t>
  </x:si>
  <x:si>
    <x:t xml:space="preserve">NS-0136-1</x:t>
  </x:si>
  <x:si>
    <x:t xml:space="preserve">sweet_almond_oil_30ml</x:t>
  </x:si>
  <x:si>
    <x:t xml:space="preserve">NS-0135-2</x:t>
  </x:si>
  <x:si>
    <x:t xml:space="preserve">sweet_almond_oil_1_liter</x:t>
  </x:si>
  <x:si>
    <x:t xml:space="preserve">NS-0136-2</x:t>
  </x:si>
  <x:si>
    <x:t xml:space="preserve">sweet_almond_oil_60ml</x:t>
  </x:si>
  <x:si>
    <x:t xml:space="preserve">NS-0137-1</x:t>
  </x:si>
  <x:si>
    <x:t xml:space="preserve">oil_violet_30ml</x:t>
  </x:si>
  <x:si>
    <x:t xml:space="preserve">NS-0137-2</x:t>
  </x:si>
  <x:si>
    <x:t xml:space="preserve">oil_violet_60ml</x:t>
  </x:si>
  <x:si>
    <x:t xml:space="preserve">NS-0139-1</x:t>
  </x:si>
  <x:si>
    <x:t xml:space="preserve">oil_tarragon_30ml</x:t>
  </x:si>
  <x:si>
    <x:t xml:space="preserve">NS-0139-2</x:t>
  </x:si>
  <x:si>
    <x:t xml:space="preserve">oil_tarragon_60ml</x:t>
  </x:si>
  <x:si>
    <x:t xml:space="preserve">NS-0140-1</x:t>
  </x:si>
  <x:si>
    <x:t xml:space="preserve">hair_strengthening_oil</x:t>
  </x:si>
  <x:si>
    <x:t xml:space="preserve">NS-0141-1</x:t>
  </x:si>
  <x:si>
    <x:t xml:space="preserve">oil_sprout_wheat_30ml</x:t>
  </x:si>
  <x:si>
    <x:t xml:space="preserve">NS-0141-2</x:t>
  </x:si>
  <x:si>
    <x:t xml:space="preserve">oil_sprout_wheat_60ml</x:t>
  </x:si>
  <x:si>
    <x:t xml:space="preserve">NS-0142-1</x:t>
  </x:si>
  <x:si>
    <x:t xml:space="preserve">oil_jojoba_30ml</x:t>
  </x:si>
  <x:si>
    <x:t xml:space="preserve">NS-0142-2</x:t>
  </x:si>
  <x:si>
    <x:t xml:space="preserve">oil_jojoba_60ml</x:t>
  </x:si>
  <x:si>
    <x:t xml:space="preserve">NS-0143-1</x:t>
  </x:si>
  <x:si>
    <x:t xml:space="preserve">oil_colocynth_30ml</x:t>
  </x:si>
  <x:si>
    <x:t xml:space="preserve">NS-0143-2</x:t>
  </x:si>
  <x:si>
    <x:t xml:space="preserve">oil_colocynth_60ml</x:t>
  </x:si>
  <x:si>
    <x:t xml:space="preserve">NS-0144-1</x:t>
  </x:si>
  <x:si>
    <x:t xml:space="preserve">oil_milk_thistle_30ml</x:t>
  </x:si>
  <x:si>
    <x:t xml:space="preserve">NS-0144-2</x:t>
  </x:si>
  <x:si>
    <x:t xml:space="preserve">oil_milk_thistle_60ml</x:t>
  </x:si>
  <x:si>
    <x:t xml:space="preserve">NS-0145-1</x:t>
  </x:si>
  <x:si>
    <x:t xml:space="preserve">oil_kharatin_30ml</x:t>
  </x:si>
  <x:si>
    <x:t xml:space="preserve">NS-0145-2</x:t>
  </x:si>
  <x:si>
    <x:t xml:space="preserve">oil_kharatin_60ml</x:t>
  </x:si>
  <x:si>
    <x:t xml:space="preserve">NS-0146-1</x:t>
  </x:si>
  <x:si>
    <x:t xml:space="preserve">oil_poppy_30ml</x:t>
  </x:si>
  <x:si>
    <x:t xml:space="preserve">NS-0146-2</x:t>
  </x:si>
  <x:si>
    <x:t xml:space="preserve">oil_poppy_60ml</x:t>
  </x:si>
  <x:si>
    <x:t xml:space="preserve">NS-0147-1</x:t>
  </x:si>
  <x:si>
    <x:t xml:space="preserve">tea_tree_oil_30ml</x:t>
  </x:si>
  <x:si>
    <x:t xml:space="preserve">NS-0147-2</x:t>
  </x:si>
  <x:si>
    <x:t xml:space="preserve">tea_tree_oil_60ml</x:t>
  </x:si>
  <x:si>
    <x:t xml:space="preserve">NS-0148-1</x:t>
  </x:si>
  <x:si>
    <x:t xml:space="preserve">oil_wormwood_30ml</x:t>
  </x:si>
  <x:si>
    <x:t xml:space="preserve">NS-0148-2</x:t>
  </x:si>
  <x:si>
    <x:t xml:space="preserve">oil_wormwood_60ml</x:t>
  </x:si>
  <x:si>
    <x:t xml:space="preserve">NS-0149-1</x:t>
  </x:si>
  <x:si>
    <x:t xml:space="preserve">oil_fennel_30ml</x:t>
  </x:si>
  <x:si>
    <x:t xml:space="preserve">NS-0149-2</x:t>
  </x:si>
  <x:si>
    <x:t xml:space="preserve">oil_fennel_60ml</x:t>
  </x:si>
  <x:si>
    <x:t xml:space="preserve">NS-0150-1</x:t>
  </x:si>
  <x:si>
    <x:t xml:space="preserve">oil_rosemary_half_liter</x:t>
  </x:si>
  <x:si>
    <x:t xml:space="preserve">NS-0151-1</x:t>
  </x:si>
  <x:si>
    <x:t xml:space="preserve">oil_rosemary_30ml</x:t>
  </x:si>
  <x:si>
    <x:t xml:space="preserve">NS-0150-2</x:t>
  </x:si>
  <x:si>
    <x:t xml:space="preserve">oil_rosemary_1_liter</x:t>
  </x:si>
  <x:si>
    <x:t xml:space="preserve">NS-0151-2</x:t>
  </x:si>
  <x:si>
    <x:t xml:space="preserve">oil_rosemary_60ml</x:t>
  </x:si>
  <x:si>
    <x:t xml:space="preserve">NS-0152-1</x:t>
  </x:si>
  <x:si>
    <x:t xml:space="preserve">oil_turmeric_30ml</x:t>
  </x:si>
  <x:si>
    <x:t xml:space="preserve">NS-0152-2</x:t>
  </x:si>
  <x:si>
    <x:t xml:space="preserve">oil_turmeric_60ml</x:t>
  </x:si>
  <x:si>
    <x:t xml:space="preserve">NS-0153-1</x:t>
  </x:si>
  <x:si>
    <x:t xml:space="preserve">oil_ginger_30ml</x:t>
  </x:si>
  <x:si>
    <x:t xml:space="preserve">NS-0153-2</x:t>
  </x:si>
  <x:si>
    <x:t xml:space="preserve">oil_ginger_60ml</x:t>
  </x:si>
  <x:si>
    <x:t xml:space="preserve">NS-0154-1</x:t>
  </x:si>
  <x:si>
    <x:t xml:space="preserve">oil_ajwain_30ml</x:t>
  </x:si>
  <x:si>
    <x:t xml:space="preserve">NS-0154-2</x:t>
  </x:si>
  <x:si>
    <x:t xml:space="preserve">oil_ajwain_60ml</x:t>
  </x:si>
  <x:si>
    <x:t xml:space="preserve">NS-0155-1</x:t>
  </x:si>
  <x:si>
    <x:t xml:space="preserve">oil_olive_half_liter</x:t>
  </x:si>
  <x:si>
    <x:t xml:space="preserve">NS-0155-2</x:t>
  </x:si>
  <x:si>
    <x:t xml:space="preserve">oil_olive_1_liter</x:t>
  </x:si>
  <x:si>
    <x:t xml:space="preserve">NS-0156-1</x:t>
  </x:si>
  <x:si>
    <x:t xml:space="preserve">topical_olive_oil_30ml</x:t>
  </x:si>
  <x:si>
    <x:t xml:space="preserve">NS-0156-2</x:t>
  </x:si>
  <x:si>
    <x:t xml:space="preserve">topical_olive_oil_60ml</x:t>
  </x:si>
  <x:si>
    <x:t xml:space="preserve">NS-0157-1</x:t>
  </x:si>
  <x:si>
    <x:t xml:space="preserve">oil_mastic_30ml</x:t>
  </x:si>
  <x:si>
    <x:t xml:space="preserve">NS-0157-2</x:t>
  </x:si>
  <x:si>
    <x:t xml:space="preserve">oil_mastic_60ml</x:t>
  </x:si>
  <x:si>
    <x:t xml:space="preserve">NS-0158-1</x:t>
  </x:si>
  <x:si>
    <x:t xml:space="preserve">oil_syahdanh_30ml</x:t>
  </x:si>
  <x:si>
    <x:t xml:space="preserve">NS-0158-2</x:t>
  </x:si>
  <x:si>
    <x:t xml:space="preserve">oil_syahdanh_60ml</x:t>
  </x:si>
  <x:si>
    <x:t xml:space="preserve">NS-0159-1</x:t>
  </x:si>
  <x:si>
    <x:t xml:space="preserve">indian_black_seed_oil_half_liter</x:t>
  </x:si>
  <x:si>
    <x:t xml:space="preserve">NS-0159-2</x:t>
  </x:si>
  <x:si>
    <x:t xml:space="preserve">indian_black_seed_oil_1_liter</x:t>
  </x:si>
  <x:si>
    <x:t xml:space="preserve">NS-0160-1</x:t>
  </x:si>
  <x:si>
    <x:t xml:space="preserve">oil_garlic_30ml</x:t>
  </x:si>
  <x:si>
    <x:t xml:space="preserve">NS-0160-2</x:t>
  </x:si>
  <x:si>
    <x:t xml:space="preserve">oil_garlic_60ml</x:t>
  </x:si>
  <x:si>
    <x:t xml:space="preserve">NS-0161-1</x:t>
  </x:si>
  <x:si>
    <x:t xml:space="preserve">oil_ostrich_30ml</x:t>
  </x:si>
  <x:si>
    <x:t xml:space="preserve">NS-0161-2</x:t>
  </x:si>
  <x:si>
    <x:t xml:space="preserve">oil_ostrich_60ml</x:t>
  </x:si>
  <x:si>
    <x:t xml:space="preserve">NS-0162-1</x:t>
  </x:si>
  <x:si>
    <x:t xml:space="preserve">oil_dill_30ml</x:t>
  </x:si>
  <x:si>
    <x:t xml:space="preserve">NS-0162-2</x:t>
  </x:si>
  <x:si>
    <x:t xml:space="preserve">oil_dill_60ml</x:t>
  </x:si>
  <x:si>
    <x:t xml:space="preserve">NS-0163-1</x:t>
  </x:si>
  <x:si>
    <x:t xml:space="preserve">shea_butter_oil_90_warm</x:t>
  </x:si>
  <x:si>
    <x:t xml:space="preserve">NS-0163-2</x:t>
  </x:si>
  <x:si>
    <x:t xml:space="preserve">shea_butter_oil_2</x:t>
  </x:si>
  <x:si>
    <x:t xml:space="preserve">NS-0164-1</x:t>
  </x:si>
  <x:si>
    <x:t xml:space="preserve">anti_inflammatory_oil_30ml</x:t>
  </x:si>
  <x:si>
    <x:t xml:space="preserve">NS-0164-2</x:t>
  </x:si>
  <x:si>
    <x:t xml:space="preserve">anti_inflammatory_oil_60ml</x:t>
  </x:si>
  <x:si>
    <x:t xml:space="preserve">NS-0165-1</x:t>
  </x:si>
  <x:si>
    <x:t xml:space="preserve">pain_relief_oil_half_liter</x:t>
  </x:si>
  <x:si>
    <x:t xml:space="preserve">NS-0166-1</x:t>
  </x:si>
  <x:si>
    <x:t xml:space="preserve">pain_relief_oil_30ml</x:t>
  </x:si>
  <x:si>
    <x:t xml:space="preserve">NS-0165-2</x:t>
  </x:si>
  <x:si>
    <x:t xml:space="preserve">pain_relief_oil_1_liter</x:t>
  </x:si>
  <x:si>
    <x:t xml:space="preserve">NS-0166-2</x:t>
  </x:si>
  <x:si>
    <x:t xml:space="preserve">pain_relief_oil_60ml</x:t>
  </x:si>
  <x:si>
    <x:t xml:space="preserve">NS-0167-1</x:t>
  </x:si>
  <x:si>
    <x:t xml:space="preserve">oil_hazelnut_30ml</x:t>
  </x:si>
  <x:si>
    <x:t xml:space="preserve">NS-0167-2</x:t>
  </x:si>
  <x:si>
    <x:t xml:space="preserve">oil_hazelnut_60ml</x:t>
  </x:si>
  <x:si>
    <x:t xml:space="preserve">NS-0182-1</x:t>
  </x:si>
  <x:si>
    <x:t xml:space="preserve">oil_lemon_30ml</x:t>
  </x:si>
  <x:si>
    <x:t xml:space="preserve">NS-0182-2</x:t>
  </x:si>
  <x:si>
    <x:t xml:space="preserve">oil_lemon_60ml</x:t>
  </x:si>
  <x:si>
    <x:t xml:space="preserve">NS-0183-1</x:t>
  </x:si>
  <x:si>
    <x:t xml:space="preserve">oil_macadamia_30ml</x:t>
  </x:si>
  <x:si>
    <x:t xml:space="preserve">NS-0183-2</x:t>
  </x:si>
  <x:si>
    <x:t xml:space="preserve">oil_macadamia_60ml</x:t>
  </x:si>
  <x:si>
    <x:t xml:space="preserve">NS-0184-1</x:t>
  </x:si>
  <x:si>
    <x:t xml:space="preserve">oil_myrtle_30ml</x:t>
  </x:si>
  <x:si>
    <x:t xml:space="preserve">NS-0184-2</x:t>
  </x:si>
  <x:si>
    <x:t xml:space="preserve">oil_myrtle_60ml</x:t>
  </x:si>
  <x:si>
    <x:t xml:space="preserve">NS-0185-1</x:t>
  </x:si>
  <x:si>
    <x:t xml:space="preserve">oil_moringa_30ml</x:t>
  </x:si>
  <x:si>
    <x:t xml:space="preserve">NS-0185-2</x:t>
  </x:si>
  <x:si>
    <x:t xml:space="preserve">oil_moringa_60ml</x:t>
  </x:si>
  <x:si>
    <x:t xml:space="preserve">NS-0186-1</x:t>
  </x:si>
  <x:si>
    <x:t xml:space="preserve">oil_clove_30ml</x:t>
  </x:si>
  <x:si>
    <x:t xml:space="preserve">NS-0186-2</x:t>
  </x:si>
  <x:si>
    <x:t xml:space="preserve">oil_clove_60ml</x:t>
  </x:si>
  <x:si>
    <x:t xml:space="preserve">NS-0187-1</x:t>
  </x:si>
  <x:si>
    <x:t xml:space="preserve">oil_coconut_half_liter</x:t>
  </x:si>
  <x:si>
    <x:t xml:space="preserve">NS-0188-1</x:t>
  </x:si>
  <x:si>
    <x:t xml:space="preserve">oil_coconut_30ml</x:t>
  </x:si>
  <x:si>
    <x:t xml:space="preserve">NS-0187-2</x:t>
  </x:si>
  <x:si>
    <x:t xml:space="preserve">oil_coconut_1_liter</x:t>
  </x:si>
  <x:si>
    <x:t xml:space="preserve">NS-0188-2</x:t>
  </x:si>
  <x:si>
    <x:t xml:space="preserve">oil_coconut_60ml</x:t>
  </x:si>
  <x:si>
    <x:t xml:space="preserve">NS-0189-1</x:t>
  </x:si>
  <x:si>
    <x:t xml:space="preserve">grape_seed_oil_30ml</x:t>
  </x:si>
  <x:si>
    <x:t xml:space="preserve">NS-0189-2</x:t>
  </x:si>
  <x:si>
    <x:t xml:space="preserve">grape_seed_oil_60ml</x:t>
  </x:si>
  <x:si>
    <x:t xml:space="preserve">NS-0190-1</x:t>
  </x:si>
  <x:si>
    <x:t xml:space="preserve">bitter_orange_seed_oil_30ml</x:t>
  </x:si>
  <x:si>
    <x:t xml:space="preserve">NS-0190-2</x:t>
  </x:si>
  <x:si>
    <x:t xml:space="preserve">bitter_orange_seed_oil_60ml</x:t>
  </x:si>
  <x:si>
    <x:t xml:space="preserve">NS-0138-1</x:t>
  </x:si>
  <x:si>
    <x:t xml:space="preserve">oil_pennyroyal_30ml</x:t>
  </x:si>
  <x:si>
    <x:t xml:space="preserve">NS-0138-2</x:t>
  </x:si>
  <x:si>
    <x:t xml:space="preserve">oil_pennyroyal_60ml</x:t>
  </x:si>
  <x:si>
    <x:t xml:space="preserve">NS-0168-1</x:t>
  </x:si>
  <x:si>
    <x:t xml:space="preserve">oil_pumpkin_30ml</x:t>
  </x:si>
  <x:si>
    <x:t xml:space="preserve">NS-0168-2</x:t>
  </x:si>
  <x:si>
    <x:t xml:space="preserve">oil_pumpkin_60ml</x:t>
  </x:si>
  <x:si>
    <x:t xml:space="preserve">NS-0169-1</x:t>
  </x:si>
  <x:si>
    <x:t xml:space="preserve">oil_castor_half_liter</x:t>
  </x:si>
  <x:si>
    <x:t xml:space="preserve">NS-0170-1</x:t>
  </x:si>
  <x:si>
    <x:t xml:space="preserve">oil_castor_30ml</x:t>
  </x:si>
  <x:si>
    <x:t xml:space="preserve">NS-0169-2</x:t>
  </x:si>
  <x:si>
    <x:t xml:space="preserve">oil_castor_1_liter</x:t>
  </x:si>
  <x:si>
    <x:t xml:space="preserve">NS-0170-2</x:t>
  </x:si>
  <x:si>
    <x:t xml:space="preserve">oil_castor_60ml</x:t>
  </x:si>
  <x:si>
    <x:t xml:space="preserve">NS-0171-1</x:t>
  </x:si>
  <x:si>
    <x:t xml:space="preserve">oil_canola_half_liter</x:t>
  </x:si>
  <x:si>
    <x:t xml:space="preserve">NS-0171-2</x:t>
  </x:si>
  <x:si>
    <x:t xml:space="preserve">oil_canola_1_liter</x:t>
  </x:si>
  <x:si>
    <x:t xml:space="preserve">NS-0172-1</x:t>
  </x:si>
  <x:si>
    <x:t xml:space="preserve">oil_sesame_half_liter</x:t>
  </x:si>
  <x:si>
    <x:t xml:space="preserve">NS-0172-2</x:t>
  </x:si>
  <x:si>
    <x:t xml:space="preserve">oil_sesame_1_liter</x:t>
  </x:si>
  <x:si>
    <x:t xml:space="preserve">NS-0173-1</x:t>
  </x:si>
  <x:si>
    <x:t xml:space="preserve">oil_sesame_1</x:t>
  </x:si>
  <x:si>
    <x:t xml:space="preserve">NS-0173-2</x:t>
  </x:si>
  <x:si>
    <x:t xml:space="preserve">oil_sesame_2</x:t>
  </x:si>
  <x:si>
    <x:t xml:space="preserve">NS-0174-1</x:t>
  </x:si>
  <x:si>
    <x:t xml:space="preserve">oil_sesame_topical_30ml</x:t>
  </x:si>
  <x:si>
    <x:t xml:space="preserve">NS-0174-2</x:t>
  </x:si>
  <x:si>
    <x:t xml:space="preserve">oil_sesame_topical_60ml</x:t>
  </x:si>
  <x:si>
    <x:t xml:space="preserve">NS-0175-1</x:t>
  </x:si>
  <x:si>
    <x:t xml:space="preserve">oil_frankincense_30ml</x:t>
  </x:si>
  <x:si>
    <x:t xml:space="preserve">NS-0175-2</x:t>
  </x:si>
  <x:si>
    <x:t xml:space="preserve">oil_frankincense_60ml</x:t>
  </x:si>
  <x:si>
    <x:t xml:space="preserve">NS-0176-1</x:t>
  </x:si>
  <x:si>
    <x:t xml:space="preserve">oil_kondosh_30ml</x:t>
  </x:si>
  <x:si>
    <x:t xml:space="preserve">NS-0176-2</x:t>
  </x:si>
  <x:si>
    <x:t xml:space="preserve">oil_kondosh_60ml</x:t>
  </x:si>
  <x:si>
    <x:t xml:space="preserve">NS-0177-1</x:t>
  </x:si>
  <x:si>
    <x:t xml:space="preserve">oil_shark_30ml</x:t>
  </x:si>
  <x:si>
    <x:t xml:space="preserve">NS-0177-2</x:t>
  </x:si>
  <x:si>
    <x:t xml:space="preserve">oil_shark_60ml</x:t>
  </x:si>
  <x:si>
    <x:t xml:space="preserve">NS-0178-1</x:t>
  </x:si>
  <x:si>
    <x:t xml:space="preserve">oil_hump_camel_30ml</x:t>
  </x:si>
  <x:si>
    <x:t xml:space="preserve">NS-0178-2</x:t>
  </x:si>
  <x:si>
    <x:t xml:space="preserve">oil_hump_camel_60ml</x:t>
  </x:si>
  <x:si>
    <x:t xml:space="preserve">NS-0179-1</x:t>
  </x:si>
  <x:si>
    <x:t xml:space="preserve">oil_walnut_30ml</x:t>
  </x:si>
  <x:si>
    <x:t xml:space="preserve">NS-0179-2</x:t>
  </x:si>
  <x:si>
    <x:t xml:space="preserve">oil_walnut_60ml</x:t>
  </x:si>
  <x:si>
    <x:t xml:space="preserve">NS-0180-1</x:t>
  </x:si>
  <x:si>
    <x:t xml:space="preserve">oil_flower_rose_30ml</x:t>
  </x:si>
  <x:si>
    <x:t xml:space="preserve">NS-0180-2</x:t>
  </x:si>
  <x:si>
    <x:t xml:space="preserve">oil_flower_rose_60ml</x:t>
  </x:si>
  <x:si>
    <x:t xml:space="preserve">NS-0181-1</x:t>
  </x:si>
  <x:si>
    <x:t xml:space="preserve">oil_glycerin_30ml</x:t>
  </x:si>
  <x:si>
    <x:t xml:space="preserve">NS-0181-2</x:t>
  </x:si>
  <x:si>
    <x:t xml:space="preserve">oil_glycerin_60ml</x:t>
  </x:si>
  <x:si>
    <x:t xml:space="preserve">NS-0030-1</x:t>
  </x:si>
  <x:si>
    <x:t xml:space="preserve">mango_powder</x:t>
  </x:si>
  <x:si>
    <x:t xml:space="preserve">سایر</x:t>
  </x:si>
  <x:si>
    <x:t xml:space="preserve">NS-0047-1</x:t>
  </x:si>
  <x:si>
    <x:t xml:space="preserve">okra_powder</x:t>
  </x:si>
  <x:si>
    <x:t xml:space="preserve">NS-0050-1</x:t>
  </x:si>
  <x:si>
    <x:t xml:space="preserve">acorn</x:t>
  </x:si>
  <x:si>
    <x:t xml:space="preserve">NS-0066-1</x:t>
  </x:si>
  <x:si>
    <x:t xml:space="preserve">seed_basil</x:t>
  </x:si>
  <x:si>
    <x:t xml:space="preserve">NS-0069-1</x:t>
  </x:si>
  <x:si>
    <x:t xml:space="preserve">seed_kernel_sunflower</x:t>
  </x:si>
  <x:si>
    <x:t xml:space="preserve">NS-0070-1</x:t>
  </x:si>
  <x:si>
    <x:t xml:space="preserve">seed_kernel_pumpkin</x:t>
  </x:si>
  <x:si>
    <x:t xml:space="preserve">NS-0068-1</x:t>
  </x:si>
  <x:si>
    <x:t xml:space="preserve">seed_flax</x:t>
  </x:si>
  <x:si>
    <x:t xml:space="preserve">NS-0071-1</x:t>
  </x:si>
  <x:si>
    <x:t xml:space="preserve">tamarind</x:t>
  </x:si>
  <x:si>
    <x:t xml:space="preserve">NS-0077-1</x:t>
  </x:si>
  <x:si>
    <x:t xml:space="preserve">zedoary</x:t>
  </x:si>
  <x:si>
    <x:t xml:space="preserve">NS-0106-1</x:t>
  </x:si>
  <x:si>
    <x:t xml:space="preserve">henna</x:t>
  </x:si>
  <x:si>
    <x:t xml:space="preserve">NS-0107-1</x:t>
  </x:si>
  <x:si>
    <x:t xml:space="preserve">colorless_henna</x:t>
  </x:si>
  <x:si>
    <x:t xml:space="preserve">NS-0109-1</x:t>
  </x:si>
  <x:si>
    <x:t xml:space="preserve">purslane</x:t>
  </x:si>
  <x:si>
    <x:t xml:space="preserve">NS-0110-1</x:t>
  </x:si>
  <x:si>
    <x:t xml:space="preserve">fariman_yeast</x:t>
  </x:si>
  <x:si>
    <x:t xml:space="preserve">NS-0118-1</x:t>
  </x:si>
  <x:si>
    <x:t xml:space="preserve">pomegranate_paste</x:t>
  </x:si>
  <x:si>
    <x:t xml:space="preserve">NS-0119-1</x:t>
  </x:si>
  <x:si>
    <x:t xml:space="preserve">rosemary</x:t>
  </x:si>
  <x:si>
    <x:t xml:space="preserve">NS-0191-1</x:t>
  </x:si>
  <x:si>
    <x:t xml:space="preserve">zaj</x:t>
  </x:si>
  <x:si>
    <x:t xml:space="preserve">NS-0202-1</x:t>
  </x:si>
  <x:si>
    <x:t xml:space="preserve">sidr</x:t>
  </x:si>
  <x:si>
    <x:t xml:space="preserve">NS-0205-1</x:t>
  </x:si>
  <x:si>
    <x:t xml:space="preserve">surma</x:t>
  </x:si>
  <x:si>
    <x:t xml:space="preserve">NS-0210-1</x:t>
  </x:si>
  <x:si>
    <x:t xml:space="preserve">samanu</x:t>
  </x:si>
  <x:si>
    <x:t xml:space="preserve">NS-0214-1</x:t>
  </x:si>
  <x:si>
    <x:t xml:space="preserve">saviq_mixed</x:t>
  </x:si>
  <x:si>
    <x:t xml:space="preserve">NS-0219-1</x:t>
  </x:si>
  <x:si>
    <x:t xml:space="preserve">black_seed</x:t>
  </x:si>
  <x:si>
    <x:t xml:space="preserve">NS-0231-1</x:t>
  </x:si>
  <x:si>
    <x:t xml:space="preserve">turnip_powder</x:t>
  </x:si>
  <x:si>
    <x:t xml:space="preserve">NS-0232-1</x:t>
  </x:si>
  <x:si>
    <x:t xml:space="preserve">fenugreek</x:t>
  </x:si>
  <x:si>
    <x:t xml:space="preserve">NS-0233-1</x:t>
  </x:si>
  <x:si>
    <x:t xml:space="preserve">fenugreek_seed</x:t>
  </x:si>
  <x:si>
    <x:t xml:space="preserve">NS-0234-1</x:t>
  </x:si>
  <x:si>
    <x:t xml:space="preserve">dried_dill</x:t>
  </x:si>
  <x:si>
    <x:t xml:space="preserve">NS-0235-1</x:t>
  </x:si>
  <x:si>
    <x:t xml:space="preserve">confectionery_milk_powder</x:t>
  </x:si>
  <x:si>
    <x:t xml:space="preserve">NS-0236-1</x:t>
  </x:si>
  <x:si>
    <x:t xml:space="preserve">syrup_3_syrup</x:t>
  </x:si>
  <x:si>
    <x:t xml:space="preserve">NS-0237-1</x:t>
  </x:si>
  <x:si>
    <x:t xml:space="preserve">syrup_4_syrup</x:t>
  </x:si>
  <x:si>
    <x:t xml:space="preserve">NS-0239-1</x:t>
  </x:si>
  <x:si>
    <x:t xml:space="preserve">grape_syrup</x:t>
  </x:si>
  <x:si>
    <x:t xml:space="preserve">NS-0240-1</x:t>
  </x:si>
  <x:si>
    <x:t xml:space="preserve">mulberry_syrup</x:t>
  </x:si>
  <x:si>
    <x:t xml:space="preserve">NS-0242-1</x:t>
  </x:si>
  <x:si>
    <x:t xml:space="preserve">white_syrup_500g</x:t>
  </x:si>
  <x:si>
    <x:t xml:space="preserve">NS-0242-2</x:t>
  </x:si>
  <x:si>
    <x:t xml:space="preserve">white_syrup_1_kylv</x:t>
  </x:si>
  <x:si>
    <x:t xml:space="preserve">NS-0243-1</x:t>
  </x:si>
  <x:si>
    <x:t xml:space="preserve">apple_syrup</x:t>
  </x:si>
  <x:si>
    <x:t xml:space="preserve">NS-0246-1</x:t>
  </x:si>
  <x:si>
    <x:t xml:space="preserve">soap_7_herb</x:t>
  </x:si>
  <x:si>
    <x:t xml:space="preserve">NS-0249-1</x:t>
  </x:si>
  <x:si>
    <x:t xml:space="preserve">soap_argan</x:t>
  </x:si>
  <x:si>
    <x:t xml:space="preserve">NS-0250-1</x:t>
  </x:si>
  <x:si>
    <x:t xml:space="preserve">soap_sour_cherry</x:t>
  </x:si>
  <x:si>
    <x:t xml:space="preserve">NS-0247-1</x:t>
  </x:si>
  <x:si>
    <x:t xml:space="preserve">soap_pomegranate</x:t>
  </x:si>
  <x:si>
    <x:t xml:space="preserve">NS-0248-1</x:t>
  </x:si>
  <x:si>
    <x:t xml:space="preserve">soap_grape</x:t>
  </x:si>
  <x:si>
    <x:t xml:space="preserve">NS-0251-1</x:t>
  </x:si>
  <x:si>
    <x:t xml:space="preserve">soap_tryak</x:t>
  </x:si>
  <x:si>
    <x:t xml:space="preserve">NS-0253-1</x:t>
  </x:si>
  <x:si>
    <x:t xml:space="preserve">soap_charcoal_active</x:t>
  </x:si>
  <x:si>
    <x:t xml:space="preserve">NS-0256-1</x:t>
  </x:si>
  <x:si>
    <x:t xml:space="preserve">soap_olive</x:t>
  </x:si>
  <x:si>
    <x:t xml:space="preserve">NS-0257-1</x:t>
  </x:si>
  <x:si>
    <x:t xml:space="preserve">soap_sefidab</x:t>
  </x:si>
  <x:si>
    <x:t xml:space="preserve">NS-0258-1</x:t>
  </x:si>
  <x:si>
    <x:t xml:space="preserve">soap_syahdanh</x:t>
  </x:si>
  <x:si>
    <x:t xml:space="preserve">NS-0259-1</x:t>
  </x:si>
  <x:si>
    <x:t xml:space="preserve">soap_donkey_milk</x:t>
  </x:si>
  <x:si>
    <x:t xml:space="preserve">NS-0261-1</x:t>
  </x:si>
  <x:si>
    <x:t xml:space="preserve">soap_macadamia</x:t>
  </x:si>
  <x:si>
    <x:t xml:space="preserve">NS-0262-1</x:t>
  </x:si>
  <x:si>
    <x:t xml:space="preserve">gum</x:t>
  </x:si>
  <x:si>
    <x:t xml:space="preserve">NS-0314-1</x:t>
  </x:si>
  <x:si>
    <x:t xml:space="preserve">incense</x:t>
  </x:si>
  <x:si>
    <x:t xml:space="preserve">NS-0315-1</x:t>
  </x:si>
  <x:si>
    <x:t xml:space="preserve">unripe_grape_powder</x:t>
  </x:si>
  <x:si>
    <x:t xml:space="preserve">NS-0321-1</x:t>
  </x:si>
  <x:si>
    <x:t xml:space="preserve">tablet_back</x:t>
  </x:si>
  <x:si>
    <x:t xml:space="preserve">NS-0322-1</x:t>
  </x:si>
  <x:si>
    <x:t xml:space="preserve">qarehqurut</x:t>
  </x:si>
  <x:si>
    <x:t xml:space="preserve">NS-0323-1</x:t>
  </x:si>
  <x:si>
    <x:t xml:space="preserve">espresso_coffee_1</x:t>
  </x:si>
  <x:si>
    <x:t xml:space="preserve">NS-0323-2</x:t>
  </x:si>
  <x:si>
    <x:t xml:space="preserve">espresso_coffee_bsth_e</x:t>
  </x:si>
  <x:si>
    <x:t xml:space="preserve">NS-0324-1</x:t>
  </x:si>
  <x:si>
    <x:t xml:space="preserve">turkish_coffee_1</x:t>
  </x:si>
  <x:si>
    <x:t xml:space="preserve">NS-0324-2</x:t>
  </x:si>
  <x:si>
    <x:t xml:space="preserve">turkish_coffee_bsth_e</x:t>
  </x:si>
  <x:si>
    <x:t xml:space="preserve">NS-0325-1</x:t>
  </x:si>
  <x:si>
    <x:t xml:space="preserve">instant_coffee</x:t>
  </x:si>
  <x:si>
    <x:t xml:space="preserve">NS-0362-1</x:t>
  </x:si>
  <x:si>
    <x:t xml:space="preserve">beetroot</x:t>
  </x:si>
  <x:si>
    <x:t xml:space="preserve">NS-0363-1</x:t>
  </x:si>
  <x:si>
    <x:t xml:space="preserve">fruit_leather</x:t>
  </x:si>
  <x:si>
    <x:t xml:space="preserve">NS-0364-1</x:t>
  </x:si>
  <x:si>
    <x:t xml:space="preserve">sliced_lemon</x:t>
  </x:si>
  <x:si>
    <x:t xml:space="preserve">NS-0365-1</x:t>
  </x:si>
  <x:si>
    <x:t xml:space="preserve">lemon_tiger</x:t>
  </x:si>
  <x:si>
    <x:t xml:space="preserve">NS-0367-1</x:t>
  </x:si>
  <x:si>
    <x:t xml:space="preserve">purifier_blood</x:t>
  </x:si>
  <x:si>
    <x:t xml:space="preserve">NS-0370-1</x:t>
  </x:si>
  <x:si>
    <x:t xml:space="preserve">fat_sri_lankan_coconut</x:t>
  </x:si>
  <x:si>
    <x:t xml:space="preserve">NS-0383-1</x:t>
  </x:si>
  <x:si>
    <x:t xml:space="preserve">depilatory</x:t>
  </x:si>
  <x:si>
    <x:t xml:space="preserve">NS-0054-1</x:t>
  </x:si>
  <x:si>
    <x:t xml:space="preserve">ointment_cold_10_gram</x:t>
  </x:si>
  <x:si>
    <x:t xml:space="preserve">NS-0054-2</x:t>
  </x:si>
  <x:si>
    <x:t xml:space="preserve">ointment_cold_20_gram</x:t>
  </x:si>
  <x:si>
    <x:t xml:space="preserve">NS-0055-1</x:t>
  </x:si>
  <x:si>
    <x:t xml:space="preserve">ointment_black</x:t>
  </x:si>
  <x:si>
    <x:t xml:space="preserve">NS-0057-1</x:t>
  </x:si>
  <x:si>
    <x:t xml:space="preserve">ointment_latif_20_gram</x:t>
  </x:si>
  <x:si>
    <x:t xml:space="preserve">NS-0057-2</x:t>
  </x:si>
  <x:si>
    <x:t xml:space="preserve">ointment_latif_30_gram</x:t>
  </x:si>
  <x:si>
    <x:t xml:space="preserve">NS-0056-1</x:t>
  </x:si>
  <x:si>
    <x:t xml:space="preserve">ointment_warm_10_gram</x:t>
  </x:si>
  <x:si>
    <x:t xml:space="preserve">NS-0056-2</x:t>
  </x:si>
  <x:si>
    <x:t xml:space="preserve">ointment_warm_20_gram</x:t>
  </x:si>
  <x:si>
    <x:t xml:space="preserve">NS-0058-1</x:t>
  </x:si>
  <x:si>
    <x:t xml:space="preserve">pmadr_pain_10_gram</x:t>
  </x:si>
  <x:si>
    <x:t xml:space="preserve">NS-0058-2</x:t>
  </x:si>
  <x:si>
    <x:t xml:space="preserve">pmadr_pain_20_gram</x:t>
  </x:si>
  <x:si>
    <x:t xml:space="preserve">NS-0059-1</x:t>
  </x:si>
  <x:si>
    <x:t xml:space="preserve">pmadr_pain_55_gram</x:t>
  </x:si>
  <x:si>
    <x:t xml:space="preserve">NS-0060-1</x:t>
  </x:si>
  <x:si>
    <x:t xml:space="preserve">melon_powder</x:t>
  </x:si>
  <x:si>
    <x:t xml:space="preserve">NS-0061-1</x:t>
  </x:si>
  <x:si>
    <x:t xml:space="preserve">coarse_orange_breadcrumbs</x:t>
  </x:si>
  <x:si>
    <x:t xml:space="preserve">NS-0063-1</x:t>
  </x:si>
  <x:si>
    <x:t xml:space="preserve">sheep_kashk_powder</x:t>
  </x:si>
  <x:si>
    <x:t xml:space="preserve">NS-0064-1</x:t>
  </x:si>
  <x:si>
    <x:t xml:space="preserve">pennyroyal_dried</x:t>
  </x:si>
  <x:si>
    <x:t xml:space="preserve">NS-0097-1</x:t>
  </x:si>
  <x:si>
    <x:t xml:space="preserve">four_seed_mix</x:t>
  </x:si>
  <x:si>
    <x:t xml:space="preserve">NS-0098-1</x:t>
  </x:si>
  <x:si>
    <x:t xml:space="preserve">soapwort</x:t>
  </x:si>
  <x:si>
    <x:t xml:space="preserve">NS-0099-1</x:t>
  </x:si>
  <x:si>
    <x:t xml:space="preserve">chia_seed</x:t>
  </x:si>
  <x:si>
    <x:t xml:space="preserve">NS-0339-1</x:t>
  </x:si>
  <x:si>
    <x:t xml:space="preserve">coconut_butter_195_warm</x:t>
  </x:si>
  <x:si>
    <x:t xml:space="preserve">NS-0339-2</x:t>
  </x:si>
  <x:si>
    <x:t xml:space="preserve">coconut_butter_255_warm</x:t>
  </x:si>
  <x:si>
    <x:t xml:space="preserve">NS-0336-1</x:t>
  </x:si>
  <x:si>
    <x:t xml:space="preserve">five_nut_butter</x:t>
  </x:si>
  <x:si>
    <x:t xml:space="preserve">NS-0338-1</x:t>
  </x:si>
  <x:si>
    <x:t xml:space="preserve">butter_pumpkin</x:t>
  </x:si>
  <x:si>
    <x:t xml:space="preserve">NS-0344-1</x:t>
  </x:si>
  <x:si>
    <x:t xml:space="preserve">cookie_kolompeh</x:t>
  </x:si>
  <x:si>
    <x:t xml:space="preserve">NS-0350-1</x:t>
  </x:si>
  <x:si>
    <x:t xml:space="preserve">edible_frankincense</x:t>
  </x:si>
  <x:si>
    <x:t xml:space="preserve">NS-0327-1</x:t>
  </x:si>
  <x:si>
    <x:t xml:space="preserve">empty_capsule</x:t>
  </x:si>
  <x:si>
    <x:t xml:space="preserve">NS-0352-1</x:t>
  </x:si>
  <x:si>
    <x:t xml:space="preserve">bee_pollen</x:t>
  </x:si>
  <x:si>
    <x:t xml:space="preserve">NS-0353-1</x:t>
  </x:si>
  <x:si>
    <x:t xml:space="preserve">coriander</x:t>
  </x:si>
  <x:si>
    <x:t xml:space="preserve">NS-0356-1</x:t>
  </x:si>
  <x:si>
    <x:t xml:space="preserve">rose_bud</x:t>
  </x:si>
  <x:si>
    <x:t xml:space="preserve">NS-0355-1</x:t>
  </x:si>
  <x:si>
    <x:t xml:space="preserve">rose_petals</x:t>
  </x:si>
  <x:si>
    <x:t xml:space="preserve">NS-0359-1</x:t>
  </x:si>
  <x:si>
    <x:t xml:space="preserve">safflower</x:t>
  </x:si>
  <x:si>
    <x:t xml:space="preserve">NS-0361-1</x:t>
  </x:si>
  <x:si>
    <x:t xml:space="preserve">tomato_powder</x:t>
  </x:si>
  <x:si>
    <x:t xml:space="preserve">NS-0024-1</x:t>
  </x:si>
  <x:si>
    <x:t xml:space="preserve">tahini</x:t>
  </x:si>
  <x:si>
    <x:t xml:space="preserve">قنادی و شیرینی</x:t>
  </x:si>
  <x:si>
    <x:t xml:space="preserve">NS-0101-1</x:t>
  </x:si>
  <x:si>
    <x:t xml:space="preserve">plain_tahini_halva</x:t>
  </x:si>
  <x:si>
    <x:t xml:space="preserve">NS-0100-1</x:t>
  </x:si>
  <x:si>
    <x:t xml:space="preserve">pistachio_tahini_halva</x:t>
  </x:si>
  <x:si>
    <x:t xml:space="preserve">NS-0104-1</x:t>
  </x:si>
  <x:si>
    <x:t xml:space="preserve">halva_rope</x:t>
  </x:si>
  <x:si>
    <x:t xml:space="preserve">NS-0102-1</x:t>
  </x:si>
  <x:si>
    <x:t xml:space="preserve">halva_cotton</x:t>
  </x:si>
  <x:si>
    <x:t xml:space="preserve">NS-0105-1</x:t>
  </x:si>
  <x:si>
    <x:t xml:space="preserve">halva_sticky</x:t>
  </x:si>
  <x:si>
    <x:t xml:space="preserve">NS-0226-1</x:t>
  </x:si>
  <x:si>
    <x:t xml:space="preserve">white_sugar</x:t>
  </x:si>
  <x:si>
    <x:t xml:space="preserve">NS-0227-1</x:t>
  </x:si>
  <x:si>
    <x:t xml:space="preserve">brown_sugar</x:t>
  </x:si>
  <x:si>
    <x:t xml:space="preserve">NS-0228-1</x:t>
  </x:si>
  <x:si>
    <x:t xml:space="preserve">vanilla_bar_chocolate</x:t>
  </x:si>
  <x:si>
    <x:t xml:space="preserve">NS-0230-1</x:t>
  </x:si>
  <x:si>
    <x:t xml:space="preserve">bake_stable_cookie_chocolate</x:t>
  </x:si>
  <x:si>
    <x:t xml:space="preserve">NS-0229-1</x:t>
  </x:si>
  <x:si>
    <x:t xml:space="preserve">dark_chocolate_chips</x:t>
  </x:si>
  <x:si>
    <x:t xml:space="preserve">NS-0241-1</x:t>
  </x:si>
  <x:si>
    <x:t xml:space="preserve">date_syrup</x:t>
  </x:si>
  <x:si>
    <x:t xml:space="preserve">NS-0306-1</x:t>
  </x:si>
  <x:si>
    <x:t xml:space="preserve">orange_blossom_honey_bdvn_mvm</x:t>
  </x:si>
  <x:si>
    <x:t xml:space="preserve">NS-0306-2</x:t>
  </x:si>
  <x:si>
    <x:t xml:space="preserve">orange_blossom_honey_with_mvm</x:t>
  </x:si>
  <x:si>
    <x:t xml:space="preserve">NS-0307-1</x:t>
  </x:si>
  <x:si>
    <x:t xml:space="preserve">forest_honey</x:t>
  </x:si>
  <x:si>
    <x:t xml:space="preserve">NS-0309-1</x:t>
  </x:si>
  <x:si>
    <x:t xml:space="preserve">black_seed_honey</x:t>
  </x:si>
  <x:si>
    <x:t xml:space="preserve">NS-0308-1</x:t>
  </x:si>
  <x:si>
    <x:t xml:space="preserve">multi_flower_honey</x:t>
  </x:si>
  <x:si>
    <x:t xml:space="preserve">NS-0310-1</x:t>
  </x:si>
  <x:si>
    <x:t xml:space="preserve">sidr_honey</x:t>
  </x:si>
  <x:si>
    <x:t xml:space="preserve">NS-0311-1</x:t>
  </x:si>
  <x:si>
    <x:t xml:space="preserve">alfalfa_honey</x:t>
  </x:si>
  <x:si>
    <x:t xml:space="preserve">NS-0381-1</x:t>
  </x:si>
  <x:si>
    <x:t xml:space="preserve">nutella</x:t>
  </x:si>
  <x:si>
    <x:t xml:space="preserve">NS-0382-1</x:t>
  </x:si>
  <x:si>
    <x:t xml:space="preserve">nabsara_nutella_kilo</x:t>
  </x:si>
  <x:si>
    <x:t xml:space="preserve">NS-0382-2</x:t>
  </x:si>
  <x:si>
    <x:t xml:space="preserve">nabsara_nutella_bsth_bndy</x:t>
  </x:si>
  <x:si>
    <x:t xml:space="preserve">NS-0388-1</x:t>
  </x:si>
  <x:si>
    <x:t xml:space="preserve">sugary_bear_vanilla</x:t>
  </x:si>
  <x:si>
    <x:t xml:space="preserve">NS-0326-1</x:t>
  </x:si>
  <x:si>
    <x:t xml:space="preserve">kakayv</x:t>
  </x:si>
  <x:si>
    <x:t xml:space="preserve">NS-0328-1</x:t>
  </x:si>
  <x:si>
    <x:t xml:space="preserve">tahini_cream</x:t>
  </x:si>
  <x:si>
    <x:t xml:space="preserve">NS-0333-1</x:t>
  </x:si>
  <x:si>
    <x:t xml:space="preserve">honey_peanut_butter</x:t>
  </x:si>
  <x:si>
    <x:t xml:space="preserve">NS-0342-1</x:t>
  </x:si>
  <x:si>
    <x:t xml:space="preserve">ginger_cookie_with_brown_sugar</x:t>
  </x:si>
  <x:si>
    <x:t xml:space="preserve">NS-0343-1</x:t>
  </x:si>
  <x:si>
    <x:t xml:space="preserve">ginger_cookie_with_date_filling</x:t>
  </x:si>
  <x:si>
    <x:t xml:space="preserve">NS-0349-1</x:t>
  </x:si>
  <x:si>
    <x:t xml:space="preserve">lar_sesame_for_tahini</x:t>
  </x:si>
  <x:si>
    <x:t xml:space="preserve">NS-0037-1</x:t>
  </x:si>
  <x:si>
    <x:t xml:space="preserve">spice_grinder</x:t>
  </x:si>
  <x:si>
    <x:t xml:space="preserve">ملزومات</x:t>
  </x:si>
  <x:si>
    <x:t xml:space="preserve">NS-0263-1</x:t>
  </x:si>
  <x:si>
    <x:t xml:space="preserve">container_300_gram</x:t>
  </x:si>
  <x:si>
    <x:t xml:space="preserve">NS-0264-1</x:t>
  </x:si>
  <x:si>
    <x:t xml:space="preserve">container_spray_green</x:t>
  </x:si>
  <x:si>
    <x:t xml:space="preserve">NS-0264-2</x:t>
  </x:si>
  <x:si>
    <x:t xml:space="preserve">container_spray_bzrg</x:t>
  </x:si>
  <x:si>
    <x:t xml:space="preserve">NS-0266-1</x:t>
  </x:si>
  <x:si>
    <x:t xml:space="preserve">glass_bottle_container_half_liter</x:t>
  </x:si>
  <x:si>
    <x:t xml:space="preserve">NS-0266-2</x:t>
  </x:si>
  <x:si>
    <x:t xml:space="preserve">glass_bottle_container_1_liter</x:t>
  </x:si>
  <x:si>
    <x:t xml:space="preserve">NS-0265-1</x:t>
  </x:si>
  <x:si>
    <x:t xml:space="preserve">plastic_bottle_container_half_liter</x:t>
  </x:si>
  <x:si>
    <x:t xml:space="preserve">NS-0265-2</x:t>
  </x:si>
  <x:si>
    <x:t xml:space="preserve">plastic_bottle_container_1_liter</x:t>
  </x:si>
  <x:si>
    <x:t xml:space="preserve">NS-0267-1</x:t>
  </x:si>
  <x:si>
    <x:t xml:space="preserve">container_jar_jar_25</x:t>
  </x:si>
  <x:si>
    <x:t xml:space="preserve">NS-0267-2</x:t>
  </x:si>
  <x:si>
    <x:t xml:space="preserve">container_jar_jar_50</x:t>
  </x:si>
  <x:si>
    <x:t xml:space="preserve">NS-0268-1</x:t>
  </x:si>
  <x:si>
    <x:t xml:space="preserve">jar_container_size_2_kvchk</x:t>
  </x:si>
  <x:si>
    <x:t xml:space="preserve">NS-0268-2</x:t>
  </x:si>
  <x:si>
    <x:t xml:space="preserve">jar_container_size_2_mtvst</x:t>
  </x:si>
  <x:si>
    <x:t xml:space="preserve">NS-0269-1</x:t>
  </x:si>
  <x:si>
    <x:t xml:space="preserve">topical_oil_container_30ml</x:t>
  </x:si>
  <x:si>
    <x:t xml:space="preserve">NS-0269-2</x:t>
  </x:si>
  <x:si>
    <x:t xml:space="preserve">topical_oil_container_60ml</x:t>
  </x:si>
  <x:si>
    <x:t xml:space="preserve">NS-0270-1</x:t>
  </x:si>
  <x:si>
    <x:t xml:space="preserve">one_kilo_bucket_container</x:t>
  </x:si>
  <x:si>
    <x:t xml:space="preserve">NS-0271-1</x:t>
  </x:si>
  <x:si>
    <x:t xml:space="preserve">book_shape_container_250_gram</x:t>
  </x:si>
  <x:si>
    <x:t xml:space="preserve">NS-0271-2</x:t>
  </x:si>
  <x:si>
    <x:t xml:space="preserve">book_shape_container_400_gram</x:t>
  </x:si>
  <x:si>
    <x:t xml:space="preserve">NS-0272-1</x:t>
  </x:si>
  <x:si>
    <x:t xml:space="preserve">jug_container_kvchk</x:t>
  </x:si>
  <x:si>
    <x:t xml:space="preserve">NS-0272-2</x:t>
  </x:si>
  <x:si>
    <x:t xml:space="preserve">jug_container_bzrg</x:t>
  </x:si>
  <x:si>
    <x:t xml:space="preserve">NS-0053-1</x:t>
  </x:si>
  <x:si>
    <x:t xml:space="preserve">pouch</x:t>
  </x:si>
  <x:si>
    <x:t xml:space="preserve">NS-0032-1</x:t>
  </x:si>
  <x:si>
    <x:t xml:space="preserve">barberry_juice</x:t>
  </x:si>
  <x:si>
    <x:t xml:space="preserve">نوشیدنی و عرقیات</x:t>
  </x:si>
  <x:si>
    <x:t xml:space="preserve">NS-0033-1</x:t>
  </x:si>
  <x:si>
    <x:t xml:space="preserve">sour_grape_juice_half_liter</x:t>
  </x:si>
  <x:si>
    <x:t xml:space="preserve">NS-0093-1</x:t>
  </x:si>
  <x:si>
    <x:t xml:space="preserve">mountain_tea</x:t>
  </x:si>
  <x:si>
    <x:t xml:space="preserve">چای و دمنوش</x:t>
  </x:si>
  <x:si>
    <x:t xml:space="preserve">NS-0038-1</x:t>
  </x:si>
  <x:si>
    <x:t xml:space="preserve">shirazi_thyme</x:t>
  </x:si>
  <x:si>
    <x:t xml:space="preserve">گیاهان دارویی</x:t>
  </x:si>
  <x:si>
    <x:t xml:space="preserve">NS-0039-1</x:t>
  </x:si>
  <x:si>
    <x:t xml:space="preserve">wild_thyme</x:t>
  </x:si>
  <x:si>
    <x:t xml:space="preserve">NS-0028-1</x:t>
  </x:si>
  <x:si>
    <x:t xml:space="preserve">stevia</x:t>
  </x:si>
  <x:si>
    <x:t xml:space="preserve">NS-0029-1</x:t>
  </x:si>
  <x:si>
    <x:t xml:space="preserve">lavender</x:t>
  </x:si>
  <x:si>
    <x:t xml:space="preserve">NS-0026-1</x:t>
  </x:si>
  <x:si>
    <x:t xml:space="preserve">espand_seed</x:t>
  </x:si>
  <x:si>
    <x:t xml:space="preserve">NS-0025-1</x:t>
  </x:si>
  <x:si>
    <x:t xml:space="preserve">espand_powder</x:t>
  </x:si>
  <x:si>
    <x:t xml:space="preserve">NS-0040-1</x:t>
  </x:si>
  <x:si>
    <x:t xml:space="preserve">chamomile</x:t>
  </x:si>
  <x:si>
    <x:t xml:space="preserve">NS-0043-1</x:t>
  </x:si>
  <x:si>
    <x:t xml:space="preserve">lemon_balm</x:t>
  </x:si>
  <x:si>
    <x:t xml:space="preserve">NS-0044-1</x:t>
  </x:si>
  <x:si>
    <x:t xml:space="preserve">star_anise</x:t>
  </x:si>
  <x:si>
    <x:t xml:space="preserve">NS-0045-1</x:t>
  </x:si>
  <x:si>
    <x:t xml:space="preserve">plantain</x:t>
  </x:si>
  <x:si>
    <x:t xml:space="preserve">NS-0048-1</x:t>
  </x:si>
  <x:si>
    <x:t xml:space="preserve">bay_leaf</x:t>
  </x:si>
  <x:si>
    <x:t xml:space="preserve">NS-0051-1</x:t>
  </x:si>
  <x:si>
    <x:t xml:space="preserve">dried_quince</x:t>
  </x:si>
  <x:si>
    <x:t xml:space="preserve">NS-0108-1</x:t>
  </x:si>
  <x:si>
    <x:t xml:space="preserve">hamedan_flixweed</x:t>
  </x:si>
  <x:si>
    <x:t xml:space="preserve">NS-0198-1</x:t>
  </x:si>
  <x:si>
    <x:t xml:space="preserve">ajwain</x:t>
  </x:si>
  <x:si>
    <x:t xml:space="preserve">NS-0211-1</x:t>
  </x:si>
  <x:si>
    <x:t xml:space="preserve">valerian</x:t>
  </x:si>
  <x:si>
    <x:t xml:space="preserve">NS-0244-1</x:t>
  </x:si>
  <x:si>
    <x:t xml:space="preserve">licorice_syrup</x:t>
  </x:si>
  <x:si>
    <x:t xml:space="preserve">NS-0245-1</x:t>
  </x:si>
  <x:si>
    <x:t xml:space="preserve">licorice_root</x:t>
  </x:si>
  <x:si>
    <x:t xml:space="preserve">NS-0366-1</x:t>
  </x:si>
  <x:si>
    <x:t xml:space="preserve">savory</x:t>
  </x:si>
  <x:si>
    <x:t xml:space="preserve">NS-0373-1</x:t>
  </x:si>
  <x:si>
    <x:t xml:space="preserve">dried_mint</x:t>
  </x:si>
  <x:si>
    <x:t xml:space="preserve">NS-0354-1</x:t>
  </x:si>
  <x:si>
    <x:t xml:space="preserve">marshmallow_flower</x:t>
  </x:si>
  <x:si>
    <x:t xml:space="preserve">NS-0357-1</x:t>
  </x:si>
  <x:si>
    <x:t xml:space="preserve">borage_flower</x:t>
  </x:si>
  <x:si>
    <x:t xml:space="preserve">قیمت ۱ اولیه</x:t>
  </x:si>
  <x:si>
    <x:t xml:space="preserve">نوع/وزن ۱ اولیه</x:t>
  </x:si>
  <x:si>
    <x:t xml:space="preserve">قیمت ۲ اولیه</x:t>
  </x:si>
  <x:si>
    <x:t xml:space="preserve">نوع/وزن ۲ اولیه</x:t>
  </x:si>
  <x:si>
    <x:t xml:space="preserve">این شیت فقط پشتیبان قیمت‌های اولیه است. برای کار روزانه از شیت «قیمت ها» استفاده کن.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</x:si>
</x:sst>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4"/>
      <x:color rgb="FFFFFFFF"/>
      <x:name val="Carlito"/>
    </x:font>
    <x:font>
      <x:sz val="11"/>
      <x:color rgb="FF333333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color rgb="FF666666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2F2F2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666666"/>
      </x:patternFill>
    </x:fill>
    <x:fill>
      <x:patternFill patternType="solid">
        <x:fgColor rgb="FF1F4E78"/>
      </x:patternFill>
    </x:fill>
    <x:fill>
      <x:patternFill patternType="solid">
        <x:fgColor rgb="FF305496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</x:fills>
  <x:borders count="11"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26">
    <x:xf numFmtId="0" fontId="0" fillId="0" borderId="0" xfId="0"/>
    <x:xf numFmtId="0" fontId="3" fillId="4" borderId="0" xfId="0" applyFont="1" applyFill="1"/>
    <x:xf numFmtId="0" fontId="0" fillId="0" borderId="4" xfId="0" applyBorder="1"/>
    <x:xf numFmtId="0" fontId="0" fillId="0" borderId="5" xfId="0" applyBorder="1"/>
    <x:xf numFmtId="0" fontId="0" fillId="0" borderId="7" xfId="0" applyBorder="1"/>
    <x:xf numFmtId="0" fontId="0" fillId="0" borderId="8" xfId="0" applyBorder="1"/>
    <x:xf numFmtId="0" fontId="3" fillId="4" borderId="1" xfId="0" applyFont="1" applyFill="1" applyBorder="1"/>
    <x:xf numFmtId="0" fontId="3" fillId="4" borderId="2" xfId="0" applyFont="1" applyFill="1" applyBorder="1"/>
    <x:xf numFmtId="0" fontId="3" fillId="4" borderId="3" xfId="0" applyFont="1" applyFill="1" applyBorder="1"/>
    <x:xf numFmtId="0" fontId="0" fillId="0" borderId="6" xfId="0" applyBorder="1"/>
    <x:xf numFmtId="0" fontId="0" fillId="0" borderId="9" xfId="0" applyBorder="1"/>
    <x:xf numFmtId="0" fontId="5" fillId="7" borderId="0" xfId="0" applyFont="1" applyFill="1"/>
    <x:xf numFmtId="0" fontId="0" fillId="0" borderId="0" xfId="0" applyAlignment="1">
      <x:alignment wrapText="1"/>
    </x:xf>
    <x:xf numFmtId="0" fontId="3" fillId="2" borderId="1" xfId="0" applyFont="1" applyFill="1" applyBorder="1" applyAlignment="1">
      <x:alignment wrapText="1"/>
    </x:xf>
    <x:xf numFmtId="0" fontId="3" fillId="2" borderId="2" xfId="0" applyFont="1" applyFill="1" applyBorder="1" applyAlignment="1">
      <x:alignment wrapText="1"/>
    </x:xf>
    <x:xf numFmtId="3" fontId="0" fillId="0" borderId="5" xfId="0" applyNumberFormat="1" applyBorder="1"/>
    <x:xf numFmtId="3" fontId="0" fillId="0" borderId="8" xfId="0" applyNumberFormat="1" applyBorder="1"/>
    <x:xf numFmtId="0" fontId="3" fillId="8" borderId="1" xfId="0" applyFont="1" applyFill="1" applyBorder="1"/>
    <x:xf numFmtId="0" fontId="3" fillId="8" borderId="2" xfId="0" applyFont="1" applyFill="1" applyBorder="1"/>
    <x:xf numFmtId="0" fontId="3" fillId="8" borderId="3" xfId="0" applyFont="1" applyFill="1" applyBorder="1"/>
    <x:xf numFmtId="3" fontId="0" fillId="0" borderId="0" xfId="0" applyNumberFormat="1"/>
    <x:xf numFmtId="0" fontId="3" fillId="9" borderId="0" xfId="0" applyFont="1" applyFill="1"/>
    <x:xf numFmtId="0" fontId="7" fillId="3" borderId="0" xfId="0" applyFont="1" applyFill="1"/>
    <x:xf numFmtId="0" fontId="0" fillId="0" borderId="4" xfId="0" applyBorder="1" applyAlignment="1">
      <x:alignment horizontal="center" vertical="center"/>
    </x:xf>
    <x:xf numFmtId="3" fontId="0" fillId="5" borderId="5" xfId="0" applyNumberFormat="1" applyFill="1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3" fontId="0" fillId="6" borderId="5" xfId="0" applyNumberFormat="1" applyFill="1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3" fontId="0" fillId="5" borderId="8" xfId="0" applyNumberFormat="1" applyFill="1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3" fontId="0" fillId="6" borderId="8" xfId="0" applyNumberFormat="1" applyFill="1" applyBorder="1" applyAlignment="1">
      <x:alignment horizontal="center" vertical="center"/>
    </x:xf>
    <x:xf numFmtId="0" fontId="4" fillId="5" borderId="0" xfId="0" applyFont="1" applyFill="1"/>
    <x:xf numFmtId="0" fontId="1" fillId="2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wrapText="1"/>
    </x:xf>
    <x:xf numFmtId="0" fontId="0" fillId="5" borderId="0" xfId="0" applyFill="1" applyAlignment="1">
      <x:alignment wrapText="1"/>
    </x:xf>
    <x:xf numFmtId="0" fontId="6" fillId="8" borderId="0" xfId="0" applyFont="1" applyFill="1"/>
    <x:xf numFmtId="0" fontId="0" fillId="5" borderId="0" xfId="0" applyFill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/>
    <x:xf numFmtId="0" fontId="3" fillId="4" borderId="10" xfId="0" applyNumberFormat="1" applyFont="1" applyFill="1" applyBorder="1"/>
    <x:xf numFmtId="0" fontId="5" fillId="7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3" fontId="0" fillId="0" borderId="10" xfId="0" applyNumberFormat="1" applyFont="1" applyFill="1" applyBorder="1"/>
    <x:xf numFmtId="0" fontId="3" fillId="8" borderId="10" xfId="0" applyNumberFormat="1" applyFont="1" applyFill="1" applyBorder="1"/>
    <x:xf numFmtId="0" fontId="3" fillId="9" borderId="10" xfId="0" applyNumberFormat="1" applyFont="1" applyFill="1" applyBorder="1"/>
    <x:xf numFmtId="0" fontId="7" fillId="3" borderId="10" xfId="0" applyNumberFormat="1" applyFont="1" applyFill="1" applyBorder="1"/>
    <x:xf numFmtId="0" fontId="0" fillId="0" borderId="10" xfId="0" applyNumberFormat="1" applyFont="1" applyFill="1" applyBorder="1" applyAlignment="1">
      <x:alignment horizontal="center" vertical="center"/>
    </x:xf>
    <x:xf numFmtId="3" fontId="0" fillId="5" borderId="10" xfId="0" applyNumberFormat="1" applyFont="1" applyFill="1" applyBorder="1" applyAlignment="1">
      <x:alignment horizontal="center" vertical="center"/>
    </x:xf>
    <x:xf numFmtId="3" fontId="0" fillId="6" borderId="10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6" fillId="8" borderId="10" xfId="0" applyNumberFormat="1" applyFont="1" applyFill="1" applyBorder="1"/>
    <x:xf numFmtId="0" fontId="0" fillId="5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0" xfId="0" applyNumberFormat="1" applyFont="1" applyFill="1" applyBorder="1"/>
    <x:xf numFmtId="0" fontId="3" fillId="10" borderId="10" xfId="0" applyNumberFormat="1" applyFont="1" applyFill="1" applyBorder="1"/>
    <x:xf numFmtId="0" fontId="3" fillId="10" borderId="10" xfId="0" applyNumberFormat="1" applyFont="1" applyFill="1" applyBorder="1" applyAlignment="1">
      <x:alignment wrapText="1"/>
    </x:xf>
    <x:xf numFmtId="0" fontId="3" fillId="10" borderId="10" xfId="0" applyNumberFormat="1" applyFont="1" applyFill="1" applyBorder="1" applyAlignment="1">
      <x:alignment horizontal="center" wrapText="1"/>
    </x:xf>
    <x:xf numFmtId="0" fontId="3" fillId="10" borderId="1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10" xfId="0" applyNumberFormat="1" applyFont="1" applyFill="1" applyBorder="1"/>
    <x:xf numFmtId="0" fontId="3" fillId="11" borderId="10" xfId="0" applyNumberFormat="1" applyFont="1" applyFill="1" applyBorder="1"/>
    <x:xf numFmtId="0" fontId="3" fillId="11" borderId="10" xfId="0" applyNumberFormat="1" applyFont="1" applyFill="1" applyBorder="1" applyAlignment="1">
      <x:alignment wrapText="1"/>
    </x:xf>
    <x:xf numFmtId="0" fontId="3" fillId="11" borderId="10" xfId="0" applyNumberFormat="1" applyFont="1" applyFill="1" applyBorder="1" applyAlignment="1">
      <x:alignment horizontal="center" wrapText="1"/>
    </x:xf>
    <x:xf numFmtId="0" fontId="3" fillId="11" borderId="1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/>
    <x:xf numFmtId="0" fontId="5" fillId="7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3" fontId="0" fillId="0" borderId="0" xfId="0" applyNumberFormat="1" applyFont="1" applyFill="1" applyBorder="1"/>
    <x:xf numFmtId="0" fontId="3" fillId="8" borderId="0" xfId="0" applyNumberFormat="1" applyFont="1" applyFill="1" applyBorder="1"/>
    <x:xf numFmtId="0" fontId="3" fillId="9" borderId="0" xfId="0" applyNumberFormat="1" applyFont="1" applyFill="1" applyBorder="1"/>
    <x:xf numFmtId="0" fontId="7" fillId="3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center"/>
    </x:xf>
    <x:xf numFmtId="3" fontId="0" fillId="5" borderId="0" xfId="0" applyNumberFormat="1" applyFont="1" applyFill="1" applyBorder="1" applyAlignment="1">
      <x:alignment horizontal="center" vertical="center"/>
    </x:xf>
    <x:xf numFmtId="3" fontId="0" fillId="6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/>
    <x:xf numFmtId="0" fontId="0" fillId="5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/>
    <x:xf numFmtId="0" fontId="5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horizontal="center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3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</x:cellXfs>
  <x:cellStyles count="1">
    <x:cellStyle name="Normal" xfId="0"/>
  </x:cellStyles>
  <x:dxfs count="19"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/>
    <x:dxf/>
    <x:dxf/>
    <x:dxf/>
    <x:dxf/>
    <x:dxf/>
    <x:dxf/>
    <x:dxf/>
    <x:dxf/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d8980e27a43da" /><Relationship Type="http://schemas.openxmlformats.org/officeDocument/2006/relationships/theme" Target="/xl/theme/theme1.xml" Id="R771ed2e066f843dc" /><Relationship Type="http://schemas.microsoft.com/office/2022/11/relationships/FeaturePropertyBag" Target="/xl/featurePropertyBag/featurePropertyBag.xml" Id="R3d18fd475e1d4b2a" /><Relationship Type="http://schemas.openxmlformats.org/officeDocument/2006/relationships/sharedStrings" Target="/xl/sharedStrings.xml" Id="Rdca802ed89ee4600" /><Relationship Type="http://schemas.openxmlformats.org/officeDocument/2006/relationships/worksheet" Target="/xl/worksheets/sheet1.xml" Id="R9e8f3e735cc44dd2" /><Relationship Type="http://schemas.openxmlformats.org/officeDocument/2006/relationships/worksheet" Target="/xl/worksheets/sheet2.xml" Id="R9658c446cfba4bab" /><Relationship Type="http://schemas.openxmlformats.org/officeDocument/2006/relationships/worksheet" Target="/xl/worksheets/sheet3.xml" Id="R3557c7b9f0ed42db" /><Relationship Type="http://schemas.openxmlformats.org/officeDocument/2006/relationships/worksheet" Target="/xl/worksheets/sheet4.xml" Id="R9cd34290ed4048f0" /><Relationship Type="http://schemas.openxmlformats.org/officeDocument/2006/relationships/worksheet" Target="/xl/worksheets/sheet5.xml" Id="R8783282f79484183" /><Relationship Type="http://schemas.openxmlformats.org/officeDocument/2006/relationships/worksheet" Target="/xl/worksheets/sheet6.xml" Id="R35ec28c9b1ae4a34" /><Relationship Type="http://schemas.openxmlformats.org/officeDocument/2006/relationships/worksheet" Target="/xl/worksheets/sheet7.xml" Id="Rb7d1c9284ee64a09" /><Relationship Type="http://schemas.openxmlformats.org/officeDocument/2006/relationships/worksheet" Target="/xl/worksheets/sheet8.xml" Id="R6efb3a14233b4d18" /><Relationship Type="http://schemas.openxmlformats.org/officeDocument/2006/relationships/worksheet" Target="/xl/worksheets/sheet9.xml" Id="Rb3c68d51920c4022" /><Relationship Type="http://schemas.openxmlformats.org/officeDocument/2006/relationships/worksheet" Target="/xl/worksheets/sheet10.xml" Id="Rf2acae652aa245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iceMainTable" displayName="PriceMainTable" ref="A3:H391">
  <x:tableColumns count="8">
    <x:tableColumn id="1" name="نام محصول"/>
    <x:tableColumn id="2" name="قیمت ۱"/>
    <x:tableColumn id="3" name="نوع/وزن ۱"/>
    <x:tableColumn id="4" name="قیمت اولیه ۱"/>
    <x:tableColumn id="5" name="قیمت ۲"/>
    <x:tableColumn id="6" name="نوع/وزن ۲"/>
    <x:tableColumn id="7" name="قیمت اولیه ۲"/>
    <x:tableColumn id="8" name="وضعیت"/>
  </x:tableColumns>
  <x:tableStyleInfo name="TableStyleMedium2" showRowStripes="1"/>
</x:table>
</file>

<file path=xl/tables/table2.xml><?xml version="1.0" encoding="utf-8"?>
<x:table xmlns:x="http://schemas.openxmlformats.org/spreadsheetml/2006/main" id="2" name="SitePricesTable" displayName="SitePricesTable" ref="A1:K422">
  <x:tableColumns count="11">
    <x:tableColumn id="1" name="product_id"/>
    <x:tableColumn id="2" name="نام محصول"/>
    <x:tableColumn id="3" name="slug"/>
    <x:tableColumn id="4" name="دسته‌بندی"/>
    <x:tableColumn id="5" name="نوع/وزن"/>
    <x:tableColumn id="6" name="واحد"/>
    <x:tableColumn id="7" name="قیمت خام"/>
    <x:tableColumn id="8" name="price_toman"/>
    <x:tableColumn id="9" name="وضعیت"/>
    <x:tableColumn id="10" name="source_row"/>
    <x:tableColumn id="11" name="site_key"/>
  </x:tableColumns>
  <x:tableStyleInfo name="TableStyleMedium2" showRowStripes="1"/>
</x:table>
</file>

<file path=xl/tables/table3.xml><?xml version="1.0" encoding="utf-8"?>
<x:table xmlns:x="http://schemas.openxmlformats.org/spreadsheetml/2006/main" id="3" name="CategoryMapTable" displayName="CategoryMapTable" ref="A1:H7" headerRowCount="1">
  <x:tableColumns count="8">
    <x:tableColumn id="1" name="دسته‌بندی فارسی"/>
    <x:tableColumn id="2" name="category_id"/>
    <x:tableColumn id="3" name="slug"/>
    <x:tableColumn id="4" name="parent_id"/>
    <x:tableColumn id="5" name="description"/>
    <x:tableColumn id="6" name="image"/>
    <x:tableColumn id="7" name="isActive"/>
    <x:tableColumn id="8" name="نکته"/>
  </x:tableColumns>
  <x:tableStyleInfo name="TableStyleMedium2" showRowStripes="1"/>
</x:table>
</file>

<file path=xl/tables/table4.xml><?xml version="1.0" encoding="utf-8"?>
<x:table xmlns:x="http://schemas.openxmlformats.org/spreadsheetml/2006/main" id="4" name="ProductImportReadyTable" displayName="ProductImportReadyTable" ref="A1:AH389" headerRowCount="1">
  <x:tableColumns count="34">
    <x:tableColumn id="1" name="source_row"/>
    <x:tableColumn id="2" name="site_product_id"/>
    <x:tableColumn id="3" name="نام محصول"/>
    <x:tableColumn id="4" name="slug_suggested"/>
    <x:tableColumn id="5" name="import_action"/>
    <x:tableColumn id="6" name="matched_in_site"/>
    <x:tableColumn id="7" name="دسته فعلی سایت"/>
    <x:tableColumn id="8" name="دسته‌بندی فارسی"/>
    <x:tableColumn id="9" name="category_id"/>
    <x:tableColumn id="10" name="category_slug"/>
    <x:tableColumn id="11" name="category_parent_id"/>
    <x:tableColumn id="12" name="usageType"/>
    <x:tableColumn id="13" name="خوراکی؟"/>
    <x:tableColumn id="14" name="usage_note"/>
    <x:tableColumn id="15" name="چند وزنه؟"/>
    <x:tableColumn id="16" name="variant_count"/>
    <x:tableColumn id="17" name="variant_1_name"/>
    <x:tableColumn id="18" name="variant_1_price_raw"/>
    <x:tableColumn id="19" name="variant_1_price_toman"/>
    <x:tableColumn id="20" name="variant_1_weight"/>
    <x:tableColumn id="21" name="variant_1_weightUnit"/>
    <x:tableColumn id="22" name="variant_1_containerSize"/>
    <x:tableColumn id="23" name="variant_1_isDefault"/>
    <x:tableColumn id="24" name="variant_2_name"/>
    <x:tableColumn id="25" name="variant_2_price_raw"/>
    <x:tableColumn id="26" name="variant_2_price_toman"/>
    <x:tableColumn id="27" name="variant_2_weight"/>
    <x:tableColumn id="28" name="variant_2_weightUnit"/>
    <x:tableColumn id="29" name="variant_2_containerSize"/>
    <x:tableColumn id="30" name="variant_2_isDefault"/>
    <x:tableColumn id="31" name="status"/>
    <x:tableColumn id="32" name="category_source"/>
    <x:tableColumn id="33" name="review_note"/>
    <x:tableColumn id="34" name="variants_json"/>
  </x:tableColumns>
  <x:tableStyleInfo name="TableStyleMedium2" showRowStripes="1"/>
</x:table>
</file>

<file path=xl/tables/table5.xml><?xml version="1.0" encoding="utf-8"?>
<x:table xmlns:x="http://schemas.openxmlformats.org/spreadsheetml/2006/main" id="5" name="productimportcleanedTable" displayName="productimportcleanedTable" ref="A1:P360" headerRowCount="1">
  <x:tableColumns count="16">
    <x:tableColumn id="1" name="canonical_product_name"/>
    <x:tableColumn id="2" name="slug_final"/>
    <x:tableColumn id="3" name="final_action"/>
    <x:tableColumn id="4" name="source_rows"/>
    <x:tableColumn id="5" name="original_names"/>
    <x:tableColumn id="6" name="category_name"/>
    <x:tableColumn id="7" name="category_id"/>
    <x:tableColumn id="8" name="category_slug"/>
    <x:tableColumn id="9" name="category_parent_id"/>
    <x:tableColumn id="10" name="usageType"/>
    <x:tableColumn id="11" name="خوراکی؟"/>
    <x:tableColumn id="12" name="variant_count_final"/>
    <x:tableColumn id="13" name="missing_variant_prices"/>
    <x:tableColumn id="14" name="review_status"/>
    <x:tableColumn id="15" name="merge_note"/>
    <x:tableColumn id="16" name="variants_json_final"/>
  </x:tableColumns>
  <x:tableStyleInfo name="TableStyleMedium2" showRowStripes="1"/>
</x:table>
</file>

<file path=xl/tables/table6.xml><?xml version="1.0" encoding="utf-8"?>
<x:table xmlns:x="http://schemas.openxmlformats.org/spreadsheetml/2006/main" id="6" name="productmergemapTable" displayName="productmergemapTable" ref="A1:U389" headerRowCount="1">
  <x:tableColumns count="21">
    <x:tableColumn id="1" name="source_row"/>
    <x:tableColumn id="2" name="site_product_id"/>
    <x:tableColumn id="3" name="original_name"/>
    <x:tableColumn id="4" name="canonical_product_name"/>
    <x:tableColumn id="5" name="merge_group_id"/>
    <x:tableColumn id="6" name="variant_prefix"/>
    <x:tableColumn id="7" name="final_action"/>
    <x:tableColumn id="8" name="final_category_name"/>
    <x:tableColumn id="9" name="final_category_id"/>
    <x:tableColumn id="10" name="final_category_slug"/>
    <x:tableColumn id="11" name="final_usageType"/>
    <x:tableColumn id="12" name="final_edible"/>
    <x:tableColumn id="13" name="issue_status"/>
    <x:tableColumn id="14" name="final_note"/>
    <x:tableColumn id="15" name="matched_in_site"/>
    <x:tableColumn id="16" name="old_category"/>
    <x:tableColumn id="17" name="old_category_id"/>
    <x:tableColumn id="18" name="variant_1_name"/>
    <x:tableColumn id="19" name="variant_1_price_toman"/>
    <x:tableColumn id="20" name="variant_2_name"/>
    <x:tableColumn id="21" name="variant_2_price_toman"/>
  </x:tableColumns>
  <x:tableStyleInfo name="TableStyleMedium2" showRowStripes="1"/>
</x:table>
</file>

<file path=xl/tables/table7.xml><?xml version="1.0" encoding="utf-8"?>
<x:table xmlns:x="http://schemas.openxmlformats.org/spreadsheetml/2006/main" id="7" name="categoryfixlogv2Table" displayName="categoryfixlogv2Table" ref="A1:H246" headerRowCount="1">
  <x:tableColumns count="8">
    <x:tableColumn id="1" name="source_row"/>
    <x:tableColumn id="2" name="product_name"/>
    <x:tableColumn id="3" name="old_category"/>
    <x:tableColumn id="4" name="new_category"/>
    <x:tableColumn id="5" name="old_usageType"/>
    <x:tableColumn id="6" name="new_usageType"/>
    <x:tableColumn id="7" name="final_action"/>
    <x:tableColumn id="8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f74df43f4644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8771a4a34a45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82ee349c6a4c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c673ca45764c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ffa070df58d4c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f7c1ce084b649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5d8118f5e394984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28" customWidth="1"/>
    <x:col min="2" max="2" width="12" customWidth="1"/>
    <x:col min="3" max="3" width="14" customWidth="1"/>
    <x:col min="4" max="5" width="12" customWidth="1"/>
    <x:col min="6" max="6" width="14" customWidth="1"/>
    <x:col min="7" max="7" width="12" customWidth="1"/>
    <x:col min="8" max="8" width="16" customWidth="1"/>
    <x:col min="9" max="9" width="2" customWidth="1"/>
    <x:col min="10" max="10" width="28" customWidth="1"/>
    <x:col min="11" max="11" width="12" customWidth="1"/>
    <x:col min="12" max="12" width="14" customWidth="1"/>
    <x:col min="13" max="13" width="12" customWidth="1"/>
    <x:col min="14" max="14" width="14" customWidth="1"/>
    <x:col min="15" max="16" width="16" customWidth="1"/>
    <x:col min="25" max="25" width="3" customWidth="1"/>
    <x:col min="26" max="26" width="16.3799991607666" hidden="0" customWidth="1"/>
    <x:col min="27" max="27" width="22.75" hidden="0" customWidth="1"/>
    <x:col min="28" max="28" width="14.880000114440918" hidden="0" customWidth="1"/>
    <x:col min="29" max="29" width="8.880000114440918" hidden="0" customWidth="1"/>
    <x:col min="30" max="30" width="10.880000114440918" hidden="0" customWidth="1"/>
    <x:col min="31" max="31" width="9.130000114440918" hidden="0" customWidth="1"/>
    <x:col min="32" max="32" width="9.380000114440918" hidden="0" customWidth="1"/>
    <x:col min="33" max="33" width="13" hidden="0" customWidth="1"/>
    <x:col min="34" max="34" width="13" hidden="0" customWidth="1"/>
    <x:col min="35" max="35" width="119.87999725341797" hidden="0" customWidth="1"/>
  </x:cols>
  <x:sheetData>
    <x:row r="1" ht="24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12"/>
      <x:c r="J1" s="32" t="s">
        <x:v>1</x:v>
      </x:c>
      <x:c r="K1" s="32"/>
      <x:c r="L1" s="32"/>
      <x:c r="M1" s="32"/>
      <x:c r="N1" s="32"/>
      <x:c r="O1" s="32"/>
      <x:c r="P1" s="32"/>
      <x:c r="Y1" s="11"/>
    </x:row>
    <x:row r="2" ht="24" customHeight="1">
      <x:c r="A2" s="33" t="s">
        <x:v>2</x:v>
      </x:c>
      <x:c r="B2" s="33"/>
      <x:c r="C2" s="33"/>
      <x:c r="D2" s="33"/>
      <x:c r="E2" s="33"/>
      <x:c r="F2" s="33"/>
      <x:c r="G2" s="33"/>
      <x:c r="H2" s="33"/>
      <x:c r="I2" s="12"/>
      <x:c r="J2" s="12" t="s">
        <x:v>3</x:v>
      </x:c>
      <x:c r="K2" s="34" t="s">
        <x:v>4</x:v>
      </x:c>
      <x:c r="L2" s="34"/>
      <x:c r="M2" s="34"/>
      <x:c r="N2" s="34"/>
      <x:c r="O2" s="34"/>
      <x:c r="P2" s="34"/>
    </x:row>
    <x:row r="3" ht="24" customHeight="1">
      <x:c r="A3" s="13" t="s">
        <x:v>5</x:v>
      </x:c>
      <x:c r="B3" s="14" t="s">
        <x:v>6</x:v>
      </x:c>
      <x:c r="C3" s="14" t="s">
        <x:v>7</x:v>
      </x:c>
      <x:c r="D3" s="14" t="s">
        <x:v>8</x:v>
      </x:c>
      <x:c r="E3" s="14" t="s">
        <x:v>9</x:v>
      </x:c>
      <x:c r="F3" s="14" t="s">
        <x:v>10</x:v>
      </x:c>
      <x:c r="G3" s="14" t="s">
        <x:v>11</x:v>
      </x:c>
      <x:c r="H3" s="14" t="s">
        <x:v>12</x:v>
      </x:c>
      <x:c r="I3" s="12"/>
      <x:c r="J3" s="33" t="s">
        <x:v>13</x:v>
      </x:c>
      <x:c r="K3" s="33"/>
      <x:c r="L3" s="33"/>
      <x:c r="M3" s="33"/>
      <x:c r="N3" s="33"/>
      <x:c r="O3" s="33"/>
      <x:c r="P3" s="33"/>
      <x:c r="Y3">
        <x:v>0</x:v>
      </x:c>
      <x:c r="Z3" s="98" t="str">
        <x:v>دسته‌بندی فارسی</x:v>
      </x:c>
      <x:c r="AA3" s="98" t="str">
        <x:v>category_id</x:v>
      </x:c>
      <x:c r="AB3" s="98" t="str">
        <x:v>category_slug</x:v>
      </x:c>
      <x:c r="AC3" s="98" t="str">
        <x:v>usageType</x:v>
      </x:c>
      <x:c r="AD3" s="98" t="str">
        <x:v>خوراکی؟</x:v>
      </x:c>
      <x:c r="AE3" s="98" t="str">
        <x:v>چند وزنه؟</x:v>
      </x:c>
      <x:c r="AF3" s="98" t="str">
        <x:v>تعداد تنوع</x:v>
      </x:c>
      <x:c r="AG3" s="98" t="str">
        <x:v>قیمت ۱ تومان</x:v>
      </x:c>
      <x:c r="AH3" s="98" t="str">
        <x:v>قیمت ۲ تومان</x:v>
      </x:c>
      <x:c r="AI3" s="98" t="str">
        <x:v>نیاز به بررسی</x:v>
      </x:c>
    </x:row>
    <x:row r="4">
      <x:c r="A4" s="23" t="s">
        <x:v>14</x:v>
      </x:c>
      <x:c r="B4" s="24" t="s">
        <x:v>15</x:v>
      </x:c>
      <x:c r="C4" s="25" t="s">
        <x:v>16</x:v>
      </x:c>
      <x:c r="D4" s="26" t="s">
        <x:v>15</x:v>
      </x:c>
      <x:c r="E4" s="24"/>
      <x:c r="F4" s="25"/>
      <x:c r="G4" s="26"/>
      <x:c r="H4" s="25" t="str">
        <x:f t="shared" ref="H4:H67" si="0">IF(AND(OR(B4="",B4="؟"),OR(E4="",E4="؟")),"نیاز به استعلام","فعال")</x:f>
        <x:v>فعال</x:v>
      </x:c>
      <x:c r="J4" s="6" t="s">
        <x:v>5</x:v>
      </x:c>
      <x:c r="K4" s="7" t="s">
        <x:v>6</x:v>
      </x:c>
      <x:c r="L4" s="7" t="s">
        <x:v>7</x:v>
      </x:c>
      <x:c r="M4" s="7" t="s">
        <x:v>9</x:v>
      </x:c>
      <x:c r="N4" s="7" t="s">
        <x:v>10</x:v>
      </x:c>
      <x:c r="O4" s="7" t="s">
        <x:v>17</x:v>
      </x:c>
      <x:c r="P4" s="8" t="s">
        <x:v>18</x:v>
      </x:c>
      <x:c r="Y4" t="str">
        <x:f>IF(AND(LEN($K$2)&gt;=3,ISNUMBER(SEARCH($K$2,$A4))),MAX($Y$3:Y3)+1,"")</x:f>
      </x:c>
      <x:c r="Z4" s="79" t="str">
        <x:v>ادویه</x:v>
      </x:c>
      <x:c r="AA4" s="79" t="str">
        <x:v>6a3781e4df5573f4e676e226</x:v>
      </x:c>
      <x:c r="AB4" s="79" t="str">
        <x:v>spice</x:v>
      </x:c>
      <x:c r="AC4" s="79" t="str">
        <x:v>EDIBLE</x:v>
      </x:c>
      <x:c r="AD4" s="79" t="str">
        <x:v>بله</x:v>
      </x:c>
      <x:c r="AE4" s="79" t="str">
        <x:v>خیر</x:v>
      </x:c>
      <x:c r="AF4" s="79" t="n">
        <x:v>1</x:v>
      </x:c>
      <x:c r="AG4" s="104" t="n">
        <x:v>1150000</x:v>
      </x:c>
      <x:c r="AH4" s="104"/>
      <x:c r="AI4" s="79"/>
    </x:row>
    <x:row r="5">
      <x:c r="A5" s="23" t="s">
        <x:v>19</x:v>
      </x:c>
      <x:c r="B5" s="24">
        <x:v>800</x:v>
      </x:c>
      <x:c r="C5" s="25" t="s">
        <x:v>16</x:v>
      </x:c>
      <x:c r="D5" s="26">
        <x:v>800</x:v>
      </x:c>
      <x:c r="E5" s="24"/>
      <x:c r="F5" s="25"/>
      <x:c r="G5" s="26"/>
      <x:c r="H5" s="25" t="str">
        <x:f t="shared" si="0"/>
        <x:v>فعال</x:v>
      </x:c>
      <x:c r="J5" s="2" t="str">
        <x:f>IFERROR(INDEX($A$4:$A$391,MATCH(ROWS($J$5:J5),$Y$4:$Y$391,0)),"")</x:f>
        <x:v>عرق گل گاوزبان</x:v>
      </x:c>
      <x:c r="K5" s="15" t="n">
        <x:f>IF($J5="","",INDEX($B$4:$B$391,MATCH(ROWS($J$5:J5),$Y$4:$Y$391,0)))</x:f>
        <x:v>90</x:v>
      </x:c>
      <x:c r="L5" s="3" t="str">
        <x:f>IF($J5="","",INDEX($C$4:$C$391,MATCH(ROWS($J$5:J5),$Y$4:$Y$391,0)))</x:f>
        <x:v>نیم لیتر</x:v>
      </x:c>
      <x:c r="M5" s="15" t="n">
        <x:f>IF($J5="","",INDEX($E$4:$E$391,MATCH(ROWS($J$5:J5),$Y$4:$Y$391,0)))</x:f>
        <x:v>170</x:v>
      </x:c>
      <x:c r="N5" s="3" t="str">
        <x:f>IF($J5="","",INDEX($F$4:$F$391,MATCH(ROWS($J$5:J5),$Y$4:$Y$391,0)))</x:f>
        <x:v>1 لیتر</x:v>
      </x:c>
      <x:c r="O5" s="3" t="e">
        <x:f>IF($J5="","",HYPERLINK("#'قیمت ها'!B"&amp;(MATCH(ROWS($J$5:J5),$Y$4:$Y$391,0)+3),"ویرایش قیمت ۱"))</x:f>
      </x:c>
      <x:c r="P5" s="9" t="e">
        <x:f>IF($J5="","",HYPERLINK("#'قیمت ها'!E"&amp;(MATCH(ROWS($J$5:J5),$Y$4:$Y$391,0)+3),"ویرایش قیمت ۲"))</x:f>
      </x:c>
      <x:c r="Y5" t="str">
        <x:f>IF(AND(LEN($K$2)&gt;=3,ISNUMBER(SEARCH($K$2,$A5))),MAX($Y$3:Y4)+1,"")</x:f>
      </x:c>
      <x:c r="Z5" s="79" t="str">
        <x:v>ادویه</x:v>
      </x:c>
      <x:c r="AA5" s="79" t="str">
        <x:v>6a3781e4df5573f4e676e226</x:v>
      </x:c>
      <x:c r="AB5" s="79" t="str">
        <x:v>spice</x:v>
      </x:c>
      <x:c r="AC5" s="79" t="str">
        <x:v>EDIBLE</x:v>
      </x:c>
      <x:c r="AD5" s="79" t="str">
        <x:v>بله</x:v>
      </x:c>
      <x:c r="AE5" s="79" t="str">
        <x:v>خیر</x:v>
      </x:c>
      <x:c r="AF5" s="79" t="n">
        <x:v>1</x:v>
      </x:c>
      <x:c r="AG5" s="104" t="n">
        <x:v>800000</x:v>
      </x:c>
      <x:c r="AH5" s="104"/>
      <x:c r="AI5" s="79"/>
    </x:row>
    <x:row r="6">
      <x:c r="A6" s="23" t="s">
        <x:v>20</x:v>
      </x:c>
      <x:c r="B6" s="24">
        <x:v>600</x:v>
      </x:c>
      <x:c r="C6" s="25" t="s">
        <x:v>16</x:v>
      </x:c>
      <x:c r="D6" s="26">
        <x:v>600</x:v>
      </x:c>
      <x:c r="E6" s="24"/>
      <x:c r="F6" s="25"/>
      <x:c r="G6" s="26"/>
      <x:c r="H6" s="25" t="str">
        <x:f t="shared" si="0"/>
        <x:v>فعال</x:v>
      </x:c>
      <x:c r="J6" s="2" t="str">
        <x:f>IFERROR(INDEX($A$4:$A$391,MATCH(ROWS($J$5:J6),$Y$4:$Y$391,0)),"")</x:f>
        <x:v>گل گاوزبان</x:v>
      </x:c>
      <x:c r="K6" s="15" t="n">
        <x:f>IF($J6="","",INDEX($B$4:$B$391,MATCH(ROWS($J$5:J6),$Y$4:$Y$391,0)))</x:f>
        <x:v>4100</x:v>
      </x:c>
      <x:c r="L6" s="3" t="str">
        <x:f>IF($J6="","",INDEX($C$4:$C$391,MATCH(ROWS($J$5:J6),$Y$4:$Y$391,0)))</x:f>
        <x:v>کیلو</x:v>
      </x:c>
      <x:c r="M6" s="15" t="str">
        <x:f>IF($J6="","",INDEX($E$4:$E$391,MATCH(ROWS($J$5:J6),$Y$4:$Y$391,0)))</x:f>
      </x:c>
      <x:c r="N6" s="3" t="str">
        <x:f>IF($J6="","",INDEX($F$4:$F$391,MATCH(ROWS($J$5:J6),$Y$4:$Y$391,0)))</x:f>
      </x:c>
      <x:c r="O6" s="3" t="e">
        <x:f>IF($J6="","",HYPERLINK("#'قیمت ها'!B"&amp;(MATCH(ROWS($J$5:J6),$Y$4:$Y$391,0)+3),"ویرایش قیمت ۱"))</x:f>
      </x:c>
      <x:c r="P6" s="9" t="e">
        <x:f>IF($J6="","",HYPERLINK("#'قیمت ها'!E"&amp;(MATCH(ROWS($J$5:J6),$Y$4:$Y$391,0)+3),"ویرایش قیمت ۲"))</x:f>
      </x:c>
      <x:c r="Y6" t="str">
        <x:f>IF(AND(LEN($K$2)&gt;=3,ISNUMBER(SEARCH($K$2,$A6))),MAX($Y$3:Y5)+1,"")</x:f>
      </x:c>
      <x:c r="Z6" s="79" t="str">
        <x:v>ادویه</x:v>
      </x:c>
      <x:c r="AA6" s="79" t="str">
        <x:v>6a3781e4df5573f4e676e226</x:v>
      </x:c>
      <x:c r="AB6" s="79" t="str">
        <x:v>spice</x:v>
      </x:c>
      <x:c r="AC6" s="79" t="str">
        <x:v>EDIBLE</x:v>
      </x:c>
      <x:c r="AD6" s="79" t="str">
        <x:v>بله</x:v>
      </x:c>
      <x:c r="AE6" s="79" t="str">
        <x:v>خیر</x:v>
      </x:c>
      <x:c r="AF6" s="79" t="n">
        <x:v>1</x:v>
      </x:c>
      <x:c r="AG6" s="104" t="n">
        <x:v>600000</x:v>
      </x:c>
      <x:c r="AH6" s="104"/>
      <x:c r="AI6" s="79"/>
    </x:row>
    <x:row r="7">
      <x:c r="A7" s="23" t="s">
        <x:v>21</x:v>
      </x:c>
      <x:c r="B7" s="24">
        <x:v>700</x:v>
      </x:c>
      <x:c r="C7" s="25" t="s">
        <x:v>16</x:v>
      </x:c>
      <x:c r="D7" s="26">
        <x:v>700</x:v>
      </x:c>
      <x:c r="E7" s="24"/>
      <x:c r="F7" s="25"/>
      <x:c r="G7" s="26"/>
      <x:c r="H7" s="25" t="str">
        <x:f t="shared" si="0"/>
        <x:v>فعال</x:v>
      </x:c>
      <x:c r="J7" s="2" t="str">
        <x:f>IFERROR(INDEX($A$4:$A$391,MATCH(ROWS($J$5:J7),$Y$4:$Y$391,0)),"")</x:f>
      </x:c>
      <x:c r="K7" s="15" t="str">
        <x:f>IF($J7="","",INDEX($B$4:$B$391,MATCH(ROWS($J$5:J7),$Y$4:$Y$391,0)))</x:f>
      </x:c>
      <x:c r="L7" s="3" t="str">
        <x:f>IF($J7="","",INDEX($C$4:$C$391,MATCH(ROWS($J$5:J7),$Y$4:$Y$391,0)))</x:f>
      </x:c>
      <x:c r="M7" s="15" t="str">
        <x:f>IF($J7="","",INDEX($E$4:$E$391,MATCH(ROWS($J$5:J7),$Y$4:$Y$391,0)))</x:f>
      </x:c>
      <x:c r="N7" s="3" t="str">
        <x:f>IF($J7="","",INDEX($F$4:$F$391,MATCH(ROWS($J$5:J7),$Y$4:$Y$391,0)))</x:f>
      </x:c>
      <x:c r="O7" s="3" t="str">
        <x:f>IF($J7="","",HYPERLINK("#'قیمت ها'!B"&amp;(MATCH(ROWS($J$5:J7),$Y$4:$Y$391,0)+3),"ویرایش قیمت ۱"))</x:f>
      </x:c>
      <x:c r="P7" s="9" t="str">
        <x:f>IF($J7="","",HYPERLINK("#'قیمت ها'!E"&amp;(MATCH(ROWS($J$5:J7),$Y$4:$Y$391,0)+3),"ویرایش قیمت ۲"))</x:f>
      </x:c>
      <x:c r="Y7" t="str">
        <x:f>IF(AND(LEN($K$2)&gt;=3,ISNUMBER(SEARCH($K$2,$A7))),MAX($Y$3:Y6)+1,"")</x:f>
      </x:c>
      <x:c r="Z7" s="79" t="str">
        <x:v>ادویه</x:v>
      </x:c>
      <x:c r="AA7" s="79" t="str">
        <x:v>6a3781e4df5573f4e676e226</x:v>
      </x:c>
      <x:c r="AB7" s="79" t="str">
        <x:v>spice</x:v>
      </x:c>
      <x:c r="AC7" s="79" t="str">
        <x:v>EDIBLE</x:v>
      </x:c>
      <x:c r="AD7" s="79" t="str">
        <x:v>بله</x:v>
      </x:c>
      <x:c r="AE7" s="79" t="str">
        <x:v>خیر</x:v>
      </x:c>
      <x:c r="AF7" s="79" t="n">
        <x:v>1</x:v>
      </x:c>
      <x:c r="AG7" s="104" t="n">
        <x:v>700000</x:v>
      </x:c>
      <x:c r="AH7" s="104"/>
      <x:c r="AI7" s="79"/>
    </x:row>
    <x:row r="8">
      <x:c r="A8" s="23" t="s">
        <x:v>22</x:v>
      </x:c>
      <x:c r="B8" s="24" t="s">
        <x:v>23</x:v>
      </x:c>
      <x:c r="C8" s="25" t="s">
        <x:v>16</x:v>
      </x:c>
      <x:c r="D8" s="26" t="s">
        <x:v>23</x:v>
      </x:c>
      <x:c r="E8" s="24"/>
      <x:c r="F8" s="25"/>
      <x:c r="G8" s="26"/>
      <x:c r="H8" s="25" t="str">
        <x:f t="shared" si="0"/>
        <x:v>فعال</x:v>
      </x:c>
      <x:c r="J8" s="2" t="str">
        <x:f>IFERROR(INDEX($A$4:$A$391,MATCH(ROWS($J$5:J8),$Y$4:$Y$391,0)),"")</x:f>
      </x:c>
      <x:c r="K8" s="15" t="str">
        <x:f>IF($J8="","",INDEX($B$4:$B$391,MATCH(ROWS($J$5:J8),$Y$4:$Y$391,0)))</x:f>
      </x:c>
      <x:c r="L8" s="3" t="str">
        <x:f>IF($J8="","",INDEX($C$4:$C$391,MATCH(ROWS($J$5:J8),$Y$4:$Y$391,0)))</x:f>
      </x:c>
      <x:c r="M8" s="15" t="str">
        <x:f>IF($J8="","",INDEX($E$4:$E$391,MATCH(ROWS($J$5:J8),$Y$4:$Y$391,0)))</x:f>
      </x:c>
      <x:c r="N8" s="3" t="str">
        <x:f>IF($J8="","",INDEX($F$4:$F$391,MATCH(ROWS($J$5:J8),$Y$4:$Y$391,0)))</x:f>
      </x:c>
      <x:c r="O8" s="3" t="str">
        <x:f>IF($J8="","",HYPERLINK("#'قیمت ها'!B"&amp;(MATCH(ROWS($J$5:J8),$Y$4:$Y$391,0)+3),"ویرایش قیمت ۱"))</x:f>
      </x:c>
      <x:c r="P8" s="9" t="str">
        <x:f>IF($J8="","",HYPERLINK("#'قیمت ها'!E"&amp;(MATCH(ROWS($J$5:J8),$Y$4:$Y$391,0)+3),"ویرایش قیمت ۲"))</x:f>
      </x:c>
      <x:c r="Y8" t="str">
        <x:f>IF(AND(LEN($K$2)&gt;=3,ISNUMBER(SEARCH($K$2,$A8))),MAX($Y$3:Y7)+1,"")</x:f>
      </x:c>
      <x:c r="Z8" s="79" t="str">
        <x:v>ادویه</x:v>
      </x:c>
      <x:c r="AA8" s="79" t="str">
        <x:v>6a3781e4df5573f4e676e226</x:v>
      </x:c>
      <x:c r="AB8" s="79" t="str">
        <x:v>spice</x:v>
      </x:c>
      <x:c r="AC8" s="79" t="str">
        <x:v>EDIBLE</x:v>
      </x:c>
      <x:c r="AD8" s="79" t="str">
        <x:v>بله</x:v>
      </x:c>
      <x:c r="AE8" s="79" t="str">
        <x:v>خیر</x:v>
      </x:c>
      <x:c r="AF8" s="79" t="n">
        <x:v>1</x:v>
      </x:c>
      <x:c r="AG8" s="104" t="n">
        <x:v>1100000</x:v>
      </x:c>
      <x:c r="AH8" s="104"/>
      <x:c r="AI8" s="79"/>
    </x:row>
    <x:row r="9">
      <x:c r="A9" s="23" t="s">
        <x:v>24</x:v>
      </x:c>
      <x:c r="B9" s="24">
        <x:v>800</x:v>
      </x:c>
      <x:c r="C9" s="25" t="s">
        <x:v>16</x:v>
      </x:c>
      <x:c r="D9" s="26">
        <x:v>800</x:v>
      </x:c>
      <x:c r="E9" s="24"/>
      <x:c r="F9" s="25"/>
      <x:c r="G9" s="26"/>
      <x:c r="H9" s="25" t="str">
        <x:f t="shared" si="0"/>
        <x:v>فعال</x:v>
      </x:c>
      <x:c r="J9" s="2" t="str">
        <x:f>IFERROR(INDEX($A$4:$A$391,MATCH(ROWS($J$5:J9),$Y$4:$Y$391,0)),"")</x:f>
      </x:c>
      <x:c r="K9" s="15" t="str">
        <x:f>IF($J9="","",INDEX($B$4:$B$391,MATCH(ROWS($J$5:J9),$Y$4:$Y$391,0)))</x:f>
      </x:c>
      <x:c r="L9" s="3" t="str">
        <x:f>IF($J9="","",INDEX($C$4:$C$391,MATCH(ROWS($J$5:J9),$Y$4:$Y$391,0)))</x:f>
      </x:c>
      <x:c r="M9" s="15" t="str">
        <x:f>IF($J9="","",INDEX($E$4:$E$391,MATCH(ROWS($J$5:J9),$Y$4:$Y$391,0)))</x:f>
      </x:c>
      <x:c r="N9" s="3" t="str">
        <x:f>IF($J9="","",INDEX($F$4:$F$391,MATCH(ROWS($J$5:J9),$Y$4:$Y$391,0)))</x:f>
      </x:c>
      <x:c r="O9" s="3" t="str">
        <x:f>IF($J9="","",HYPERLINK("#'قیمت ها'!B"&amp;(MATCH(ROWS($J$5:J9),$Y$4:$Y$391,0)+3),"ویرایش قیمت ۱"))</x:f>
      </x:c>
      <x:c r="P9" s="9" t="str">
        <x:f>IF($J9="","",HYPERLINK("#'قیمت ها'!E"&amp;(MATCH(ROWS($J$5:J9),$Y$4:$Y$391,0)+3),"ویرایش قیمت ۲"))</x:f>
      </x:c>
      <x:c r="Y9" t="str">
        <x:f>IF(AND(LEN($K$2)&gt;=3,ISNUMBER(SEARCH($K$2,$A9))),MAX($Y$3:Y8)+1,"")</x:f>
      </x:c>
      <x:c r="Z9" s="79" t="str">
        <x:v>ادویه</x:v>
      </x:c>
      <x:c r="AA9" s="79" t="str">
        <x:v>6a3781e4df5573f4e676e226</x:v>
      </x:c>
      <x:c r="AB9" s="79" t="str">
        <x:v>spice</x:v>
      </x:c>
      <x:c r="AC9" s="79" t="str">
        <x:v>EDIBLE</x:v>
      </x:c>
      <x:c r="AD9" s="79" t="str">
        <x:v>بله</x:v>
      </x:c>
      <x:c r="AE9" s="79" t="str">
        <x:v>خیر</x:v>
      </x:c>
      <x:c r="AF9" s="79" t="n">
        <x:v>1</x:v>
      </x:c>
      <x:c r="AG9" s="104" t="n">
        <x:v>800000</x:v>
      </x:c>
      <x:c r="AH9" s="104"/>
      <x:c r="AI9" s="79"/>
    </x:row>
    <x:row r="10">
      <x:c r="A10" s="23" t="s">
        <x:v>25</x:v>
      </x:c>
      <x:c r="B10" s="24">
        <x:v>850</x:v>
      </x:c>
      <x:c r="C10" s="25" t="s">
        <x:v>16</x:v>
      </x:c>
      <x:c r="D10" s="26">
        <x:v>850</x:v>
      </x:c>
      <x:c r="E10" s="24"/>
      <x:c r="F10" s="25"/>
      <x:c r="G10" s="26"/>
      <x:c r="H10" s="25" t="str">
        <x:f t="shared" si="0"/>
        <x:v>فعال</x:v>
      </x:c>
      <x:c r="J10" s="2" t="str">
        <x:f>IFERROR(INDEX($A$4:$A$391,MATCH(ROWS($J$5:J10),$Y$4:$Y$391,0)),"")</x:f>
      </x:c>
      <x:c r="K10" s="15" t="str">
        <x:f>IF($J10="","",INDEX($B$4:$B$391,MATCH(ROWS($J$5:J10),$Y$4:$Y$391,0)))</x:f>
      </x:c>
      <x:c r="L10" s="3" t="str">
        <x:f>IF($J10="","",INDEX($C$4:$C$391,MATCH(ROWS($J$5:J10),$Y$4:$Y$391,0)))</x:f>
      </x:c>
      <x:c r="M10" s="15" t="str">
        <x:f>IF($J10="","",INDEX($E$4:$E$391,MATCH(ROWS($J$5:J10),$Y$4:$Y$391,0)))</x:f>
      </x:c>
      <x:c r="N10" s="3" t="str">
        <x:f>IF($J10="","",INDEX($F$4:$F$391,MATCH(ROWS($J$5:J10),$Y$4:$Y$391,0)))</x:f>
      </x:c>
      <x:c r="O10" s="3" t="str">
        <x:f>IF($J10="","",HYPERLINK("#'قیمت ها'!B"&amp;(MATCH(ROWS($J$5:J10),$Y$4:$Y$391,0)+3),"ویرایش قیمت ۱"))</x:f>
      </x:c>
      <x:c r="P10" s="9" t="str">
        <x:f>IF($J10="","",HYPERLINK("#'قیمت ها'!E"&amp;(MATCH(ROWS($J$5:J10),$Y$4:$Y$391,0)+3),"ویرایش قیمت ۲"))</x:f>
      </x:c>
      <x:c r="Y10" t="str">
        <x:f>IF(AND(LEN($K$2)&gt;=3,ISNUMBER(SEARCH($K$2,$A10))),MAX($Y$3:Y9)+1,"")</x:f>
      </x:c>
      <x:c r="Z10" s="79" t="str">
        <x:v>ادویه</x:v>
      </x:c>
      <x:c r="AA10" s="79" t="str">
        <x:v>6a3781e4df5573f4e676e226</x:v>
      </x:c>
      <x:c r="AB10" s="79" t="str">
        <x:v>spice</x:v>
      </x:c>
      <x:c r="AC10" s="79" t="str">
        <x:v>EDIBLE</x:v>
      </x:c>
      <x:c r="AD10" s="79" t="str">
        <x:v>بله</x:v>
      </x:c>
      <x:c r="AE10" s="79" t="str">
        <x:v>خیر</x:v>
      </x:c>
      <x:c r="AF10" s="79" t="n">
        <x:v>1</x:v>
      </x:c>
      <x:c r="AG10" s="104" t="n">
        <x:v>850000</x:v>
      </x:c>
      <x:c r="AH10" s="104"/>
      <x:c r="AI10" s="79"/>
    </x:row>
    <x:row r="11">
      <x:c r="A11" s="23" t="s">
        <x:v>26</x:v>
      </x:c>
      <x:c r="B11" s="24">
        <x:v>750</x:v>
      </x:c>
      <x:c r="C11" s="25" t="s">
        <x:v>16</x:v>
      </x:c>
      <x:c r="D11" s="26">
        <x:v>750</x:v>
      </x:c>
      <x:c r="E11" s="24"/>
      <x:c r="F11" s="25"/>
      <x:c r="G11" s="26"/>
      <x:c r="H11" s="25" t="str">
        <x:f t="shared" si="0"/>
        <x:v>فعال</x:v>
      </x:c>
      <x:c r="J11" s="2" t="str">
        <x:f>IFERROR(INDEX($A$4:$A$391,MATCH(ROWS($J$5:J11),$Y$4:$Y$391,0)),"")</x:f>
      </x:c>
      <x:c r="K11" s="15" t="str">
        <x:f>IF($J11="","",INDEX($B$4:$B$391,MATCH(ROWS($J$5:J11),$Y$4:$Y$391,0)))</x:f>
      </x:c>
      <x:c r="L11" s="3" t="str">
        <x:f>IF($J11="","",INDEX($C$4:$C$391,MATCH(ROWS($J$5:J11),$Y$4:$Y$391,0)))</x:f>
      </x:c>
      <x:c r="M11" s="15" t="str">
        <x:f>IF($J11="","",INDEX($E$4:$E$391,MATCH(ROWS($J$5:J11),$Y$4:$Y$391,0)))</x:f>
      </x:c>
      <x:c r="N11" s="3" t="str">
        <x:f>IF($J11="","",INDEX($F$4:$F$391,MATCH(ROWS($J$5:J11),$Y$4:$Y$391,0)))</x:f>
      </x:c>
      <x:c r="O11" s="3" t="str">
        <x:f>IF($J11="","",HYPERLINK("#'قیمت ها'!B"&amp;(MATCH(ROWS($J$5:J11),$Y$4:$Y$391,0)+3),"ویرایش قیمت ۱"))</x:f>
      </x:c>
      <x:c r="P11" s="9" t="str">
        <x:f>IF($J11="","",HYPERLINK("#'قیمت ها'!E"&amp;(MATCH(ROWS($J$5:J11),$Y$4:$Y$391,0)+3),"ویرایش قیمت ۲"))</x:f>
      </x:c>
      <x:c r="Y11" t="str">
        <x:f>IF(AND(LEN($K$2)&gt;=3,ISNUMBER(SEARCH($K$2,$A11))),MAX($Y$3:Y10)+1,"")</x:f>
      </x:c>
      <x:c r="Z11" s="79" t="str">
        <x:v>ادویه</x:v>
      </x:c>
      <x:c r="AA11" s="79" t="str">
        <x:v>6a3781e4df5573f4e676e226</x:v>
      </x:c>
      <x:c r="AB11" s="79" t="str">
        <x:v>spice</x:v>
      </x:c>
      <x:c r="AC11" s="79" t="str">
        <x:v>EDIBLE</x:v>
      </x:c>
      <x:c r="AD11" s="79" t="str">
        <x:v>بله</x:v>
      </x:c>
      <x:c r="AE11" s="79" t="str">
        <x:v>خیر</x:v>
      </x:c>
      <x:c r="AF11" s="79" t="n">
        <x:v>1</x:v>
      </x:c>
      <x:c r="AG11" s="104" t="n">
        <x:v>750000</x:v>
      </x:c>
      <x:c r="AH11" s="104"/>
      <x:c r="AI11" s="79"/>
    </x:row>
    <x:row r="12">
      <x:c r="A12" s="23" t="s">
        <x:v>27</x:v>
      </x:c>
      <x:c r="B12" s="24">
        <x:v>800</x:v>
      </x:c>
      <x:c r="C12" s="25" t="s">
        <x:v>16</x:v>
      </x:c>
      <x:c r="D12" s="26">
        <x:v>800</x:v>
      </x:c>
      <x:c r="E12" s="24"/>
      <x:c r="F12" s="25"/>
      <x:c r="G12" s="26"/>
      <x:c r="H12" s="25" t="str">
        <x:f t="shared" si="0"/>
        <x:v>فعال</x:v>
      </x:c>
      <x:c r="J12" s="2" t="str">
        <x:f>IFERROR(INDEX($A$4:$A$391,MATCH(ROWS($J$5:J12),$Y$4:$Y$391,0)),"")</x:f>
      </x:c>
      <x:c r="K12" s="15" t="str">
        <x:f>IF($J12="","",INDEX($B$4:$B$391,MATCH(ROWS($J$5:J12),$Y$4:$Y$391,0)))</x:f>
      </x:c>
      <x:c r="L12" s="3" t="str">
        <x:f>IF($J12="","",INDEX($C$4:$C$391,MATCH(ROWS($J$5:J12),$Y$4:$Y$391,0)))</x:f>
      </x:c>
      <x:c r="M12" s="15" t="str">
        <x:f>IF($J12="","",INDEX($E$4:$E$391,MATCH(ROWS($J$5:J12),$Y$4:$Y$391,0)))</x:f>
      </x:c>
      <x:c r="N12" s="3" t="str">
        <x:f>IF($J12="","",INDEX($F$4:$F$391,MATCH(ROWS($J$5:J12),$Y$4:$Y$391,0)))</x:f>
      </x:c>
      <x:c r="O12" s="3" t="str">
        <x:f>IF($J12="","",HYPERLINK("#'قیمت ها'!B"&amp;(MATCH(ROWS($J$5:J12),$Y$4:$Y$391,0)+3),"ویرایش قیمت ۱"))</x:f>
      </x:c>
      <x:c r="P12" s="9" t="str">
        <x:f>IF($J12="","",HYPERLINK("#'قیمت ها'!E"&amp;(MATCH(ROWS($J$5:J12),$Y$4:$Y$391,0)+3),"ویرایش قیمت ۲"))</x:f>
      </x:c>
      <x:c r="Y12" t="str">
        <x:f>IF(AND(LEN($K$2)&gt;=3,ISNUMBER(SEARCH($K$2,$A12))),MAX($Y$3:Y11)+1,"")</x:f>
      </x:c>
      <x:c r="Z12" s="79" t="str">
        <x:v>ادویه</x:v>
      </x:c>
      <x:c r="AA12" s="79" t="str">
        <x:v>6a3781e4df5573f4e676e226</x:v>
      </x:c>
      <x:c r="AB12" s="79" t="str">
        <x:v>spice</x:v>
      </x:c>
      <x:c r="AC12" s="79" t="str">
        <x:v>EDIBLE</x:v>
      </x:c>
      <x:c r="AD12" s="79" t="str">
        <x:v>بله</x:v>
      </x:c>
      <x:c r="AE12" s="79" t="str">
        <x:v>خیر</x:v>
      </x:c>
      <x:c r="AF12" s="79" t="n">
        <x:v>1</x:v>
      </x:c>
      <x:c r="AG12" s="104" t="n">
        <x:v>800000</x:v>
      </x:c>
      <x:c r="AH12" s="104"/>
      <x:c r="AI12" s="79"/>
    </x:row>
    <x:row r="13">
      <x:c r="A13" s="23" t="s">
        <x:v>28</x:v>
      </x:c>
      <x:c r="B13" s="24" t="s">
        <x:v>23</x:v>
      </x:c>
      <x:c r="C13" s="25" t="s">
        <x:v>16</x:v>
      </x:c>
      <x:c r="D13" s="26" t="s">
        <x:v>23</x:v>
      </x:c>
      <x:c r="E13" s="24"/>
      <x:c r="F13" s="25"/>
      <x:c r="G13" s="26"/>
      <x:c r="H13" s="25" t="str">
        <x:f t="shared" si="0"/>
        <x:v>فعال</x:v>
      </x:c>
      <x:c r="J13" s="2" t="str">
        <x:f>IFERROR(INDEX($A$4:$A$391,MATCH(ROWS($J$5:J13),$Y$4:$Y$391,0)),"")</x:f>
      </x:c>
      <x:c r="K13" s="15" t="str">
        <x:f>IF($J13="","",INDEX($B$4:$B$391,MATCH(ROWS($J$5:J13),$Y$4:$Y$391,0)))</x:f>
      </x:c>
      <x:c r="L13" s="3" t="str">
        <x:f>IF($J13="","",INDEX($C$4:$C$391,MATCH(ROWS($J$5:J13),$Y$4:$Y$391,0)))</x:f>
      </x:c>
      <x:c r="M13" s="15" t="str">
        <x:f>IF($J13="","",INDEX($E$4:$E$391,MATCH(ROWS($J$5:J13),$Y$4:$Y$391,0)))</x:f>
      </x:c>
      <x:c r="N13" s="3" t="str">
        <x:f>IF($J13="","",INDEX($F$4:$F$391,MATCH(ROWS($J$5:J13),$Y$4:$Y$391,0)))</x:f>
      </x:c>
      <x:c r="O13" s="3" t="str">
        <x:f>IF($J13="","",HYPERLINK("#'قیمت ها'!B"&amp;(MATCH(ROWS($J$5:J13),$Y$4:$Y$391,0)+3),"ویرایش قیمت ۱"))</x:f>
      </x:c>
      <x:c r="P13" s="9" t="str">
        <x:f>IF($J13="","",HYPERLINK("#'قیمت ها'!E"&amp;(MATCH(ROWS($J$5:J13),$Y$4:$Y$391,0)+3),"ویرایش قیمت ۲"))</x:f>
      </x:c>
      <x:c r="Y13" t="str">
        <x:f>IF(AND(LEN($K$2)&gt;=3,ISNUMBER(SEARCH($K$2,$A13))),MAX($Y$3:Y12)+1,"")</x:f>
      </x:c>
      <x:c r="Z13" s="79" t="str">
        <x:v>ادویه</x:v>
      </x:c>
      <x:c r="AA13" s="79" t="str">
        <x:v>6a3781e4df5573f4e676e226</x:v>
      </x:c>
      <x:c r="AB13" s="79" t="str">
        <x:v>spice</x:v>
      </x:c>
      <x:c r="AC13" s="79" t="str">
        <x:v>EDIBLE</x:v>
      </x:c>
      <x:c r="AD13" s="79" t="str">
        <x:v>بله</x:v>
      </x:c>
      <x:c r="AE13" s="79" t="str">
        <x:v>خیر</x:v>
      </x:c>
      <x:c r="AF13" s="79" t="n">
        <x:v>1</x:v>
      </x:c>
      <x:c r="AG13" s="104" t="n">
        <x:v>1100000</x:v>
      </x:c>
      <x:c r="AH13" s="104"/>
      <x:c r="AI13" s="79"/>
    </x:row>
    <x:row r="14">
      <x:c r="A14" s="23" t="s">
        <x:v>29</x:v>
      </x:c>
      <x:c r="B14" s="24">
        <x:v>800</x:v>
      </x:c>
      <x:c r="C14" s="25" t="s">
        <x:v>16</x:v>
      </x:c>
      <x:c r="D14" s="26">
        <x:v>800</x:v>
      </x:c>
      <x:c r="E14" s="24"/>
      <x:c r="F14" s="25"/>
      <x:c r="G14" s="26"/>
      <x:c r="H14" s="25" t="str">
        <x:f t="shared" si="0"/>
        <x:v>فعال</x:v>
      </x:c>
      <x:c r="J14" s="2" t="str">
        <x:f>IFERROR(INDEX($A$4:$A$391,MATCH(ROWS($J$5:J14),$Y$4:$Y$391,0)),"")</x:f>
      </x:c>
      <x:c r="K14" s="15" t="str">
        <x:f>IF($J14="","",INDEX($B$4:$B$391,MATCH(ROWS($J$5:J14),$Y$4:$Y$391,0)))</x:f>
      </x:c>
      <x:c r="L14" s="3" t="str">
        <x:f>IF($J14="","",INDEX($C$4:$C$391,MATCH(ROWS($J$5:J14),$Y$4:$Y$391,0)))</x:f>
      </x:c>
      <x:c r="M14" s="15" t="str">
        <x:f>IF($J14="","",INDEX($E$4:$E$391,MATCH(ROWS($J$5:J14),$Y$4:$Y$391,0)))</x:f>
      </x:c>
      <x:c r="N14" s="3" t="str">
        <x:f>IF($J14="","",INDEX($F$4:$F$391,MATCH(ROWS($J$5:J14),$Y$4:$Y$391,0)))</x:f>
      </x:c>
      <x:c r="O14" s="3" t="str">
        <x:f>IF($J14="","",HYPERLINK("#'قیمت ها'!B"&amp;(MATCH(ROWS($J$5:J14),$Y$4:$Y$391,0)+3),"ویرایش قیمت ۱"))</x:f>
      </x:c>
      <x:c r="P14" s="9" t="str">
        <x:f>IF($J14="","",HYPERLINK("#'قیمت ها'!E"&amp;(MATCH(ROWS($J$5:J14),$Y$4:$Y$391,0)+3),"ویرایش قیمت ۲"))</x:f>
      </x:c>
      <x:c r="Y14" t="str">
        <x:f>IF(AND(LEN($K$2)&gt;=3,ISNUMBER(SEARCH($K$2,$A14))),MAX($Y$3:Y13)+1,"")</x:f>
      </x:c>
      <x:c r="Z14" s="79" t="str">
        <x:v>ادویه</x:v>
      </x:c>
      <x:c r="AA14" s="79" t="str">
        <x:v>6a3781e4df5573f4e676e226</x:v>
      </x:c>
      <x:c r="AB14" s="79" t="str">
        <x:v>spice</x:v>
      </x:c>
      <x:c r="AC14" s="79" t="str">
        <x:v>EDIBLE</x:v>
      </x:c>
      <x:c r="AD14" s="79" t="str">
        <x:v>بله</x:v>
      </x:c>
      <x:c r="AE14" s="79" t="str">
        <x:v>خیر</x:v>
      </x:c>
      <x:c r="AF14" s="79" t="n">
        <x:v>1</x:v>
      </x:c>
      <x:c r="AG14" s="104" t="n">
        <x:v>800000</x:v>
      </x:c>
      <x:c r="AH14" s="104"/>
      <x:c r="AI14" s="79"/>
    </x:row>
    <x:row r="15">
      <x:c r="A15" s="23" t="s">
        <x:v>30</x:v>
      </x:c>
      <x:c r="B15" s="24">
        <x:v>850</x:v>
      </x:c>
      <x:c r="C15" s="25" t="s">
        <x:v>16</x:v>
      </x:c>
      <x:c r="D15" s="26">
        <x:v>850</x:v>
      </x:c>
      <x:c r="E15" s="24"/>
      <x:c r="F15" s="25"/>
      <x:c r="G15" s="26"/>
      <x:c r="H15" s="25" t="str">
        <x:f t="shared" si="0"/>
        <x:v>فعال</x:v>
      </x:c>
      <x:c r="J15" s="2" t="str">
        <x:f>IFERROR(INDEX($A$4:$A$391,MATCH(ROWS($J$5:J15),$Y$4:$Y$391,0)),"")</x:f>
      </x:c>
      <x:c r="K15" s="15" t="str">
        <x:f>IF($J15="","",INDEX($B$4:$B$391,MATCH(ROWS($J$5:J15),$Y$4:$Y$391,0)))</x:f>
      </x:c>
      <x:c r="L15" s="3" t="str">
        <x:f>IF($J15="","",INDEX($C$4:$C$391,MATCH(ROWS($J$5:J15),$Y$4:$Y$391,0)))</x:f>
      </x:c>
      <x:c r="M15" s="15" t="str">
        <x:f>IF($J15="","",INDEX($E$4:$E$391,MATCH(ROWS($J$5:J15),$Y$4:$Y$391,0)))</x:f>
      </x:c>
      <x:c r="N15" s="3" t="str">
        <x:f>IF($J15="","",INDEX($F$4:$F$391,MATCH(ROWS($J$5:J15),$Y$4:$Y$391,0)))</x:f>
      </x:c>
      <x:c r="O15" s="3" t="str">
        <x:f>IF($J15="","",HYPERLINK("#'قیمت ها'!B"&amp;(MATCH(ROWS($J$5:J15),$Y$4:$Y$391,0)+3),"ویرایش قیمت ۱"))</x:f>
      </x:c>
      <x:c r="P15" s="9" t="str">
        <x:f>IF($J15="","",HYPERLINK("#'قیمت ها'!E"&amp;(MATCH(ROWS($J$5:J15),$Y$4:$Y$391,0)+3),"ویرایش قیمت ۲"))</x:f>
      </x:c>
      <x:c r="Y15" t="str">
        <x:f>IF(AND(LEN($K$2)&gt;=3,ISNUMBER(SEARCH($K$2,$A15))),MAX($Y$3:Y14)+1,"")</x:f>
      </x:c>
      <x:c r="Z15" s="79" t="str">
        <x:v>ادویه</x:v>
      </x:c>
      <x:c r="AA15" s="79" t="str">
        <x:v>6a3781e4df5573f4e676e226</x:v>
      </x:c>
      <x:c r="AB15" s="79" t="str">
        <x:v>spice</x:v>
      </x:c>
      <x:c r="AC15" s="79" t="str">
        <x:v>EDIBLE</x:v>
      </x:c>
      <x:c r="AD15" s="79" t="str">
        <x:v>بله</x:v>
      </x:c>
      <x:c r="AE15" s="79" t="str">
        <x:v>خیر</x:v>
      </x:c>
      <x:c r="AF15" s="79" t="n">
        <x:v>1</x:v>
      </x:c>
      <x:c r="AG15" s="104" t="n">
        <x:v>850000</x:v>
      </x:c>
      <x:c r="AH15" s="104"/>
      <x:c r="AI15" s="79"/>
    </x:row>
    <x:row r="16">
      <x:c r="A16" s="23" t="s">
        <x:v>31</x:v>
      </x:c>
      <x:c r="B16" s="24" t="s">
        <x:v>23</x:v>
      </x:c>
      <x:c r="C16" s="25" t="s">
        <x:v>16</x:v>
      </x:c>
      <x:c r="D16" s="26" t="s">
        <x:v>23</x:v>
      </x:c>
      <x:c r="E16" s="24"/>
      <x:c r="F16" s="25"/>
      <x:c r="G16" s="26"/>
      <x:c r="H16" s="25" t="str">
        <x:f t="shared" si="0"/>
        <x:v>فعال</x:v>
      </x:c>
      <x:c r="J16" s="2" t="str">
        <x:f>IFERROR(INDEX($A$4:$A$391,MATCH(ROWS($J$5:J16),$Y$4:$Y$391,0)),"")</x:f>
      </x:c>
      <x:c r="K16" s="15" t="str">
        <x:f>IF($J16="","",INDEX($B$4:$B$391,MATCH(ROWS($J$5:J16),$Y$4:$Y$391,0)))</x:f>
      </x:c>
      <x:c r="L16" s="3" t="str">
        <x:f>IF($J16="","",INDEX($C$4:$C$391,MATCH(ROWS($J$5:J16),$Y$4:$Y$391,0)))</x:f>
      </x:c>
      <x:c r="M16" s="15" t="str">
        <x:f>IF($J16="","",INDEX($E$4:$E$391,MATCH(ROWS($J$5:J16),$Y$4:$Y$391,0)))</x:f>
      </x:c>
      <x:c r="N16" s="3" t="str">
        <x:f>IF($J16="","",INDEX($F$4:$F$391,MATCH(ROWS($J$5:J16),$Y$4:$Y$391,0)))</x:f>
      </x:c>
      <x:c r="O16" s="3" t="str">
        <x:f>IF($J16="","",HYPERLINK("#'قیمت ها'!B"&amp;(MATCH(ROWS($J$5:J16),$Y$4:$Y$391,0)+3),"ویرایش قیمت ۱"))</x:f>
      </x:c>
      <x:c r="P16" s="9" t="str">
        <x:f>IF($J16="","",HYPERLINK("#'قیمت ها'!E"&amp;(MATCH(ROWS($J$5:J16),$Y$4:$Y$391,0)+3),"ویرایش قیمت ۲"))</x:f>
      </x:c>
      <x:c r="Y16" t="str">
        <x:f>IF(AND(LEN($K$2)&gt;=3,ISNUMBER(SEARCH($K$2,$A16))),MAX($Y$3:Y15)+1,"")</x:f>
      </x:c>
      <x:c r="Z16" s="79" t="str">
        <x:v>ادویه</x:v>
      </x:c>
      <x:c r="AA16" s="79" t="str">
        <x:v>6a3781e4df5573f4e676e226</x:v>
      </x:c>
      <x:c r="AB16" s="79" t="str">
        <x:v>spice</x:v>
      </x:c>
      <x:c r="AC16" s="79" t="str">
        <x:v>EDIBLE</x:v>
      </x:c>
      <x:c r="AD16" s="79" t="str">
        <x:v>بله</x:v>
      </x:c>
      <x:c r="AE16" s="79" t="str">
        <x:v>خیر</x:v>
      </x:c>
      <x:c r="AF16" s="79" t="n">
        <x:v>1</x:v>
      </x:c>
      <x:c r="AG16" s="104" t="n">
        <x:v>1100000</x:v>
      </x:c>
      <x:c r="AH16" s="104"/>
      <x:c r="AI16" s="79"/>
    </x:row>
    <x:row r="17">
      <x:c r="A17" s="23" t="s">
        <x:v>32</x:v>
      </x:c>
      <x:c r="B17" s="24">
        <x:v>800</x:v>
      </x:c>
      <x:c r="C17" s="25" t="s">
        <x:v>16</x:v>
      </x:c>
      <x:c r="D17" s="26">
        <x:v>800</x:v>
      </x:c>
      <x:c r="E17" s="24"/>
      <x:c r="F17" s="25"/>
      <x:c r="G17" s="26"/>
      <x:c r="H17" s="25" t="str">
        <x:f t="shared" si="0"/>
        <x:v>فعال</x:v>
      </x:c>
      <x:c r="J17" s="2" t="str">
        <x:f>IFERROR(INDEX($A$4:$A$391,MATCH(ROWS($J$5:J17),$Y$4:$Y$391,0)),"")</x:f>
      </x:c>
      <x:c r="K17" s="15" t="str">
        <x:f>IF($J17="","",INDEX($B$4:$B$391,MATCH(ROWS($J$5:J17),$Y$4:$Y$391,0)))</x:f>
      </x:c>
      <x:c r="L17" s="3" t="str">
        <x:f>IF($J17="","",INDEX($C$4:$C$391,MATCH(ROWS($J$5:J17),$Y$4:$Y$391,0)))</x:f>
      </x:c>
      <x:c r="M17" s="15" t="str">
        <x:f>IF($J17="","",INDEX($E$4:$E$391,MATCH(ROWS($J$5:J17),$Y$4:$Y$391,0)))</x:f>
      </x:c>
      <x:c r="N17" s="3" t="str">
        <x:f>IF($J17="","",INDEX($F$4:$F$391,MATCH(ROWS($J$5:J17),$Y$4:$Y$391,0)))</x:f>
      </x:c>
      <x:c r="O17" s="3" t="str">
        <x:f>IF($J17="","",HYPERLINK("#'قیمت ها'!B"&amp;(MATCH(ROWS($J$5:J17),$Y$4:$Y$391,0)+3),"ویرایش قیمت ۱"))</x:f>
      </x:c>
      <x:c r="P17" s="9" t="str">
        <x:f>IF($J17="","",HYPERLINK("#'قیمت ها'!E"&amp;(MATCH(ROWS($J$5:J17),$Y$4:$Y$391,0)+3),"ویرایش قیمت ۲"))</x:f>
      </x:c>
      <x:c r="Y17" t="str">
        <x:f>IF(AND(LEN($K$2)&gt;=3,ISNUMBER(SEARCH($K$2,$A17))),MAX($Y$3:Y16)+1,"")</x:f>
      </x:c>
      <x:c r="Z17" s="79" t="str">
        <x:v>ادویه</x:v>
      </x:c>
      <x:c r="AA17" s="79" t="str">
        <x:v>6a3781e4df5573f4e676e226</x:v>
      </x:c>
      <x:c r="AB17" s="79" t="str">
        <x:v>spice</x:v>
      </x:c>
      <x:c r="AC17" s="79" t="str">
        <x:v>EDIBLE</x:v>
      </x:c>
      <x:c r="AD17" s="79" t="str">
        <x:v>بله</x:v>
      </x:c>
      <x:c r="AE17" s="79" t="str">
        <x:v>خیر</x:v>
      </x:c>
      <x:c r="AF17" s="79" t="n">
        <x:v>1</x:v>
      </x:c>
      <x:c r="AG17" s="104" t="n">
        <x:v>800000</x:v>
      </x:c>
      <x:c r="AH17" s="104"/>
      <x:c r="AI17" s="79"/>
    </x:row>
    <x:row r="18">
      <x:c r="A18" s="23" t="s">
        <x:v>33</x:v>
      </x:c>
      <x:c r="B18" s="24">
        <x:v>190</x:v>
      </x:c>
      <x:c r="C18" s="25" t="s">
        <x:v>16</x:v>
      </x:c>
      <x:c r="D18" s="26">
        <x:v>190</x:v>
      </x:c>
      <x:c r="E18" s="24"/>
      <x:c r="F18" s="25"/>
      <x:c r="G18" s="26"/>
      <x:c r="H18" s="25" t="str">
        <x:f t="shared" si="0"/>
        <x:v>فعال</x:v>
      </x:c>
      <x:c r="J18" s="2" t="str">
        <x:f>IFERROR(INDEX($A$4:$A$391,MATCH(ROWS($J$5:J18),$Y$4:$Y$391,0)),"")</x:f>
      </x:c>
      <x:c r="K18" s="15" t="str">
        <x:f>IF($J18="","",INDEX($B$4:$B$391,MATCH(ROWS($J$5:J18),$Y$4:$Y$391,0)))</x:f>
      </x:c>
      <x:c r="L18" s="3" t="str">
        <x:f>IF($J18="","",INDEX($C$4:$C$391,MATCH(ROWS($J$5:J18),$Y$4:$Y$391,0)))</x:f>
      </x:c>
      <x:c r="M18" s="15" t="str">
        <x:f>IF($J18="","",INDEX($E$4:$E$391,MATCH(ROWS($J$5:J18),$Y$4:$Y$391,0)))</x:f>
      </x:c>
      <x:c r="N18" s="3" t="str">
        <x:f>IF($J18="","",INDEX($F$4:$F$391,MATCH(ROWS($J$5:J18),$Y$4:$Y$391,0)))</x:f>
      </x:c>
      <x:c r="O18" s="3" t="str">
        <x:f>IF($J18="","",HYPERLINK("#'قیمت ها'!B"&amp;(MATCH(ROWS($J$5:J18),$Y$4:$Y$391,0)+3),"ویرایش قیمت ۱"))</x:f>
      </x:c>
      <x:c r="P18" s="9" t="str">
        <x:f>IF($J18="","",HYPERLINK("#'قیمت ها'!E"&amp;(MATCH(ROWS($J$5:J18),$Y$4:$Y$391,0)+3),"ویرایش قیمت ۲"))</x:f>
      </x:c>
      <x:c r="Y18" t="str">
        <x:f>IF(AND(LEN($K$2)&gt;=3,ISNUMBER(SEARCH($K$2,$A18))),MAX($Y$3:Y17)+1,"")</x:f>
      </x:c>
      <x:c r="Z18" s="79" t="str">
        <x:v>ادویه</x:v>
      </x:c>
      <x:c r="AA18" s="79" t="str">
        <x:v>6a3781e4df5573f4e676e226</x:v>
      </x:c>
      <x:c r="AB18" s="79" t="str">
        <x:v>spice</x:v>
      </x:c>
      <x:c r="AC18" s="79" t="str">
        <x:v>EDIBLE</x:v>
      </x:c>
      <x:c r="AD18" s="79" t="str">
        <x:v>بله</x:v>
      </x:c>
      <x:c r="AE18" s="79" t="str">
        <x:v>خیر</x:v>
      </x:c>
      <x:c r="AF18" s="79" t="n">
        <x:v>1</x:v>
      </x:c>
      <x:c r="AG18" s="104" t="n">
        <x:v>190000</x:v>
      </x:c>
      <x:c r="AH18" s="104"/>
      <x:c r="AI18" s="79"/>
    </x:row>
    <x:row r="19">
      <x:c r="A19" s="23" t="s">
        <x:v>34</x:v>
      </x:c>
      <x:c r="B19" s="24">
        <x:v>850</x:v>
      </x:c>
      <x:c r="C19" s="25" t="s">
        <x:v>16</x:v>
      </x:c>
      <x:c r="D19" s="26">
        <x:v>850</x:v>
      </x:c>
      <x:c r="E19" s="24"/>
      <x:c r="F19" s="25"/>
      <x:c r="G19" s="26"/>
      <x:c r="H19" s="25" t="str">
        <x:f t="shared" si="0"/>
        <x:v>فعال</x:v>
      </x:c>
      <x:c r="J19" s="2" t="str">
        <x:f>IFERROR(INDEX($A$4:$A$391,MATCH(ROWS($J$5:J19),$Y$4:$Y$391,0)),"")</x:f>
      </x:c>
      <x:c r="K19" s="15" t="str">
        <x:f>IF($J19="","",INDEX($B$4:$B$391,MATCH(ROWS($J$5:J19),$Y$4:$Y$391,0)))</x:f>
      </x:c>
      <x:c r="L19" s="3" t="str">
        <x:f>IF($J19="","",INDEX($C$4:$C$391,MATCH(ROWS($J$5:J19),$Y$4:$Y$391,0)))</x:f>
      </x:c>
      <x:c r="M19" s="15" t="str">
        <x:f>IF($J19="","",INDEX($E$4:$E$391,MATCH(ROWS($J$5:J19),$Y$4:$Y$391,0)))</x:f>
      </x:c>
      <x:c r="N19" s="3" t="str">
        <x:f>IF($J19="","",INDEX($F$4:$F$391,MATCH(ROWS($J$5:J19),$Y$4:$Y$391,0)))</x:f>
      </x:c>
      <x:c r="O19" s="3" t="str">
        <x:f>IF($J19="","",HYPERLINK("#'قیمت ها'!B"&amp;(MATCH(ROWS($J$5:J19),$Y$4:$Y$391,0)+3),"ویرایش قیمت ۱"))</x:f>
      </x:c>
      <x:c r="P19" s="9" t="str">
        <x:f>IF($J19="","",HYPERLINK("#'قیمت ها'!E"&amp;(MATCH(ROWS($J$5:J19),$Y$4:$Y$391,0)+3),"ویرایش قیمت ۲"))</x:f>
      </x:c>
      <x:c r="Y19" t="str">
        <x:f>IF(AND(LEN($K$2)&gt;=3,ISNUMBER(SEARCH($K$2,$A19))),MAX($Y$3:Y18)+1,"")</x:f>
      </x:c>
      <x:c r="Z19" s="79" t="str">
        <x:v>ادویه</x:v>
      </x:c>
      <x:c r="AA19" s="79" t="str">
        <x:v>6a3781e4df5573f4e676e226</x:v>
      </x:c>
      <x:c r="AB19" s="79" t="str">
        <x:v>spice</x:v>
      </x:c>
      <x:c r="AC19" s="79" t="str">
        <x:v>EDIBLE</x:v>
      </x:c>
      <x:c r="AD19" s="79" t="str">
        <x:v>بله</x:v>
      </x:c>
      <x:c r="AE19" s="79" t="str">
        <x:v>خیر</x:v>
      </x:c>
      <x:c r="AF19" s="79" t="n">
        <x:v>1</x:v>
      </x:c>
      <x:c r="AG19" s="104" t="n">
        <x:v>850000</x:v>
      </x:c>
      <x:c r="AH19" s="104"/>
      <x:c r="AI19" s="79"/>
    </x:row>
    <x:row r="20">
      <x:c r="A20" s="23" t="s">
        <x:v>35</x:v>
      </x:c>
      <x:c r="B20" s="24">
        <x:v>950</x:v>
      </x:c>
      <x:c r="C20" s="25" t="s">
        <x:v>16</x:v>
      </x:c>
      <x:c r="D20" s="26">
        <x:v>950</x:v>
      </x:c>
      <x:c r="E20" s="24"/>
      <x:c r="F20" s="25"/>
      <x:c r="G20" s="26"/>
      <x:c r="H20" s="25" t="str">
        <x:f t="shared" si="0"/>
        <x:v>فعال</x:v>
      </x:c>
      <x:c r="J20" s="2" t="str">
        <x:f>IFERROR(INDEX($A$4:$A$391,MATCH(ROWS($J$5:J20),$Y$4:$Y$391,0)),"")</x:f>
      </x:c>
      <x:c r="K20" s="15" t="str">
        <x:f>IF($J20="","",INDEX($B$4:$B$391,MATCH(ROWS($J$5:J20),$Y$4:$Y$391,0)))</x:f>
      </x:c>
      <x:c r="L20" s="3" t="str">
        <x:f>IF($J20="","",INDEX($C$4:$C$391,MATCH(ROWS($J$5:J20),$Y$4:$Y$391,0)))</x:f>
      </x:c>
      <x:c r="M20" s="15" t="str">
        <x:f>IF($J20="","",INDEX($E$4:$E$391,MATCH(ROWS($J$5:J20),$Y$4:$Y$391,0)))</x:f>
      </x:c>
      <x:c r="N20" s="3" t="str">
        <x:f>IF($J20="","",INDEX($F$4:$F$391,MATCH(ROWS($J$5:J20),$Y$4:$Y$391,0)))</x:f>
      </x:c>
      <x:c r="O20" s="3" t="str">
        <x:f>IF($J20="","",HYPERLINK("#'قیمت ها'!B"&amp;(MATCH(ROWS($J$5:J20),$Y$4:$Y$391,0)+3),"ویرایش قیمت ۱"))</x:f>
      </x:c>
      <x:c r="P20" s="9" t="str">
        <x:f>IF($J20="","",HYPERLINK("#'قیمت ها'!E"&amp;(MATCH(ROWS($J$5:J20),$Y$4:$Y$391,0)+3),"ویرایش قیمت ۲"))</x:f>
      </x:c>
      <x:c r="Y20" t="str">
        <x:f>IF(AND(LEN($K$2)&gt;=3,ISNUMBER(SEARCH($K$2,$A20))),MAX($Y$3:Y19)+1,"")</x:f>
      </x:c>
      <x:c r="Z20" s="79" t="str">
        <x:v>ادویه</x:v>
      </x:c>
      <x:c r="AA20" s="79" t="str">
        <x:v>6a3781e4df5573f4e676e226</x:v>
      </x:c>
      <x:c r="AB20" s="79" t="str">
        <x:v>spice</x:v>
      </x:c>
      <x:c r="AC20" s="79" t="str">
        <x:v>EDIBLE</x:v>
      </x:c>
      <x:c r="AD20" s="79" t="str">
        <x:v>بله</x:v>
      </x:c>
      <x:c r="AE20" s="79" t="str">
        <x:v>خیر</x:v>
      </x:c>
      <x:c r="AF20" s="79" t="n">
        <x:v>1</x:v>
      </x:c>
      <x:c r="AG20" s="104" t="n">
        <x:v>950000</x:v>
      </x:c>
      <x:c r="AH20" s="104"/>
      <x:c r="AI20" s="79"/>
    </x:row>
    <x:row r="21">
      <x:c r="A21" s="23" t="s">
        <x:v>36</x:v>
      </x:c>
      <x:c r="B21" s="24">
        <x:v>700</x:v>
      </x:c>
      <x:c r="C21" s="25" t="s">
        <x:v>16</x:v>
      </x:c>
      <x:c r="D21" s="26">
        <x:v>700</x:v>
      </x:c>
      <x:c r="E21" s="24"/>
      <x:c r="F21" s="25"/>
      <x:c r="G21" s="26"/>
      <x:c r="H21" s="25" t="str">
        <x:f t="shared" si="0"/>
        <x:v>فعال</x:v>
      </x:c>
      <x:c r="J21" s="2" t="str">
        <x:f>IFERROR(INDEX($A$4:$A$391,MATCH(ROWS($J$5:J21),$Y$4:$Y$391,0)),"")</x:f>
      </x:c>
      <x:c r="K21" s="15" t="str">
        <x:f>IF($J21="","",INDEX($B$4:$B$391,MATCH(ROWS($J$5:J21),$Y$4:$Y$391,0)))</x:f>
      </x:c>
      <x:c r="L21" s="3" t="str">
        <x:f>IF($J21="","",INDEX($C$4:$C$391,MATCH(ROWS($J$5:J21),$Y$4:$Y$391,0)))</x:f>
      </x:c>
      <x:c r="M21" s="15" t="str">
        <x:f>IF($J21="","",INDEX($E$4:$E$391,MATCH(ROWS($J$5:J21),$Y$4:$Y$391,0)))</x:f>
      </x:c>
      <x:c r="N21" s="3" t="str">
        <x:f>IF($J21="","",INDEX($F$4:$F$391,MATCH(ROWS($J$5:J21),$Y$4:$Y$391,0)))</x:f>
      </x:c>
      <x:c r="O21" s="3" t="str">
        <x:f>IF($J21="","",HYPERLINK("#'قیمت ها'!B"&amp;(MATCH(ROWS($J$5:J21),$Y$4:$Y$391,0)+3),"ویرایش قیمت ۱"))</x:f>
      </x:c>
      <x:c r="P21" s="9" t="str">
        <x:f>IF($J21="","",HYPERLINK("#'قیمت ها'!E"&amp;(MATCH(ROWS($J$5:J21),$Y$4:$Y$391,0)+3),"ویرایش قیمت ۲"))</x:f>
      </x:c>
      <x:c r="Y21" t="str">
        <x:f>IF(AND(LEN($K$2)&gt;=3,ISNUMBER(SEARCH($K$2,$A21))),MAX($Y$3:Y20)+1,"")</x:f>
      </x:c>
      <x:c r="Z21" s="79" t="str">
        <x:v>ادویه</x:v>
      </x:c>
      <x:c r="AA21" s="79" t="str">
        <x:v>6a3781e4df5573f4e676e226</x:v>
      </x:c>
      <x:c r="AB21" s="79" t="str">
        <x:v>spice</x:v>
      </x:c>
      <x:c r="AC21" s="79" t="str">
        <x:v>EDIBLE</x:v>
      </x:c>
      <x:c r="AD21" s="79" t="str">
        <x:v>بله</x:v>
      </x:c>
      <x:c r="AE21" s="79" t="str">
        <x:v>خیر</x:v>
      </x:c>
      <x:c r="AF21" s="79" t="n">
        <x:v>1</x:v>
      </x:c>
      <x:c r="AG21" s="104" t="n">
        <x:v>700000</x:v>
      </x:c>
      <x:c r="AH21" s="104"/>
      <x:c r="AI21" s="79"/>
    </x:row>
    <x:row r="22">
      <x:c r="A22" s="23" t="s">
        <x:v>37</x:v>
      </x:c>
      <x:c r="B22" s="24">
        <x:v>850</x:v>
      </x:c>
      <x:c r="C22" s="25" t="s">
        <x:v>16</x:v>
      </x:c>
      <x:c r="D22" s="26">
        <x:v>850</x:v>
      </x:c>
      <x:c r="E22" s="24"/>
      <x:c r="F22" s="25"/>
      <x:c r="G22" s="26"/>
      <x:c r="H22" s="25" t="str">
        <x:f t="shared" si="0"/>
        <x:v>فعال</x:v>
      </x:c>
      <x:c r="J22" s="2" t="str">
        <x:f>IFERROR(INDEX($A$4:$A$391,MATCH(ROWS($J$5:J22),$Y$4:$Y$391,0)),"")</x:f>
      </x:c>
      <x:c r="K22" s="15" t="str">
        <x:f>IF($J22="","",INDEX($B$4:$B$391,MATCH(ROWS($J$5:J22),$Y$4:$Y$391,0)))</x:f>
      </x:c>
      <x:c r="L22" s="3" t="str">
        <x:f>IF($J22="","",INDEX($C$4:$C$391,MATCH(ROWS($J$5:J22),$Y$4:$Y$391,0)))</x:f>
      </x:c>
      <x:c r="M22" s="15" t="str">
        <x:f>IF($J22="","",INDEX($E$4:$E$391,MATCH(ROWS($J$5:J22),$Y$4:$Y$391,0)))</x:f>
      </x:c>
      <x:c r="N22" s="3" t="str">
        <x:f>IF($J22="","",INDEX($F$4:$F$391,MATCH(ROWS($J$5:J22),$Y$4:$Y$391,0)))</x:f>
      </x:c>
      <x:c r="O22" s="3" t="str">
        <x:f>IF($J22="","",HYPERLINK("#'قیمت ها'!B"&amp;(MATCH(ROWS($J$5:J22),$Y$4:$Y$391,0)+3),"ویرایش قیمت ۱"))</x:f>
      </x:c>
      <x:c r="P22" s="9" t="str">
        <x:f>IF($J22="","",HYPERLINK("#'قیمت ها'!E"&amp;(MATCH(ROWS($J$5:J22),$Y$4:$Y$391,0)+3),"ویرایش قیمت ۲"))</x:f>
      </x:c>
      <x:c r="Y22" t="str">
        <x:f>IF(AND(LEN($K$2)&gt;=3,ISNUMBER(SEARCH($K$2,$A22))),MAX($Y$3:Y21)+1,"")</x:f>
      </x:c>
      <x:c r="Z22" s="79" t="str">
        <x:v>ادویه</x:v>
      </x:c>
      <x:c r="AA22" s="79" t="str">
        <x:v>6a3781e4df5573f4e676e226</x:v>
      </x:c>
      <x:c r="AB22" s="79" t="str">
        <x:v>spice</x:v>
      </x:c>
      <x:c r="AC22" s="79" t="str">
        <x:v>EDIBLE</x:v>
      </x:c>
      <x:c r="AD22" s="79" t="str">
        <x:v>بله</x:v>
      </x:c>
      <x:c r="AE22" s="79" t="str">
        <x:v>خیر</x:v>
      </x:c>
      <x:c r="AF22" s="79" t="n">
        <x:v>1</x:v>
      </x:c>
      <x:c r="AG22" s="104" t="n">
        <x:v>850000</x:v>
      </x:c>
      <x:c r="AH22" s="104"/>
      <x:c r="AI22" s="79"/>
    </x:row>
    <x:row r="23">
      <x:c r="A23" s="23" t="s">
        <x:v>38</x:v>
      </x:c>
      <x:c r="B23" s="24" t="s">
        <x:v>23</x:v>
      </x:c>
      <x:c r="C23" s="25" t="s">
        <x:v>16</x:v>
      </x:c>
      <x:c r="D23" s="26" t="s">
        <x:v>23</x:v>
      </x:c>
      <x:c r="E23" s="24"/>
      <x:c r="F23" s="25"/>
      <x:c r="G23" s="26"/>
      <x:c r="H23" s="25" t="str">
        <x:f t="shared" si="0"/>
        <x:v>فعال</x:v>
      </x:c>
      <x:c r="J23" s="2" t="str">
        <x:f>IFERROR(INDEX($A$4:$A$391,MATCH(ROWS($J$5:J23),$Y$4:$Y$391,0)),"")</x:f>
      </x:c>
      <x:c r="K23" s="15" t="str">
        <x:f>IF($J23="","",INDEX($B$4:$B$391,MATCH(ROWS($J$5:J23),$Y$4:$Y$391,0)))</x:f>
      </x:c>
      <x:c r="L23" s="3" t="str">
        <x:f>IF($J23="","",INDEX($C$4:$C$391,MATCH(ROWS($J$5:J23),$Y$4:$Y$391,0)))</x:f>
      </x:c>
      <x:c r="M23" s="15" t="str">
        <x:f>IF($J23="","",INDEX($E$4:$E$391,MATCH(ROWS($J$5:J23),$Y$4:$Y$391,0)))</x:f>
      </x:c>
      <x:c r="N23" s="3" t="str">
        <x:f>IF($J23="","",INDEX($F$4:$F$391,MATCH(ROWS($J$5:J23),$Y$4:$Y$391,0)))</x:f>
      </x:c>
      <x:c r="O23" s="3" t="str">
        <x:f>IF($J23="","",HYPERLINK("#'قیمت ها'!B"&amp;(MATCH(ROWS($J$5:J23),$Y$4:$Y$391,0)+3),"ویرایش قیمت ۱"))</x:f>
      </x:c>
      <x:c r="P23" s="9" t="str">
        <x:f>IF($J23="","",HYPERLINK("#'قیمت ها'!E"&amp;(MATCH(ROWS($J$5:J23),$Y$4:$Y$391,0)+3),"ویرایش قیمت ۲"))</x:f>
      </x:c>
      <x:c r="Y23" t="str">
        <x:f>IF(AND(LEN($K$2)&gt;=3,ISNUMBER(SEARCH($K$2,$A23))),MAX($Y$3:Y22)+1,"")</x:f>
      </x:c>
      <x:c r="Z23" s="79" t="str">
        <x:v>ادویه</x:v>
      </x:c>
      <x:c r="AA23" s="79" t="str">
        <x:v>6a3781e4df5573f4e676e226</x:v>
      </x:c>
      <x:c r="AB23" s="79" t="str">
        <x:v>spice</x:v>
      </x:c>
      <x:c r="AC23" s="79" t="str">
        <x:v>EDIBLE</x:v>
      </x:c>
      <x:c r="AD23" s="79" t="str">
        <x:v>بله</x:v>
      </x:c>
      <x:c r="AE23" s="79" t="str">
        <x:v>خیر</x:v>
      </x:c>
      <x:c r="AF23" s="79" t="n">
        <x:v>1</x:v>
      </x:c>
      <x:c r="AG23" s="104" t="n">
        <x:v>1100000</x:v>
      </x:c>
      <x:c r="AH23" s="104"/>
      <x:c r="AI23" s="79"/>
    </x:row>
    <x:row r="24">
      <x:c r="A24" s="23" t="s">
        <x:v>39</x:v>
      </x:c>
      <x:c r="B24" s="24">
        <x:v>800</x:v>
      </x:c>
      <x:c r="C24" s="25" t="s">
        <x:v>16</x:v>
      </x:c>
      <x:c r="D24" s="26">
        <x:v>800</x:v>
      </x:c>
      <x:c r="E24" s="24"/>
      <x:c r="F24" s="25"/>
      <x:c r="G24" s="26"/>
      <x:c r="H24" s="25" t="str">
        <x:f t="shared" si="0"/>
        <x:v>فعال</x:v>
      </x:c>
      <x:c r="J24" s="4" t="str">
        <x:f>IFERROR(INDEX($A$4:$A$391,MATCH(ROWS($J$5:J24),$Y$4:$Y$391,0)),"")</x:f>
      </x:c>
      <x:c r="K24" s="16" t="str">
        <x:f>IF($J24="","",INDEX($B$4:$B$391,MATCH(ROWS($J$5:J24),$Y$4:$Y$391,0)))</x:f>
      </x:c>
      <x:c r="L24" s="5" t="str">
        <x:f>IF($J24="","",INDEX($C$4:$C$391,MATCH(ROWS($J$5:J24),$Y$4:$Y$391,0)))</x:f>
      </x:c>
      <x:c r="M24" s="16" t="str">
        <x:f>IF($J24="","",INDEX($E$4:$E$391,MATCH(ROWS($J$5:J24),$Y$4:$Y$391,0)))</x:f>
      </x:c>
      <x:c r="N24" s="5" t="str">
        <x:f>IF($J24="","",INDEX($F$4:$F$391,MATCH(ROWS($J$5:J24),$Y$4:$Y$391,0)))</x:f>
      </x:c>
      <x:c r="O24" s="5" t="str">
        <x:f>IF($J24="","",HYPERLINK("#'قیمت ها'!B"&amp;(MATCH(ROWS($J$5:J24),$Y$4:$Y$391,0)+3),"ویرایش قیمت ۱"))</x:f>
      </x:c>
      <x:c r="P24" s="10" t="str">
        <x:f>IF($J24="","",HYPERLINK("#'قیمت ها'!E"&amp;(MATCH(ROWS($J$5:J24),$Y$4:$Y$391,0)+3),"ویرایش قیمت ۲"))</x:f>
      </x:c>
      <x:c r="Y24" t="str">
        <x:f>IF(AND(LEN($K$2)&gt;=3,ISNUMBER(SEARCH($K$2,$A24))),MAX($Y$3:Y23)+1,"")</x:f>
      </x:c>
      <x:c r="Z24" s="79" t="str">
        <x:v>ادویه</x:v>
      </x:c>
      <x:c r="AA24" s="79" t="str">
        <x:v>6a3781e4df5573f4e676e226</x:v>
      </x:c>
      <x:c r="AB24" s="79" t="str">
        <x:v>spice</x:v>
      </x:c>
      <x:c r="AC24" s="79" t="str">
        <x:v>EDIBLE</x:v>
      </x:c>
      <x:c r="AD24" s="79" t="str">
        <x:v>بله</x:v>
      </x:c>
      <x:c r="AE24" s="79" t="str">
        <x:v>خیر</x:v>
      </x:c>
      <x:c r="AF24" s="79" t="n">
        <x:v>1</x:v>
      </x:c>
      <x:c r="AG24" s="104" t="n">
        <x:v>800000</x:v>
      </x:c>
      <x:c r="AH24" s="104"/>
      <x:c r="AI24" s="79"/>
    </x:row>
    <x:row r="25">
      <x:c r="A25" s="23" t="s">
        <x:v>40</x:v>
      </x:c>
      <x:c r="B25" s="24">
        <x:v>900</x:v>
      </x:c>
      <x:c r="C25" s="25" t="s">
        <x:v>16</x:v>
      </x:c>
      <x:c r="D25" s="26">
        <x:v>900</x:v>
      </x:c>
      <x:c r="E25" s="24"/>
      <x:c r="F25" s="25"/>
      <x:c r="G25" s="26"/>
      <x:c r="H25" s="25" t="str">
        <x:f t="shared" si="0"/>
        <x:v>فعال</x:v>
      </x:c>
      <x:c r="Y25" t="str">
        <x:f>IF(AND(LEN($K$2)&gt;=3,ISNUMBER(SEARCH($K$2,$A25))),MAX($Y$3:Y24)+1,"")</x:f>
      </x:c>
      <x:c r="Z25" s="79" t="str">
        <x:v>ادویه</x:v>
      </x:c>
      <x:c r="AA25" s="79" t="str">
        <x:v>6a3781e4df5573f4e676e226</x:v>
      </x:c>
      <x:c r="AB25" s="79" t="str">
        <x:v>spice</x:v>
      </x:c>
      <x:c r="AC25" s="79" t="str">
        <x:v>EDIBLE</x:v>
      </x:c>
      <x:c r="AD25" s="79" t="str">
        <x:v>بله</x:v>
      </x:c>
      <x:c r="AE25" s="79" t="str">
        <x:v>خیر</x:v>
      </x:c>
      <x:c r="AF25" s="79" t="n">
        <x:v>1</x:v>
      </x:c>
      <x:c r="AG25" s="104" t="n">
        <x:v>900000</x:v>
      </x:c>
      <x:c r="AH25" s="104"/>
      <x:c r="AI25" s="79"/>
    </x:row>
    <x:row r="26">
      <x:c r="A26" s="23" t="s">
        <x:v>41</x:v>
      </x:c>
      <x:c r="B26" s="24">
        <x:v>950</x:v>
      </x:c>
      <x:c r="C26" s="25" t="s">
        <x:v>16</x:v>
      </x:c>
      <x:c r="D26" s="26">
        <x:v>950</x:v>
      </x:c>
      <x:c r="E26" s="24"/>
      <x:c r="F26" s="25"/>
      <x:c r="G26" s="26"/>
      <x:c r="H26" s="25" t="str">
        <x:f t="shared" si="0"/>
        <x:v>فعال</x:v>
      </x:c>
      <x:c r="J26" s="31" t="s">
        <x:v>42</x:v>
      </x:c>
      <x:c r="K26" s="31"/>
      <x:c r="L26" s="31"/>
      <x:c r="M26" s="31"/>
      <x:c r="N26" s="31"/>
      <x:c r="O26" s="31"/>
      <x:c r="P26" s="31"/>
      <x:c r="Y26" t="str">
        <x:f>IF(AND(LEN($K$2)&gt;=3,ISNUMBER(SEARCH($K$2,$A26))),MAX($Y$3:Y25)+1,"")</x:f>
      </x:c>
      <x:c r="Z26" s="79" t="str">
        <x:v>ادویه</x:v>
      </x:c>
      <x:c r="AA26" s="79" t="str">
        <x:v>6a3781e4df5573f4e676e226</x:v>
      </x:c>
      <x:c r="AB26" s="79" t="str">
        <x:v>spice</x:v>
      </x:c>
      <x:c r="AC26" s="79" t="str">
        <x:v>EDIBLE</x:v>
      </x:c>
      <x:c r="AD26" s="79" t="str">
        <x:v>بله</x:v>
      </x:c>
      <x:c r="AE26" s="79" t="str">
        <x:v>خیر</x:v>
      </x:c>
      <x:c r="AF26" s="79" t="n">
        <x:v>1</x:v>
      </x:c>
      <x:c r="AG26" s="104" t="n">
        <x:v>950000</x:v>
      </x:c>
      <x:c r="AH26" s="104"/>
      <x:c r="AI26" s="79"/>
    </x:row>
    <x:row r="27">
      <x:c r="A27" s="23" t="s">
        <x:v>43</x:v>
      </x:c>
      <x:c r="B27" s="24">
        <x:v>710</x:v>
      </x:c>
      <x:c r="C27" s="25" t="s">
        <x:v>16</x:v>
      </x:c>
      <x:c r="D27" s="26">
        <x:v>710</x:v>
      </x:c>
      <x:c r="E27" s="24"/>
      <x:c r="F27" s="25"/>
      <x:c r="G27" s="26"/>
      <x:c r="H27" s="25" t="str">
        <x:f t="shared" si="0"/>
        <x:v>فعال</x:v>
      </x:c>
      <x:c r="Y27" t="str">
        <x:f>IF(AND(LEN($K$2)&gt;=3,ISNUMBER(SEARCH($K$2,$A27))),MAX($Y$3:Y26)+1,"")</x:f>
      </x:c>
      <x:c r="Z27" s="79" t="str">
        <x:v>قنادی و شیرینی</x:v>
      </x:c>
      <x:c r="AA27" s="79" t="str">
        <x:v>6a3a00000000000000000003</x:v>
      </x:c>
      <x:c r="AB27" s="79" t="str">
        <x:v>confectionery</x:v>
      </x:c>
      <x:c r="AC27" s="79" t="str">
        <x:v>EDIBLE</x:v>
      </x:c>
      <x:c r="AD27" s="79" t="str">
        <x:v>بله</x:v>
      </x:c>
      <x:c r="AE27" s="79" t="str">
        <x:v>خیر</x:v>
      </x:c>
      <x:c r="AF27" s="79" t="n">
        <x:v>1</x:v>
      </x:c>
      <x:c r="AG27" s="104" t="n">
        <x:v>710000</x:v>
      </x:c>
      <x:c r="AH27" s="104"/>
      <x:c r="AI27" s="79"/>
    </x:row>
    <x:row r="28">
      <x:c r="A28" s="23" t="s">
        <x:v>44</x:v>
      </x:c>
      <x:c r="B28" s="24">
        <x:v>140</x:v>
      </x:c>
      <x:c r="C28" s="25" t="s">
        <x:v>16</x:v>
      </x:c>
      <x:c r="D28" s="26">
        <x:v>140</x:v>
      </x:c>
      <x:c r="E28" s="24"/>
      <x:c r="F28" s="25"/>
      <x:c r="G28" s="26"/>
      <x:c r="H28" s="25" t="str">
        <x:f t="shared" si="0"/>
        <x:v>فعال</x:v>
      </x:c>
      <x:c r="Y28" t="str">
        <x:f>IF(AND(LEN($K$2)&gt;=3,ISNUMBER(SEARCH($K$2,$A28))),MAX($Y$3:Y27)+1,"")</x:f>
      </x:c>
      <x:c r="Z28" s="79" t="str">
        <x:v>گیاهان دارویی</x:v>
      </x:c>
      <x:c r="AA28" s="79" t="str">
        <x:v>6a3782d7df5573f4e676e243</x:v>
      </x:c>
      <x:c r="AB28" s="79" t="str">
        <x:v>medicinal-plants</x:v>
      </x:c>
      <x:c r="AC28" s="79" t="str">
        <x:v>EDIBLE</x:v>
      </x:c>
      <x:c r="AD28" s="79" t="str">
        <x:v>بله</x:v>
      </x:c>
      <x:c r="AE28" s="79" t="str">
        <x:v>خیر</x:v>
      </x:c>
      <x:c r="AF28" s="79" t="n">
        <x:v>1</x:v>
      </x:c>
      <x:c r="AG28" s="104" t="n">
        <x:v>140000</x:v>
      </x:c>
      <x:c r="AH28" s="104"/>
      <x:c r="AI28" s="79"/>
    </x:row>
    <x:row r="29">
      <x:c r="A29" s="23" t="s">
        <x:v>45</x:v>
      </x:c>
      <x:c r="B29" s="24">
        <x:v>200</x:v>
      </x:c>
      <x:c r="C29" s="25" t="s">
        <x:v>16</x:v>
      </x:c>
      <x:c r="D29" s="26">
        <x:v>200</x:v>
      </x:c>
      <x:c r="E29" s="24"/>
      <x:c r="F29" s="25"/>
      <x:c r="G29" s="26"/>
      <x:c r="H29" s="25" t="str">
        <x:f t="shared" si="0"/>
        <x:v>فعال</x:v>
      </x:c>
      <x:c r="Y29" t="str">
        <x:f>IF(AND(LEN($K$2)&gt;=3,ISNUMBER(SEARCH($K$2,$A29))),MAX($Y$3:Y28)+1,"")</x:f>
      </x:c>
      <x:c r="Z29" s="79" t="str">
        <x:v>خشکبار و آجیل</x:v>
      </x:c>
      <x:c r="AA29" s="79" t="str">
        <x:v>6a37810ddf5573f4e676e201</x:v>
      </x:c>
      <x:c r="AB29" s="79" t="str">
        <x:v>dried-fruits-nuts</x:v>
      </x:c>
      <x:c r="AC29" s="79" t="str">
        <x:v>EDIBLE</x:v>
      </x:c>
      <x:c r="AD29" s="79" t="str">
        <x:v>بله</x:v>
      </x:c>
      <x:c r="AE29" s="79" t="str">
        <x:v>خیر</x:v>
      </x:c>
      <x:c r="AF29" s="79" t="n">
        <x:v>1</x:v>
      </x:c>
      <x:c r="AG29" s="104" t="n">
        <x:v>200000</x:v>
      </x:c>
      <x:c r="AH29" s="104"/>
      <x:c r="AI29" s="79"/>
    </x:row>
    <x:row r="30">
      <x:c r="A30" s="23" t="s">
        <x:v>46</x:v>
      </x:c>
      <x:c r="B30" s="24">
        <x:v>180</x:v>
      </x:c>
      <x:c r="C30" s="25" t="s">
        <x:v>16</x:v>
      </x:c>
      <x:c r="D30" s="26">
        <x:v>180</x:v>
      </x:c>
      <x:c r="E30" s="24"/>
      <x:c r="F30" s="25"/>
      <x:c r="G30" s="26"/>
      <x:c r="H30" s="25" t="str">
        <x:f t="shared" si="0"/>
        <x:v>فعال</x:v>
      </x:c>
      <x:c r="Y30" t="str">
        <x:f>IF(AND(LEN($K$2)&gt;=3,ISNUMBER(SEARCH($K$2,$A30))),MAX($Y$3:Y29)+1,"")</x:f>
      </x:c>
      <x:c r="Z30" s="79" t="str">
        <x:v>حبوبات و غلات</x:v>
      </x:c>
      <x:c r="AA30" s="79" t="str">
        <x:v>6a3a00000000000000000002</x:v>
      </x:c>
      <x:c r="AB30" s="79" t="str">
        <x:v>legumes-grains</x:v>
      </x:c>
      <x:c r="AC30" s="79" t="str">
        <x:v>EDIBLE</x:v>
      </x:c>
      <x:c r="AD30" s="79" t="str">
        <x:v>بله</x:v>
      </x:c>
      <x:c r="AE30" s="79" t="str">
        <x:v>خیر</x:v>
      </x:c>
      <x:c r="AF30" s="79" t="n">
        <x:v>1</x:v>
      </x:c>
      <x:c r="AG30" s="104" t="n">
        <x:v>180000</x:v>
      </x:c>
      <x:c r="AH30" s="104"/>
      <x:c r="AI30" s="79"/>
    </x:row>
    <x:row r="31">
      <x:c r="A31" s="23" t="s">
        <x:v>47</x:v>
      </x:c>
      <x:c r="B31" s="24" t="s">
        <x:v>48</x:v>
      </x:c>
      <x:c r="C31" s="25" t="s">
        <x:v>16</x:v>
      </x:c>
      <x:c r="D31" s="26" t="s">
        <x:v>48</x:v>
      </x:c>
      <x:c r="E31" s="24"/>
      <x:c r="F31" s="25"/>
      <x:c r="G31" s="26"/>
      <x:c r="H31" s="25" t="str">
        <x:f t="shared" si="0"/>
        <x:v>فعال</x:v>
      </x:c>
      <x:c r="Y31" t="str">
        <x:f>IF(AND(LEN($K$2)&gt;=3,ISNUMBER(SEARCH($K$2,$A31))),MAX($Y$3:Y30)+1,"")</x:f>
      </x:c>
      <x:c r="Z31" s="79" t="str">
        <x:v>گیاهان دارویی</x:v>
      </x:c>
      <x:c r="AA31" s="79" t="str">
        <x:v>6a3782d7df5573f4e676e243</x:v>
      </x:c>
      <x:c r="AB31" s="79" t="str">
        <x:v>medicinal-plants</x:v>
      </x:c>
      <x:c r="AC31" s="79" t="str">
        <x:v>EDIBLE</x:v>
      </x:c>
      <x:c r="AD31" s="79" t="str">
        <x:v>بله</x:v>
      </x:c>
      <x:c r="AE31" s="79" t="str">
        <x:v>خیر</x:v>
      </x:c>
      <x:c r="AF31" s="79" t="n">
        <x:v>1</x:v>
      </x:c>
      <x:c r="AG31" s="104" t="n">
        <x:v>2400000</x:v>
      </x:c>
      <x:c r="AH31" s="104"/>
      <x:c r="AI31" s="79"/>
    </x:row>
    <x:row r="32">
      <x:c r="A32" s="23" t="s">
        <x:v>49</x:v>
      </x:c>
      <x:c r="B32" s="24" t="s">
        <x:v>50</x:v>
      </x:c>
      <x:c r="C32" s="25" t="s">
        <x:v>16</x:v>
      </x:c>
      <x:c r="D32" s="26" t="s">
        <x:v>50</x:v>
      </x:c>
      <x:c r="E32" s="24"/>
      <x:c r="F32" s="25"/>
      <x:c r="G32" s="26"/>
      <x:c r="H32" s="25" t="str">
        <x:f t="shared" si="0"/>
        <x:v>فعال</x:v>
      </x:c>
      <x:c r="Y32" t="str">
        <x:f>IF(AND(LEN($K$2)&gt;=3,ISNUMBER(SEARCH($K$2,$A32))),MAX($Y$3:Y31)+1,"")</x:f>
      </x:c>
      <x:c r="Z32" s="79" t="str">
        <x:v>گیاهان دارویی</x:v>
      </x:c>
      <x:c r="AA32" s="79" t="str">
        <x:v>6a3782d7df5573f4e676e243</x:v>
      </x:c>
      <x:c r="AB32" s="79" t="str">
        <x:v>medicinal-plants</x:v>
      </x:c>
      <x:c r="AC32" s="79" t="str">
        <x:v>EDIBLE</x:v>
      </x:c>
      <x:c r="AD32" s="79" t="str">
        <x:v>بله</x:v>
      </x:c>
      <x:c r="AE32" s="79" t="str">
        <x:v>خیر</x:v>
      </x:c>
      <x:c r="AF32" s="79" t="n">
        <x:v>1</x:v>
      </x:c>
      <x:c r="AG32" s="104" t="n">
        <x:v>2800000</x:v>
      </x:c>
      <x:c r="AH32" s="104"/>
      <x:c r="AI32" s="79"/>
    </x:row>
    <x:row r="33">
      <x:c r="A33" s="23" t="s">
        <x:v>51</x:v>
      </x:c>
      <x:c r="B33" s="24" t="s">
        <x:v>23</x:v>
      </x:c>
      <x:c r="C33" s="25" t="s">
        <x:v>16</x:v>
      </x:c>
      <x:c r="D33" s="26" t="s">
        <x:v>23</x:v>
      </x:c>
      <x:c r="E33" s="24"/>
      <x:c r="F33" s="25"/>
      <x:c r="G33" s="26"/>
      <x:c r="H33" s="25" t="str">
        <x:f t="shared" si="0"/>
        <x:v>فعال</x:v>
      </x:c>
      <x:c r="Y33" t="str">
        <x:f>IF(AND(LEN($K$2)&gt;=3,ISNUMBER(SEARCH($K$2,$A33))),MAX($Y$3:Y32)+1,"")</x:f>
      </x:c>
      <x:c r="Z33" s="79" t="str">
        <x:v>نوشیدنی‌ها</x:v>
      </x:c>
      <x:c r="AA33" s="79" t="str">
        <x:v>6a3782ffdf5573f4e676e24b</x:v>
      </x:c>
      <x:c r="AB33" s="79" t="str">
        <x:v>syrup</x:v>
      </x:c>
      <x:c r="AC33" s="79" t="str">
        <x:v>EDIBLE</x:v>
      </x:c>
      <x:c r="AD33" s="79" t="str">
        <x:v>بله</x:v>
      </x:c>
      <x:c r="AE33" s="79" t="str">
        <x:v>خیر</x:v>
      </x:c>
      <x:c r="AF33" s="79" t="n">
        <x:v>1</x:v>
      </x:c>
      <x:c r="AG33" s="104" t="n">
        <x:v>1100000</x:v>
      </x:c>
      <x:c r="AH33" s="104"/>
      <x:c r="AI33" s="79" t="str">
        <x:v>دسته از «نیاز به بررسی» به «نوشیدنی‌ها» اصلاح شد</x:v>
      </x:c>
    </x:row>
    <x:row r="34">
      <x:c r="A34" s="23" t="s">
        <x:v>52</x:v>
      </x:c>
      <x:c r="B34" s="24">
        <x:v>400</x:v>
      </x:c>
      <x:c r="C34" s="25" t="s">
        <x:v>16</x:v>
      </x:c>
      <x:c r="D34" s="26">
        <x:v>400</x:v>
      </x:c>
      <x:c r="E34" s="24"/>
      <x:c r="F34" s="25"/>
      <x:c r="G34" s="26"/>
      <x:c r="H34" s="25" t="str">
        <x:f t="shared" si="0"/>
        <x:v>فعال</x:v>
      </x:c>
      <x:c r="Y34" t="str">
        <x:f>IF(AND(LEN($K$2)&gt;=3,ISNUMBER(SEARCH($K$2,$A34))),MAX($Y$3:Y33)+1,"")</x:f>
      </x:c>
      <x:c r="Z34" s="79" t="str">
        <x:v>خشکبار و آجیل</x:v>
      </x:c>
      <x:c r="AA34" s="79" t="str">
        <x:v>6a37810ddf5573f4e676e201</x:v>
      </x:c>
      <x:c r="AB34" s="79" t="str">
        <x:v>dried-fruits-nuts</x:v>
      </x:c>
      <x:c r="AC34" s="79" t="str">
        <x:v>EDIBLE</x:v>
      </x:c>
      <x:c r="AD34" s="79" t="str">
        <x:v>بله</x:v>
      </x:c>
      <x:c r="AE34" s="79" t="str">
        <x:v>خیر</x:v>
      </x:c>
      <x:c r="AF34" s="79" t="n">
        <x:v>1</x:v>
      </x:c>
      <x:c r="AG34" s="104" t="n">
        <x:v>400000</x:v>
      </x:c>
      <x:c r="AH34" s="104"/>
      <x:c r="AI34" s="79"/>
    </x:row>
    <x:row r="35">
      <x:c r="A35" s="23" t="s">
        <x:v>53</x:v>
      </x:c>
      <x:c r="B35" s="24" t="s">
        <x:v>54</x:v>
      </x:c>
      <x:c r="C35" s="25" t="s">
        <x:v>16</x:v>
      </x:c>
      <x:c r="D35" s="26" t="s">
        <x:v>54</x:v>
      </x:c>
      <x:c r="E35" s="24"/>
      <x:c r="F35" s="25"/>
      <x:c r="G35" s="26"/>
      <x:c r="H35" s="25" t="str">
        <x:f t="shared" si="0"/>
        <x:v>نیاز به استعلام</x:v>
      </x:c>
      <x:c r="Y35" t="str">
        <x:f>IF(AND(LEN($K$2)&gt;=3,ISNUMBER(SEARCH($K$2,$A35))),MAX($Y$3:Y34)+1,"")</x:f>
      </x:c>
      <x:c r="Z35" s="79" t="str">
        <x:v>نوشیدنی‌ها</x:v>
      </x:c>
      <x:c r="AA35" s="79" t="str">
        <x:v>6a3782ffdf5573f4e676e24b</x:v>
      </x:c>
      <x:c r="AB35" s="79" t="str">
        <x:v>syrup</x:v>
      </x:c>
      <x:c r="AC35" s="79" t="str">
        <x:v>EDIBLE</x:v>
      </x:c>
      <x:c r="AD35" s="79" t="str">
        <x:v>بله</x:v>
      </x:c>
      <x:c r="AE35" s="79" t="str">
        <x:v>خیر</x:v>
      </x:c>
      <x:c r="AF35" s="79" t="n">
        <x:v>1</x:v>
      </x:c>
      <x:c r="AG35" s="104"/>
      <x:c r="AH35" s="104"/>
      <x:c r="AI35" s="79" t="str">
        <x:v>MISSING_PRICE_REVIEW</x:v>
      </x:c>
    </x:row>
    <x:row r="36">
      <x:c r="A36" s="23" t="s">
        <x:v>55</x:v>
      </x:c>
      <x:c r="B36" s="24">
        <x:v>110</x:v>
      </x:c>
      <x:c r="C36" s="25" t="s">
        <x:v>56</x:v>
      </x:c>
      <x:c r="D36" s="26">
        <x:v>110</x:v>
      </x:c>
      <x:c r="E36" s="24">
        <x:v>210</x:v>
      </x:c>
      <x:c r="F36" s="25" t="s">
        <x:v>57</x:v>
      </x:c>
      <x:c r="G36" s="26">
        <x:v>210</x:v>
      </x:c>
      <x:c r="H36" s="25" t="str">
        <x:f t="shared" si="0"/>
        <x:v>فعال</x:v>
      </x:c>
      <x:c r="Y36" t="str">
        <x:f>IF(AND(LEN($K$2)&gt;=3,ISNUMBER(SEARCH($K$2,$A36))),MAX($Y$3:Y35)+1,"")</x:f>
      </x:c>
      <x:c r="Z36" s="79" t="str">
        <x:v>نوشیدنی‌ها</x:v>
      </x:c>
      <x:c r="AA36" s="79" t="str">
        <x:v>6a3782ffdf5573f4e676e24b</x:v>
      </x:c>
      <x:c r="AB36" s="79" t="str">
        <x:v>syrup</x:v>
      </x:c>
      <x:c r="AC36" s="79" t="str">
        <x:v>EDIBLE</x:v>
      </x:c>
      <x:c r="AD36" s="79" t="str">
        <x:v>بله</x:v>
      </x:c>
      <x:c r="AE36" s="79" t="str">
        <x:v>بله</x:v>
      </x:c>
      <x:c r="AF36" s="79" t="n">
        <x:v>2</x:v>
      </x:c>
      <x:c r="AG36" s="104" t="n">
        <x:v>110000</x:v>
      </x:c>
      <x:c r="AH36" s="104" t="n">
        <x:v>210000</x:v>
      </x:c>
      <x:c r="AI36" s="79"/>
    </x:row>
    <x:row r="37">
      <x:c r="A37" s="23" t="s">
        <x:v>58</x:v>
      </x:c>
      <x:c r="B37" s="24">
        <x:v>295</x:v>
      </x:c>
      <x:c r="C37" s="25" t="s">
        <x:v>16</x:v>
      </x:c>
      <x:c r="D37" s="26">
        <x:v>295</x:v>
      </x:c>
      <x:c r="E37" s="24"/>
      <x:c r="F37" s="25"/>
      <x:c r="G37" s="26"/>
      <x:c r="H37" s="25" t="str">
        <x:f t="shared" si="0"/>
        <x:v>فعال</x:v>
      </x:c>
      <x:c r="Y37" t="str">
        <x:f>IF(AND(LEN($K$2)&gt;=3,ISNUMBER(SEARCH($K$2,$A37))),MAX($Y$3:Y36)+1,"")</x:f>
      </x:c>
      <x:c r="Z37" s="79" t="str">
        <x:v>آرد و قنادی</x:v>
      </x:c>
      <x:c r="AA37" s="79" t="str">
        <x:v>6a3a00000000000000000004</x:v>
      </x:c>
      <x:c r="AB37" s="79" t="str">
        <x:v>flour-confectionery</x:v>
      </x:c>
      <x:c r="AC37" s="79" t="str">
        <x:v>EDIBLE</x:v>
      </x:c>
      <x:c r="AD37" s="79" t="str">
        <x:v>بله</x:v>
      </x:c>
      <x:c r="AE37" s="79" t="str">
        <x:v>خیر</x:v>
      </x:c>
      <x:c r="AF37" s="79" t="n">
        <x:v>1</x:v>
      </x:c>
      <x:c r="AG37" s="104" t="n">
        <x:v>295000</x:v>
      </x:c>
      <x:c r="AH37" s="104"/>
      <x:c r="AI37" s="79"/>
    </x:row>
    <x:row r="38">
      <x:c r="A38" s="23" t="s">
        <x:v>59</x:v>
      </x:c>
      <x:c r="B38" s="24">
        <x:v>270</x:v>
      </x:c>
      <x:c r="C38" s="25" t="s">
        <x:v>16</x:v>
      </x:c>
      <x:c r="D38" s="26">
        <x:v>270</x:v>
      </x:c>
      <x:c r="E38" s="24"/>
      <x:c r="F38" s="25"/>
      <x:c r="G38" s="26"/>
      <x:c r="H38" s="25" t="str">
        <x:f t="shared" si="0"/>
        <x:v>فعال</x:v>
      </x:c>
      <x:c r="Y38" t="str">
        <x:f>IF(AND(LEN($K$2)&gt;=3,ISNUMBER(SEARCH($K$2,$A38))),MAX($Y$3:Y37)+1,"")</x:f>
      </x:c>
      <x:c r="Z38" s="79" t="str">
        <x:v>آرد و قنادی</x:v>
      </x:c>
      <x:c r="AA38" s="79" t="str">
        <x:v>6a3a00000000000000000004</x:v>
      </x:c>
      <x:c r="AB38" s="79" t="str">
        <x:v>flour-confectionery</x:v>
      </x:c>
      <x:c r="AC38" s="79" t="str">
        <x:v>EDIBLE</x:v>
      </x:c>
      <x:c r="AD38" s="79" t="str">
        <x:v>بله</x:v>
      </x:c>
      <x:c r="AE38" s="79" t="str">
        <x:v>خیر</x:v>
      </x:c>
      <x:c r="AF38" s="79" t="n">
        <x:v>1</x:v>
      </x:c>
      <x:c r="AG38" s="104" t="n">
        <x:v>270000</x:v>
      </x:c>
      <x:c r="AH38" s="104"/>
      <x:c r="AI38" s="79"/>
    </x:row>
    <x:row r="39">
      <x:c r="A39" s="23" t="s">
        <x:v>60</x:v>
      </x:c>
      <x:c r="B39" s="24">
        <x:v>390</x:v>
      </x:c>
      <x:c r="C39" s="25" t="s">
        <x:v>16</x:v>
      </x:c>
      <x:c r="D39" s="26">
        <x:v>390</x:v>
      </x:c>
      <x:c r="E39" s="24"/>
      <x:c r="F39" s="25"/>
      <x:c r="G39" s="26"/>
      <x:c r="H39" s="25" t="str">
        <x:f t="shared" si="0"/>
        <x:v>فعال</x:v>
      </x:c>
      <x:c r="Y39" t="str">
        <x:f>IF(AND(LEN($K$2)&gt;=3,ISNUMBER(SEARCH($K$2,$A39))),MAX($Y$3:Y38)+1,"")</x:f>
      </x:c>
      <x:c r="Z39" s="79" t="str">
        <x:v>آرد و قنادی</x:v>
      </x:c>
      <x:c r="AA39" s="79" t="str">
        <x:v>6a3a00000000000000000004</x:v>
      </x:c>
      <x:c r="AB39" s="79" t="str">
        <x:v>flour-confectionery</x:v>
      </x:c>
      <x:c r="AC39" s="79" t="str">
        <x:v>EDIBLE</x:v>
      </x:c>
      <x:c r="AD39" s="79" t="str">
        <x:v>بله</x:v>
      </x:c>
      <x:c r="AE39" s="79" t="str">
        <x:v>خیر</x:v>
      </x:c>
      <x:c r="AF39" s="79" t="n">
        <x:v>1</x:v>
      </x:c>
      <x:c r="AG39" s="104" t="n">
        <x:v>390000</x:v>
      </x:c>
      <x:c r="AH39" s="104"/>
      <x:c r="AI39" s="79"/>
    </x:row>
    <x:row r="40">
      <x:c r="A40" s="23" t="s">
        <x:v>61</x:v>
      </x:c>
      <x:c r="B40" s="24">
        <x:v>50</x:v>
      </x:c>
      <x:c r="C40" s="25" t="s">
        <x:v>62</x:v>
      </x:c>
      <x:c r="D40" s="26">
        <x:v>50</x:v>
      </x:c>
      <x:c r="E40" s="24"/>
      <x:c r="F40" s="25"/>
      <x:c r="G40" s="26"/>
      <x:c r="H40" s="25" t="str">
        <x:f t="shared" si="0"/>
        <x:v>فعال</x:v>
      </x:c>
      <x:c r="Y40" t="str">
        <x:f>IF(AND(LEN($K$2)&gt;=3,ISNUMBER(SEARCH($K$2,$A40))),MAX($Y$3:Y39)+1,"")</x:f>
      </x:c>
      <x:c r="Z40" s="79" t="str">
        <x:v>عدم ایمپورت</x:v>
      </x:c>
      <x:c r="AA40" s="79"/>
      <x:c r="AB40" s="79" t="str">
        <x:v>SKIP</x:v>
      </x:c>
      <x:c r="AC40" s="79" t="str">
        <x:v>NON_PRODUCT</x:v>
      </x:c>
      <x:c r="AD40" s="79" t="str">
        <x:v>خیر</x:v>
      </x:c>
      <x:c r="AE40" s="79" t="str">
        <x:v>خیر</x:v>
      </x:c>
      <x:c r="AF40" s="79" t="n">
        <x:v>1</x:v>
      </x:c>
      <x:c r="AG40" s="104" t="n">
        <x:v>50000</x:v>
      </x:c>
      <x:c r="AH40" s="104"/>
      <x:c r="AI40" s="79" t="str">
        <x:v>SKIP_NON_PRODUCT</x:v>
      </x:c>
    </x:row>
    <x:row r="41">
      <x:c r="A41" s="23" t="s">
        <x:v>63</x:v>
      </x:c>
      <x:c r="B41" s="24" t="s">
        <x:v>64</x:v>
      </x:c>
      <x:c r="C41" s="25" t="s">
        <x:v>16</x:v>
      </x:c>
      <x:c r="D41" s="26" t="s">
        <x:v>64</x:v>
      </x:c>
      <x:c r="E41" s="24"/>
      <x:c r="F41" s="25"/>
      <x:c r="G41" s="26"/>
      <x:c r="H41" s="25" t="str">
        <x:f t="shared" si="0"/>
        <x:v>فعال</x:v>
      </x:c>
      <x:c r="Y41" t="str">
        <x:f>IF(AND(LEN($K$2)&gt;=3,ISNUMBER(SEARCH($K$2,$A41))),MAX($Y$3:Y40)+1,"")</x:f>
      </x:c>
      <x:c r="Z41" s="79" t="str">
        <x:v>گیاهان دارویی</x:v>
      </x:c>
      <x:c r="AA41" s="79" t="str">
        <x:v>6a3782d7df5573f4e676e243</x:v>
      </x:c>
      <x:c r="AB41" s="79" t="str">
        <x:v>medicinal-plants</x:v>
      </x:c>
      <x:c r="AC41" s="79" t="str">
        <x:v>EDIBLE</x:v>
      </x:c>
      <x:c r="AD41" s="79" t="str">
        <x:v>بله</x:v>
      </x:c>
      <x:c r="AE41" s="79" t="str">
        <x:v>خیر</x:v>
      </x:c>
      <x:c r="AF41" s="79" t="n">
        <x:v>1</x:v>
      </x:c>
      <x:c r="AG41" s="104" t="n">
        <x:v>4500000</x:v>
      </x:c>
      <x:c r="AH41" s="104"/>
      <x:c r="AI41" s="79"/>
    </x:row>
    <x:row r="42">
      <x:c r="A42" s="23" t="s">
        <x:v>65</x:v>
      </x:c>
      <x:c r="B42" s="24" t="s">
        <x:v>66</x:v>
      </x:c>
      <x:c r="C42" s="25" t="s">
        <x:v>16</x:v>
      </x:c>
      <x:c r="D42" s="26" t="s">
        <x:v>66</x:v>
      </x:c>
      <x:c r="E42" s="24"/>
      <x:c r="F42" s="25"/>
      <x:c r="G42" s="26"/>
      <x:c r="H42" s="25" t="str">
        <x:f t="shared" si="0"/>
        <x:v>فعال</x:v>
      </x:c>
      <x:c r="Y42" t="str">
        <x:f>IF(AND(LEN($K$2)&gt;=3,ISNUMBER(SEARCH($K$2,$A42))),MAX($Y$3:Y41)+1,"")</x:f>
      </x:c>
      <x:c r="Z42" s="79" t="str">
        <x:v>گیاهان دارویی</x:v>
      </x:c>
      <x:c r="AA42" s="79" t="str">
        <x:v>6a3782d7df5573f4e676e243</x:v>
      </x:c>
      <x:c r="AB42" s="79" t="str">
        <x:v>medicinal-plants</x:v>
      </x:c>
      <x:c r="AC42" s="79" t="str">
        <x:v>EDIBLE</x:v>
      </x:c>
      <x:c r="AD42" s="79" t="str">
        <x:v>بله</x:v>
      </x:c>
      <x:c r="AE42" s="79" t="str">
        <x:v>خیر</x:v>
      </x:c>
      <x:c r="AF42" s="79" t="n">
        <x:v>1</x:v>
      </x:c>
      <x:c r="AG42" s="104" t="n">
        <x:v>3900000</x:v>
      </x:c>
      <x:c r="AH42" s="104"/>
      <x:c r="AI42" s="79"/>
    </x:row>
    <x:row r="43">
      <x:c r="A43" s="23" t="s">
        <x:v>67</x:v>
      </x:c>
      <x:c r="B43" s="24" t="s">
        <x:v>68</x:v>
      </x:c>
      <x:c r="C43" s="25" t="s">
        <x:v>16</x:v>
      </x:c>
      <x:c r="D43" s="26" t="s">
        <x:v>68</x:v>
      </x:c>
      <x:c r="E43" s="24"/>
      <x:c r="F43" s="25"/>
      <x:c r="G43" s="26"/>
      <x:c r="H43" s="25" t="str">
        <x:f t="shared" si="0"/>
        <x:v>فعال</x:v>
      </x:c>
      <x:c r="Y43" t="str">
        <x:f>IF(AND(LEN($K$2)&gt;=3,ISNUMBER(SEARCH($K$2,$A43))),MAX($Y$3:Y42)+1,"")</x:f>
      </x:c>
      <x:c r="Z43" s="79" t="str">
        <x:v>گیاهان دارویی</x:v>
      </x:c>
      <x:c r="AA43" s="79" t="str">
        <x:v>6a3782d7df5573f4e676e243</x:v>
      </x:c>
      <x:c r="AB43" s="79" t="str">
        <x:v>medicinal-plants</x:v>
      </x:c>
      <x:c r="AC43" s="79" t="str">
        <x:v>EDIBLE</x:v>
      </x:c>
      <x:c r="AD43" s="79" t="str">
        <x:v>بله</x:v>
      </x:c>
      <x:c r="AE43" s="79" t="str">
        <x:v>خیر</x:v>
      </x:c>
      <x:c r="AF43" s="79" t="n">
        <x:v>1</x:v>
      </x:c>
      <x:c r="AG43" s="104" t="n">
        <x:v>1800000</x:v>
      </x:c>
      <x:c r="AH43" s="104"/>
      <x:c r="AI43" s="79"/>
    </x:row>
    <x:row r="44">
      <x:c r="A44" s="23" t="s">
        <x:v>69</x:v>
      </x:c>
      <x:c r="B44" s="24">
        <x:v>660</x:v>
      </x:c>
      <x:c r="C44" s="25" t="s">
        <x:v>16</x:v>
      </x:c>
      <x:c r="D44" s="26">
        <x:v>660</x:v>
      </x:c>
      <x:c r="E44" s="24"/>
      <x:c r="F44" s="25"/>
      <x:c r="G44" s="26"/>
      <x:c r="H44" s="25" t="str">
        <x:f t="shared" si="0"/>
        <x:v>فعال</x:v>
      </x:c>
      <x:c r="Y44" t="str">
        <x:f>IF(AND(LEN($K$2)&gt;=3,ISNUMBER(SEARCH($K$2,$A44))),MAX($Y$3:Y43)+1,"")</x:f>
      </x:c>
      <x:c r="Z44" s="79" t="str">
        <x:v>خشکبار و آجیل</x:v>
      </x:c>
      <x:c r="AA44" s="79" t="str">
        <x:v>6a37810ddf5573f4e676e201</x:v>
      </x:c>
      <x:c r="AB44" s="79" t="str">
        <x:v>dried-fruits-nuts</x:v>
      </x:c>
      <x:c r="AC44" s="79" t="str">
        <x:v>EDIBLE</x:v>
      </x:c>
      <x:c r="AD44" s="79" t="str">
        <x:v>بله</x:v>
      </x:c>
      <x:c r="AE44" s="79" t="str">
        <x:v>خیر</x:v>
      </x:c>
      <x:c r="AF44" s="79" t="n">
        <x:v>1</x:v>
      </x:c>
      <x:c r="AG44" s="104" t="n">
        <x:v>660000</x:v>
      </x:c>
      <x:c r="AH44" s="104"/>
      <x:c r="AI44" s="79" t="str">
        <x:v>MERGED</x:v>
      </x:c>
    </x:row>
    <x:row r="45">
      <x:c r="A45" s="23" t="s">
        <x:v>70</x:v>
      </x:c>
      <x:c r="B45" s="24" t="s">
        <x:v>54</x:v>
      </x:c>
      <x:c r="C45" s="25" t="s">
        <x:v>16</x:v>
      </x:c>
      <x:c r="D45" s="26" t="s">
        <x:v>54</x:v>
      </x:c>
      <x:c r="E45" s="24"/>
      <x:c r="F45" s="25"/>
      <x:c r="G45" s="26"/>
      <x:c r="H45" s="25" t="str">
        <x:f t="shared" si="0"/>
        <x:v>نیاز به استعلام</x:v>
      </x:c>
      <x:c r="Y45" t="str">
        <x:f>IF(AND(LEN($K$2)&gt;=3,ISNUMBER(SEARCH($K$2,$A45))),MAX($Y$3:Y44)+1,"")</x:f>
      </x:c>
      <x:c r="Z45" s="79" t="str">
        <x:v>خشکبار و آجیل</x:v>
      </x:c>
      <x:c r="AA45" s="79" t="str">
        <x:v>6a37810ddf5573f4e676e201</x:v>
      </x:c>
      <x:c r="AB45" s="79" t="str">
        <x:v>dried-fruits-nuts</x:v>
      </x:c>
      <x:c r="AC45" s="79" t="str">
        <x:v>EDIBLE</x:v>
      </x:c>
      <x:c r="AD45" s="79" t="str">
        <x:v>بله</x:v>
      </x:c>
      <x:c r="AE45" s="79" t="str">
        <x:v>خیر</x:v>
      </x:c>
      <x:c r="AF45" s="79" t="n">
        <x:v>1</x:v>
      </x:c>
      <x:c r="AG45" s="104"/>
      <x:c r="AH45" s="104"/>
      <x:c r="AI45" s="79" t="str">
        <x:v>MERGED + MISSING_PRICE_REVIEW</x:v>
      </x:c>
    </x:row>
    <x:row r="46">
      <x:c r="A46" s="23" t="s">
        <x:v>71</x:v>
      </x:c>
      <x:c r="B46" s="24" t="s">
        <x:v>72</x:v>
      </x:c>
      <x:c r="C46" s="25" t="s">
        <x:v>16</x:v>
      </x:c>
      <x:c r="D46" s="26" t="s">
        <x:v>72</x:v>
      </x:c>
      <x:c r="E46" s="24"/>
      <x:c r="F46" s="25"/>
      <x:c r="G46" s="26"/>
      <x:c r="H46" s="25" t="str">
        <x:f t="shared" si="0"/>
        <x:v>فعال</x:v>
      </x:c>
      <x:c r="Y46" t="str">
        <x:f>IF(AND(LEN($K$2)&gt;=3,ISNUMBER(SEARCH($K$2,$A46))),MAX($Y$3:Y45)+1,"")</x:f>
      </x:c>
      <x:c r="Z46" s="79" t="str">
        <x:v>گیاهان دارویی</x:v>
      </x:c>
      <x:c r="AA46" s="79" t="str">
        <x:v>6a3782d7df5573f4e676e243</x:v>
      </x:c>
      <x:c r="AB46" s="79" t="str">
        <x:v>medicinal-plants</x:v>
      </x:c>
      <x:c r="AC46" s="79" t="str">
        <x:v>EDIBLE</x:v>
      </x:c>
      <x:c r="AD46" s="79" t="str">
        <x:v>بله</x:v>
      </x:c>
      <x:c r="AE46" s="79" t="str">
        <x:v>خیر</x:v>
      </x:c>
      <x:c r="AF46" s="79" t="n">
        <x:v>1</x:v>
      </x:c>
      <x:c r="AG46" s="104" t="n">
        <x:v>2900000</x:v>
      </x:c>
      <x:c r="AH46" s="104"/>
      <x:c r="AI46" s="79"/>
    </x:row>
    <x:row r="47">
      <x:c r="A47" s="23" t="s">
        <x:v>73</x:v>
      </x:c>
      <x:c r="B47" s="24" t="s">
        <x:v>74</x:v>
      </x:c>
      <x:c r="C47" s="25" t="s">
        <x:v>16</x:v>
      </x:c>
      <x:c r="D47" s="26" t="s">
        <x:v>74</x:v>
      </x:c>
      <x:c r="E47" s="24"/>
      <x:c r="F47" s="25"/>
      <x:c r="G47" s="26"/>
      <x:c r="H47" s="25" t="str">
        <x:f t="shared" si="0"/>
        <x:v>فعال</x:v>
      </x:c>
      <x:c r="Y47" t="str">
        <x:f>IF(AND(LEN($K$2)&gt;=3,ISNUMBER(SEARCH($K$2,$A47))),MAX($Y$3:Y46)+1,"")</x:f>
      </x:c>
      <x:c r="Z47" s="79" t="str">
        <x:v>گیاهان دارویی</x:v>
      </x:c>
      <x:c r="AA47" s="79" t="str">
        <x:v>6a3782d7df5573f4e676e243</x:v>
      </x:c>
      <x:c r="AB47" s="79" t="str">
        <x:v>medicinal-plants</x:v>
      </x:c>
      <x:c r="AC47" s="79" t="str">
        <x:v>EDIBLE</x:v>
      </x:c>
      <x:c r="AD47" s="79" t="str">
        <x:v>بله</x:v>
      </x:c>
      <x:c r="AE47" s="79" t="str">
        <x:v>خیر</x:v>
      </x:c>
      <x:c r="AF47" s="79" t="n">
        <x:v>1</x:v>
      </x:c>
      <x:c r="AG47" s="104" t="n">
        <x:v>1950000</x:v>
      </x:c>
      <x:c r="AH47" s="104"/>
      <x:c r="AI47" s="79"/>
    </x:row>
    <x:row r="48">
      <x:c r="A48" s="23" t="s">
        <x:v>75</x:v>
      </x:c>
      <x:c r="B48" s="24">
        <x:v>890</x:v>
      </x:c>
      <x:c r="C48" s="25" t="s">
        <x:v>16</x:v>
      </x:c>
      <x:c r="D48" s="26">
        <x:v>890</x:v>
      </x:c>
      <x:c r="E48" s="24"/>
      <x:c r="F48" s="25"/>
      <x:c r="G48" s="26"/>
      <x:c r="H48" s="25" t="str">
        <x:f t="shared" si="0"/>
        <x:v>فعال</x:v>
      </x:c>
      <x:c r="Y48" t="str">
        <x:f>IF(AND(LEN($K$2)&gt;=3,ISNUMBER(SEARCH($K$2,$A48))),MAX($Y$3:Y47)+1,"")</x:f>
      </x:c>
      <x:c r="Z48" s="79" t="str">
        <x:v>گیاهان دارویی</x:v>
      </x:c>
      <x:c r="AA48" s="79" t="str">
        <x:v>6a3782d7df5573f4e676e243</x:v>
      </x:c>
      <x:c r="AB48" s="79" t="str">
        <x:v>medicinal-plants</x:v>
      </x:c>
      <x:c r="AC48" s="79" t="str">
        <x:v>EDIBLE</x:v>
      </x:c>
      <x:c r="AD48" s="79" t="str">
        <x:v>بله</x:v>
      </x:c>
      <x:c r="AE48" s="79" t="str">
        <x:v>خیر</x:v>
      </x:c>
      <x:c r="AF48" s="79" t="n">
        <x:v>1</x:v>
      </x:c>
      <x:c r="AG48" s="104" t="n">
        <x:v>890000</x:v>
      </x:c>
      <x:c r="AH48" s="104"/>
      <x:c r="AI48" s="79"/>
    </x:row>
    <x:row r="49">
      <x:c r="A49" s="23" t="s">
        <x:v>76</x:v>
      </x:c>
      <x:c r="B49" s="24">
        <x:v>140</x:v>
      </x:c>
      <x:c r="C49" s="25" t="s">
        <x:v>16</x:v>
      </x:c>
      <x:c r="D49" s="26">
        <x:v>140</x:v>
      </x:c>
      <x:c r="E49" s="24"/>
      <x:c r="F49" s="25"/>
      <x:c r="G49" s="26"/>
      <x:c r="H49" s="25" t="str">
        <x:f t="shared" si="0"/>
        <x:v>فعال</x:v>
      </x:c>
      <x:c r="Y49" t="str">
        <x:f>IF(AND(LEN($K$2)&gt;=3,ISNUMBER(SEARCH($K$2,$A49))),MAX($Y$3:Y48)+1,"")</x:f>
      </x:c>
      <x:c r="Z49" s="79" t="str">
        <x:v>حبوبات و غلات</x:v>
      </x:c>
      <x:c r="AA49" s="79" t="str">
        <x:v>6a3a00000000000000000002</x:v>
      </x:c>
      <x:c r="AB49" s="79" t="str">
        <x:v>legumes-grains</x:v>
      </x:c>
      <x:c r="AC49" s="79" t="str">
        <x:v>EDIBLE</x:v>
      </x:c>
      <x:c r="AD49" s="79" t="str">
        <x:v>بله</x:v>
      </x:c>
      <x:c r="AE49" s="79" t="str">
        <x:v>خیر</x:v>
      </x:c>
      <x:c r="AF49" s="79" t="n">
        <x:v>1</x:v>
      </x:c>
      <x:c r="AG49" s="104" t="n">
        <x:v>140000</x:v>
      </x:c>
      <x:c r="AH49" s="104"/>
      <x:c r="AI49" s="79"/>
    </x:row>
    <x:row r="50">
      <x:c r="A50" s="23" t="s">
        <x:v>77</x:v>
      </x:c>
      <x:c r="B50" s="24" t="s">
        <x:v>78</x:v>
      </x:c>
      <x:c r="C50" s="25" t="s">
        <x:v>16</x:v>
      </x:c>
      <x:c r="D50" s="26" t="s">
        <x:v>78</x:v>
      </x:c>
      <x:c r="E50" s="24"/>
      <x:c r="F50" s="25"/>
      <x:c r="G50" s="26"/>
      <x:c r="H50" s="25" t="str">
        <x:f t="shared" si="0"/>
        <x:v>فعال</x:v>
      </x:c>
      <x:c r="Y50" t="str">
        <x:f>IF(AND(LEN($K$2)&gt;=3,ISNUMBER(SEARCH($K$2,$A50))),MAX($Y$3:Y49)+1,"")</x:f>
      </x:c>
      <x:c r="Z50" s="79" t="str">
        <x:v>گیاهان دارویی</x:v>
      </x:c>
      <x:c r="AA50" s="79" t="str">
        <x:v>6a3782d7df5573f4e676e243</x:v>
      </x:c>
      <x:c r="AB50" s="79" t="str">
        <x:v>medicinal-plants</x:v>
      </x:c>
      <x:c r="AC50" s="79" t="str">
        <x:v>EDIBLE</x:v>
      </x:c>
      <x:c r="AD50" s="79" t="str">
        <x:v>بله</x:v>
      </x:c>
      <x:c r="AE50" s="79" t="str">
        <x:v>خیر</x:v>
      </x:c>
      <x:c r="AF50" s="79" t="n">
        <x:v>1</x:v>
      </x:c>
      <x:c r="AG50" s="104" t="n">
        <x:v>1250000</x:v>
      </x:c>
      <x:c r="AH50" s="104"/>
      <x:c r="AI50" s="79" t="str">
        <x:v>دسته از «نیاز به بررسی» به «گیاهان دارویی» اصلاح شد</x:v>
      </x:c>
    </x:row>
    <x:row r="51">
      <x:c r="A51" s="23" t="s">
        <x:v>79</x:v>
      </x:c>
      <x:c r="B51" s="24" t="s">
        <x:v>80</x:v>
      </x:c>
      <x:c r="C51" s="25" t="s">
        <x:v>16</x:v>
      </x:c>
      <x:c r="D51" s="26" t="s">
        <x:v>80</x:v>
      </x:c>
      <x:c r="E51" s="24"/>
      <x:c r="F51" s="25"/>
      <x:c r="G51" s="26"/>
      <x:c r="H51" s="25" t="str">
        <x:f t="shared" si="0"/>
        <x:v>فعال</x:v>
      </x:c>
      <x:c r="Y51" t="str">
        <x:f>IF(AND(LEN($K$2)&gt;=3,ISNUMBER(SEARCH($K$2,$A51))),MAX($Y$3:Y50)+1,"")</x:f>
      </x:c>
      <x:c r="Z51" s="79" t="str">
        <x:v>گیاهان دارویی</x:v>
      </x:c>
      <x:c r="AA51" s="79" t="str">
        <x:v>6a3782d7df5573f4e676e243</x:v>
      </x:c>
      <x:c r="AB51" s="79" t="str">
        <x:v>medicinal-plants</x:v>
      </x:c>
      <x:c r="AC51" s="79" t="str">
        <x:v>EDIBLE</x:v>
      </x:c>
      <x:c r="AD51" s="79" t="str">
        <x:v>بله</x:v>
      </x:c>
      <x:c r="AE51" s="79" t="str">
        <x:v>خیر</x:v>
      </x:c>
      <x:c r="AF51" s="79" t="n">
        <x:v>1</x:v>
      </x:c>
      <x:c r="AG51" s="104" t="n">
        <x:v>1500000</x:v>
      </x:c>
      <x:c r="AH51" s="104"/>
      <x:c r="AI51" s="79"/>
    </x:row>
    <x:row r="52">
      <x:c r="A52" s="23" t="s">
        <x:v>81</x:v>
      </x:c>
      <x:c r="B52" s="24">
        <x:v>610</x:v>
      </x:c>
      <x:c r="C52" s="25" t="s">
        <x:v>16</x:v>
      </x:c>
      <x:c r="D52" s="26">
        <x:v>610</x:v>
      </x:c>
      <x:c r="E52" s="24"/>
      <x:c r="F52" s="25"/>
      <x:c r="G52" s="26"/>
      <x:c r="H52" s="25" t="str">
        <x:f t="shared" si="0"/>
        <x:v>فعال</x:v>
      </x:c>
      <x:c r="Y52" t="str">
        <x:f>IF(AND(LEN($K$2)&gt;=3,ISNUMBER(SEARCH($K$2,$A52))),MAX($Y$3:Y51)+1,"")</x:f>
      </x:c>
      <x:c r="Z52" s="79" t="str">
        <x:v>آرد و قنادی</x:v>
      </x:c>
      <x:c r="AA52" s="79" t="str">
        <x:v>6a3a00000000000000000004</x:v>
      </x:c>
      <x:c r="AB52" s="79" t="str">
        <x:v>flour-confectionery</x:v>
      </x:c>
      <x:c r="AC52" s="79" t="str">
        <x:v>EDIBLE</x:v>
      </x:c>
      <x:c r="AD52" s="79" t="str">
        <x:v>بله</x:v>
      </x:c>
      <x:c r="AE52" s="79" t="str">
        <x:v>خیر</x:v>
      </x:c>
      <x:c r="AF52" s="79" t="n">
        <x:v>1</x:v>
      </x:c>
      <x:c r="AG52" s="104" t="n">
        <x:v>610000</x:v>
      </x:c>
      <x:c r="AH52" s="104"/>
      <x:c r="AI52" s="79"/>
    </x:row>
    <x:row r="53">
      <x:c r="A53" s="23" t="s">
        <x:v>82</x:v>
      </x:c>
      <x:c r="B53" s="24">
        <x:v>800</x:v>
      </x:c>
      <x:c r="C53" s="25" t="s">
        <x:v>16</x:v>
      </x:c>
      <x:c r="D53" s="26">
        <x:v>800</x:v>
      </x:c>
      <x:c r="E53" s="24"/>
      <x:c r="F53" s="25"/>
      <x:c r="G53" s="26"/>
      <x:c r="H53" s="25" t="str">
        <x:f t="shared" si="0"/>
        <x:v>فعال</x:v>
      </x:c>
      <x:c r="Y53" t="str">
        <x:f>IF(AND(LEN($K$2)&gt;=3,ISNUMBER(SEARCH($K$2,$A53))),MAX($Y$3:Y52)+1,"")</x:f>
      </x:c>
      <x:c r="Z53" s="79" t="str">
        <x:v>خشکبار و آجیل</x:v>
      </x:c>
      <x:c r="AA53" s="79" t="str">
        <x:v>6a37810ddf5573f4e676e201</x:v>
      </x:c>
      <x:c r="AB53" s="79" t="str">
        <x:v>dried-fruits-nuts</x:v>
      </x:c>
      <x:c r="AC53" s="79" t="str">
        <x:v>EDIBLE</x:v>
      </x:c>
      <x:c r="AD53" s="79" t="str">
        <x:v>بله</x:v>
      </x:c>
      <x:c r="AE53" s="79" t="str">
        <x:v>خیر</x:v>
      </x:c>
      <x:c r="AF53" s="79" t="n">
        <x:v>1</x:v>
      </x:c>
      <x:c r="AG53" s="104" t="n">
        <x:v>800000</x:v>
      </x:c>
      <x:c r="AH53" s="104"/>
      <x:c r="AI53" s="79" t="str">
        <x:v>دسته از «نیاز به بررسی» به «خشکبار و آجیل» اصلاح شد</x:v>
      </x:c>
    </x:row>
    <x:row r="54">
      <x:c r="A54" s="23" t="s">
        <x:v>83</x:v>
      </x:c>
      <x:c r="B54" s="24">
        <x:v>650</x:v>
      </x:c>
      <x:c r="C54" s="25" t="s">
        <x:v>16</x:v>
      </x:c>
      <x:c r="D54" s="26">
        <x:v>650</x:v>
      </x:c>
      <x:c r="E54" s="24"/>
      <x:c r="F54" s="25"/>
      <x:c r="G54" s="26"/>
      <x:c r="H54" s="25" t="str">
        <x:f t="shared" si="0"/>
        <x:v>فعال</x:v>
      </x:c>
      <x:c r="Y54" t="str">
        <x:f>IF(AND(LEN($K$2)&gt;=3,ISNUMBER(SEARCH($K$2,$A54))),MAX($Y$3:Y53)+1,"")</x:f>
      </x:c>
      <x:c r="Z54" s="79" t="str">
        <x:v>گیاهان دارویی</x:v>
      </x:c>
      <x:c r="AA54" s="79" t="str">
        <x:v>6a3782d7df5573f4e676e243</x:v>
      </x:c>
      <x:c r="AB54" s="79" t="str">
        <x:v>medicinal-plants</x:v>
      </x:c>
      <x:c r="AC54" s="79" t="str">
        <x:v>EDIBLE</x:v>
      </x:c>
      <x:c r="AD54" s="79" t="str">
        <x:v>بله</x:v>
      </x:c>
      <x:c r="AE54" s="79" t="str">
        <x:v>خیر</x:v>
      </x:c>
      <x:c r="AF54" s="79" t="n">
        <x:v>1</x:v>
      </x:c>
      <x:c r="AG54" s="104" t="n">
        <x:v>650000</x:v>
      </x:c>
      <x:c r="AH54" s="104"/>
      <x:c r="AI54" s="79"/>
    </x:row>
    <x:row r="55">
      <x:c r="A55" s="23" t="s">
        <x:v>84</x:v>
      </x:c>
      <x:c r="B55" s="24">
        <x:v>990</x:v>
      </x:c>
      <x:c r="C55" s="25" t="s">
        <x:v>16</x:v>
      </x:c>
      <x:c r="D55" s="26">
        <x:v>990</x:v>
      </x:c>
      <x:c r="E55" s="24"/>
      <x:c r="F55" s="25"/>
      <x:c r="G55" s="26"/>
      <x:c r="H55" s="25" t="str">
        <x:f t="shared" si="0"/>
        <x:v>فعال</x:v>
      </x:c>
      <x:c r="Y55" t="str">
        <x:f>IF(AND(LEN($K$2)&gt;=3,ISNUMBER(SEARCH($K$2,$A55))),MAX($Y$3:Y54)+1,"")</x:f>
      </x:c>
      <x:c r="Z55" s="79" t="str">
        <x:v>ادویه</x:v>
      </x:c>
      <x:c r="AA55" s="79" t="str">
        <x:v>6a3781e4df5573f4e676e226</x:v>
      </x:c>
      <x:c r="AB55" s="79" t="str">
        <x:v>spice</x:v>
      </x:c>
      <x:c r="AC55" s="79" t="str">
        <x:v>EDIBLE</x:v>
      </x:c>
      <x:c r="AD55" s="79" t="str">
        <x:v>بله</x:v>
      </x:c>
      <x:c r="AE55" s="79" t="str">
        <x:v>خیر</x:v>
      </x:c>
      <x:c r="AF55" s="79" t="n">
        <x:v>1</x:v>
      </x:c>
      <x:c r="AG55" s="104" t="n">
        <x:v>990000</x:v>
      </x:c>
      <x:c r="AH55" s="104"/>
      <x:c r="AI55" s="79"/>
    </x:row>
    <x:row r="56">
      <x:c r="A56" s="23" t="s">
        <x:v>85</x:v>
      </x:c>
      <x:c r="B56" s="24">
        <x:v>700</x:v>
      </x:c>
      <x:c r="C56" s="25" t="s">
        <x:v>62</x:v>
      </x:c>
      <x:c r="D56" s="26">
        <x:v>700</x:v>
      </x:c>
      <x:c r="E56" s="24"/>
      <x:c r="F56" s="25"/>
      <x:c r="G56" s="26"/>
      <x:c r="H56" s="25" t="str">
        <x:f t="shared" si="0"/>
        <x:v>فعال</x:v>
      </x:c>
      <x:c r="Y56" t="str">
        <x:f>IF(AND(LEN($K$2)&gt;=3,ISNUMBER(SEARCH($K$2,$A56))),MAX($Y$3:Y55)+1,"")</x:f>
      </x:c>
      <x:c r="Z56" s="79" t="str">
        <x:v>عدم ایمپورت</x:v>
      </x:c>
      <x:c r="AA56" s="79"/>
      <x:c r="AB56" s="79" t="str">
        <x:v>SKIP</x:v>
      </x:c>
      <x:c r="AC56" s="79" t="str">
        <x:v>NON_PRODUCT</x:v>
      </x:c>
      <x:c r="AD56" s="79" t="str">
        <x:v>خیر</x:v>
      </x:c>
      <x:c r="AE56" s="79" t="str">
        <x:v>خیر</x:v>
      </x:c>
      <x:c r="AF56" s="79" t="n">
        <x:v>1</x:v>
      </x:c>
      <x:c r="AG56" s="104" t="n">
        <x:v>700000</x:v>
      </x:c>
      <x:c r="AH56" s="104"/>
      <x:c r="AI56" s="79" t="str">
        <x:v>SKIP_NON_PRODUCT</x:v>
      </x:c>
    </x:row>
    <x:row r="57">
      <x:c r="A57" s="23" t="s">
        <x:v>86</x:v>
      </x:c>
      <x:c r="B57" s="24">
        <x:v>250</x:v>
      </x:c>
      <x:c r="C57" s="25" t="s">
        <x:v>87</x:v>
      </x:c>
      <x:c r="D57" s="26">
        <x:v>250</x:v>
      </x:c>
      <x:c r="E57" s="24">
        <x:v>360</x:v>
      </x:c>
      <x:c r="F57" s="25" t="s">
        <x:v>88</x:v>
      </x:c>
      <x:c r="G57" s="26">
        <x:v>360</x:v>
      </x:c>
      <x:c r="H57" s="25" t="str">
        <x:f t="shared" si="0"/>
        <x:v>فعال</x:v>
      </x:c>
      <x:c r="Y57" t="str">
        <x:f>IF(AND(LEN($K$2)&gt;=3,ISNUMBER(SEARCH($K$2,$A57))),MAX($Y$3:Y56)+1,"")</x:f>
      </x:c>
      <x:c r="Z57" s="79" t="str">
        <x:v>گیاهان دارویی</x:v>
      </x:c>
      <x:c r="AA57" s="79" t="str">
        <x:v>6a3782d7df5573f4e676e243</x:v>
      </x:c>
      <x:c r="AB57" s="79" t="str">
        <x:v>medicinal-plants</x:v>
      </x:c>
      <x:c r="AC57" s="79" t="str">
        <x:v>TOPICAL</x:v>
      </x:c>
      <x:c r="AD57" s="79" t="str">
        <x:v>خیر</x:v>
      </x:c>
      <x:c r="AE57" s="79" t="str">
        <x:v>بله</x:v>
      </x:c>
      <x:c r="AF57" s="79" t="n">
        <x:v>2</x:v>
      </x:c>
      <x:c r="AG57" s="104" t="n">
        <x:v>250000</x:v>
      </x:c>
      <x:c r="AH57" s="104" t="n">
        <x:v>360000</x:v>
      </x:c>
      <x:c r="AI57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58">
      <x:c r="A58" s="23" t="s">
        <x:v>89</x:v>
      </x:c>
      <x:c r="B58" s="24">
        <x:v>120</x:v>
      </x:c>
      <x:c r="C58" s="25" t="s">
        <x:v>16</x:v>
      </x:c>
      <x:c r="D58" s="26">
        <x:v>120</x:v>
      </x:c>
      <x:c r="E58" s="24"/>
      <x:c r="F58" s="25"/>
      <x:c r="G58" s="26"/>
      <x:c r="H58" s="25" t="str">
        <x:f t="shared" si="0"/>
        <x:v>فعال</x:v>
      </x:c>
      <x:c r="Y58" t="str">
        <x:f>IF(AND(LEN($K$2)&gt;=3,ISNUMBER(SEARCH($K$2,$A58))),MAX($Y$3:Y57)+1,"")</x:f>
      </x:c>
      <x:c r="Z58" s="79" t="str">
        <x:v>گیاهان دارویی</x:v>
      </x:c>
      <x:c r="AA58" s="79" t="str">
        <x:v>6a3782d7df5573f4e676e243</x:v>
      </x:c>
      <x:c r="AB58" s="79" t="str">
        <x:v>medicinal-plants</x:v>
      </x:c>
      <x:c r="AC58" s="79" t="str">
        <x:v>TOPICAL</x:v>
      </x:c>
      <x:c r="AD58" s="79" t="str">
        <x:v>خیر</x:v>
      </x:c>
      <x:c r="AE58" s="79" t="str">
        <x:v>خیر</x:v>
      </x:c>
      <x:c r="AF58" s="79" t="n">
        <x:v>1</x:v>
      </x:c>
      <x:c r="AG58" s="104" t="n">
        <x:v>120000</x:v>
      </x:c>
      <x:c r="AH58" s="104"/>
      <x:c r="AI5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59">
      <x:c r="A59" s="23" t="s">
        <x:v>90</x:v>
      </x:c>
      <x:c r="B59" s="24">
        <x:v>250</x:v>
      </x:c>
      <x:c r="C59" s="25" t="s">
        <x:v>87</x:v>
      </x:c>
      <x:c r="D59" s="26">
        <x:v>250</x:v>
      </x:c>
      <x:c r="E59" s="24">
        <x:v>360</x:v>
      </x:c>
      <x:c r="F59" s="25" t="s">
        <x:v>88</x:v>
      </x:c>
      <x:c r="G59" s="26">
        <x:v>360</x:v>
      </x:c>
      <x:c r="H59" s="25" t="str">
        <x:f t="shared" si="0"/>
        <x:v>فعال</x:v>
      </x:c>
      <x:c r="Y59" t="str">
        <x:f>IF(AND(LEN($K$2)&gt;=3,ISNUMBER(SEARCH($K$2,$A59))),MAX($Y$3:Y58)+1,"")</x:f>
      </x:c>
      <x:c r="Z59" s="79" t="str">
        <x:v>گیاهان دارویی</x:v>
      </x:c>
      <x:c r="AA59" s="79" t="str">
        <x:v>6a3782d7df5573f4e676e243</x:v>
      </x:c>
      <x:c r="AB59" s="79" t="str">
        <x:v>medicinal-plants</x:v>
      </x:c>
      <x:c r="AC59" s="79" t="str">
        <x:v>TOPICAL</x:v>
      </x:c>
      <x:c r="AD59" s="79" t="str">
        <x:v>خیر</x:v>
      </x:c>
      <x:c r="AE59" s="79" t="str">
        <x:v>بله</x:v>
      </x:c>
      <x:c r="AF59" s="79" t="n">
        <x:v>2</x:v>
      </x:c>
      <x:c r="AG59" s="104" t="n">
        <x:v>250000</x:v>
      </x:c>
      <x:c r="AH59" s="104" t="n">
        <x:v>360000</x:v>
      </x:c>
      <x:c r="AI5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60">
      <x:c r="A60" s="23" t="s">
        <x:v>91</x:v>
      </x:c>
      <x:c r="B60" s="24">
        <x:v>250</x:v>
      </x:c>
      <x:c r="C60" s="25" t="s">
        <x:v>88</x:v>
      </x:c>
      <x:c r="D60" s="26">
        <x:v>250</x:v>
      </x:c>
      <x:c r="E60" s="24">
        <x:v>360</x:v>
      </x:c>
      <x:c r="F60" s="25" t="s">
        <x:v>92</x:v>
      </x:c>
      <x:c r="G60" s="26">
        <x:v>360</x:v>
      </x:c>
      <x:c r="H60" s="25" t="str">
        <x:f t="shared" si="0"/>
        <x:v>فعال</x:v>
      </x:c>
      <x:c r="Y60" t="str">
        <x:f>IF(AND(LEN($K$2)&gt;=3,ISNUMBER(SEARCH($K$2,$A60))),MAX($Y$3:Y59)+1,"")</x:f>
      </x:c>
      <x:c r="Z60" s="79" t="str">
        <x:v>گیاهان دارویی</x:v>
      </x:c>
      <x:c r="AA60" s="79" t="str">
        <x:v>6a3782d7df5573f4e676e243</x:v>
      </x:c>
      <x:c r="AB60" s="79" t="str">
        <x:v>medicinal-plants</x:v>
      </x:c>
      <x:c r="AC60" s="79" t="str">
        <x:v>TOPICAL</x:v>
      </x:c>
      <x:c r="AD60" s="79" t="str">
        <x:v>خیر</x:v>
      </x:c>
      <x:c r="AE60" s="79" t="str">
        <x:v>بله</x:v>
      </x:c>
      <x:c r="AF60" s="79" t="n">
        <x:v>2</x:v>
      </x:c>
      <x:c r="AG60" s="104" t="n">
        <x:v>250000</x:v>
      </x:c>
      <x:c r="AH60" s="104" t="n">
        <x:v>360000</x:v>
      </x:c>
      <x:c r="AI6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61">
      <x:c r="A61" s="23" t="s">
        <x:v>93</x:v>
      </x:c>
      <x:c r="B61" s="24">
        <x:v>250</x:v>
      </x:c>
      <x:c r="C61" s="25" t="s">
        <x:v>87</x:v>
      </x:c>
      <x:c r="D61" s="26">
        <x:v>250</x:v>
      </x:c>
      <x:c r="E61" s="24">
        <x:v>360</x:v>
      </x:c>
      <x:c r="F61" s="25" t="s">
        <x:v>88</x:v>
      </x:c>
      <x:c r="G61" s="26">
        <x:v>360</x:v>
      </x:c>
      <x:c r="H61" s="25" t="str">
        <x:f t="shared" si="0"/>
        <x:v>فعال</x:v>
      </x:c>
      <x:c r="Y61" t="str">
        <x:f>IF(AND(LEN($K$2)&gt;=3,ISNUMBER(SEARCH($K$2,$A61))),MAX($Y$3:Y60)+1,"")</x:f>
      </x:c>
      <x:c r="Z61" s="79" t="str">
        <x:v>گیاهان دارویی</x:v>
      </x:c>
      <x:c r="AA61" s="79" t="str">
        <x:v>6a3782d7df5573f4e676e243</x:v>
      </x:c>
      <x:c r="AB61" s="79" t="str">
        <x:v>medicinal-plants</x:v>
      </x:c>
      <x:c r="AC61" s="79" t="str">
        <x:v>TOPICAL</x:v>
      </x:c>
      <x:c r="AD61" s="79" t="str">
        <x:v>خیر</x:v>
      </x:c>
      <x:c r="AE61" s="79" t="str">
        <x:v>بله</x:v>
      </x:c>
      <x:c r="AF61" s="79" t="n">
        <x:v>2</x:v>
      </x:c>
      <x:c r="AG61" s="104" t="n">
        <x:v>250000</x:v>
      </x:c>
      <x:c r="AH61" s="104" t="n">
        <x:v>360000</x:v>
      </x:c>
      <x:c r="AI61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62">
      <x:c r="A62" s="23" t="s">
        <x:v>94</x:v>
      </x:c>
      <x:c r="B62" s="24">
        <x:v>240</x:v>
      </x:c>
      <x:c r="C62" s="25" t="s">
        <x:v>16</x:v>
      </x:c>
      <x:c r="D62" s="26">
        <x:v>240</x:v>
      </x:c>
      <x:c r="E62" s="24"/>
      <x:c r="F62" s="25"/>
      <x:c r="G62" s="26"/>
      <x:c r="H62" s="25" t="str">
        <x:f t="shared" si="0"/>
        <x:v>فعال</x:v>
      </x:c>
      <x:c r="Y62" t="str">
        <x:f>IF(AND(LEN($K$2)&gt;=3,ISNUMBER(SEARCH($K$2,$A62))),MAX($Y$3:Y61)+1,"")</x:f>
      </x:c>
      <x:c r="Z62" s="79" t="str">
        <x:v>گیاهان دارویی</x:v>
      </x:c>
      <x:c r="AA62" s="79" t="str">
        <x:v>6a3782d7df5573f4e676e243</x:v>
      </x:c>
      <x:c r="AB62" s="79" t="str">
        <x:v>medicinal-plants</x:v>
      </x:c>
      <x:c r="AC62" s="79" t="str">
        <x:v>TOPICAL</x:v>
      </x:c>
      <x:c r="AD62" s="79" t="str">
        <x:v>خیر</x:v>
      </x:c>
      <x:c r="AE62" s="79" t="str">
        <x:v>خیر</x:v>
      </x:c>
      <x:c r="AF62" s="79" t="n">
        <x:v>1</x:v>
      </x:c>
      <x:c r="AG62" s="104" t="n">
        <x:v>240000</x:v>
      </x:c>
      <x:c r="AH62" s="104"/>
      <x:c r="AI6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63">
      <x:c r="A63" s="23" t="s">
        <x:v>95</x:v>
      </x:c>
      <x:c r="B63" s="24" t="s">
        <x:v>54</x:v>
      </x:c>
      <x:c r="C63" s="25" t="s">
        <x:v>16</x:v>
      </x:c>
      <x:c r="D63" s="26" t="s">
        <x:v>54</x:v>
      </x:c>
      <x:c r="E63" s="24"/>
      <x:c r="F63" s="25"/>
      <x:c r="G63" s="26"/>
      <x:c r="H63" s="25" t="str">
        <x:f t="shared" si="0"/>
        <x:v>نیاز به استعلام</x:v>
      </x:c>
      <x:c r="Y63" t="str">
        <x:f>IF(AND(LEN($K$2)&gt;=3,ISNUMBER(SEARCH($K$2,$A63))),MAX($Y$3:Y62)+1,"")</x:f>
      </x:c>
      <x:c r="Z63" s="79" t="str">
        <x:v>گیاهان دارویی</x:v>
      </x:c>
      <x:c r="AA63" s="79" t="str">
        <x:v>6a3782d7df5573f4e676e243</x:v>
      </x:c>
      <x:c r="AB63" s="79" t="str">
        <x:v>medicinal-plants</x:v>
      </x:c>
      <x:c r="AC63" s="79" t="str">
        <x:v>EDIBLE</x:v>
      </x:c>
      <x:c r="AD63" s="79" t="str">
        <x:v>بله</x:v>
      </x:c>
      <x:c r="AE63" s="79" t="str">
        <x:v>خیر</x:v>
      </x:c>
      <x:c r="AF63" s="79" t="n">
        <x:v>1</x:v>
      </x:c>
      <x:c r="AG63" s="104"/>
      <x:c r="AH63" s="104"/>
      <x:c r="AI63" s="79" t="str">
        <x:v>MISSING_PRICE_REVIEW</x:v>
      </x:c>
    </x:row>
    <x:row r="64">
      <x:c r="A64" s="23" t="s">
        <x:v>96</x:v>
      </x:c>
      <x:c r="B64" s="24">
        <x:v>320</x:v>
      </x:c>
      <x:c r="C64" s="25" t="s">
        <x:v>16</x:v>
      </x:c>
      <x:c r="D64" s="26">
        <x:v>320</x:v>
      </x:c>
      <x:c r="E64" s="24"/>
      <x:c r="F64" s="25"/>
      <x:c r="G64" s="26"/>
      <x:c r="H64" s="25" t="str">
        <x:f t="shared" si="0"/>
        <x:v>فعال</x:v>
      </x:c>
      <x:c r="Y64" t="str">
        <x:f>IF(AND(LEN($K$2)&gt;=3,ISNUMBER(SEARCH($K$2,$A64))),MAX($Y$3:Y63)+1,"")</x:f>
      </x:c>
      <x:c r="Z64" s="79" t="str">
        <x:v>آرد و قنادی</x:v>
      </x:c>
      <x:c r="AA64" s="79" t="str">
        <x:v>6a3a00000000000000000004</x:v>
      </x:c>
      <x:c r="AB64" s="79" t="str">
        <x:v>flour-confectionery</x:v>
      </x:c>
      <x:c r="AC64" s="79" t="str">
        <x:v>EDIBLE</x:v>
      </x:c>
      <x:c r="AD64" s="79" t="str">
        <x:v>بله</x:v>
      </x:c>
      <x:c r="AE64" s="79" t="str">
        <x:v>خیر</x:v>
      </x:c>
      <x:c r="AF64" s="79" t="n">
        <x:v>1</x:v>
      </x:c>
      <x:c r="AG64" s="104" t="n">
        <x:v>320000</x:v>
      </x:c>
      <x:c r="AH64" s="104"/>
      <x:c r="AI64" s="79" t="str">
        <x:v>دسته از «نیاز به بررسی» به «آرد و قنادی» اصلاح شد</x:v>
      </x:c>
    </x:row>
    <x:row r="65">
      <x:c r="A65" s="23" t="s">
        <x:v>97</x:v>
      </x:c>
      <x:c r="B65" s="24">
        <x:v>700</x:v>
      </x:c>
      <x:c r="C65" s="25" t="s">
        <x:v>16</x:v>
      </x:c>
      <x:c r="D65" s="26">
        <x:v>700</x:v>
      </x:c>
      <x:c r="E65" s="24"/>
      <x:c r="F65" s="25"/>
      <x:c r="G65" s="26"/>
      <x:c r="H65" s="25" t="str">
        <x:f t="shared" si="0"/>
        <x:v>فعال</x:v>
      </x:c>
      <x:c r="Y65" t="str">
        <x:f>IF(AND(LEN($K$2)&gt;=3,ISNUMBER(SEARCH($K$2,$A65))),MAX($Y$3:Y64)+1,"")</x:f>
      </x:c>
      <x:c r="Z65" s="79" t="str">
        <x:v>نوشیدنی‌ها</x:v>
      </x:c>
      <x:c r="AA65" s="79" t="str">
        <x:v>6a3782ffdf5573f4e676e24b</x:v>
      </x:c>
      <x:c r="AB65" s="79" t="str">
        <x:v>syrup</x:v>
      </x:c>
      <x:c r="AC65" s="79" t="str">
        <x:v>EDIBLE</x:v>
      </x:c>
      <x:c r="AD65" s="79" t="str">
        <x:v>بله</x:v>
      </x:c>
      <x:c r="AE65" s="79" t="str">
        <x:v>خیر</x:v>
      </x:c>
      <x:c r="AF65" s="79" t="n">
        <x:v>1</x:v>
      </x:c>
      <x:c r="AG65" s="104" t="n">
        <x:v>700000</x:v>
      </x:c>
      <x:c r="AH65" s="104"/>
      <x:c r="AI65" s="79"/>
    </x:row>
    <x:row r="66">
      <x:c r="A66" s="23" t="s">
        <x:v>98</x:v>
      </x:c>
      <x:c r="B66" s="24" t="s">
        <x:v>23</x:v>
      </x:c>
      <x:c r="C66" s="25" t="s">
        <x:v>16</x:v>
      </x:c>
      <x:c r="D66" s="26" t="s">
        <x:v>23</x:v>
      </x:c>
      <x:c r="E66" s="24"/>
      <x:c r="F66" s="25"/>
      <x:c r="G66" s="26"/>
      <x:c r="H66" s="25" t="str">
        <x:f t="shared" si="0"/>
        <x:v>فعال</x:v>
      </x:c>
      <x:c r="Y66" t="str">
        <x:f>IF(AND(LEN($K$2)&gt;=3,ISNUMBER(SEARCH($K$2,$A66))),MAX($Y$3:Y65)+1,"")</x:f>
      </x:c>
      <x:c r="Z66" s="79" t="str">
        <x:v>قنادی و شیرینی</x:v>
      </x:c>
      <x:c r="AA66" s="79" t="str">
        <x:v>6a3a00000000000000000003</x:v>
      </x:c>
      <x:c r="AB66" s="79" t="str">
        <x:v>confectionery</x:v>
      </x:c>
      <x:c r="AC66" s="79" t="str">
        <x:v>EDIBLE</x:v>
      </x:c>
      <x:c r="AD66" s="79" t="str">
        <x:v>بله</x:v>
      </x:c>
      <x:c r="AE66" s="79" t="str">
        <x:v>خیر</x:v>
      </x:c>
      <x:c r="AF66" s="79" t="n">
        <x:v>1</x:v>
      </x:c>
      <x:c r="AG66" s="104" t="n">
        <x:v>1100000</x:v>
      </x:c>
      <x:c r="AH66" s="104"/>
      <x:c r="AI66" s="79" t="str">
        <x:v>دسته از «نیاز به بررسی» به «قنادی و شیرینی» اصلاح شد</x:v>
      </x:c>
    </x:row>
    <x:row r="67">
      <x:c r="A67" s="23" t="s">
        <x:v>99</x:v>
      </x:c>
      <x:c r="B67" s="24">
        <x:v>700</x:v>
      </x:c>
      <x:c r="C67" s="25" t="s">
        <x:v>16</x:v>
      </x:c>
      <x:c r="D67" s="26">
        <x:v>700</x:v>
      </x:c>
      <x:c r="E67" s="24"/>
      <x:c r="F67" s="25"/>
      <x:c r="G67" s="26"/>
      <x:c r="H67" s="25" t="str">
        <x:f t="shared" si="0"/>
        <x:v>فعال</x:v>
      </x:c>
      <x:c r="Y67" t="str">
        <x:f>IF(AND(LEN($K$2)&gt;=3,ISNUMBER(SEARCH($K$2,$A67))),MAX($Y$3:Y66)+1,"")</x:f>
      </x:c>
      <x:c r="Z67" s="79" t="str">
        <x:v>گیاهان دارویی</x:v>
      </x:c>
      <x:c r="AA67" s="79" t="str">
        <x:v>6a3782d7df5573f4e676e243</x:v>
      </x:c>
      <x:c r="AB67" s="79" t="str">
        <x:v>medicinal-plants</x:v>
      </x:c>
      <x:c r="AC67" s="79" t="str">
        <x:v>EDIBLE</x:v>
      </x:c>
      <x:c r="AD67" s="79" t="str">
        <x:v>بله</x:v>
      </x:c>
      <x:c r="AE67" s="79" t="str">
        <x:v>خیر</x:v>
      </x:c>
      <x:c r="AF67" s="79" t="n">
        <x:v>1</x:v>
      </x:c>
      <x:c r="AG67" s="104" t="n">
        <x:v>700000</x:v>
      </x:c>
      <x:c r="AH67" s="104"/>
      <x:c r="AI67" s="79" t="str">
        <x:v>دسته از «نیاز به بررسی» به «گیاهان دارویی» اصلاح شد</x:v>
      </x:c>
    </x:row>
    <x:row r="68">
      <x:c r="A68" s="23" t="s">
        <x:v>100</x:v>
      </x:c>
      <x:c r="B68" s="24">
        <x:v>700</x:v>
      </x:c>
      <x:c r="C68" s="25" t="s">
        <x:v>16</x:v>
      </x:c>
      <x:c r="D68" s="26">
        <x:v>700</x:v>
      </x:c>
      <x:c r="E68" s="24"/>
      <x:c r="F68" s="25"/>
      <x:c r="G68" s="26"/>
      <x:c r="H68" s="25" t="str">
        <x:f t="shared" ref="H68:H131" si="1">IF(AND(OR(B68="",B68="؟"),OR(E68="",E68="؟")),"نیاز به استعلام","فعال")</x:f>
        <x:v>فعال</x:v>
      </x:c>
      <x:c r="Y68" t="str">
        <x:f>IF(AND(LEN($K$2)&gt;=3,ISNUMBER(SEARCH($K$2,$A68))),MAX($Y$3:Y67)+1,"")</x:f>
      </x:c>
      <x:c r="Z68" s="79" t="str">
        <x:v>ادویه</x:v>
      </x:c>
      <x:c r="AA68" s="79" t="str">
        <x:v>6a3781e4df5573f4e676e226</x:v>
      </x:c>
      <x:c r="AB68" s="79" t="str">
        <x:v>spice</x:v>
      </x:c>
      <x:c r="AC68" s="79" t="str">
        <x:v>EDIBLE</x:v>
      </x:c>
      <x:c r="AD68" s="79" t="str">
        <x:v>بله</x:v>
      </x:c>
      <x:c r="AE68" s="79" t="str">
        <x:v>خیر</x:v>
      </x:c>
      <x:c r="AF68" s="79" t="n">
        <x:v>1</x:v>
      </x:c>
      <x:c r="AG68" s="104" t="n">
        <x:v>700000</x:v>
      </x:c>
      <x:c r="AH68" s="104"/>
      <x:c r="AI68" s="79"/>
    </x:row>
    <x:row r="69">
      <x:c r="A69" s="23" t="s">
        <x:v>101</x:v>
      </x:c>
      <x:c r="B69" s="24">
        <x:v>550</x:v>
      </x:c>
      <x:c r="C69" s="25" t="s">
        <x:v>16</x:v>
      </x:c>
      <x:c r="D69" s="26">
        <x:v>550</x:v>
      </x:c>
      <x:c r="E69" s="24"/>
      <x:c r="F69" s="25"/>
      <x:c r="G69" s="26"/>
      <x:c r="H69" s="25" t="str">
        <x:f t="shared" si="1"/>
        <x:v>فعال</x:v>
      </x:c>
      <x:c r="Y69" t="str">
        <x:f>IF(AND(LEN($K$2)&gt;=3,ISNUMBER(SEARCH($K$2,$A69))),MAX($Y$3:Y68)+1,"")</x:f>
      </x:c>
      <x:c r="Z69" s="79" t="str">
        <x:v>خشکبار و آجیل</x:v>
      </x:c>
      <x:c r="AA69" s="79" t="str">
        <x:v>6a37810ddf5573f4e676e201</x:v>
      </x:c>
      <x:c r="AB69" s="79" t="str">
        <x:v>dried-fruits-nuts</x:v>
      </x:c>
      <x:c r="AC69" s="79" t="str">
        <x:v>EDIBLE</x:v>
      </x:c>
      <x:c r="AD69" s="79" t="str">
        <x:v>بله</x:v>
      </x:c>
      <x:c r="AE69" s="79" t="str">
        <x:v>خیر</x:v>
      </x:c>
      <x:c r="AF69" s="79" t="n">
        <x:v>1</x:v>
      </x:c>
      <x:c r="AG69" s="104" t="n">
        <x:v>550000</x:v>
      </x:c>
      <x:c r="AH69" s="104"/>
      <x:c r="AI69" s="79"/>
    </x:row>
    <x:row r="70">
      <x:c r="A70" s="23" t="s">
        <x:v>102</x:v>
      </x:c>
      <x:c r="B70" s="24">
        <x:v>890</x:v>
      </x:c>
      <x:c r="C70" s="25" t="s">
        <x:v>16</x:v>
      </x:c>
      <x:c r="D70" s="26">
        <x:v>890</x:v>
      </x:c>
      <x:c r="E70" s="24"/>
      <x:c r="F70" s="25"/>
      <x:c r="G70" s="26"/>
      <x:c r="H70" s="25" t="str">
        <x:f t="shared" si="1"/>
        <x:v>فعال</x:v>
      </x:c>
      <x:c r="Y70" t="str">
        <x:f>IF(AND(LEN($K$2)&gt;=3,ISNUMBER(SEARCH($K$2,$A70))),MAX($Y$3:Y69)+1,"")</x:f>
      </x:c>
      <x:c r="Z70" s="79" t="str">
        <x:v>خشکبار و آجیل</x:v>
      </x:c>
      <x:c r="AA70" s="79" t="str">
        <x:v>6a37810ddf5573f4e676e201</x:v>
      </x:c>
      <x:c r="AB70" s="79" t="str">
        <x:v>dried-fruits-nuts</x:v>
      </x:c>
      <x:c r="AC70" s="79" t="str">
        <x:v>EDIBLE</x:v>
      </x:c>
      <x:c r="AD70" s="79" t="str">
        <x:v>بله</x:v>
      </x:c>
      <x:c r="AE70" s="79" t="str">
        <x:v>خیر</x:v>
      </x:c>
      <x:c r="AF70" s="79" t="n">
        <x:v>1</x:v>
      </x:c>
      <x:c r="AG70" s="104" t="n">
        <x:v>890000</x:v>
      </x:c>
      <x:c r="AH70" s="104"/>
      <x:c r="AI70" s="79"/>
    </x:row>
    <x:row r="71">
      <x:c r="A71" s="23" t="s">
        <x:v>103</x:v>
      </x:c>
      <x:c r="B71" s="24">
        <x:v>400</x:v>
      </x:c>
      <x:c r="C71" s="25" t="s">
        <x:v>16</x:v>
      </x:c>
      <x:c r="D71" s="26">
        <x:v>400</x:v>
      </x:c>
      <x:c r="E71" s="24"/>
      <x:c r="F71" s="25"/>
      <x:c r="G71" s="26"/>
      <x:c r="H71" s="25" t="str">
        <x:f t="shared" si="1"/>
        <x:v>فعال</x:v>
      </x:c>
      <x:c r="Y71" t="str">
        <x:f>IF(AND(LEN($K$2)&gt;=3,ISNUMBER(SEARCH($K$2,$A71))),MAX($Y$3:Y70)+1,"")</x:f>
      </x:c>
      <x:c r="Z71" s="79" t="str">
        <x:v>خشکبار و آجیل</x:v>
      </x:c>
      <x:c r="AA71" s="79" t="str">
        <x:v>6a37810ddf5573f4e676e201</x:v>
      </x:c>
      <x:c r="AB71" s="79" t="str">
        <x:v>dried-fruits-nuts</x:v>
      </x:c>
      <x:c r="AC71" s="79" t="str">
        <x:v>EDIBLE</x:v>
      </x:c>
      <x:c r="AD71" s="79" t="str">
        <x:v>بله</x:v>
      </x:c>
      <x:c r="AE71" s="79" t="str">
        <x:v>خیر</x:v>
      </x:c>
      <x:c r="AF71" s="79" t="n">
        <x:v>1</x:v>
      </x:c>
      <x:c r="AG71" s="104" t="n">
        <x:v>400000</x:v>
      </x:c>
      <x:c r="AH71" s="104"/>
      <x:c r="AI71" s="79"/>
    </x:row>
    <x:row r="72">
      <x:c r="A72" s="23" t="s">
        <x:v>104</x:v>
      </x:c>
      <x:c r="B72" s="24" t="s">
        <x:v>23</x:v>
      </x:c>
      <x:c r="C72" s="25" t="s">
        <x:v>16</x:v>
      </x:c>
      <x:c r="D72" s="26" t="s">
        <x:v>23</x:v>
      </x:c>
      <x:c r="E72" s="24"/>
      <x:c r="F72" s="25"/>
      <x:c r="G72" s="26"/>
      <x:c r="H72" s="25" t="str">
        <x:f t="shared" si="1"/>
        <x:v>فعال</x:v>
      </x:c>
      <x:c r="Y72" t="str">
        <x:f>IF(AND(LEN($K$2)&gt;=3,ISNUMBER(SEARCH($K$2,$A72))),MAX($Y$3:Y71)+1,"")</x:f>
      </x:c>
      <x:c r="Z72" s="79" t="str">
        <x:v>خشکبار و آجیل</x:v>
      </x:c>
      <x:c r="AA72" s="79" t="str">
        <x:v>6a37810ddf5573f4e676e201</x:v>
      </x:c>
      <x:c r="AB72" s="79" t="str">
        <x:v>dried-fruits-nuts</x:v>
      </x:c>
      <x:c r="AC72" s="79" t="str">
        <x:v>EDIBLE</x:v>
      </x:c>
      <x:c r="AD72" s="79" t="str">
        <x:v>بله</x:v>
      </x:c>
      <x:c r="AE72" s="79" t="str">
        <x:v>خیر</x:v>
      </x:c>
      <x:c r="AF72" s="79" t="n">
        <x:v>1</x:v>
      </x:c>
      <x:c r="AG72" s="104" t="n">
        <x:v>1100000</x:v>
      </x:c>
      <x:c r="AH72" s="104"/>
      <x:c r="AI72" s="79"/>
    </x:row>
    <x:row r="73">
      <x:c r="A73" s="23" t="s">
        <x:v>105</x:v>
      </x:c>
      <x:c r="B73" s="24" t="s">
        <x:v>68</x:v>
      </x:c>
      <x:c r="C73" s="25" t="s">
        <x:v>16</x:v>
      </x:c>
      <x:c r="D73" s="26" t="s">
        <x:v>68</x:v>
      </x:c>
      <x:c r="E73" s="24"/>
      <x:c r="F73" s="25"/>
      <x:c r="G73" s="26"/>
      <x:c r="H73" s="25" t="str">
        <x:f t="shared" si="1"/>
        <x:v>فعال</x:v>
      </x:c>
      <x:c r="Y73" t="str">
        <x:f>IF(AND(LEN($K$2)&gt;=3,ISNUMBER(SEARCH($K$2,$A73))),MAX($Y$3:Y72)+1,"")</x:f>
      </x:c>
      <x:c r="Z73" s="79" t="str">
        <x:v>خشکبار و آجیل</x:v>
      </x:c>
      <x:c r="AA73" s="79" t="str">
        <x:v>6a37810ddf5573f4e676e201</x:v>
      </x:c>
      <x:c r="AB73" s="79" t="str">
        <x:v>dried-fruits-nuts</x:v>
      </x:c>
      <x:c r="AC73" s="79" t="str">
        <x:v>EDIBLE</x:v>
      </x:c>
      <x:c r="AD73" s="79" t="str">
        <x:v>بله</x:v>
      </x:c>
      <x:c r="AE73" s="79" t="str">
        <x:v>خیر</x:v>
      </x:c>
      <x:c r="AF73" s="79" t="n">
        <x:v>1</x:v>
      </x:c>
      <x:c r="AG73" s="104" t="n">
        <x:v>1800000</x:v>
      </x:c>
      <x:c r="AH73" s="104"/>
      <x:c r="AI73" s="79"/>
    </x:row>
    <x:row r="74">
      <x:c r="A74" s="23" t="s">
        <x:v>106</x:v>
      </x:c>
      <x:c r="B74" s="24">
        <x:v>130</x:v>
      </x:c>
      <x:c r="C74" s="25" t="s">
        <x:v>16</x:v>
      </x:c>
      <x:c r="D74" s="26">
        <x:v>130</x:v>
      </x:c>
      <x:c r="E74" s="24"/>
      <x:c r="F74" s="25"/>
      <x:c r="G74" s="26"/>
      <x:c r="H74" s="25" t="str">
        <x:f t="shared" si="1"/>
        <x:v>فعال</x:v>
      </x:c>
      <x:c r="Y74" t="str">
        <x:f>IF(AND(LEN($K$2)&gt;=3,ISNUMBER(SEARCH($K$2,$A74))),MAX($Y$3:Y73)+1,"")</x:f>
      </x:c>
      <x:c r="Z74" s="79" t="str">
        <x:v>خشکبار و آجیل</x:v>
      </x:c>
      <x:c r="AA74" s="79" t="str">
        <x:v>6a37810ddf5573f4e676e201</x:v>
      </x:c>
      <x:c r="AB74" s="79" t="str">
        <x:v>dried-fruits-nuts</x:v>
      </x:c>
      <x:c r="AC74" s="79" t="str">
        <x:v>EDIBLE</x:v>
      </x:c>
      <x:c r="AD74" s="79" t="str">
        <x:v>بله</x:v>
      </x:c>
      <x:c r="AE74" s="79" t="str">
        <x:v>خیر</x:v>
      </x:c>
      <x:c r="AF74" s="79" t="n">
        <x:v>1</x:v>
      </x:c>
      <x:c r="AG74" s="104" t="n">
        <x:v>130000</x:v>
      </x:c>
      <x:c r="AH74" s="104"/>
      <x:c r="AI74" s="79" t="str">
        <x:v>دسته از «نیاز به بررسی» به «خشکبار و آجیل» اصلاح شد</x:v>
      </x:c>
    </x:row>
    <x:row r="75">
      <x:c r="A75" s="23" t="s">
        <x:v>107</x:v>
      </x:c>
      <x:c r="B75" s="24" t="s">
        <x:v>54</x:v>
      </x:c>
      <x:c r="C75" s="25" t="s">
        <x:v>16</x:v>
      </x:c>
      <x:c r="D75" s="26" t="s">
        <x:v>54</x:v>
      </x:c>
      <x:c r="E75" s="24"/>
      <x:c r="F75" s="25"/>
      <x:c r="G75" s="26"/>
      <x:c r="H75" s="25" t="str">
        <x:f t="shared" si="1"/>
        <x:v>نیاز به استعلام</x:v>
      </x:c>
      <x:c r="Y75" t="str">
        <x:f>IF(AND(LEN($K$2)&gt;=3,ISNUMBER(SEARCH($K$2,$A75))),MAX($Y$3:Y74)+1,"")</x:f>
      </x:c>
      <x:c r="Z75" s="79" t="str">
        <x:v>خشکبار و آجیل</x:v>
      </x:c>
      <x:c r="AA75" s="79" t="str">
        <x:v>6a37810ddf5573f4e676e201</x:v>
      </x:c>
      <x:c r="AB75" s="79" t="str">
        <x:v>dried-fruits-nuts</x:v>
      </x:c>
      <x:c r="AC75" s="79" t="str">
        <x:v>EDIBLE</x:v>
      </x:c>
      <x:c r="AD75" s="79" t="str">
        <x:v>بله</x:v>
      </x:c>
      <x:c r="AE75" s="79" t="str">
        <x:v>خیر</x:v>
      </x:c>
      <x:c r="AF75" s="79" t="n">
        <x:v>1</x:v>
      </x:c>
      <x:c r="AG75" s="104"/>
      <x:c r="AH75" s="104"/>
      <x:c r="AI75" s="79" t="str">
        <x:v>MISSING_PRICE_REVIEW</x:v>
      </x:c>
    </x:row>
    <x:row r="76">
      <x:c r="A76" s="23" t="s">
        <x:v>108</x:v>
      </x:c>
      <x:c r="B76" s="24">
        <x:v>15</x:v>
      </x:c>
      <x:c r="C76" s="25" t="s">
        <x:v>109</x:v>
      </x:c>
      <x:c r="D76" s="26">
        <x:v>15</x:v>
      </x:c>
      <x:c r="E76" s="24" t="s">
        <x:v>15</x:v>
      </x:c>
      <x:c r="F76" s="25" t="s">
        <x:v>16</x:v>
      </x:c>
      <x:c r="G76" s="26" t="s">
        <x:v>15</x:v>
      </x:c>
      <x:c r="H76" s="25" t="str">
        <x:f t="shared" si="1"/>
        <x:v>فعال</x:v>
      </x:c>
      <x:c r="Y76" t="str">
        <x:f>IF(AND(LEN($K$2)&gt;=3,ISNUMBER(SEARCH($K$2,$A76))),MAX($Y$3:Y75)+1,"")</x:f>
      </x:c>
      <x:c r="Z76" s="79" t="str">
        <x:v>چای</x:v>
      </x:c>
      <x:c r="AA76" s="79" t="str">
        <x:v>6a30f5728337d8d2af170bb3</x:v>
      </x:c>
      <x:c r="AB76" s="79" t="str">
        <x:v>tea</x:v>
      </x:c>
      <x:c r="AC76" s="79" t="str">
        <x:v>EDIBLE</x:v>
      </x:c>
      <x:c r="AD76" s="79" t="str">
        <x:v>بله</x:v>
      </x:c>
      <x:c r="AE76" s="79" t="str">
        <x:v>بله</x:v>
      </x:c>
      <x:c r="AF76" s="79" t="n">
        <x:v>2</x:v>
      </x:c>
      <x:c r="AG76" s="104" t="n">
        <x:v>15000</x:v>
      </x:c>
      <x:c r="AH76" s="104" t="n">
        <x:v>1150000</x:v>
      </x:c>
      <x:c r="AI76" s="79"/>
    </x:row>
    <x:row r="77">
      <x:c r="A77" s="23" t="s">
        <x:v>110</x:v>
      </x:c>
      <x:c r="B77" s="24">
        <x:v>20</x:v>
      </x:c>
      <x:c r="C77" s="25" t="s">
        <x:v>109</x:v>
      </x:c>
      <x:c r="D77" s="26">
        <x:v>20</x:v>
      </x:c>
      <x:c r="E77" s="24" t="s">
        <x:v>50</x:v>
      </x:c>
      <x:c r="F77" s="25" t="s">
        <x:v>16</x:v>
      </x:c>
      <x:c r="G77" s="26" t="s">
        <x:v>50</x:v>
      </x:c>
      <x:c r="H77" s="25" t="str">
        <x:f t="shared" si="1"/>
        <x:v>فعال</x:v>
      </x:c>
      <x:c r="Y77" t="str">
        <x:f>IF(AND(LEN($K$2)&gt;=3,ISNUMBER(SEARCH($K$2,$A77))),MAX($Y$3:Y76)+1,"")</x:f>
      </x:c>
      <x:c r="Z77" s="79" t="str">
        <x:v>چای</x:v>
      </x:c>
      <x:c r="AA77" s="79" t="str">
        <x:v>6a30f5728337d8d2af170bb3</x:v>
      </x:c>
      <x:c r="AB77" s="79" t="str">
        <x:v>tea</x:v>
      </x:c>
      <x:c r="AC77" s="79" t="str">
        <x:v>EDIBLE</x:v>
      </x:c>
      <x:c r="AD77" s="79" t="str">
        <x:v>بله</x:v>
      </x:c>
      <x:c r="AE77" s="79" t="str">
        <x:v>بله</x:v>
      </x:c>
      <x:c r="AF77" s="79" t="n">
        <x:v>2</x:v>
      </x:c>
      <x:c r="AG77" s="104" t="n">
        <x:v>20000</x:v>
      </x:c>
      <x:c r="AH77" s="104" t="n">
        <x:v>2800000</x:v>
      </x:c>
      <x:c r="AI77" s="79"/>
    </x:row>
    <x:row r="78">
      <x:c r="A78" s="23" t="s">
        <x:v>111</x:v>
      </x:c>
      <x:c r="B78" s="24">
        <x:v>20</x:v>
      </x:c>
      <x:c r="C78" s="25" t="s">
        <x:v>109</x:v>
      </x:c>
      <x:c r="D78" s="26">
        <x:v>20</x:v>
      </x:c>
      <x:c r="E78" s="24"/>
      <x:c r="F78" s="25"/>
      <x:c r="G78" s="26"/>
      <x:c r="H78" s="25" t="str">
        <x:f t="shared" si="1"/>
        <x:v>فعال</x:v>
      </x:c>
      <x:c r="Y78" t="str">
        <x:f>IF(AND(LEN($K$2)&gt;=3,ISNUMBER(SEARCH($K$2,$A78))),MAX($Y$3:Y77)+1,"")</x:f>
      </x:c>
      <x:c r="Z78" s="79" t="str">
        <x:v>چای</x:v>
      </x:c>
      <x:c r="AA78" s="79" t="str">
        <x:v>6a30f5728337d8d2af170bb3</x:v>
      </x:c>
      <x:c r="AB78" s="79" t="str">
        <x:v>tea</x:v>
      </x:c>
      <x:c r="AC78" s="79" t="str">
        <x:v>EDIBLE</x:v>
      </x:c>
      <x:c r="AD78" s="79" t="str">
        <x:v>بله</x:v>
      </x:c>
      <x:c r="AE78" s="79" t="str">
        <x:v>خیر</x:v>
      </x:c>
      <x:c r="AF78" s="79" t="n">
        <x:v>1</x:v>
      </x:c>
      <x:c r="AG78" s="104" t="n">
        <x:v>20000</x:v>
      </x:c>
      <x:c r="AH78" s="104"/>
      <x:c r="AI78" s="79"/>
    </x:row>
    <x:row r="79">
      <x:c r="A79" s="23" t="s">
        <x:v>112</x:v>
      </x:c>
      <x:c r="B79" s="24">
        <x:v>15</x:v>
      </x:c>
      <x:c r="C79" s="25" t="s">
        <x:v>109</x:v>
      </x:c>
      <x:c r="D79" s="26">
        <x:v>15</x:v>
      </x:c>
      <x:c r="E79" s="24" t="s">
        <x:v>113</x:v>
      </x:c>
      <x:c r="F79" s="25" t="s">
        <x:v>16</x:v>
      </x:c>
      <x:c r="G79" s="26" t="s">
        <x:v>113</x:v>
      </x:c>
      <x:c r="H79" s="25" t="str">
        <x:f t="shared" si="1"/>
        <x:v>فعال</x:v>
      </x:c>
      <x:c r="Y79" t="str">
        <x:f>IF(AND(LEN($K$2)&gt;=3,ISNUMBER(SEARCH($K$2,$A79))),MAX($Y$3:Y78)+1,"")</x:f>
      </x:c>
      <x:c r="Z79" s="79" t="str">
        <x:v>چای</x:v>
      </x:c>
      <x:c r="AA79" s="79" t="str">
        <x:v>6a30f5728337d8d2af170bb3</x:v>
      </x:c>
      <x:c r="AB79" s="79" t="str">
        <x:v>tea</x:v>
      </x:c>
      <x:c r="AC79" s="79" t="str">
        <x:v>EDIBLE</x:v>
      </x:c>
      <x:c r="AD79" s="79" t="str">
        <x:v>بله</x:v>
      </x:c>
      <x:c r="AE79" s="79" t="str">
        <x:v>بله</x:v>
      </x:c>
      <x:c r="AF79" s="79" t="n">
        <x:v>2</x:v>
      </x:c>
      <x:c r="AG79" s="104" t="n">
        <x:v>15000</x:v>
      </x:c>
      <x:c r="AH79" s="104" t="n">
        <x:v>2100000</x:v>
      </x:c>
      <x:c r="AI79" s="79"/>
    </x:row>
    <x:row r="80">
      <x:c r="A80" s="23" t="s">
        <x:v>114</x:v>
      </x:c>
      <x:c r="B80" s="24" t="s">
        <x:v>115</x:v>
      </x:c>
      <x:c r="C80" s="25" t="s">
        <x:v>16</x:v>
      </x:c>
      <x:c r="D80" s="26" t="s">
        <x:v>115</x:v>
      </x:c>
      <x:c r="E80" s="24"/>
      <x:c r="F80" s="25"/>
      <x:c r="G80" s="26"/>
      <x:c r="H80" s="25" t="str">
        <x:f t="shared" si="1"/>
        <x:v>فعال</x:v>
      </x:c>
      <x:c r="Y80" t="str">
        <x:f>IF(AND(LEN($K$2)&gt;=3,ISNUMBER(SEARCH($K$2,$A80))),MAX($Y$3:Y79)+1,"")</x:f>
      </x:c>
      <x:c r="Z80" s="79" t="str">
        <x:v>گیاهان دارویی</x:v>
      </x:c>
      <x:c r="AA80" s="79" t="str">
        <x:v>6a3782d7df5573f4e676e243</x:v>
      </x:c>
      <x:c r="AB80" s="79" t="str">
        <x:v>medicinal-plants</x:v>
      </x:c>
      <x:c r="AC80" s="79" t="str">
        <x:v>EDIBLE</x:v>
      </x:c>
      <x:c r="AD80" s="79" t="str">
        <x:v>بله</x:v>
      </x:c>
      <x:c r="AE80" s="79" t="str">
        <x:v>خیر</x:v>
      </x:c>
      <x:c r="AF80" s="79" t="n">
        <x:v>1</x:v>
      </x:c>
      <x:c r="AG80" s="104" t="n">
        <x:v>1200000</x:v>
      </x:c>
      <x:c r="AH80" s="104"/>
      <x:c r="AI80" s="79" t="str">
        <x:v>دسته از «نیاز به بررسی» به «گیاهان دارویی» اصلاح شد</x:v>
      </x:c>
    </x:row>
    <x:row r="81">
      <x:c r="A81" s="23" t="s">
        <x:v>116</x:v>
      </x:c>
      <x:c r="B81" s="24">
        <x:v>490</x:v>
      </x:c>
      <x:c r="C81" s="25" t="s">
        <x:v>16</x:v>
      </x:c>
      <x:c r="D81" s="26">
        <x:v>490</x:v>
      </x:c>
      <x:c r="E81" s="24"/>
      <x:c r="F81" s="25"/>
      <x:c r="G81" s="26"/>
      <x:c r="H81" s="25" t="str">
        <x:f t="shared" si="1"/>
        <x:v>فعال</x:v>
      </x:c>
      <x:c r="Y81" t="str">
        <x:f>IF(AND(LEN($K$2)&gt;=3,ISNUMBER(SEARCH($K$2,$A81))),MAX($Y$3:Y80)+1,"")</x:f>
      </x:c>
      <x:c r="Z81" s="79" t="str">
        <x:v>حبوبات و غلات</x:v>
      </x:c>
      <x:c r="AA81" s="79" t="str">
        <x:v>6a3a00000000000000000002</x:v>
      </x:c>
      <x:c r="AB81" s="79" t="str">
        <x:v>legumes-grains</x:v>
      </x:c>
      <x:c r="AC81" s="79" t="str">
        <x:v>EDIBLE</x:v>
      </x:c>
      <x:c r="AD81" s="79" t="str">
        <x:v>بله</x:v>
      </x:c>
      <x:c r="AE81" s="79" t="str">
        <x:v>خیر</x:v>
      </x:c>
      <x:c r="AF81" s="79" t="n">
        <x:v>1</x:v>
      </x:c>
      <x:c r="AG81" s="104" t="n">
        <x:v>490000</x:v>
      </x:c>
      <x:c r="AH81" s="104"/>
      <x:c r="AI81" s="79"/>
    </x:row>
    <x:row r="82">
      <x:c r="A82" s="23" t="s">
        <x:v>117</x:v>
      </x:c>
      <x:c r="B82" s="24">
        <x:v>340</x:v>
      </x:c>
      <x:c r="C82" s="25" t="s">
        <x:v>118</x:v>
      </x:c>
      <x:c r="D82" s="26">
        <x:v>340</x:v>
      </x:c>
      <x:c r="E82" s="24">
        <x:v>110</x:v>
      </x:c>
      <x:c r="F82" s="25" t="s">
        <x:v>119</x:v>
      </x:c>
      <x:c r="G82" s="26">
        <x:v>110</x:v>
      </x:c>
      <x:c r="H82" s="25" t="str">
        <x:f t="shared" si="1"/>
        <x:v>فعال</x:v>
      </x:c>
      <x:c r="Y82" t="str">
        <x:f>IF(AND(LEN($K$2)&gt;=3,ISNUMBER(SEARCH($K$2,$A82))),MAX($Y$3:Y81)+1,"")</x:f>
      </x:c>
      <x:c r="Z82" s="79" t="str">
        <x:v>حبوبات و غلات</x:v>
      </x:c>
      <x:c r="AA82" s="79" t="str">
        <x:v>6a3a00000000000000000002</x:v>
      </x:c>
      <x:c r="AB82" s="79" t="str">
        <x:v>legumes-grains</x:v>
      </x:c>
      <x:c r="AC82" s="79" t="str">
        <x:v>EDIBLE</x:v>
      </x:c>
      <x:c r="AD82" s="79" t="str">
        <x:v>بله</x:v>
      </x:c>
      <x:c r="AE82" s="79" t="str">
        <x:v>بله</x:v>
      </x:c>
      <x:c r="AF82" s="79" t="n">
        <x:v>2</x:v>
      </x:c>
      <x:c r="AG82" s="104" t="n">
        <x:v>340000</x:v>
      </x:c>
      <x:c r="AH82" s="104" t="n">
        <x:v>110000</x:v>
      </x:c>
      <x:c r="AI82" s="79"/>
    </x:row>
    <x:row r="83">
      <x:c r="A83" s="23" t="s">
        <x:v>120</x:v>
      </x:c>
      <x:c r="B83" s="24" t="s">
        <x:v>121</x:v>
      </x:c>
      <x:c r="C83" s="25" t="s">
        <x:v>16</x:v>
      </x:c>
      <x:c r="D83" s="26" t="s">
        <x:v>121</x:v>
      </x:c>
      <x:c r="E83" s="24"/>
      <x:c r="F83" s="25"/>
      <x:c r="G83" s="26"/>
      <x:c r="H83" s="25" t="str">
        <x:f t="shared" si="1"/>
        <x:v>فعال</x:v>
      </x:c>
      <x:c r="Y83" t="str">
        <x:f>IF(AND(LEN($K$2)&gt;=3,ISNUMBER(SEARCH($K$2,$A83))),MAX($Y$3:Y82)+1,"")</x:f>
      </x:c>
      <x:c r="Z83" s="79" t="str">
        <x:v>ادویه</x:v>
      </x:c>
      <x:c r="AA83" s="79" t="str">
        <x:v>6a3781e4df5573f4e676e226</x:v>
      </x:c>
      <x:c r="AB83" s="79" t="str">
        <x:v>spice</x:v>
      </x:c>
      <x:c r="AC83" s="79" t="str">
        <x:v>EDIBLE</x:v>
      </x:c>
      <x:c r="AD83" s="79" t="str">
        <x:v>بله</x:v>
      </x:c>
      <x:c r="AE83" s="79" t="str">
        <x:v>خیر</x:v>
      </x:c>
      <x:c r="AF83" s="79" t="n">
        <x:v>1</x:v>
      </x:c>
      <x:c r="AG83" s="104" t="n">
        <x:v>3800000</x:v>
      </x:c>
      <x:c r="AH83" s="104"/>
      <x:c r="AI83" s="79"/>
    </x:row>
    <x:row r="84">
      <x:c r="A84" s="23" t="s">
        <x:v>122</x:v>
      </x:c>
      <x:c r="B84" s="24">
        <x:v>180</x:v>
      </x:c>
      <x:c r="C84" s="25" t="s">
        <x:v>16</x:v>
      </x:c>
      <x:c r="D84" s="26">
        <x:v>180</x:v>
      </x:c>
      <x:c r="E84" s="24"/>
      <x:c r="F84" s="25"/>
      <x:c r="G84" s="26"/>
      <x:c r="H84" s="25" t="str">
        <x:f t="shared" si="1"/>
        <x:v>فعال</x:v>
      </x:c>
      <x:c r="Y84" t="str">
        <x:f>IF(AND(LEN($K$2)&gt;=3,ISNUMBER(SEARCH($K$2,$A84))),MAX($Y$3:Y83)+1,"")</x:f>
      </x:c>
      <x:c r="Z84" s="79" t="str">
        <x:v>حبوبات و غلات</x:v>
      </x:c>
      <x:c r="AA84" s="79" t="str">
        <x:v>6a3a00000000000000000002</x:v>
      </x:c>
      <x:c r="AB84" s="79" t="str">
        <x:v>legumes-grains</x:v>
      </x:c>
      <x:c r="AC84" s="79" t="str">
        <x:v>EDIBLE</x:v>
      </x:c>
      <x:c r="AD84" s="79" t="str">
        <x:v>بله</x:v>
      </x:c>
      <x:c r="AE84" s="79" t="str">
        <x:v>خیر</x:v>
      </x:c>
      <x:c r="AF84" s="79" t="n">
        <x:v>1</x:v>
      </x:c>
      <x:c r="AG84" s="104" t="n">
        <x:v>180000</x:v>
      </x:c>
      <x:c r="AH84" s="104"/>
      <x:c r="AI84" s="79"/>
    </x:row>
    <x:row r="85">
      <x:c r="A85" s="23" t="s">
        <x:v>123</x:v>
      </x:c>
      <x:c r="B85" s="24">
        <x:v>580</x:v>
      </x:c>
      <x:c r="C85" s="25" t="s">
        <x:v>16</x:v>
      </x:c>
      <x:c r="D85" s="26">
        <x:v>580</x:v>
      </x:c>
      <x:c r="E85" s="24"/>
      <x:c r="F85" s="25"/>
      <x:c r="G85" s="26"/>
      <x:c r="H85" s="25" t="str">
        <x:f t="shared" si="1"/>
        <x:v>فعال</x:v>
      </x:c>
      <x:c r="Y85" t="str">
        <x:f>IF(AND(LEN($K$2)&gt;=3,ISNUMBER(SEARCH($K$2,$A85))),MAX($Y$3:Y84)+1,"")</x:f>
      </x:c>
      <x:c r="Z85" s="79" t="str">
        <x:v>ادویه</x:v>
      </x:c>
      <x:c r="AA85" s="79" t="str">
        <x:v>6a3781e4df5573f4e676e226</x:v>
      </x:c>
      <x:c r="AB85" s="79" t="str">
        <x:v>spice</x:v>
      </x:c>
      <x:c r="AC85" s="79" t="str">
        <x:v>EDIBLE</x:v>
      </x:c>
      <x:c r="AD85" s="79" t="str">
        <x:v>بله</x:v>
      </x:c>
      <x:c r="AE85" s="79" t="str">
        <x:v>خیر</x:v>
      </x:c>
      <x:c r="AF85" s="79" t="n">
        <x:v>1</x:v>
      </x:c>
      <x:c r="AG85" s="104" t="n">
        <x:v>580000</x:v>
      </x:c>
      <x:c r="AH85" s="104"/>
      <x:c r="AI85" s="79"/>
    </x:row>
    <x:row r="86">
      <x:c r="A86" s="23" t="s">
        <x:v>124</x:v>
      </x:c>
      <x:c r="B86" s="24" t="s">
        <x:v>64</x:v>
      </x:c>
      <x:c r="C86" s="25" t="s">
        <x:v>16</x:v>
      </x:c>
      <x:c r="D86" s="26" t="s">
        <x:v>64</x:v>
      </x:c>
      <x:c r="E86" s="24"/>
      <x:c r="F86" s="25"/>
      <x:c r="G86" s="26"/>
      <x:c r="H86" s="25" t="str">
        <x:f t="shared" si="1"/>
        <x:v>فعال</x:v>
      </x:c>
      <x:c r="Y86" t="str">
        <x:f>IF(AND(LEN($K$2)&gt;=3,ISNUMBER(SEARCH($K$2,$A86))),MAX($Y$3:Y85)+1,"")</x:f>
      </x:c>
      <x:c r="Z86" s="79" t="str">
        <x:v>چای</x:v>
      </x:c>
      <x:c r="AA86" s="79" t="str">
        <x:v>6a30f5728337d8d2af170bb3</x:v>
      </x:c>
      <x:c r="AB86" s="79" t="str">
        <x:v>tea</x:v>
      </x:c>
      <x:c r="AC86" s="79" t="str">
        <x:v>EDIBLE</x:v>
      </x:c>
      <x:c r="AD86" s="79" t="str">
        <x:v>بله</x:v>
      </x:c>
      <x:c r="AE86" s="79" t="str">
        <x:v>خیر</x:v>
      </x:c>
      <x:c r="AF86" s="79" t="n">
        <x:v>1</x:v>
      </x:c>
      <x:c r="AG86" s="104" t="n">
        <x:v>4500000</x:v>
      </x:c>
      <x:c r="AH86" s="104"/>
      <x:c r="AI86" s="79"/>
    </x:row>
    <x:row r="87">
      <x:c r="A87" s="23" t="s">
        <x:v>125</x:v>
      </x:c>
      <x:c r="B87" s="24" t="s">
        <x:v>126</x:v>
      </x:c>
      <x:c r="C87" s="25" t="s">
        <x:v>16</x:v>
      </x:c>
      <x:c r="D87" s="26" t="s">
        <x:v>126</x:v>
      </x:c>
      <x:c r="E87" s="24"/>
      <x:c r="F87" s="25"/>
      <x:c r="G87" s="26"/>
      <x:c r="H87" s="25" t="str">
        <x:f t="shared" si="1"/>
        <x:v>فعال</x:v>
      </x:c>
      <x:c r="Y87" t="str">
        <x:f>IF(AND(LEN($K$2)&gt;=3,ISNUMBER(SEARCH($K$2,$A87))),MAX($Y$3:Y86)+1,"")</x:f>
      </x:c>
      <x:c r="Z87" s="79" t="str">
        <x:v>چای</x:v>
      </x:c>
      <x:c r="AA87" s="79" t="str">
        <x:v>6a30f5728337d8d2af170bb3</x:v>
      </x:c>
      <x:c r="AB87" s="79" t="str">
        <x:v>tea</x:v>
      </x:c>
      <x:c r="AC87" s="79" t="str">
        <x:v>EDIBLE</x:v>
      </x:c>
      <x:c r="AD87" s="79" t="str">
        <x:v>بله</x:v>
      </x:c>
      <x:c r="AE87" s="79" t="str">
        <x:v>خیر</x:v>
      </x:c>
      <x:c r="AF87" s="79" t="n">
        <x:v>1</x:v>
      </x:c>
      <x:c r="AG87" s="104" t="n">
        <x:v>3250000</x:v>
      </x:c>
      <x:c r="AH87" s="104"/>
      <x:c r="AI87" s="79" t="str">
        <x:v>MERGED</x:v>
      </x:c>
    </x:row>
    <x:row r="88">
      <x:c r="A88" s="23" t="s">
        <x:v>127</x:v>
      </x:c>
      <x:c r="B88" s="24" t="s">
        <x:v>54</x:v>
      </x:c>
      <x:c r="C88" s="25" t="s">
        <x:v>16</x:v>
      </x:c>
      <x:c r="D88" s="26" t="s">
        <x:v>54</x:v>
      </x:c>
      <x:c r="E88" s="24"/>
      <x:c r="F88" s="25"/>
      <x:c r="G88" s="26"/>
      <x:c r="H88" s="25" t="str">
        <x:f t="shared" si="1"/>
        <x:v>نیاز به استعلام</x:v>
      </x:c>
      <x:c r="Y88" t="str">
        <x:f>IF(AND(LEN($K$2)&gt;=3,ISNUMBER(SEARCH($K$2,$A88))),MAX($Y$3:Y87)+1,"")</x:f>
      </x:c>
      <x:c r="Z88" s="79" t="str">
        <x:v>چای</x:v>
      </x:c>
      <x:c r="AA88" s="79" t="str">
        <x:v>6a30f5728337d8d2af170bb3</x:v>
      </x:c>
      <x:c r="AB88" s="79" t="str">
        <x:v>tea</x:v>
      </x:c>
      <x:c r="AC88" s="79" t="str">
        <x:v>EDIBLE</x:v>
      </x:c>
      <x:c r="AD88" s="79" t="str">
        <x:v>بله</x:v>
      </x:c>
      <x:c r="AE88" s="79" t="str">
        <x:v>خیر</x:v>
      </x:c>
      <x:c r="AF88" s="79" t="n">
        <x:v>1</x:v>
      </x:c>
      <x:c r="AG88" s="104"/>
      <x:c r="AH88" s="104"/>
      <x:c r="AI88" s="79" t="str">
        <x:v>MERGED + MISSING_PRICE_REVIEW</x:v>
      </x:c>
    </x:row>
    <x:row r="89">
      <x:c r="A89" s="23" t="s">
        <x:v>128</x:v>
      </x:c>
      <x:c r="B89" s="24" t="s">
        <x:v>129</x:v>
      </x:c>
      <x:c r="C89" s="25" t="s">
        <x:v>16</x:v>
      </x:c>
      <x:c r="D89" s="26" t="s">
        <x:v>129</x:v>
      </x:c>
      <x:c r="E89" s="24"/>
      <x:c r="F89" s="25"/>
      <x:c r="G89" s="26"/>
      <x:c r="H89" s="25" t="str">
        <x:f t="shared" si="1"/>
        <x:v>فعال</x:v>
      </x:c>
      <x:c r="Y89" t="str">
        <x:f>IF(AND(LEN($K$2)&gt;=3,ISNUMBER(SEARCH($K$2,$A89))),MAX($Y$3:Y88)+1,"")</x:f>
      </x:c>
      <x:c r="Z89" s="79" t="str">
        <x:v>چای</x:v>
      </x:c>
      <x:c r="AA89" s="79" t="str">
        <x:v>6a30f5728337d8d2af170bb3</x:v>
      </x:c>
      <x:c r="AB89" s="79" t="str">
        <x:v>tea</x:v>
      </x:c>
      <x:c r="AC89" s="79" t="str">
        <x:v>EDIBLE</x:v>
      </x:c>
      <x:c r="AD89" s="79" t="str">
        <x:v>بله</x:v>
      </x:c>
      <x:c r="AE89" s="79" t="str">
        <x:v>خیر</x:v>
      </x:c>
      <x:c r="AF89" s="79" t="n">
        <x:v>1</x:v>
      </x:c>
      <x:c r="AG89" s="104" t="n">
        <x:v>3700000</x:v>
      </x:c>
      <x:c r="AH89" s="104"/>
      <x:c r="AI89" s="79"/>
    </x:row>
    <x:row r="90">
      <x:c r="A90" s="23" t="s">
        <x:v>130</x:v>
      </x:c>
      <x:c r="B90" s="24">
        <x:v>350</x:v>
      </x:c>
      <x:c r="C90" s="25" t="s">
        <x:v>16</x:v>
      </x:c>
      <x:c r="D90" s="26">
        <x:v>350</x:v>
      </x:c>
      <x:c r="E90" s="24"/>
      <x:c r="F90" s="25"/>
      <x:c r="G90" s="26"/>
      <x:c r="H90" s="25" t="str">
        <x:f t="shared" si="1"/>
        <x:v>فعال</x:v>
      </x:c>
      <x:c r="Y90" t="str">
        <x:f>IF(AND(LEN($K$2)&gt;=3,ISNUMBER(SEARCH($K$2,$A90))),MAX($Y$3:Y89)+1,"")</x:f>
      </x:c>
      <x:c r="Z90" s="79" t="str">
        <x:v>چای</x:v>
      </x:c>
      <x:c r="AA90" s="79" t="str">
        <x:v>6a30f5728337d8d2af170bb3</x:v>
      </x:c>
      <x:c r="AB90" s="79" t="str">
        <x:v>tea</x:v>
      </x:c>
      <x:c r="AC90" s="79" t="str">
        <x:v>EDIBLE</x:v>
      </x:c>
      <x:c r="AD90" s="79" t="str">
        <x:v>بله</x:v>
      </x:c>
      <x:c r="AE90" s="79" t="str">
        <x:v>خیر</x:v>
      </x:c>
      <x:c r="AF90" s="79" t="n">
        <x:v>1</x:v>
      </x:c>
      <x:c r="AG90" s="104" t="n">
        <x:v>350000</x:v>
      </x:c>
      <x:c r="AH90" s="104"/>
      <x:c r="AI90" s="79"/>
    </x:row>
    <x:row r="91">
      <x:c r="A91" s="23" t="s">
        <x:v>131</x:v>
      </x:c>
      <x:c r="B91" s="24">
        <x:v>900</x:v>
      </x:c>
      <x:c r="C91" s="25" t="s">
        <x:v>16</x:v>
      </x:c>
      <x:c r="D91" s="26">
        <x:v>900</x:v>
      </x:c>
      <x:c r="E91" s="24"/>
      <x:c r="F91" s="25"/>
      <x:c r="G91" s="26"/>
      <x:c r="H91" s="25" t="str">
        <x:f t="shared" si="1"/>
        <x:v>فعال</x:v>
      </x:c>
      <x:c r="Y91" t="str">
        <x:f>IF(AND(LEN($K$2)&gt;=3,ISNUMBER(SEARCH($K$2,$A91))),MAX($Y$3:Y90)+1,"")</x:f>
      </x:c>
      <x:c r="Z91" s="79" t="str">
        <x:v>چای</x:v>
      </x:c>
      <x:c r="AA91" s="79" t="str">
        <x:v>6a30f5728337d8d2af170bb3</x:v>
      </x:c>
      <x:c r="AB91" s="79" t="str">
        <x:v>tea</x:v>
      </x:c>
      <x:c r="AC91" s="79" t="str">
        <x:v>EDIBLE</x:v>
      </x:c>
      <x:c r="AD91" s="79" t="str">
        <x:v>بله</x:v>
      </x:c>
      <x:c r="AE91" s="79" t="str">
        <x:v>خیر</x:v>
      </x:c>
      <x:c r="AF91" s="79" t="n">
        <x:v>1</x:v>
      </x:c>
      <x:c r="AG91" s="104" t="n">
        <x:v>900000</x:v>
      </x:c>
      <x:c r="AH91" s="104"/>
      <x:c r="AI91" s="79"/>
    </x:row>
    <x:row r="92">
      <x:c r="A92" s="23" t="s">
        <x:v>132</x:v>
      </x:c>
      <x:c r="B92" s="24" t="s">
        <x:v>133</x:v>
      </x:c>
      <x:c r="C92" s="25" t="s">
        <x:v>16</x:v>
      </x:c>
      <x:c r="D92" s="26" t="s">
        <x:v>133</x:v>
      </x:c>
      <x:c r="E92" s="24"/>
      <x:c r="F92" s="25"/>
      <x:c r="G92" s="26"/>
      <x:c r="H92" s="25" t="str">
        <x:f t="shared" si="1"/>
        <x:v>فعال</x:v>
      </x:c>
      <x:c r="Y92" t="str">
        <x:f>IF(AND(LEN($K$2)&gt;=3,ISNUMBER(SEARCH($K$2,$A92))),MAX($Y$3:Y91)+1,"")</x:f>
      </x:c>
      <x:c r="Z92" s="79" t="str">
        <x:v>چای</x:v>
      </x:c>
      <x:c r="AA92" s="79" t="str">
        <x:v>6a30f5728337d8d2af170bb3</x:v>
      </x:c>
      <x:c r="AB92" s="79" t="str">
        <x:v>tea</x:v>
      </x:c>
      <x:c r="AC92" s="79" t="str">
        <x:v>EDIBLE</x:v>
      </x:c>
      <x:c r="AD92" s="79" t="str">
        <x:v>بله</x:v>
      </x:c>
      <x:c r="AE92" s="79" t="str">
        <x:v>خیر</x:v>
      </x:c>
      <x:c r="AF92" s="79" t="n">
        <x:v>1</x:v>
      </x:c>
      <x:c r="AG92" s="104" t="n">
        <x:v>1850000</x:v>
      </x:c>
      <x:c r="AH92" s="104"/>
      <x:c r="AI92" s="79"/>
    </x:row>
    <x:row r="93">
      <x:c r="A93" s="23" t="s">
        <x:v>134</x:v>
      </x:c>
      <x:c r="B93" s="24" t="s">
        <x:v>68</x:v>
      </x:c>
      <x:c r="C93" s="25" t="s">
        <x:v>16</x:v>
      </x:c>
      <x:c r="D93" s="26" t="s">
        <x:v>68</x:v>
      </x:c>
      <x:c r="E93" s="24"/>
      <x:c r="F93" s="25"/>
      <x:c r="G93" s="26"/>
      <x:c r="H93" s="25" t="str">
        <x:f t="shared" si="1"/>
        <x:v>فعال</x:v>
      </x:c>
      <x:c r="Y93" t="str">
        <x:f>IF(AND(LEN($K$2)&gt;=3,ISNUMBER(SEARCH($K$2,$A93))),MAX($Y$3:Y92)+1,"")</x:f>
      </x:c>
      <x:c r="Z93" s="79" t="str">
        <x:v>چای</x:v>
      </x:c>
      <x:c r="AA93" s="79" t="str">
        <x:v>6a30f5728337d8d2af170bb3</x:v>
      </x:c>
      <x:c r="AB93" s="79" t="str">
        <x:v>tea</x:v>
      </x:c>
      <x:c r="AC93" s="79" t="str">
        <x:v>EDIBLE</x:v>
      </x:c>
      <x:c r="AD93" s="79" t="str">
        <x:v>بله</x:v>
      </x:c>
      <x:c r="AE93" s="79" t="str">
        <x:v>خیر</x:v>
      </x:c>
      <x:c r="AF93" s="79" t="n">
        <x:v>1</x:v>
      </x:c>
      <x:c r="AG93" s="104" t="n">
        <x:v>1800000</x:v>
      </x:c>
      <x:c r="AH93" s="104"/>
      <x:c r="AI93" s="79"/>
    </x:row>
    <x:row r="94">
      <x:c r="A94" s="23" t="s">
        <x:v>135</x:v>
      </x:c>
      <x:c r="B94" s="24" t="s">
        <x:v>136</x:v>
      </x:c>
      <x:c r="C94" s="25" t="s">
        <x:v>16</x:v>
      </x:c>
      <x:c r="D94" s="26" t="s">
        <x:v>136</x:v>
      </x:c>
      <x:c r="E94" s="24"/>
      <x:c r="F94" s="25"/>
      <x:c r="G94" s="26"/>
      <x:c r="H94" s="25" t="str">
        <x:f t="shared" si="1"/>
        <x:v>فعال</x:v>
      </x:c>
      <x:c r="Y94" t="str">
        <x:f>IF(AND(LEN($K$2)&gt;=3,ISNUMBER(SEARCH($K$2,$A94))),MAX($Y$3:Y93)+1,"")</x:f>
      </x:c>
      <x:c r="Z94" s="79" t="str">
        <x:v>چای</x:v>
      </x:c>
      <x:c r="AA94" s="79" t="str">
        <x:v>6a30f5728337d8d2af170bb3</x:v>
      </x:c>
      <x:c r="AB94" s="79" t="str">
        <x:v>tea</x:v>
      </x:c>
      <x:c r="AC94" s="79" t="str">
        <x:v>EDIBLE</x:v>
      </x:c>
      <x:c r="AD94" s="79" t="str">
        <x:v>بله</x:v>
      </x:c>
      <x:c r="AE94" s="79" t="str">
        <x:v>خیر</x:v>
      </x:c>
      <x:c r="AF94" s="79" t="n">
        <x:v>1</x:v>
      </x:c>
      <x:c r="AG94" s="104" t="n">
        <x:v>1590000</x:v>
      </x:c>
      <x:c r="AH94" s="104"/>
      <x:c r="AI94" s="79"/>
    </x:row>
    <x:row r="95">
      <x:c r="A95" s="23" t="s">
        <x:v>137</x:v>
      </x:c>
      <x:c r="B95" s="24" t="s">
        <x:v>136</x:v>
      </x:c>
      <x:c r="C95" s="25" t="s">
        <x:v>16</x:v>
      </x:c>
      <x:c r="D95" s="26" t="s">
        <x:v>136</x:v>
      </x:c>
      <x:c r="E95" s="24"/>
      <x:c r="F95" s="25"/>
      <x:c r="G95" s="26"/>
      <x:c r="H95" s="25" t="str">
        <x:f t="shared" si="1"/>
        <x:v>فعال</x:v>
      </x:c>
      <x:c r="Y95" t="str">
        <x:f>IF(AND(LEN($K$2)&gt;=3,ISNUMBER(SEARCH($K$2,$A95))),MAX($Y$3:Y94)+1,"")</x:f>
      </x:c>
      <x:c r="Z95" s="79" t="str">
        <x:v>چای</x:v>
      </x:c>
      <x:c r="AA95" s="79" t="str">
        <x:v>6a30f5728337d8d2af170bb3</x:v>
      </x:c>
      <x:c r="AB95" s="79" t="str">
        <x:v>tea</x:v>
      </x:c>
      <x:c r="AC95" s="79" t="str">
        <x:v>EDIBLE</x:v>
      </x:c>
      <x:c r="AD95" s="79" t="str">
        <x:v>بله</x:v>
      </x:c>
      <x:c r="AE95" s="79" t="str">
        <x:v>خیر</x:v>
      </x:c>
      <x:c r="AF95" s="79" t="n">
        <x:v>1</x:v>
      </x:c>
      <x:c r="AG95" s="104" t="n">
        <x:v>1590000</x:v>
      </x:c>
      <x:c r="AH95" s="104"/>
      <x:c r="AI95" s="79"/>
    </x:row>
    <x:row r="96">
      <x:c r="A96" s="23" t="s">
        <x:v>138</x:v>
      </x:c>
      <x:c r="B96" s="24">
        <x:v>710</x:v>
      </x:c>
      <x:c r="C96" s="25" t="s">
        <x:v>16</x:v>
      </x:c>
      <x:c r="D96" s="26">
        <x:v>710</x:v>
      </x:c>
      <x:c r="E96" s="24"/>
      <x:c r="F96" s="25"/>
      <x:c r="G96" s="26"/>
      <x:c r="H96" s="25" t="str">
        <x:f t="shared" si="1"/>
        <x:v>فعال</x:v>
      </x:c>
      <x:c r="Y96" t="str">
        <x:f>IF(AND(LEN($K$2)&gt;=3,ISNUMBER(SEARCH($K$2,$A96))),MAX($Y$3:Y95)+1,"")</x:f>
      </x:c>
      <x:c r="Z96" s="79" t="str">
        <x:v>چای</x:v>
      </x:c>
      <x:c r="AA96" s="79" t="str">
        <x:v>6a30f5728337d8d2af170bb3</x:v>
      </x:c>
      <x:c r="AB96" s="79" t="str">
        <x:v>tea</x:v>
      </x:c>
      <x:c r="AC96" s="79" t="str">
        <x:v>EDIBLE</x:v>
      </x:c>
      <x:c r="AD96" s="79" t="str">
        <x:v>بله</x:v>
      </x:c>
      <x:c r="AE96" s="79" t="str">
        <x:v>خیر</x:v>
      </x:c>
      <x:c r="AF96" s="79" t="n">
        <x:v>1</x:v>
      </x:c>
      <x:c r="AG96" s="104" t="n">
        <x:v>710000</x:v>
      </x:c>
      <x:c r="AH96" s="104"/>
      <x:c r="AI96" s="79"/>
    </x:row>
    <x:row r="97">
      <x:c r="A97" s="23" t="s">
        <x:v>139</x:v>
      </x:c>
      <x:c r="B97" s="24" t="s">
        <x:v>68</x:v>
      </x:c>
      <x:c r="C97" s="25" t="s">
        <x:v>16</x:v>
      </x:c>
      <x:c r="D97" s="26" t="s">
        <x:v>68</x:v>
      </x:c>
      <x:c r="E97" s="24"/>
      <x:c r="F97" s="25"/>
      <x:c r="G97" s="26"/>
      <x:c r="H97" s="25" t="str">
        <x:f t="shared" si="1"/>
        <x:v>فعال</x:v>
      </x:c>
      <x:c r="Y97" t="str">
        <x:f>IF(AND(LEN($K$2)&gt;=3,ISNUMBER(SEARCH($K$2,$A97))),MAX($Y$3:Y96)+1,"")</x:f>
      </x:c>
      <x:c r="Z97" s="79" t="str">
        <x:v>چای</x:v>
      </x:c>
      <x:c r="AA97" s="79" t="str">
        <x:v>6a30f5728337d8d2af170bb3</x:v>
      </x:c>
      <x:c r="AB97" s="79" t="str">
        <x:v>tea</x:v>
      </x:c>
      <x:c r="AC97" s="79" t="str">
        <x:v>EDIBLE</x:v>
      </x:c>
      <x:c r="AD97" s="79" t="str">
        <x:v>بله</x:v>
      </x:c>
      <x:c r="AE97" s="79" t="str">
        <x:v>خیر</x:v>
      </x:c>
      <x:c r="AF97" s="79" t="n">
        <x:v>1</x:v>
      </x:c>
      <x:c r="AG97" s="104" t="n">
        <x:v>1800000</x:v>
      </x:c>
      <x:c r="AH97" s="104"/>
      <x:c r="AI97" s="79"/>
    </x:row>
    <x:row r="98">
      <x:c r="A98" s="23" t="s">
        <x:v>140</x:v>
      </x:c>
      <x:c r="B98" s="24" t="s">
        <x:v>121</x:v>
      </x:c>
      <x:c r="C98" s="25" t="s">
        <x:v>16</x:v>
      </x:c>
      <x:c r="D98" s="26" t="s">
        <x:v>121</x:v>
      </x:c>
      <x:c r="E98" s="24"/>
      <x:c r="F98" s="25"/>
      <x:c r="G98" s="26"/>
      <x:c r="H98" s="25" t="str">
        <x:f t="shared" si="1"/>
        <x:v>فعال</x:v>
      </x:c>
      <x:c r="Y98" t="str">
        <x:f>IF(AND(LEN($K$2)&gt;=3,ISNUMBER(SEARCH($K$2,$A98))),MAX($Y$3:Y97)+1,"")</x:f>
      </x:c>
      <x:c r="Z98" s="79" t="str">
        <x:v>چای</x:v>
      </x:c>
      <x:c r="AA98" s="79" t="str">
        <x:v>6a30f5728337d8d2af170bb3</x:v>
      </x:c>
      <x:c r="AB98" s="79" t="str">
        <x:v>tea</x:v>
      </x:c>
      <x:c r="AC98" s="79" t="str">
        <x:v>EDIBLE</x:v>
      </x:c>
      <x:c r="AD98" s="79" t="str">
        <x:v>بله</x:v>
      </x:c>
      <x:c r="AE98" s="79" t="str">
        <x:v>خیر</x:v>
      </x:c>
      <x:c r="AF98" s="79" t="n">
        <x:v>1</x:v>
      </x:c>
      <x:c r="AG98" s="104" t="n">
        <x:v>3800000</x:v>
      </x:c>
      <x:c r="AH98" s="104"/>
      <x:c r="AI98" s="79"/>
    </x:row>
    <x:row r="99">
      <x:c r="A99" s="23" t="s">
        <x:v>141</x:v>
      </x:c>
      <x:c r="B99" s="24">
        <x:v>670</x:v>
      </x:c>
      <x:c r="C99" s="25" t="s">
        <x:v>16</x:v>
      </x:c>
      <x:c r="D99" s="26">
        <x:v>670</x:v>
      </x:c>
      <x:c r="E99" s="24"/>
      <x:c r="F99" s="25"/>
      <x:c r="G99" s="26"/>
      <x:c r="H99" s="25" t="str">
        <x:f t="shared" si="1"/>
        <x:v>فعال</x:v>
      </x:c>
      <x:c r="Y99" t="str">
        <x:f>IF(AND(LEN($K$2)&gt;=3,ISNUMBER(SEARCH($K$2,$A99))),MAX($Y$3:Y98)+1,"")</x:f>
      </x:c>
      <x:c r="Z99" s="79" t="str">
        <x:v>چای</x:v>
      </x:c>
      <x:c r="AA99" s="79" t="str">
        <x:v>6a30f5728337d8d2af170bb3</x:v>
      </x:c>
      <x:c r="AB99" s="79" t="str">
        <x:v>tea</x:v>
      </x:c>
      <x:c r="AC99" s="79" t="str">
        <x:v>EDIBLE</x:v>
      </x:c>
      <x:c r="AD99" s="79" t="str">
        <x:v>بله</x:v>
      </x:c>
      <x:c r="AE99" s="79" t="str">
        <x:v>خیر</x:v>
      </x:c>
      <x:c r="AF99" s="79" t="n">
        <x:v>1</x:v>
      </x:c>
      <x:c r="AG99" s="104" t="n">
        <x:v>670000</x:v>
      </x:c>
      <x:c r="AH99" s="104"/>
      <x:c r="AI99" s="79"/>
    </x:row>
    <x:row r="100">
      <x:c r="A100" s="23" t="s">
        <x:v>142</x:v>
      </x:c>
      <x:c r="B100" s="24">
        <x:v>950</x:v>
      </x:c>
      <x:c r="C100" s="25" t="s">
        <x:v>16</x:v>
      </x:c>
      <x:c r="D100" s="26">
        <x:v>950</x:v>
      </x:c>
      <x:c r="E100" s="24"/>
      <x:c r="F100" s="25"/>
      <x:c r="G100" s="26"/>
      <x:c r="H100" s="25" t="str">
        <x:f t="shared" si="1"/>
        <x:v>فعال</x:v>
      </x:c>
      <x:c r="Y100" t="str">
        <x:f>IF(AND(LEN($K$2)&gt;=3,ISNUMBER(SEARCH($K$2,$A100))),MAX($Y$3:Y99)+1,"")</x:f>
      </x:c>
      <x:c r="Z100" s="79" t="str">
        <x:v>خشکبار و آجیل</x:v>
      </x:c>
      <x:c r="AA100" s="79" t="str">
        <x:v>6a37810ddf5573f4e676e201</x:v>
      </x:c>
      <x:c r="AB100" s="79" t="str">
        <x:v>dried-fruits-nuts</x:v>
      </x:c>
      <x:c r="AC100" s="79" t="str">
        <x:v>EDIBLE</x:v>
      </x:c>
      <x:c r="AD100" s="79" t="str">
        <x:v>بله</x:v>
      </x:c>
      <x:c r="AE100" s="79" t="str">
        <x:v>خیر</x:v>
      </x:c>
      <x:c r="AF100" s="79" t="n">
        <x:v>1</x:v>
      </x:c>
      <x:c r="AG100" s="104" t="n">
        <x:v>950000</x:v>
      </x:c>
      <x:c r="AH100" s="104"/>
      <x:c r="AI100" s="79"/>
    </x:row>
    <x:row r="101">
      <x:c r="A101" s="23" t="s">
        <x:v>143</x:v>
      </x:c>
      <x:c r="B101" s="24">
        <x:v>900</x:v>
      </x:c>
      <x:c r="C101" s="25" t="s">
        <x:v>144</x:v>
      </x:c>
      <x:c r="D101" s="26">
        <x:v>900</x:v>
      </x:c>
      <x:c r="E101" s="24"/>
      <x:c r="F101" s="25"/>
      <x:c r="G101" s="26"/>
      <x:c r="H101" s="25" t="str">
        <x:f t="shared" si="1"/>
        <x:v>فعال</x:v>
      </x:c>
      <x:c r="Y101" t="str">
        <x:f>IF(AND(LEN($K$2)&gt;=3,ISNUMBER(SEARCH($K$2,$A101))),MAX($Y$3:Y100)+1,"")</x:f>
      </x:c>
      <x:c r="Z101" s="79" t="str">
        <x:v>گیاهان دارویی</x:v>
      </x:c>
      <x:c r="AA101" s="79" t="str">
        <x:v>6a3782d7df5573f4e676e243</x:v>
      </x:c>
      <x:c r="AB101" s="79" t="str">
        <x:v>medicinal-plants</x:v>
      </x:c>
      <x:c r="AC101" s="79" t="str">
        <x:v>EDIBLE</x:v>
      </x:c>
      <x:c r="AD101" s="79" t="str">
        <x:v>بله</x:v>
      </x:c>
      <x:c r="AE101" s="79" t="str">
        <x:v>خیر</x:v>
      </x:c>
      <x:c r="AF101" s="79" t="n">
        <x:v>1</x:v>
      </x:c>
      <x:c r="AG101" s="104" t="n">
        <x:v>900000</x:v>
      </x:c>
      <x:c r="AH101" s="104"/>
      <x:c r="AI101" s="79" t="str">
        <x:v>دسته از «نیاز به بررسی» به «گیاهان دارویی» اصلاح شد</x:v>
      </x:c>
    </x:row>
    <x:row r="102">
      <x:c r="A102" s="23" t="s">
        <x:v>145</x:v>
      </x:c>
      <x:c r="B102" s="24" t="s">
        <x:v>23</x:v>
      </x:c>
      <x:c r="C102" s="25" t="s">
        <x:v>16</x:v>
      </x:c>
      <x:c r="D102" s="26" t="s">
        <x:v>23</x:v>
      </x:c>
      <x:c r="E102" s="24"/>
      <x:c r="F102" s="25"/>
      <x:c r="G102" s="26"/>
      <x:c r="H102" s="25" t="str">
        <x:f t="shared" si="1"/>
        <x:v>فعال</x:v>
      </x:c>
      <x:c r="Y102" t="str">
        <x:f>IF(AND(LEN($K$2)&gt;=3,ISNUMBER(SEARCH($K$2,$A102))),MAX($Y$3:Y101)+1,"")</x:f>
      </x:c>
      <x:c r="Z102" s="79" t="str">
        <x:v>خشکبار و آجیل</x:v>
      </x:c>
      <x:c r="AA102" s="79" t="str">
        <x:v>6a37810ddf5573f4e676e201</x:v>
      </x:c>
      <x:c r="AB102" s="79" t="str">
        <x:v>dried-fruits-nuts</x:v>
      </x:c>
      <x:c r="AC102" s="79" t="str">
        <x:v>EDIBLE</x:v>
      </x:c>
      <x:c r="AD102" s="79" t="str">
        <x:v>بله</x:v>
      </x:c>
      <x:c r="AE102" s="79" t="str">
        <x:v>خیر</x:v>
      </x:c>
      <x:c r="AF102" s="79" t="n">
        <x:v>1</x:v>
      </x:c>
      <x:c r="AG102" s="104" t="n">
        <x:v>1100000</x:v>
      </x:c>
      <x:c r="AH102" s="104"/>
      <x:c r="AI102" s="79" t="str">
        <x:v>دسته از «نیاز به بررسی» به «خشکبار و آجیل» اصلاح شد</x:v>
      </x:c>
    </x:row>
    <x:row r="103">
      <x:c r="A103" s="23" t="s">
        <x:v>146</x:v>
      </x:c>
      <x:c r="B103" s="24">
        <x:v>430</x:v>
      </x:c>
      <x:c r="C103" s="25" t="s">
        <x:v>147</x:v>
      </x:c>
      <x:c r="D103" s="26">
        <x:v>430</x:v>
      </x:c>
      <x:c r="E103" s="24"/>
      <x:c r="F103" s="25"/>
      <x:c r="G103" s="26"/>
      <x:c r="H103" s="25" t="str">
        <x:f t="shared" si="1"/>
        <x:v>فعال</x:v>
      </x:c>
      <x:c r="Y103" t="str">
        <x:f>IF(AND(LEN($K$2)&gt;=3,ISNUMBER(SEARCH($K$2,$A103))),MAX($Y$3:Y102)+1,"")</x:f>
      </x:c>
      <x:c r="Z103" s="79" t="str">
        <x:v>قنادی و شیرینی</x:v>
      </x:c>
      <x:c r="AA103" s="79" t="str">
        <x:v>6a3a00000000000000000003</x:v>
      </x:c>
      <x:c r="AB103" s="79" t="str">
        <x:v>confectionery</x:v>
      </x:c>
      <x:c r="AC103" s="79" t="str">
        <x:v>EDIBLE</x:v>
      </x:c>
      <x:c r="AD103" s="79" t="str">
        <x:v>بله</x:v>
      </x:c>
      <x:c r="AE103" s="79" t="str">
        <x:v>خیر</x:v>
      </x:c>
      <x:c r="AF103" s="79" t="n">
        <x:v>1</x:v>
      </x:c>
      <x:c r="AG103" s="104" t="n">
        <x:v>430000</x:v>
      </x:c>
      <x:c r="AH103" s="104"/>
      <x:c r="AI103" s="79" t="str">
        <x:v>MERGED</x:v>
      </x:c>
    </x:row>
    <x:row r="104">
      <x:c r="A104" s="23" t="s">
        <x:v>148</x:v>
      </x:c>
      <x:c r="B104" s="24">
        <x:v>350</x:v>
      </x:c>
      <x:c r="C104" s="25" t="s">
        <x:v>147</x:v>
      </x:c>
      <x:c r="D104" s="26">
        <x:v>350</x:v>
      </x:c>
      <x:c r="E104" s="24"/>
      <x:c r="F104" s="25"/>
      <x:c r="G104" s="26"/>
      <x:c r="H104" s="25" t="str">
        <x:f t="shared" si="1"/>
        <x:v>فعال</x:v>
      </x:c>
      <x:c r="Y104" t="str">
        <x:f>IF(AND(LEN($K$2)&gt;=3,ISNUMBER(SEARCH($K$2,$A104))),MAX($Y$3:Y103)+1,"")</x:f>
      </x:c>
      <x:c r="Z104" s="79" t="str">
        <x:v>قنادی و شیرینی</x:v>
      </x:c>
      <x:c r="AA104" s="79" t="str">
        <x:v>6a3a00000000000000000003</x:v>
      </x:c>
      <x:c r="AB104" s="79" t="str">
        <x:v>confectionery</x:v>
      </x:c>
      <x:c r="AC104" s="79" t="str">
        <x:v>EDIBLE</x:v>
      </x:c>
      <x:c r="AD104" s="79" t="str">
        <x:v>بله</x:v>
      </x:c>
      <x:c r="AE104" s="79" t="str">
        <x:v>خیر</x:v>
      </x:c>
      <x:c r="AF104" s="79" t="n">
        <x:v>1</x:v>
      </x:c>
      <x:c r="AG104" s="104" t="n">
        <x:v>350000</x:v>
      </x:c>
      <x:c r="AH104" s="104"/>
      <x:c r="AI104" s="79" t="str">
        <x:v>MERGED</x:v>
      </x:c>
    </x:row>
    <x:row r="105">
      <x:c r="A105" s="23" t="s">
        <x:v>149</x:v>
      </x:c>
      <x:c r="B105" s="24">
        <x:v>330</x:v>
      </x:c>
      <x:c r="C105" s="25" t="s">
        <x:v>16</x:v>
      </x:c>
      <x:c r="D105" s="26">
        <x:v>330</x:v>
      </x:c>
      <x:c r="E105" s="24"/>
      <x:c r="F105" s="25"/>
      <x:c r="G105" s="26"/>
      <x:c r="H105" s="25" t="str">
        <x:f t="shared" si="1"/>
        <x:v>فعال</x:v>
      </x:c>
      <x:c r="Y105" t="str">
        <x:f>IF(AND(LEN($K$2)&gt;=3,ISNUMBER(SEARCH($K$2,$A105))),MAX($Y$3:Y104)+1,"")</x:f>
      </x:c>
      <x:c r="Z105" s="79" t="str">
        <x:v>قنادی و شیرینی</x:v>
      </x:c>
      <x:c r="AA105" s="79" t="str">
        <x:v>6a3a00000000000000000003</x:v>
      </x:c>
      <x:c r="AB105" s="79" t="str">
        <x:v>confectionery</x:v>
      </x:c>
      <x:c r="AC105" s="79" t="str">
        <x:v>EDIBLE</x:v>
      </x:c>
      <x:c r="AD105" s="79" t="str">
        <x:v>بله</x:v>
      </x:c>
      <x:c r="AE105" s="79" t="str">
        <x:v>خیر</x:v>
      </x:c>
      <x:c r="AF105" s="79" t="n">
        <x:v>1</x:v>
      </x:c>
      <x:c r="AG105" s="104" t="n">
        <x:v>330000</x:v>
      </x:c>
      <x:c r="AH105" s="104"/>
      <x:c r="AI105" s="79"/>
    </x:row>
    <x:row r="106">
      <x:c r="A106" s="23" t="s">
        <x:v>150</x:v>
      </x:c>
      <x:c r="B106" s="24">
        <x:v>350</x:v>
      </x:c>
      <x:c r="C106" s="25" t="s">
        <x:v>16</x:v>
      </x:c>
      <x:c r="D106" s="26">
        <x:v>350</x:v>
      </x:c>
      <x:c r="E106" s="24"/>
      <x:c r="F106" s="25"/>
      <x:c r="G106" s="26"/>
      <x:c r="H106" s="25" t="str">
        <x:f t="shared" si="1"/>
        <x:v>فعال</x:v>
      </x:c>
      <x:c r="Y106" t="str">
        <x:f>IF(AND(LEN($K$2)&gt;=3,ISNUMBER(SEARCH($K$2,$A106))),MAX($Y$3:Y105)+1,"")</x:f>
      </x:c>
      <x:c r="Z106" s="79" t="str">
        <x:v>قنادی و شیرینی</x:v>
      </x:c>
      <x:c r="AA106" s="79" t="str">
        <x:v>6a3a00000000000000000003</x:v>
      </x:c>
      <x:c r="AB106" s="79" t="str">
        <x:v>confectionery</x:v>
      </x:c>
      <x:c r="AC106" s="79" t="str">
        <x:v>EDIBLE</x:v>
      </x:c>
      <x:c r="AD106" s="79" t="str">
        <x:v>بله</x:v>
      </x:c>
      <x:c r="AE106" s="79" t="str">
        <x:v>خیر</x:v>
      </x:c>
      <x:c r="AF106" s="79" t="n">
        <x:v>1</x:v>
      </x:c>
      <x:c r="AG106" s="104" t="n">
        <x:v>350000</x:v>
      </x:c>
      <x:c r="AH106" s="104"/>
      <x:c r="AI106" s="79" t="str">
        <x:v>دسته از «روغن» به «قنادی و شیرینی» اصلاح شد</x:v>
      </x:c>
    </x:row>
    <x:row r="107">
      <x:c r="A107" s="23" t="s">
        <x:v>151</x:v>
      </x:c>
      <x:c r="B107" s="24">
        <x:v>350</x:v>
      </x:c>
      <x:c r="C107" s="25" t="s">
        <x:v>16</x:v>
      </x:c>
      <x:c r="D107" s="26">
        <x:v>350</x:v>
      </x:c>
      <x:c r="E107" s="24"/>
      <x:c r="F107" s="25"/>
      <x:c r="G107" s="26"/>
      <x:c r="H107" s="25" t="str">
        <x:f t="shared" si="1"/>
        <x:v>فعال</x:v>
      </x:c>
      <x:c r="Y107" t="str">
        <x:f>IF(AND(LEN($K$2)&gt;=3,ISNUMBER(SEARCH($K$2,$A107))),MAX($Y$3:Y106)+1,"")</x:f>
      </x:c>
      <x:c r="Z107" s="79" t="str">
        <x:v>قنادی و شیرینی</x:v>
      </x:c>
      <x:c r="AA107" s="79" t="str">
        <x:v>6a3a00000000000000000003</x:v>
      </x:c>
      <x:c r="AB107" s="79" t="str">
        <x:v>confectionery</x:v>
      </x:c>
      <x:c r="AC107" s="79" t="str">
        <x:v>EDIBLE</x:v>
      </x:c>
      <x:c r="AD107" s="79" t="str">
        <x:v>بله</x:v>
      </x:c>
      <x:c r="AE107" s="79" t="str">
        <x:v>خیر</x:v>
      </x:c>
      <x:c r="AF107" s="79" t="n">
        <x:v>1</x:v>
      </x:c>
      <x:c r="AG107" s="104" t="n">
        <x:v>350000</x:v>
      </x:c>
      <x:c r="AH107" s="104"/>
      <x:c r="AI107" s="79"/>
    </x:row>
    <x:row r="108">
      <x:c r="A108" s="23" t="s">
        <x:v>152</x:v>
      </x:c>
      <x:c r="B108" s="24">
        <x:v>330</x:v>
      </x:c>
      <x:c r="C108" s="25" t="s">
        <x:v>16</x:v>
      </x:c>
      <x:c r="D108" s="26">
        <x:v>330</x:v>
      </x:c>
      <x:c r="E108" s="24"/>
      <x:c r="F108" s="25"/>
      <x:c r="G108" s="26"/>
      <x:c r="H108" s="25" t="str">
        <x:f t="shared" si="1"/>
        <x:v>فعال</x:v>
      </x:c>
      <x:c r="Y108" t="str">
        <x:f>IF(AND(LEN($K$2)&gt;=3,ISNUMBER(SEARCH($K$2,$A108))),MAX($Y$3:Y107)+1,"")</x:f>
      </x:c>
      <x:c r="Z108" s="79" t="str">
        <x:v>قنادی و شیرینی</x:v>
      </x:c>
      <x:c r="AA108" s="79" t="str">
        <x:v>6a3a00000000000000000003</x:v>
      </x:c>
      <x:c r="AB108" s="79" t="str">
        <x:v>confectionery</x:v>
      </x:c>
      <x:c r="AC108" s="79" t="str">
        <x:v>EDIBLE</x:v>
      </x:c>
      <x:c r="AD108" s="79" t="str">
        <x:v>بله</x:v>
      </x:c>
      <x:c r="AE108" s="79" t="str">
        <x:v>خیر</x:v>
      </x:c>
      <x:c r="AF108" s="79" t="n">
        <x:v>1</x:v>
      </x:c>
      <x:c r="AG108" s="104" t="n">
        <x:v>330000</x:v>
      </x:c>
      <x:c r="AH108" s="104"/>
      <x:c r="AI108" s="79"/>
    </x:row>
    <x:row r="109">
      <x:c r="A109" s="23" t="s">
        <x:v>153</x:v>
      </x:c>
      <x:c r="B109" s="24" t="s">
        <x:v>54</x:v>
      </x:c>
      <x:c r="C109" s="25" t="s">
        <x:v>16</x:v>
      </x:c>
      <x:c r="D109" s="26" t="s">
        <x:v>54</x:v>
      </x:c>
      <x:c r="E109" s="24"/>
      <x:c r="F109" s="25"/>
      <x:c r="G109" s="26"/>
      <x:c r="H109" s="25" t="str">
        <x:f t="shared" si="1"/>
        <x:v>نیاز به استعلام</x:v>
      </x:c>
      <x:c r="Y109" t="str">
        <x:f>IF(AND(LEN($K$2)&gt;=3,ISNUMBER(SEARCH($K$2,$A109))),MAX($Y$3:Y108)+1,"")</x:f>
      </x:c>
      <x:c r="Z109" s="79" t="str">
        <x:v>گیاهان دارویی</x:v>
      </x:c>
      <x:c r="AA109" s="79" t="str">
        <x:v>6a3782d7df5573f4e676e243</x:v>
      </x:c>
      <x:c r="AB109" s="79" t="str">
        <x:v>medicinal-plants</x:v>
      </x:c>
      <x:c r="AC109" s="79" t="str">
        <x:v>TOPICAL</x:v>
      </x:c>
      <x:c r="AD109" s="79" t="str">
        <x:v>خیر</x:v>
      </x:c>
      <x:c r="AE109" s="79" t="str">
        <x:v>خیر</x:v>
      </x:c>
      <x:c r="AF109" s="79" t="n">
        <x:v>1</x:v>
      </x:c>
      <x:c r="AG109" s="104"/>
      <x:c r="AH109" s="104"/>
      <x:c r="AI109" s="79" t="str">
        <x:v>MISSING_PRICE_REVIEW</x:v>
      </x:c>
    </x:row>
    <x:row r="110">
      <x:c r="A110" s="23" t="s">
        <x:v>154</x:v>
      </x:c>
      <x:c r="B110" s="24">
        <x:v>150</x:v>
      </x:c>
      <x:c r="C110" s="25" t="s">
        <x:v>155</x:v>
      </x:c>
      <x:c r="D110" s="26">
        <x:v>150</x:v>
      </x:c>
      <x:c r="E110" s="24"/>
      <x:c r="F110" s="25"/>
      <x:c r="G110" s="26"/>
      <x:c r="H110" s="25" t="str">
        <x:f t="shared" si="1"/>
        <x:v>فعال</x:v>
      </x:c>
      <x:c r="Y110" t="str">
        <x:f>IF(AND(LEN($K$2)&gt;=3,ISNUMBER(SEARCH($K$2,$A110))),MAX($Y$3:Y109)+1,"")</x:f>
      </x:c>
      <x:c r="Z110" s="79" t="str">
        <x:v>گیاهان دارویی</x:v>
      </x:c>
      <x:c r="AA110" s="79" t="str">
        <x:v>6a3782d7df5573f4e676e243</x:v>
      </x:c>
      <x:c r="AB110" s="79" t="str">
        <x:v>medicinal-plants</x:v>
      </x:c>
      <x:c r="AC110" s="79" t="str">
        <x:v>TOPICAL</x:v>
      </x:c>
      <x:c r="AD110" s="79" t="str">
        <x:v>خیر</x:v>
      </x:c>
      <x:c r="AE110" s="79" t="str">
        <x:v>خیر</x:v>
      </x:c>
      <x:c r="AF110" s="79" t="n">
        <x:v>1</x:v>
      </x:c>
      <x:c r="AG110" s="104" t="n">
        <x:v>150000</x:v>
      </x:c>
      <x:c r="AH110" s="104"/>
      <x:c r="AI11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11">
      <x:c r="A111" s="23" t="s">
        <x:v>156</x:v>
      </x:c>
      <x:c r="B111" s="24">
        <x:v>390</x:v>
      </x:c>
      <x:c r="C111" s="25" t="s">
        <x:v>16</x:v>
      </x:c>
      <x:c r="D111" s="26">
        <x:v>390</x:v>
      </x:c>
      <x:c r="E111" s="24"/>
      <x:c r="F111" s="25"/>
      <x:c r="G111" s="26"/>
      <x:c r="H111" s="25" t="str">
        <x:f t="shared" si="1"/>
        <x:v>فعال</x:v>
      </x:c>
      <x:c r="Y111" t="str">
        <x:f>IF(AND(LEN($K$2)&gt;=3,ISNUMBER(SEARCH($K$2,$A111))),MAX($Y$3:Y110)+1,"")</x:f>
      </x:c>
      <x:c r="Z111" s="79" t="str">
        <x:v>گیاهان دارویی</x:v>
      </x:c>
      <x:c r="AA111" s="79" t="str">
        <x:v>6a3782d7df5573f4e676e243</x:v>
      </x:c>
      <x:c r="AB111" s="79" t="str">
        <x:v>medicinal-plants</x:v>
      </x:c>
      <x:c r="AC111" s="79" t="str">
        <x:v>EDIBLE</x:v>
      </x:c>
      <x:c r="AD111" s="79" t="str">
        <x:v>بله</x:v>
      </x:c>
      <x:c r="AE111" s="79" t="str">
        <x:v>خیر</x:v>
      </x:c>
      <x:c r="AF111" s="79" t="n">
        <x:v>1</x:v>
      </x:c>
      <x:c r="AG111" s="104" t="n">
        <x:v>390000</x:v>
      </x:c>
      <x:c r="AH111" s="104"/>
      <x:c r="AI111" s="79"/>
    </x:row>
    <x:row r="112">
      <x:c r="A112" s="23" t="s">
        <x:v>157</x:v>
      </x:c>
      <x:c r="B112" s="24">
        <x:v>700</x:v>
      </x:c>
      <x:c r="C112" s="25" t="s">
        <x:v>16</x:v>
      </x:c>
      <x:c r="D112" s="26">
        <x:v>700</x:v>
      </x:c>
      <x:c r="E112" s="24"/>
      <x:c r="F112" s="25"/>
      <x:c r="G112" s="26"/>
      <x:c r="H112" s="25" t="str">
        <x:f t="shared" si="1"/>
        <x:v>فعال</x:v>
      </x:c>
      <x:c r="Y112" t="str">
        <x:f>IF(AND(LEN($K$2)&gt;=3,ISNUMBER(SEARCH($K$2,$A112))),MAX($Y$3:Y111)+1,"")</x:f>
      </x:c>
      <x:c r="Z112" s="79" t="str">
        <x:v>گیاهان دارویی</x:v>
      </x:c>
      <x:c r="AA112" s="79" t="str">
        <x:v>6a3782d7df5573f4e676e243</x:v>
      </x:c>
      <x:c r="AB112" s="79" t="str">
        <x:v>medicinal-plants</x:v>
      </x:c>
      <x:c r="AC112" s="79" t="str">
        <x:v>EDIBLE</x:v>
      </x:c>
      <x:c r="AD112" s="79" t="str">
        <x:v>بله</x:v>
      </x:c>
      <x:c r="AE112" s="79" t="str">
        <x:v>خیر</x:v>
      </x:c>
      <x:c r="AF112" s="79" t="n">
        <x:v>1</x:v>
      </x:c>
      <x:c r="AG112" s="104" t="n">
        <x:v>700000</x:v>
      </x:c>
      <x:c r="AH112" s="104"/>
      <x:c r="AI112" s="79" t="str">
        <x:v>دسته از «نیاز به بررسی» به «گیاهان دارویی» اصلاح شد</x:v>
      </x:c>
    </x:row>
    <x:row r="113">
      <x:c r="A113" s="23" t="s">
        <x:v>158</x:v>
      </x:c>
      <x:c r="B113" s="24">
        <x:v>480</x:v>
      </x:c>
      <x:c r="C113" s="25" t="s">
        <x:v>16</x:v>
      </x:c>
      <x:c r="D113" s="26">
        <x:v>480</x:v>
      </x:c>
      <x:c r="E113" s="24"/>
      <x:c r="F113" s="25"/>
      <x:c r="G113" s="26"/>
      <x:c r="H113" s="25" t="str">
        <x:f t="shared" si="1"/>
        <x:v>فعال</x:v>
      </x:c>
      <x:c r="Y113" t="str">
        <x:f>IF(AND(LEN($K$2)&gt;=3,ISNUMBER(SEARCH($K$2,$A113))),MAX($Y$3:Y112)+1,"")</x:f>
      </x:c>
      <x:c r="Z113" s="79" t="str">
        <x:v>آرد و قنادی</x:v>
      </x:c>
      <x:c r="AA113" s="79" t="str">
        <x:v>6a3a00000000000000000004</x:v>
      </x:c>
      <x:c r="AB113" s="79" t="str">
        <x:v>flour-confectionery</x:v>
      </x:c>
      <x:c r="AC113" s="79" t="str">
        <x:v>EDIBLE</x:v>
      </x:c>
      <x:c r="AD113" s="79" t="str">
        <x:v>بله</x:v>
      </x:c>
      <x:c r="AE113" s="79" t="str">
        <x:v>خیر</x:v>
      </x:c>
      <x:c r="AF113" s="79" t="n">
        <x:v>1</x:v>
      </x:c>
      <x:c r="AG113" s="104" t="n">
        <x:v>480000</x:v>
      </x:c>
      <x:c r="AH113" s="104"/>
      <x:c r="AI113" s="79" t="str">
        <x:v>دسته از «نیاز به بررسی» به «آرد و قنادی» اصلاح شد</x:v>
      </x:c>
    </x:row>
    <x:row r="114">
      <x:c r="A114" s="23" t="s">
        <x:v>159</x:v>
      </x:c>
      <x:c r="B114" s="24" t="s">
        <x:v>160</x:v>
      </x:c>
      <x:c r="C114" s="25" t="s">
        <x:v>16</x:v>
      </x:c>
      <x:c r="D114" s="26" t="s">
        <x:v>160</x:v>
      </x:c>
      <x:c r="E114" s="24"/>
      <x:c r="F114" s="25"/>
      <x:c r="G114" s="26"/>
      <x:c r="H114" s="25" t="str">
        <x:f t="shared" si="1"/>
        <x:v>فعال</x:v>
      </x:c>
      <x:c r="Y114" t="str">
        <x:f>IF(AND(LEN($K$2)&gt;=3,ISNUMBER(SEARCH($K$2,$A114))),MAX($Y$3:Y113)+1,"")</x:f>
      </x:c>
      <x:c r="Z114" s="79" t="str">
        <x:v>ادویه</x:v>
      </x:c>
      <x:c r="AA114" s="79" t="str">
        <x:v>6a3781e4df5573f4e676e226</x:v>
      </x:c>
      <x:c r="AB114" s="79" t="str">
        <x:v>spice</x:v>
      </x:c>
      <x:c r="AC114" s="79" t="str">
        <x:v>EDIBLE</x:v>
      </x:c>
      <x:c r="AD114" s="79" t="str">
        <x:v>بله</x:v>
      </x:c>
      <x:c r="AE114" s="79" t="str">
        <x:v>خیر</x:v>
      </x:c>
      <x:c r="AF114" s="79" t="n">
        <x:v>1</x:v>
      </x:c>
      <x:c r="AG114" s="104" t="n">
        <x:v>1900000</x:v>
      </x:c>
      <x:c r="AH114" s="104"/>
      <x:c r="AI114" s="79"/>
    </x:row>
    <x:row r="115">
      <x:c r="A115" s="23" t="s">
        <x:v>161</x:v>
      </x:c>
      <x:c r="B115" s="24" t="s">
        <x:v>54</x:v>
      </x:c>
      <x:c r="C115" s="25" t="s">
        <x:v>16</x:v>
      </x:c>
      <x:c r="D115" s="26" t="s">
        <x:v>54</x:v>
      </x:c>
      <x:c r="E115" s="24"/>
      <x:c r="F115" s="25"/>
      <x:c r="G115" s="26"/>
      <x:c r="H115" s="25" t="str">
        <x:f t="shared" si="1"/>
        <x:v>نیاز به استعلام</x:v>
      </x:c>
      <x:c r="Y115" t="str">
        <x:f>IF(AND(LEN($K$2)&gt;=3,ISNUMBER(SEARCH($K$2,$A115))),MAX($Y$3:Y114)+1,"")</x:f>
      </x:c>
      <x:c r="Z115" s="79" t="str">
        <x:v>ادویه</x:v>
      </x:c>
      <x:c r="AA115" s="79" t="str">
        <x:v>6a3781e4df5573f4e676e226</x:v>
      </x:c>
      <x:c r="AB115" s="79" t="str">
        <x:v>spice</x:v>
      </x:c>
      <x:c r="AC115" s="79" t="str">
        <x:v>EDIBLE</x:v>
      </x:c>
      <x:c r="AD115" s="79" t="str">
        <x:v>بله</x:v>
      </x:c>
      <x:c r="AE115" s="79" t="str">
        <x:v>خیر</x:v>
      </x:c>
      <x:c r="AF115" s="79" t="n">
        <x:v>1</x:v>
      </x:c>
      <x:c r="AG115" s="104"/>
      <x:c r="AH115" s="104"/>
      <x:c r="AI115" s="79" t="str">
        <x:v>MISSING_PRICE_REVIEW</x:v>
      </x:c>
    </x:row>
    <x:row r="116">
      <x:c r="A116" s="23" t="s">
        <x:v>162</x:v>
      </x:c>
      <x:c r="B116" s="24">
        <x:v>850</x:v>
      </x:c>
      <x:c r="C116" s="25" t="s">
        <x:v>16</x:v>
      </x:c>
      <x:c r="D116" s="26">
        <x:v>850</x:v>
      </x:c>
      <x:c r="E116" s="24"/>
      <x:c r="F116" s="25"/>
      <x:c r="G116" s="26"/>
      <x:c r="H116" s="25" t="str">
        <x:f t="shared" si="1"/>
        <x:v>فعال</x:v>
      </x:c>
      <x:c r="Y116" t="str">
        <x:f>IF(AND(LEN($K$2)&gt;=3,ISNUMBER(SEARCH($K$2,$A116))),MAX($Y$3:Y115)+1,"")</x:f>
      </x:c>
      <x:c r="Z116" s="79" t="str">
        <x:v>ادویه</x:v>
      </x:c>
      <x:c r="AA116" s="79" t="str">
        <x:v>6a3781e4df5573f4e676e226</x:v>
      </x:c>
      <x:c r="AB116" s="79" t="str">
        <x:v>spice</x:v>
      </x:c>
      <x:c r="AC116" s="79" t="str">
        <x:v>EDIBLE</x:v>
      </x:c>
      <x:c r="AD116" s="79" t="str">
        <x:v>بله</x:v>
      </x:c>
      <x:c r="AE116" s="79" t="str">
        <x:v>خیر</x:v>
      </x:c>
      <x:c r="AF116" s="79" t="n">
        <x:v>1</x:v>
      </x:c>
      <x:c r="AG116" s="104" t="n">
        <x:v>850000</x:v>
      </x:c>
      <x:c r="AH116" s="104"/>
      <x:c r="AI116" s="79"/>
    </x:row>
    <x:row r="117">
      <x:c r="A117" s="23" t="s">
        <x:v>163</x:v>
      </x:c>
      <x:c r="B117" s="24">
        <x:v>120</x:v>
      </x:c>
      <x:c r="C117" s="25" t="s">
        <x:v>16</x:v>
      </x:c>
      <x:c r="D117" s="26">
        <x:v>120</x:v>
      </x:c>
      <x:c r="E117" s="24"/>
      <x:c r="F117" s="25"/>
      <x:c r="G117" s="26"/>
      <x:c r="H117" s="25" t="str">
        <x:f t="shared" si="1"/>
        <x:v>فعال</x:v>
      </x:c>
      <x:c r="Y117" t="str">
        <x:f>IF(AND(LEN($K$2)&gt;=3,ISNUMBER(SEARCH($K$2,$A117))),MAX($Y$3:Y116)+1,"")</x:f>
      </x:c>
      <x:c r="Z117" s="79" t="str">
        <x:v>چای</x:v>
      </x:c>
      <x:c r="AA117" s="79" t="str">
        <x:v>6a30f5728337d8d2af170bb3</x:v>
      </x:c>
      <x:c r="AB117" s="79" t="str">
        <x:v>tea</x:v>
      </x:c>
      <x:c r="AC117" s="79" t="str">
        <x:v>EDIBLE</x:v>
      </x:c>
      <x:c r="AD117" s="79" t="str">
        <x:v>بله</x:v>
      </x:c>
      <x:c r="AE117" s="79" t="str">
        <x:v>خیر</x:v>
      </x:c>
      <x:c r="AF117" s="79" t="n">
        <x:v>1</x:v>
      </x:c>
      <x:c r="AG117" s="104" t="n">
        <x:v>120000</x:v>
      </x:c>
      <x:c r="AH117" s="104"/>
      <x:c r="AI117" s="79"/>
    </x:row>
    <x:row r="118">
      <x:c r="A118" s="23" t="s">
        <x:v>164</x:v>
      </x:c>
      <x:c r="B118" s="24">
        <x:v>950</x:v>
      </x:c>
      <x:c r="C118" s="25" t="s">
        <x:v>16</x:v>
      </x:c>
      <x:c r="D118" s="26">
        <x:v>950</x:v>
      </x:c>
      <x:c r="E118" s="24"/>
      <x:c r="F118" s="25"/>
      <x:c r="G118" s="26"/>
      <x:c r="H118" s="25" t="str">
        <x:f t="shared" si="1"/>
        <x:v>فعال</x:v>
      </x:c>
      <x:c r="Y118" t="str">
        <x:f>IF(AND(LEN($K$2)&gt;=3,ISNUMBER(SEARCH($K$2,$A118))),MAX($Y$3:Y117)+1,"")</x:f>
      </x:c>
      <x:c r="Z118" s="79" t="str">
        <x:v>چای</x:v>
      </x:c>
      <x:c r="AA118" s="79" t="str">
        <x:v>6a30f5728337d8d2af170bb3</x:v>
      </x:c>
      <x:c r="AB118" s="79" t="str">
        <x:v>tea</x:v>
      </x:c>
      <x:c r="AC118" s="79" t="str">
        <x:v>EDIBLE</x:v>
      </x:c>
      <x:c r="AD118" s="79" t="str">
        <x:v>بله</x:v>
      </x:c>
      <x:c r="AE118" s="79" t="str">
        <x:v>خیر</x:v>
      </x:c>
      <x:c r="AF118" s="79" t="n">
        <x:v>1</x:v>
      </x:c>
      <x:c r="AG118" s="104" t="n">
        <x:v>950000</x:v>
      </x:c>
      <x:c r="AH118" s="104"/>
      <x:c r="AI118" s="79"/>
    </x:row>
    <x:row r="119">
      <x:c r="A119" s="23" t="s">
        <x:v>165</x:v>
      </x:c>
      <x:c r="B119" s="24" t="s">
        <x:v>54</x:v>
      </x:c>
      <x:c r="C119" s="25" t="s">
        <x:v>16</x:v>
      </x:c>
      <x:c r="D119" s="26" t="s">
        <x:v>54</x:v>
      </x:c>
      <x:c r="E119" s="24"/>
      <x:c r="F119" s="25"/>
      <x:c r="G119" s="26"/>
      <x:c r="H119" s="25" t="str">
        <x:f t="shared" si="1"/>
        <x:v>نیاز به استعلام</x:v>
      </x:c>
      <x:c r="Y119" t="str">
        <x:f>IF(AND(LEN($K$2)&gt;=3,ISNUMBER(SEARCH($K$2,$A119))),MAX($Y$3:Y118)+1,"")</x:f>
      </x:c>
      <x:c r="Z119" s="79" t="str">
        <x:v>حبوبات و غلات</x:v>
      </x:c>
      <x:c r="AA119" s="79" t="str">
        <x:v>6a3a00000000000000000002</x:v>
      </x:c>
      <x:c r="AB119" s="79" t="str">
        <x:v>legumes-grains</x:v>
      </x:c>
      <x:c r="AC119" s="79" t="str">
        <x:v>EDIBLE</x:v>
      </x:c>
      <x:c r="AD119" s="79" t="str">
        <x:v>بله</x:v>
      </x:c>
      <x:c r="AE119" s="79" t="str">
        <x:v>خیر</x:v>
      </x:c>
      <x:c r="AF119" s="79" t="n">
        <x:v>1</x:v>
      </x:c>
      <x:c r="AG119" s="104"/>
      <x:c r="AH119" s="104"/>
      <x:c r="AI119" s="79" t="str">
        <x:v>MISSING_PRICE_REVIEW</x:v>
      </x:c>
    </x:row>
    <x:row r="120">
      <x:c r="A120" s="23" t="s">
        <x:v>166</x:v>
      </x:c>
      <x:c r="B120" s="24">
        <x:v>740</x:v>
      </x:c>
      <x:c r="C120" s="25" t="s">
        <x:v>16</x:v>
      </x:c>
      <x:c r="D120" s="26">
        <x:v>740</x:v>
      </x:c>
      <x:c r="E120" s="24"/>
      <x:c r="F120" s="25"/>
      <x:c r="G120" s="26"/>
      <x:c r="H120" s="25" t="str">
        <x:f t="shared" si="1"/>
        <x:v>فعال</x:v>
      </x:c>
      <x:c r="Y120" t="str">
        <x:f>IF(AND(LEN($K$2)&gt;=3,ISNUMBER(SEARCH($K$2,$A120))),MAX($Y$3:Y119)+1,"")</x:f>
      </x:c>
      <x:c r="Z120" s="79" t="str">
        <x:v>گیاهان دارویی</x:v>
      </x:c>
      <x:c r="AA120" s="79" t="str">
        <x:v>6a3782d7df5573f4e676e243</x:v>
      </x:c>
      <x:c r="AB120" s="79" t="str">
        <x:v>medicinal-plants</x:v>
      </x:c>
      <x:c r="AC120" s="79" t="str">
        <x:v>EDIBLE</x:v>
      </x:c>
      <x:c r="AD120" s="79" t="str">
        <x:v>بله</x:v>
      </x:c>
      <x:c r="AE120" s="79" t="str">
        <x:v>خیر</x:v>
      </x:c>
      <x:c r="AF120" s="79" t="n">
        <x:v>1</x:v>
      </x:c>
      <x:c r="AG120" s="104" t="n">
        <x:v>740000</x:v>
      </x:c>
      <x:c r="AH120" s="104"/>
      <x:c r="AI120" s="79"/>
    </x:row>
    <x:row r="121">
      <x:c r="A121" s="23" t="s">
        <x:v>167</x:v>
      </x:c>
      <x:c r="B121" s="24">
        <x:v>490</x:v>
      </x:c>
      <x:c r="C121" s="25" t="s">
        <x:v>16</x:v>
      </x:c>
      <x:c r="D121" s="26">
        <x:v>490</x:v>
      </x:c>
      <x:c r="E121" s="24"/>
      <x:c r="F121" s="25"/>
      <x:c r="G121" s="26"/>
      <x:c r="H121" s="25" t="str">
        <x:f t="shared" si="1"/>
        <x:v>فعال</x:v>
      </x:c>
      <x:c r="Y121" t="str">
        <x:f>IF(AND(LEN($K$2)&gt;=3,ISNUMBER(SEARCH($K$2,$A121))),MAX($Y$3:Y120)+1,"")</x:f>
      </x:c>
      <x:c r="Z121" s="79" t="str">
        <x:v>نوشیدنی‌ها</x:v>
      </x:c>
      <x:c r="AA121" s="79" t="str">
        <x:v>6a3782ffdf5573f4e676e24b</x:v>
      </x:c>
      <x:c r="AB121" s="79" t="str">
        <x:v>syrup</x:v>
      </x:c>
      <x:c r="AC121" s="79" t="str">
        <x:v>EDIBLE</x:v>
      </x:c>
      <x:c r="AD121" s="79" t="str">
        <x:v>بله</x:v>
      </x:c>
      <x:c r="AE121" s="79" t="str">
        <x:v>خیر</x:v>
      </x:c>
      <x:c r="AF121" s="79" t="n">
        <x:v>1</x:v>
      </x:c>
      <x:c r="AG121" s="104" t="n">
        <x:v>490000</x:v>
      </x:c>
      <x:c r="AH121" s="104"/>
      <x:c r="AI121" s="79" t="str">
        <x:v>دسته از «نیاز به بررسی» به «نوشیدنی‌ها» اصلاح شد</x:v>
      </x:c>
    </x:row>
    <x:row r="122">
      <x:c r="A122" s="23" t="s">
        <x:v>168</x:v>
      </x:c>
      <x:c r="B122" s="24">
        <x:v>800</x:v>
      </x:c>
      <x:c r="C122" s="25" t="s">
        <x:v>169</x:v>
      </x:c>
      <x:c r="D122" s="26">
        <x:v>800</x:v>
      </x:c>
      <x:c r="E122" s="24"/>
      <x:c r="F122" s="25"/>
      <x:c r="G122" s="26"/>
      <x:c r="H122" s="25" t="str">
        <x:f t="shared" si="1"/>
        <x:v>فعال</x:v>
      </x:c>
      <x:c r="Y122" t="str">
        <x:f>IF(AND(LEN($K$2)&gt;=3,ISNUMBER(SEARCH($K$2,$A122))),MAX($Y$3:Y121)+1,"")</x:f>
      </x:c>
      <x:c r="Z122" s="79" t="str">
        <x:v>گیاهان دارویی</x:v>
      </x:c>
      <x:c r="AA122" s="79" t="str">
        <x:v>6a3782d7df5573f4e676e243</x:v>
      </x:c>
      <x:c r="AB122" s="79" t="str">
        <x:v>medicinal-plants</x:v>
      </x:c>
      <x:c r="AC122" s="79" t="str">
        <x:v>EDIBLE</x:v>
      </x:c>
      <x:c r="AD122" s="79" t="str">
        <x:v>بله</x:v>
      </x:c>
      <x:c r="AE122" s="79" t="str">
        <x:v>خیر</x:v>
      </x:c>
      <x:c r="AF122" s="79" t="n">
        <x:v>1</x:v>
      </x:c>
      <x:c r="AG122" s="104" t="n">
        <x:v>800000</x:v>
      </x:c>
      <x:c r="AH122" s="104"/>
      <x:c r="AI122" s="79"/>
    </x:row>
    <x:row r="123">
      <x:c r="A123" s="23" t="s">
        <x:v>170</x:v>
      </x:c>
      <x:c r="B123" s="24">
        <x:v>555</x:v>
      </x:c>
      <x:c r="C123" s="25" t="s">
        <x:v>56</x:v>
      </x:c>
      <x:c r="D123" s="26">
        <x:v>555</x:v>
      </x:c>
      <x:c r="E123" s="24" t="s">
        <x:v>23</x:v>
      </x:c>
      <x:c r="F123" s="25" t="s">
        <x:v>57</x:v>
      </x:c>
      <x:c r="G123" s="26" t="s">
        <x:v>23</x:v>
      </x:c>
      <x:c r="H123" s="25" t="str">
        <x:f t="shared" si="1"/>
        <x:v>فعال</x:v>
      </x:c>
      <x:c r="Y123" t="str">
        <x:f>IF(AND(LEN($K$2)&gt;=3,ISNUMBER(SEARCH($K$2,$A123))),MAX($Y$3:Y122)+1,"")</x:f>
      </x:c>
      <x:c r="Z123" s="79" t="str">
        <x:v>روغن</x:v>
      </x:c>
      <x:c r="AA123" s="79" t="str">
        <x:v>6a2d446d45c164ce6f28ae30</x:v>
      </x:c>
      <x:c r="AB123" s="79" t="str">
        <x:v>oil</x:v>
      </x:c>
      <x:c r="AC123" s="79" t="str">
        <x:v>EDIBLE</x:v>
      </x:c>
      <x:c r="AD123" s="79" t="str">
        <x:v>بله</x:v>
      </x:c>
      <x:c r="AE123" s="79" t="str">
        <x:v>بله</x:v>
      </x:c>
      <x:c r="AF123" s="79" t="n">
        <x:v>2</x:v>
      </x:c>
      <x:c r="AG123" s="104" t="n">
        <x:v>555000</x:v>
      </x:c>
      <x:c r="AH123" s="104" t="n">
        <x:v>1100000</x:v>
      </x:c>
      <x:c r="AI123" s="79"/>
    </x:row>
    <x:row r="124">
      <x:c r="A124" s="23" t="s">
        <x:v>171</x:v>
      </x:c>
      <x:c r="B124" s="24">
        <x:v>80</x:v>
      </x:c>
      <x:c r="C124" s="25" t="s">
        <x:v>172</x:v>
      </x:c>
      <x:c r="D124" s="26">
        <x:v>80</x:v>
      </x:c>
      <x:c r="E124" s="24">
        <x:v>150</x:v>
      </x:c>
      <x:c r="F124" s="25" t="s">
        <x:v>173</x:v>
      </x:c>
      <x:c r="G124" s="26">
        <x:v>150</x:v>
      </x:c>
      <x:c r="H124" s="25" t="str">
        <x:f t="shared" si="1"/>
        <x:v>فعال</x:v>
      </x:c>
      <x:c r="Y124" t="str">
        <x:f>IF(AND(LEN($K$2)&gt;=3,ISNUMBER(SEARCH($K$2,$A124))),MAX($Y$3:Y123)+1,"")</x:f>
      </x:c>
      <x:c r="Z124" s="79" t="str">
        <x:v>روغن</x:v>
      </x:c>
      <x:c r="AA124" s="79" t="str">
        <x:v>6a2d446d45c164ce6f28ae30</x:v>
      </x:c>
      <x:c r="AB124" s="79" t="str">
        <x:v>oil</x:v>
      </x:c>
      <x:c r="AC124" s="79" t="str">
        <x:v>EDIBLE</x:v>
      </x:c>
      <x:c r="AD124" s="79" t="str">
        <x:v>بله</x:v>
      </x:c>
      <x:c r="AE124" s="79" t="str">
        <x:v>بله</x:v>
      </x:c>
      <x:c r="AF124" s="79" t="n">
        <x:v>2</x:v>
      </x:c>
      <x:c r="AG124" s="104" t="n">
        <x:v>80000</x:v>
      </x:c>
      <x:c r="AH124" s="104" t="n">
        <x:v>150000</x:v>
      </x:c>
      <x:c r="AI124" s="79"/>
    </x:row>
    <x:row r="125">
      <x:c r="A125" s="23" t="s">
        <x:v>174</x:v>
      </x:c>
      <x:c r="B125" s="24">
        <x:v>65</x:v>
      </x:c>
      <x:c r="C125" s="25" t="s">
        <x:v>172</x:v>
      </x:c>
      <x:c r="D125" s="26">
        <x:v>65</x:v>
      </x:c>
      <x:c r="E125" s="24">
        <x:v>120</x:v>
      </x:c>
      <x:c r="F125" s="25" t="s">
        <x:v>173</x:v>
      </x:c>
      <x:c r="G125" s="26">
        <x:v>120</x:v>
      </x:c>
      <x:c r="H125" s="25" t="str">
        <x:f t="shared" si="1"/>
        <x:v>فعال</x:v>
      </x:c>
      <x:c r="Y125" t="str">
        <x:f>IF(AND(LEN($K$2)&gt;=3,ISNUMBER(SEARCH($K$2,$A125))),MAX($Y$3:Y124)+1,"")</x:f>
      </x:c>
      <x:c r="Z125" s="79" t="str">
        <x:v>روغن</x:v>
      </x:c>
      <x:c r="AA125" s="79" t="str">
        <x:v>6a2d446d45c164ce6f28ae30</x:v>
      </x:c>
      <x:c r="AB125" s="79" t="str">
        <x:v>oil</x:v>
      </x:c>
      <x:c r="AC125" s="79" t="str">
        <x:v>EDIBLE</x:v>
      </x:c>
      <x:c r="AD125" s="79" t="str">
        <x:v>بله</x:v>
      </x:c>
      <x:c r="AE125" s="79" t="str">
        <x:v>بله</x:v>
      </x:c>
      <x:c r="AF125" s="79" t="n">
        <x:v>2</x:v>
      </x:c>
      <x:c r="AG125" s="104" t="n">
        <x:v>65000</x:v>
      </x:c>
      <x:c r="AH125" s="104" t="n">
        <x:v>120000</x:v>
      </x:c>
      <x:c r="AI125" s="79"/>
    </x:row>
    <x:row r="126">
      <x:c r="A126" s="23" t="s">
        <x:v>175</x:v>
      </x:c>
      <x:c r="B126" s="24">
        <x:v>80</x:v>
      </x:c>
      <x:c r="C126" s="25" t="s">
        <x:v>172</x:v>
      </x:c>
      <x:c r="D126" s="26">
        <x:v>80</x:v>
      </x:c>
      <x:c r="E126" s="24">
        <x:v>150</x:v>
      </x:c>
      <x:c r="F126" s="25" t="s">
        <x:v>173</x:v>
      </x:c>
      <x:c r="G126" s="26">
        <x:v>150</x:v>
      </x:c>
      <x:c r="H126" s="25" t="str">
        <x:f t="shared" si="1"/>
        <x:v>فعال</x:v>
      </x:c>
      <x:c r="Y126" t="str">
        <x:f>IF(AND(LEN($K$2)&gt;=3,ISNUMBER(SEARCH($K$2,$A126))),MAX($Y$3:Y125)+1,"")</x:f>
      </x:c>
      <x:c r="Z126" s="79" t="str">
        <x:v>روغن</x:v>
      </x:c>
      <x:c r="AA126" s="79" t="str">
        <x:v>6a2d446d45c164ce6f28ae30</x:v>
      </x:c>
      <x:c r="AB126" s="79" t="str">
        <x:v>oil</x:v>
      </x:c>
      <x:c r="AC126" s="79" t="str">
        <x:v>EDIBLE</x:v>
      </x:c>
      <x:c r="AD126" s="79" t="str">
        <x:v>بله</x:v>
      </x:c>
      <x:c r="AE126" s="79" t="str">
        <x:v>بله</x:v>
      </x:c>
      <x:c r="AF126" s="79" t="n">
        <x:v>2</x:v>
      </x:c>
      <x:c r="AG126" s="104" t="n">
        <x:v>80000</x:v>
      </x:c>
      <x:c r="AH126" s="104" t="n">
        <x:v>150000</x:v>
      </x:c>
      <x:c r="AI126" s="79"/>
    </x:row>
    <x:row r="127">
      <x:c r="A127" s="23" t="s">
        <x:v>176</x:v>
      </x:c>
      <x:c r="B127" s="24">
        <x:v>80</x:v>
      </x:c>
      <x:c r="C127" s="25" t="s">
        <x:v>172</x:v>
      </x:c>
      <x:c r="D127" s="26">
        <x:v>80</x:v>
      </x:c>
      <x:c r="E127" s="24">
        <x:v>150</x:v>
      </x:c>
      <x:c r="F127" s="25" t="s">
        <x:v>173</x:v>
      </x:c>
      <x:c r="G127" s="26">
        <x:v>150</x:v>
      </x:c>
      <x:c r="H127" s="25" t="str">
        <x:f t="shared" si="1"/>
        <x:v>فعال</x:v>
      </x:c>
      <x:c r="Y127" t="str">
        <x:f>IF(AND(LEN($K$2)&gt;=3,ISNUMBER(SEARCH($K$2,$A127))),MAX($Y$3:Y126)+1,"")</x:f>
      </x:c>
      <x:c r="Z127" s="79" t="str">
        <x:v>روغن</x:v>
      </x:c>
      <x:c r="AA127" s="79" t="str">
        <x:v>6a2d446d45c164ce6f28ae30</x:v>
      </x:c>
      <x:c r="AB127" s="79" t="str">
        <x:v>oil</x:v>
      </x:c>
      <x:c r="AC127" s="79" t="str">
        <x:v>EDIBLE</x:v>
      </x:c>
      <x:c r="AD127" s="79" t="str">
        <x:v>بله</x:v>
      </x:c>
      <x:c r="AE127" s="79" t="str">
        <x:v>بله</x:v>
      </x:c>
      <x:c r="AF127" s="79" t="n">
        <x:v>2</x:v>
      </x:c>
      <x:c r="AG127" s="104" t="n">
        <x:v>80000</x:v>
      </x:c>
      <x:c r="AH127" s="104" t="n">
        <x:v>150000</x:v>
      </x:c>
      <x:c r="AI127" s="79"/>
    </x:row>
    <x:row r="128">
      <x:c r="A128" s="23" t="s">
        <x:v>177</x:v>
      </x:c>
      <x:c r="B128" s="24">
        <x:v>250</x:v>
      </x:c>
      <x:c r="C128" s="25" t="s">
        <x:v>172</x:v>
      </x:c>
      <x:c r="D128" s="26">
        <x:v>250</x:v>
      </x:c>
      <x:c r="E128" s="24">
        <x:v>495</x:v>
      </x:c>
      <x:c r="F128" s="25" t="s">
        <x:v>173</x:v>
      </x:c>
      <x:c r="G128" s="26">
        <x:v>495</x:v>
      </x:c>
      <x:c r="H128" s="25" t="str">
        <x:f t="shared" si="1"/>
        <x:v>فعال</x:v>
      </x:c>
      <x:c r="Y128" t="str">
        <x:f>IF(AND(LEN($K$2)&gt;=3,ISNUMBER(SEARCH($K$2,$A128))),MAX($Y$3:Y127)+1,"")</x:f>
      </x:c>
      <x:c r="Z128" s="79" t="str">
        <x:v>روغن</x:v>
      </x:c>
      <x:c r="AA128" s="79" t="str">
        <x:v>6a2d446d45c164ce6f28ae30</x:v>
      </x:c>
      <x:c r="AB128" s="79" t="str">
        <x:v>oil</x:v>
      </x:c>
      <x:c r="AC128" s="79" t="str">
        <x:v>EDIBLE</x:v>
      </x:c>
      <x:c r="AD128" s="79" t="str">
        <x:v>بله</x:v>
      </x:c>
      <x:c r="AE128" s="79" t="str">
        <x:v>بله</x:v>
      </x:c>
      <x:c r="AF128" s="79" t="n">
        <x:v>2</x:v>
      </x:c>
      <x:c r="AG128" s="104" t="n">
        <x:v>250000</x:v>
      </x:c>
      <x:c r="AH128" s="104" t="n">
        <x:v>495000</x:v>
      </x:c>
      <x:c r="AI128" s="79" t="str">
        <x:v>MERGED</x:v>
      </x:c>
    </x:row>
    <x:row r="129">
      <x:c r="A129" s="23" t="s">
        <x:v>178</x:v>
      </x:c>
      <x:c r="B129" s="24">
        <x:v>170</x:v>
      </x:c>
      <x:c r="C129" s="25" t="s">
        <x:v>172</x:v>
      </x:c>
      <x:c r="D129" s="26">
        <x:v>170</x:v>
      </x:c>
      <x:c r="E129" s="24">
        <x:v>335</x:v>
      </x:c>
      <x:c r="F129" s="25" t="s">
        <x:v>173</x:v>
      </x:c>
      <x:c r="G129" s="26">
        <x:v>335</x:v>
      </x:c>
      <x:c r="H129" s="25" t="str">
        <x:f t="shared" si="1"/>
        <x:v>فعال</x:v>
      </x:c>
      <x:c r="Y129" t="str">
        <x:f>IF(AND(LEN($K$2)&gt;=3,ISNUMBER(SEARCH($K$2,$A129))),MAX($Y$3:Y128)+1,"")</x:f>
      </x:c>
      <x:c r="Z129" s="79" t="str">
        <x:v>روغن</x:v>
      </x:c>
      <x:c r="AA129" s="79" t="str">
        <x:v>6a2d446d45c164ce6f28ae30</x:v>
      </x:c>
      <x:c r="AB129" s="79" t="str">
        <x:v>oil</x:v>
      </x:c>
      <x:c r="AC129" s="79" t="str">
        <x:v>EDIBLE</x:v>
      </x:c>
      <x:c r="AD129" s="79" t="str">
        <x:v>بله</x:v>
      </x:c>
      <x:c r="AE129" s="79" t="str">
        <x:v>بله</x:v>
      </x:c>
      <x:c r="AF129" s="79" t="n">
        <x:v>2</x:v>
      </x:c>
      <x:c r="AG129" s="104" t="n">
        <x:v>170000</x:v>
      </x:c>
      <x:c r="AH129" s="104" t="n">
        <x:v>335000</x:v>
      </x:c>
      <x:c r="AI129" s="79" t="str">
        <x:v>MERGED</x:v>
      </x:c>
    </x:row>
    <x:row r="130">
      <x:c r="A130" s="23" t="s">
        <x:v>179</x:v>
      </x:c>
      <x:c r="B130" s="24" t="s">
        <x:v>180</x:v>
      </x:c>
      <x:c r="C130" s="25" t="s">
        <x:v>56</x:v>
      </x:c>
      <x:c r="D130" s="26" t="s">
        <x:v>180</x:v>
      </x:c>
      <x:c r="E130" s="24" t="s">
        <x:v>181</x:v>
      </x:c>
      <x:c r="F130" s="25" t="s">
        <x:v>57</x:v>
      </x:c>
      <x:c r="G130" s="26" t="s">
        <x:v>181</x:v>
      </x:c>
      <x:c r="H130" s="25" t="str">
        <x:f t="shared" si="1"/>
        <x:v>فعال</x:v>
      </x:c>
      <x:c r="Y130" t="str">
        <x:f>IF(AND(LEN($K$2)&gt;=3,ISNUMBER(SEARCH($K$2,$A130))),MAX($Y$3:Y129)+1,"")</x:f>
      </x:c>
      <x:c r="Z130" s="79" t="str">
        <x:v>روغن</x:v>
      </x:c>
      <x:c r="AA130" s="79" t="str">
        <x:v>6a2d446d45c164ce6f28ae30</x:v>
      </x:c>
      <x:c r="AB130" s="79" t="str">
        <x:v>oil</x:v>
      </x:c>
      <x:c r="AC130" s="79" t="str">
        <x:v>EDIBLE</x:v>
      </x:c>
      <x:c r="AD130" s="79" t="str">
        <x:v>بله</x:v>
      </x:c>
      <x:c r="AE130" s="79" t="str">
        <x:v>بله</x:v>
      </x:c>
      <x:c r="AF130" s="79" t="n">
        <x:v>2</x:v>
      </x:c>
      <x:c r="AG130" s="104" t="n">
        <x:v>3750000</x:v>
      </x:c>
      <x:c r="AH130" s="104" t="n">
        <x:v>7500000</x:v>
      </x:c>
      <x:c r="AI130" s="79" t="str">
        <x:v>MERGED</x:v>
      </x:c>
    </x:row>
    <x:row r="131">
      <x:c r="A131" s="23" t="s">
        <x:v>182</x:v>
      </x:c>
      <x:c r="B131" s="24" t="s">
        <x:v>183</x:v>
      </x:c>
      <x:c r="C131" s="25" t="s">
        <x:v>56</x:v>
      </x:c>
      <x:c r="D131" s="26" t="s">
        <x:v>183</x:v>
      </x:c>
      <x:c r="E131" s="24" t="s">
        <x:v>64</x:v>
      </x:c>
      <x:c r="F131" s="25" t="s">
        <x:v>57</x:v>
      </x:c>
      <x:c r="G131" s="26" t="s">
        <x:v>64</x:v>
      </x:c>
      <x:c r="H131" s="25" t="str">
        <x:f t="shared" si="1"/>
        <x:v>فعال</x:v>
      </x:c>
      <x:c r="Y131" t="str">
        <x:f>IF(AND(LEN($K$2)&gt;=3,ISNUMBER(SEARCH($K$2,$A131))),MAX($Y$3:Y130)+1,"")</x:f>
      </x:c>
      <x:c r="Z131" s="79" t="str">
        <x:v>روغن</x:v>
      </x:c>
      <x:c r="AA131" s="79" t="str">
        <x:v>6a2d446d45c164ce6f28ae30</x:v>
      </x:c>
      <x:c r="AB131" s="79" t="str">
        <x:v>oil</x:v>
      </x:c>
      <x:c r="AC131" s="79" t="str">
        <x:v>EDIBLE</x:v>
      </x:c>
      <x:c r="AD131" s="79" t="str">
        <x:v>بله</x:v>
      </x:c>
      <x:c r="AE131" s="79" t="str">
        <x:v>بله</x:v>
      </x:c>
      <x:c r="AF131" s="79" t="n">
        <x:v>2</x:v>
      </x:c>
      <x:c r="AG131" s="104" t="n">
        <x:v>2250000</x:v>
      </x:c>
      <x:c r="AH131" s="104" t="n">
        <x:v>4500000</x:v>
      </x:c>
      <x:c r="AI131" s="79" t="str">
        <x:v>MERGED</x:v>
      </x:c>
    </x:row>
    <x:row r="132">
      <x:c r="A132" s="23" t="s">
        <x:v>184</x:v>
      </x:c>
      <x:c r="B132" s="24">
        <x:v>400</x:v>
      </x:c>
      <x:c r="C132" s="25" t="s">
        <x:v>56</x:v>
      </x:c>
      <x:c r="D132" s="26">
        <x:v>400</x:v>
      </x:c>
      <x:c r="E132" s="24">
        <x:v>790</x:v>
      </x:c>
      <x:c r="F132" s="25" t="s">
        <x:v>57</x:v>
      </x:c>
      <x:c r="G132" s="26">
        <x:v>790</x:v>
      </x:c>
      <x:c r="H132" s="25" t="str">
        <x:f t="shared" ref="H132:H195" si="2">IF(AND(OR(B132="",B132="؟"),OR(E132="",E132="؟")),"نیاز به استعلام","فعال")</x:f>
        <x:v>فعال</x:v>
      </x:c>
      <x:c r="Y132" t="str">
        <x:f>IF(AND(LEN($K$2)&gt;=3,ISNUMBER(SEARCH($K$2,$A132))),MAX($Y$3:Y131)+1,"")</x:f>
      </x:c>
      <x:c r="Z132" s="79" t="str">
        <x:v>روغن</x:v>
      </x:c>
      <x:c r="AA132" s="79" t="str">
        <x:v>6a2d446d45c164ce6f28ae30</x:v>
      </x:c>
      <x:c r="AB132" s="79" t="str">
        <x:v>oil</x:v>
      </x:c>
      <x:c r="AC132" s="79" t="str">
        <x:v>EDIBLE</x:v>
      </x:c>
      <x:c r="AD132" s="79" t="str">
        <x:v>بله</x:v>
      </x:c>
      <x:c r="AE132" s="79" t="str">
        <x:v>بله</x:v>
      </x:c>
      <x:c r="AF132" s="79" t="n">
        <x:v>2</x:v>
      </x:c>
      <x:c r="AG132" s="104" t="n">
        <x:v>400000</x:v>
      </x:c>
      <x:c r="AH132" s="104" t="n">
        <x:v>790000</x:v>
      </x:c>
      <x:c r="AI132" s="79"/>
    </x:row>
    <x:row r="133">
      <x:c r="A133" s="23" t="s">
        <x:v>185</x:v>
      </x:c>
      <x:c r="B133" s="24">
        <x:v>80</x:v>
      </x:c>
      <x:c r="C133" s="25" t="s">
        <x:v>172</x:v>
      </x:c>
      <x:c r="D133" s="26">
        <x:v>80</x:v>
      </x:c>
      <x:c r="E133" s="24">
        <x:v>150</x:v>
      </x:c>
      <x:c r="F133" s="25" t="s">
        <x:v>173</x:v>
      </x:c>
      <x:c r="G133" s="26">
        <x:v>150</x:v>
      </x:c>
      <x:c r="H133" s="25" t="str">
        <x:f t="shared" si="2"/>
        <x:v>فعال</x:v>
      </x:c>
      <x:c r="Y133" t="str">
        <x:f>IF(AND(LEN($K$2)&gt;=3,ISNUMBER(SEARCH($K$2,$A133))),MAX($Y$3:Y132)+1,"")</x:f>
      </x:c>
      <x:c r="Z133" s="79" t="str">
        <x:v>روغن</x:v>
      </x:c>
      <x:c r="AA133" s="79" t="str">
        <x:v>6a2d446d45c164ce6f28ae30</x:v>
      </x:c>
      <x:c r="AB133" s="79" t="str">
        <x:v>oil</x:v>
      </x:c>
      <x:c r="AC133" s="79" t="str">
        <x:v>EDIBLE</x:v>
      </x:c>
      <x:c r="AD133" s="79" t="str">
        <x:v>بله</x:v>
      </x:c>
      <x:c r="AE133" s="79" t="str">
        <x:v>بله</x:v>
      </x:c>
      <x:c r="AF133" s="79" t="n">
        <x:v>2</x:v>
      </x:c>
      <x:c r="AG133" s="104" t="n">
        <x:v>80000</x:v>
      </x:c>
      <x:c r="AH133" s="104" t="n">
        <x:v>150000</x:v>
      </x:c>
      <x:c r="AI133" s="79"/>
    </x:row>
    <x:row r="134">
      <x:c r="A134" s="23" t="s">
        <x:v>186</x:v>
      </x:c>
      <x:c r="B134" s="24">
        <x:v>100</x:v>
      </x:c>
      <x:c r="C134" s="25" t="s">
        <x:v>172</x:v>
      </x:c>
      <x:c r="D134" s="26">
        <x:v>100</x:v>
      </x:c>
      <x:c r="E134" s="24">
        <x:v>190</x:v>
      </x:c>
      <x:c r="F134" s="25" t="s">
        <x:v>173</x:v>
      </x:c>
      <x:c r="G134" s="26">
        <x:v>190</x:v>
      </x:c>
      <x:c r="H134" s="25" t="str">
        <x:f t="shared" si="2"/>
        <x:v>فعال</x:v>
      </x:c>
      <x:c r="Y134" t="str">
        <x:f>IF(AND(LEN($K$2)&gt;=3,ISNUMBER(SEARCH($K$2,$A134))),MAX($Y$3:Y133)+1,"")</x:f>
      </x:c>
      <x:c r="Z134" s="79" t="str">
        <x:v>روغن</x:v>
      </x:c>
      <x:c r="AA134" s="79" t="str">
        <x:v>6a2d446d45c164ce6f28ae30</x:v>
      </x:c>
      <x:c r="AB134" s="79" t="str">
        <x:v>oil</x:v>
      </x:c>
      <x:c r="AC134" s="79" t="str">
        <x:v>EDIBLE</x:v>
      </x:c>
      <x:c r="AD134" s="79" t="str">
        <x:v>بله</x:v>
      </x:c>
      <x:c r="AE134" s="79" t="str">
        <x:v>بله</x:v>
      </x:c>
      <x:c r="AF134" s="79" t="n">
        <x:v>2</x:v>
      </x:c>
      <x:c r="AG134" s="104" t="n">
        <x:v>100000</x:v>
      </x:c>
      <x:c r="AH134" s="104" t="n">
        <x:v>190000</x:v>
      </x:c>
      <x:c r="AI134" s="79"/>
    </x:row>
    <x:row r="135">
      <x:c r="A135" s="23" t="s">
        <x:v>187</x:v>
      </x:c>
      <x:c r="B135" s="24">
        <x:v>100</x:v>
      </x:c>
      <x:c r="C135" s="25" t="s">
        <x:v>172</x:v>
      </x:c>
      <x:c r="D135" s="26">
        <x:v>100</x:v>
      </x:c>
      <x:c r="E135" s="24">
        <x:v>195</x:v>
      </x:c>
      <x:c r="F135" s="25" t="s">
        <x:v>173</x:v>
      </x:c>
      <x:c r="G135" s="26">
        <x:v>195</x:v>
      </x:c>
      <x:c r="H135" s="25" t="str">
        <x:f t="shared" si="2"/>
        <x:v>فعال</x:v>
      </x:c>
      <x:c r="Y135" t="str">
        <x:f>IF(AND(LEN($K$2)&gt;=3,ISNUMBER(SEARCH($K$2,$A135))),MAX($Y$3:Y134)+1,"")</x:f>
      </x:c>
      <x:c r="Z135" s="79" t="str">
        <x:v>روغن</x:v>
      </x:c>
      <x:c r="AA135" s="79" t="str">
        <x:v>6a2d446d45c164ce6f28ae30</x:v>
      </x:c>
      <x:c r="AB135" s="79" t="str">
        <x:v>oil</x:v>
      </x:c>
      <x:c r="AC135" s="79" t="str">
        <x:v>EDIBLE</x:v>
      </x:c>
      <x:c r="AD135" s="79" t="str">
        <x:v>بله</x:v>
      </x:c>
      <x:c r="AE135" s="79" t="str">
        <x:v>بله</x:v>
      </x:c>
      <x:c r="AF135" s="79" t="n">
        <x:v>2</x:v>
      </x:c>
      <x:c r="AG135" s="104" t="n">
        <x:v>100000</x:v>
      </x:c>
      <x:c r="AH135" s="104" t="n">
        <x:v>195000</x:v>
      </x:c>
      <x:c r="AI135" s="79"/>
    </x:row>
    <x:row r="136">
      <x:c r="A136" s="23" t="s">
        <x:v>188</x:v>
      </x:c>
      <x:c r="B136" s="24">
        <x:v>95</x:v>
      </x:c>
      <x:c r="C136" s="25" t="s">
        <x:v>172</x:v>
      </x:c>
      <x:c r="D136" s="26">
        <x:v>95</x:v>
      </x:c>
      <x:c r="E136" s="24">
        <x:v>180</x:v>
      </x:c>
      <x:c r="F136" s="25" t="s">
        <x:v>173</x:v>
      </x:c>
      <x:c r="G136" s="26">
        <x:v>180</x:v>
      </x:c>
      <x:c r="H136" s="25" t="str">
        <x:f t="shared" si="2"/>
        <x:v>فعال</x:v>
      </x:c>
      <x:c r="Y136" t="str">
        <x:f>IF(AND(LEN($K$2)&gt;=3,ISNUMBER(SEARCH($K$2,$A136))),MAX($Y$3:Y135)+1,"")</x:f>
      </x:c>
      <x:c r="Z136" s="79" t="str">
        <x:v>روغن</x:v>
      </x:c>
      <x:c r="AA136" s="79" t="str">
        <x:v>6a2d446d45c164ce6f28ae30</x:v>
      </x:c>
      <x:c r="AB136" s="79" t="str">
        <x:v>oil</x:v>
      </x:c>
      <x:c r="AC136" s="79" t="str">
        <x:v>EDIBLE</x:v>
      </x:c>
      <x:c r="AD136" s="79" t="str">
        <x:v>بله</x:v>
      </x:c>
      <x:c r="AE136" s="79" t="str">
        <x:v>بله</x:v>
      </x:c>
      <x:c r="AF136" s="79" t="n">
        <x:v>2</x:v>
      </x:c>
      <x:c r="AG136" s="104" t="n">
        <x:v>95000</x:v>
      </x:c>
      <x:c r="AH136" s="104" t="n">
        <x:v>180000</x:v>
      </x:c>
      <x:c r="AI136" s="79" t="str">
        <x:v>MERGED</x:v>
      </x:c>
    </x:row>
    <x:row r="137">
      <x:c r="A137" s="23" t="s">
        <x:v>188</x:v>
      </x:c>
      <x:c r="B137" s="24" t="s">
        <x:v>189</x:v>
      </x:c>
      <x:c r="C137" s="25" t="s">
        <x:v>56</x:v>
      </x:c>
      <x:c r="D137" s="26" t="s">
        <x:v>189</x:v>
      </x:c>
      <x:c r="E137" s="24" t="s">
        <x:v>190</x:v>
      </x:c>
      <x:c r="F137" s="25" t="s">
        <x:v>57</x:v>
      </x:c>
      <x:c r="G137" s="26" t="s">
        <x:v>190</x:v>
      </x:c>
      <x:c r="H137" s="25" t="str">
        <x:f t="shared" si="2"/>
        <x:v>فعال</x:v>
      </x:c>
      <x:c r="Y137" t="str">
        <x:f>IF(AND(LEN($K$2)&gt;=3,ISNUMBER(SEARCH($K$2,$A137))),MAX($Y$3:Y136)+1,"")</x:f>
      </x:c>
      <x:c r="Z137" s="79" t="str">
        <x:v>روغن</x:v>
      </x:c>
      <x:c r="AA137" s="79" t="str">
        <x:v>6a2d446d45c164ce6f28ae30</x:v>
      </x:c>
      <x:c r="AB137" s="79" t="str">
        <x:v>oil</x:v>
      </x:c>
      <x:c r="AC137" s="79" t="str">
        <x:v>EDIBLE</x:v>
      </x:c>
      <x:c r="AD137" s="79" t="str">
        <x:v>بله</x:v>
      </x:c>
      <x:c r="AE137" s="79" t="str">
        <x:v>بله</x:v>
      </x:c>
      <x:c r="AF137" s="79" t="n">
        <x:v>2</x:v>
      </x:c>
      <x:c r="AG137" s="104" t="n">
        <x:v>1300000</x:v>
      </x:c>
      <x:c r="AH137" s="104" t="n">
        <x:v>2600000</x:v>
      </x:c>
      <x:c r="AI137" s="79" t="str">
        <x:v>MERGED</x:v>
      </x:c>
    </x:row>
    <x:row r="138">
      <x:c r="A138" s="23" t="s">
        <x:v>191</x:v>
      </x:c>
      <x:c r="B138" s="24" t="s">
        <x:v>192</x:v>
      </x:c>
      <x:c r="C138" s="25" t="s">
        <x:v>56</x:v>
      </x:c>
      <x:c r="D138" s="26" t="s">
        <x:v>192</x:v>
      </x:c>
      <x:c r="E138" s="24" t="s">
        <x:v>193</x:v>
      </x:c>
      <x:c r="F138" s="25" t="s">
        <x:v>57</x:v>
      </x:c>
      <x:c r="G138" s="26" t="s">
        <x:v>193</x:v>
      </x:c>
      <x:c r="H138" s="25" t="str">
        <x:f t="shared" si="2"/>
        <x:v>فعال</x:v>
      </x:c>
      <x:c r="Y138" t="str">
        <x:f>IF(AND(LEN($K$2)&gt;=3,ISNUMBER(SEARCH($K$2,$A138))),MAX($Y$3:Y137)+1,"")</x:f>
      </x:c>
      <x:c r="Z138" s="79" t="str">
        <x:v>روغن</x:v>
      </x:c>
      <x:c r="AA138" s="79" t="str">
        <x:v>6a2d446d45c164ce6f28ae30</x:v>
      </x:c>
      <x:c r="AB138" s="79" t="str">
        <x:v>oil</x:v>
      </x:c>
      <x:c r="AC138" s="79" t="str">
        <x:v>EDIBLE</x:v>
      </x:c>
      <x:c r="AD138" s="79" t="str">
        <x:v>بله</x:v>
      </x:c>
      <x:c r="AE138" s="79" t="str">
        <x:v>بله</x:v>
      </x:c>
      <x:c r="AF138" s="79" t="n">
        <x:v>2</x:v>
      </x:c>
      <x:c r="AG138" s="104" t="n">
        <x:v>1550000</x:v>
      </x:c>
      <x:c r="AH138" s="104" t="n">
        <x:v>3100000</x:v>
      </x:c>
      <x:c r="AI138" s="79" t="str">
        <x:v>MERGED</x:v>
      </x:c>
    </x:row>
    <x:row r="139">
      <x:c r="A139" s="23" t="s">
        <x:v>191</x:v>
      </x:c>
      <x:c r="B139" s="24">
        <x:v>100</x:v>
      </x:c>
      <x:c r="C139" s="25" t="s">
        <x:v>172</x:v>
      </x:c>
      <x:c r="D139" s="26">
        <x:v>100</x:v>
      </x:c>
      <x:c r="E139" s="24">
        <x:v>195</x:v>
      </x:c>
      <x:c r="F139" s="25" t="s">
        <x:v>173</x:v>
      </x:c>
      <x:c r="G139" s="26">
        <x:v>195</x:v>
      </x:c>
      <x:c r="H139" s="25" t="str">
        <x:f t="shared" si="2"/>
        <x:v>فعال</x:v>
      </x:c>
      <x:c r="Y139" t="str">
        <x:f>IF(AND(LEN($K$2)&gt;=3,ISNUMBER(SEARCH($K$2,$A139))),MAX($Y$3:Y138)+1,"")</x:f>
      </x:c>
      <x:c r="Z139" s="79" t="str">
        <x:v>روغن</x:v>
      </x:c>
      <x:c r="AA139" s="79" t="str">
        <x:v>6a2d446d45c164ce6f28ae30</x:v>
      </x:c>
      <x:c r="AB139" s="79" t="str">
        <x:v>oil</x:v>
      </x:c>
      <x:c r="AC139" s="79" t="str">
        <x:v>EDIBLE</x:v>
      </x:c>
      <x:c r="AD139" s="79" t="str">
        <x:v>بله</x:v>
      </x:c>
      <x:c r="AE139" s="79" t="str">
        <x:v>بله</x:v>
      </x:c>
      <x:c r="AF139" s="79" t="n">
        <x:v>2</x:v>
      </x:c>
      <x:c r="AG139" s="104" t="n">
        <x:v>100000</x:v>
      </x:c>
      <x:c r="AH139" s="104" t="n">
        <x:v>195000</x:v>
      </x:c>
      <x:c r="AI139" s="79" t="str">
        <x:v>MERGED</x:v>
      </x:c>
    </x:row>
    <x:row r="140">
      <x:c r="A140" s="23" t="s">
        <x:v>194</x:v>
      </x:c>
      <x:c r="B140" s="24">
        <x:v>135</x:v>
      </x:c>
      <x:c r="C140" s="25" t="s">
        <x:v>172</x:v>
      </x:c>
      <x:c r="D140" s="26">
        <x:v>135</x:v>
      </x:c>
      <x:c r="E140" s="24">
        <x:v>260</x:v>
      </x:c>
      <x:c r="F140" s="25" t="s">
        <x:v>173</x:v>
      </x:c>
      <x:c r="G140" s="26">
        <x:v>260</x:v>
      </x:c>
      <x:c r="H140" s="25" t="str">
        <x:f t="shared" si="2"/>
        <x:v>فعال</x:v>
      </x:c>
      <x:c r="Y140" t="str">
        <x:f>IF(AND(LEN($K$2)&gt;=3,ISNUMBER(SEARCH($K$2,$A140))),MAX($Y$3:Y139)+1,"")</x:f>
      </x:c>
      <x:c r="Z140" s="79" t="str">
        <x:v>روغن</x:v>
      </x:c>
      <x:c r="AA140" s="79" t="str">
        <x:v>6a2d446d45c164ce6f28ae30</x:v>
      </x:c>
      <x:c r="AB140" s="79" t="str">
        <x:v>oil</x:v>
      </x:c>
      <x:c r="AC140" s="79" t="str">
        <x:v>EDIBLE</x:v>
      </x:c>
      <x:c r="AD140" s="79" t="str">
        <x:v>بله</x:v>
      </x:c>
      <x:c r="AE140" s="79" t="str">
        <x:v>بله</x:v>
      </x:c>
      <x:c r="AF140" s="79" t="n">
        <x:v>2</x:v>
      </x:c>
      <x:c r="AG140" s="104" t="n">
        <x:v>135000</x:v>
      </x:c>
      <x:c r="AH140" s="104" t="n">
        <x:v>260000</x:v>
      </x:c>
      <x:c r="AI140" s="79"/>
    </x:row>
    <x:row r="141">
      <x:c r="A141" s="23" t="s">
        <x:v>195</x:v>
      </x:c>
      <x:c r="B141" s="24">
        <x:v>65</x:v>
      </x:c>
      <x:c r="C141" s="25" t="s">
        <x:v>172</x:v>
      </x:c>
      <x:c r="D141" s="26">
        <x:v>65</x:v>
      </x:c>
      <x:c r="E141" s="24">
        <x:v>120</x:v>
      </x:c>
      <x:c r="F141" s="25" t="s">
        <x:v>173</x:v>
      </x:c>
      <x:c r="G141" s="26">
        <x:v>120</x:v>
      </x:c>
      <x:c r="H141" s="25" t="str">
        <x:f t="shared" si="2"/>
        <x:v>فعال</x:v>
      </x:c>
      <x:c r="Y141" t="str">
        <x:f>IF(AND(LEN($K$2)&gt;=3,ISNUMBER(SEARCH($K$2,$A141))),MAX($Y$3:Y140)+1,"")</x:f>
      </x:c>
      <x:c r="Z141" s="79" t="str">
        <x:v>روغن</x:v>
      </x:c>
      <x:c r="AA141" s="79" t="str">
        <x:v>6a2d446d45c164ce6f28ae30</x:v>
      </x:c>
      <x:c r="AB141" s="79" t="str">
        <x:v>oil</x:v>
      </x:c>
      <x:c r="AC141" s="79" t="str">
        <x:v>EDIBLE</x:v>
      </x:c>
      <x:c r="AD141" s="79" t="str">
        <x:v>بله</x:v>
      </x:c>
      <x:c r="AE141" s="79" t="str">
        <x:v>بله</x:v>
      </x:c>
      <x:c r="AF141" s="79" t="n">
        <x:v>2</x:v>
      </x:c>
      <x:c r="AG141" s="104" t="n">
        <x:v>65000</x:v>
      </x:c>
      <x:c r="AH141" s="104" t="n">
        <x:v>120000</x:v>
      </x:c>
      <x:c r="AI141" s="79"/>
    </x:row>
    <x:row r="142">
      <x:c r="A142" s="23" t="s">
        <x:v>196</x:v>
      </x:c>
      <x:c r="B142" s="24">
        <x:v>65</x:v>
      </x:c>
      <x:c r="C142" s="25" t="s">
        <x:v>172</x:v>
      </x:c>
      <x:c r="D142" s="26">
        <x:v>65</x:v>
      </x:c>
      <x:c r="E142" s="24">
        <x:v>120</x:v>
      </x:c>
      <x:c r="F142" s="25" t="s">
        <x:v>173</x:v>
      </x:c>
      <x:c r="G142" s="26">
        <x:v>120</x:v>
      </x:c>
      <x:c r="H142" s="25" t="str">
        <x:f t="shared" si="2"/>
        <x:v>فعال</x:v>
      </x:c>
      <x:c r="Y142" t="str">
        <x:f>IF(AND(LEN($K$2)&gt;=3,ISNUMBER(SEARCH($K$2,$A142))),MAX($Y$3:Y141)+1,"")</x:f>
      </x:c>
      <x:c r="Z142" s="79" t="str">
        <x:v>روغن</x:v>
      </x:c>
      <x:c r="AA142" s="79" t="str">
        <x:v>6a2d446d45c164ce6f28ae30</x:v>
      </x:c>
      <x:c r="AB142" s="79" t="str">
        <x:v>oil</x:v>
      </x:c>
      <x:c r="AC142" s="79" t="str">
        <x:v>EDIBLE</x:v>
      </x:c>
      <x:c r="AD142" s="79" t="str">
        <x:v>بله</x:v>
      </x:c>
      <x:c r="AE142" s="79" t="str">
        <x:v>بله</x:v>
      </x:c>
      <x:c r="AF142" s="79" t="n">
        <x:v>2</x:v>
      </x:c>
      <x:c r="AG142" s="104" t="n">
        <x:v>65000</x:v>
      </x:c>
      <x:c r="AH142" s="104" t="n">
        <x:v>120000</x:v>
      </x:c>
      <x:c r="AI142" s="79"/>
    </x:row>
    <x:row r="143">
      <x:c r="A143" s="23" t="s">
        <x:v>197</x:v>
      </x:c>
      <x:c r="B143" s="24">
        <x:v>350</x:v>
      </x:c>
      <x:c r="C143" s="25" t="s">
        <x:v>16</x:v>
      </x:c>
      <x:c r="D143" s="26">
        <x:v>350</x:v>
      </x:c>
      <x:c r="E143" s="24"/>
      <x:c r="F143" s="25"/>
      <x:c r="G143" s="26"/>
      <x:c r="H143" s="25" t="str">
        <x:f t="shared" si="2"/>
        <x:v>فعال</x:v>
      </x:c>
      <x:c r="Y143" t="str">
        <x:f>IF(AND(LEN($K$2)&gt;=3,ISNUMBER(SEARCH($K$2,$A143))),MAX($Y$3:Y142)+1,"")</x:f>
      </x:c>
      <x:c r="Z143" s="79" t="str">
        <x:v>روغن</x:v>
      </x:c>
      <x:c r="AA143" s="79" t="str">
        <x:v>6a2d446d45c164ce6f28ae30</x:v>
      </x:c>
      <x:c r="AB143" s="79" t="str">
        <x:v>oil</x:v>
      </x:c>
      <x:c r="AC143" s="79" t="str">
        <x:v>EDIBLE</x:v>
      </x:c>
      <x:c r="AD143" s="79" t="str">
        <x:v>بله</x:v>
      </x:c>
      <x:c r="AE143" s="79" t="str">
        <x:v>خیر</x:v>
      </x:c>
      <x:c r="AF143" s="79" t="n">
        <x:v>1</x:v>
      </x:c>
      <x:c r="AG143" s="104" t="n">
        <x:v>350000</x:v>
      </x:c>
      <x:c r="AH143" s="104"/>
      <x:c r="AI143" s="79"/>
    </x:row>
    <x:row r="144">
      <x:c r="A144" s="23" t="s">
        <x:v>198</x:v>
      </x:c>
      <x:c r="B144" s="24">
        <x:v>90</x:v>
      </x:c>
      <x:c r="C144" s="25" t="s">
        <x:v>172</x:v>
      </x:c>
      <x:c r="D144" s="26">
        <x:v>90</x:v>
      </x:c>
      <x:c r="E144" s="24">
        <x:v>170</x:v>
      </x:c>
      <x:c r="F144" s="25" t="s">
        <x:v>173</x:v>
      </x:c>
      <x:c r="G144" s="26">
        <x:v>170</x:v>
      </x:c>
      <x:c r="H144" s="25" t="str">
        <x:f t="shared" si="2"/>
        <x:v>فعال</x:v>
      </x:c>
      <x:c r="Y144" t="str">
        <x:f>IF(AND(LEN($K$2)&gt;=3,ISNUMBER(SEARCH($K$2,$A144))),MAX($Y$3:Y143)+1,"")</x:f>
      </x:c>
      <x:c r="Z144" s="79" t="str">
        <x:v>روغن</x:v>
      </x:c>
      <x:c r="AA144" s="79" t="str">
        <x:v>6a2d446d45c164ce6f28ae30</x:v>
      </x:c>
      <x:c r="AB144" s="79" t="str">
        <x:v>oil</x:v>
      </x:c>
      <x:c r="AC144" s="79" t="str">
        <x:v>EDIBLE</x:v>
      </x:c>
      <x:c r="AD144" s="79" t="str">
        <x:v>بله</x:v>
      </x:c>
      <x:c r="AE144" s="79" t="str">
        <x:v>بله</x:v>
      </x:c>
      <x:c r="AF144" s="79" t="n">
        <x:v>2</x:v>
      </x:c>
      <x:c r="AG144" s="104" t="n">
        <x:v>90000</x:v>
      </x:c>
      <x:c r="AH144" s="104" t="n">
        <x:v>170000</x:v>
      </x:c>
      <x:c r="AI144" s="79"/>
    </x:row>
    <x:row r="145">
      <x:c r="A145" s="23" t="s">
        <x:v>199</x:v>
      </x:c>
      <x:c r="B145" s="24">
        <x:v>100</x:v>
      </x:c>
      <x:c r="C145" s="25" t="s">
        <x:v>172</x:v>
      </x:c>
      <x:c r="D145" s="26">
        <x:v>100</x:v>
      </x:c>
      <x:c r="E145" s="24">
        <x:v>190</x:v>
      </x:c>
      <x:c r="F145" s="25" t="s">
        <x:v>173</x:v>
      </x:c>
      <x:c r="G145" s="26">
        <x:v>190</x:v>
      </x:c>
      <x:c r="H145" s="25" t="str">
        <x:f t="shared" si="2"/>
        <x:v>فعال</x:v>
      </x:c>
      <x:c r="Y145" t="str">
        <x:f>IF(AND(LEN($K$2)&gt;=3,ISNUMBER(SEARCH($K$2,$A145))),MAX($Y$3:Y144)+1,"")</x:f>
      </x:c>
      <x:c r="Z145" s="79" t="str">
        <x:v>روغن</x:v>
      </x:c>
      <x:c r="AA145" s="79" t="str">
        <x:v>6a2d446d45c164ce6f28ae30</x:v>
      </x:c>
      <x:c r="AB145" s="79" t="str">
        <x:v>oil</x:v>
      </x:c>
      <x:c r="AC145" s="79" t="str">
        <x:v>EDIBLE</x:v>
      </x:c>
      <x:c r="AD145" s="79" t="str">
        <x:v>بله</x:v>
      </x:c>
      <x:c r="AE145" s="79" t="str">
        <x:v>بله</x:v>
      </x:c>
      <x:c r="AF145" s="79" t="n">
        <x:v>2</x:v>
      </x:c>
      <x:c r="AG145" s="104" t="n">
        <x:v>100000</x:v>
      </x:c>
      <x:c r="AH145" s="104" t="n">
        <x:v>190000</x:v>
      </x:c>
      <x:c r="AI145" s="79"/>
    </x:row>
    <x:row r="146">
      <x:c r="A146" s="23" t="s">
        <x:v>200</x:v>
      </x:c>
      <x:c r="B146" s="24">
        <x:v>65</x:v>
      </x:c>
      <x:c r="C146" s="25" t="s">
        <x:v>172</x:v>
      </x:c>
      <x:c r="D146" s="26">
        <x:v>65</x:v>
      </x:c>
      <x:c r="E146" s="24">
        <x:v>120</x:v>
      </x:c>
      <x:c r="F146" s="25" t="s">
        <x:v>173</x:v>
      </x:c>
      <x:c r="G146" s="26">
        <x:v>120</x:v>
      </x:c>
      <x:c r="H146" s="25" t="str">
        <x:f t="shared" si="2"/>
        <x:v>فعال</x:v>
      </x:c>
      <x:c r="Y146" t="str">
        <x:f>IF(AND(LEN($K$2)&gt;=3,ISNUMBER(SEARCH($K$2,$A146))),MAX($Y$3:Y145)+1,"")</x:f>
      </x:c>
      <x:c r="Z146" s="79" t="str">
        <x:v>روغن</x:v>
      </x:c>
      <x:c r="AA146" s="79" t="str">
        <x:v>6a2d446d45c164ce6f28ae30</x:v>
      </x:c>
      <x:c r="AB146" s="79" t="str">
        <x:v>oil</x:v>
      </x:c>
      <x:c r="AC146" s="79" t="str">
        <x:v>EDIBLE</x:v>
      </x:c>
      <x:c r="AD146" s="79" t="str">
        <x:v>بله</x:v>
      </x:c>
      <x:c r="AE146" s="79" t="str">
        <x:v>بله</x:v>
      </x:c>
      <x:c r="AF146" s="79" t="n">
        <x:v>2</x:v>
      </x:c>
      <x:c r="AG146" s="104" t="n">
        <x:v>65000</x:v>
      </x:c>
      <x:c r="AH146" s="104" t="n">
        <x:v>120000</x:v>
      </x:c>
      <x:c r="AI146" s="79"/>
    </x:row>
    <x:row r="147">
      <x:c r="A147" s="23" t="s">
        <x:v>201</x:v>
      </x:c>
      <x:c r="B147" s="24">
        <x:v>115</x:v>
      </x:c>
      <x:c r="C147" s="25" t="s">
        <x:v>172</x:v>
      </x:c>
      <x:c r="D147" s="26">
        <x:v>115</x:v>
      </x:c>
      <x:c r="E147" s="24">
        <x:v>220</x:v>
      </x:c>
      <x:c r="F147" s="25" t="s">
        <x:v>173</x:v>
      </x:c>
      <x:c r="G147" s="26">
        <x:v>220</x:v>
      </x:c>
      <x:c r="H147" s="25" t="str">
        <x:f t="shared" si="2"/>
        <x:v>فعال</x:v>
      </x:c>
      <x:c r="Y147" t="str">
        <x:f>IF(AND(LEN($K$2)&gt;=3,ISNUMBER(SEARCH($K$2,$A147))),MAX($Y$3:Y146)+1,"")</x:f>
      </x:c>
      <x:c r="Z147" s="79" t="str">
        <x:v>روغن</x:v>
      </x:c>
      <x:c r="AA147" s="79" t="str">
        <x:v>6a2d446d45c164ce6f28ae30</x:v>
      </x:c>
      <x:c r="AB147" s="79" t="str">
        <x:v>oil</x:v>
      </x:c>
      <x:c r="AC147" s="79" t="str">
        <x:v>EDIBLE</x:v>
      </x:c>
      <x:c r="AD147" s="79" t="str">
        <x:v>بله</x:v>
      </x:c>
      <x:c r="AE147" s="79" t="str">
        <x:v>بله</x:v>
      </x:c>
      <x:c r="AF147" s="79" t="n">
        <x:v>2</x:v>
      </x:c>
      <x:c r="AG147" s="104" t="n">
        <x:v>115000</x:v>
      </x:c>
      <x:c r="AH147" s="104" t="n">
        <x:v>220000</x:v>
      </x:c>
      <x:c r="AI147" s="79"/>
    </x:row>
    <x:row r="148">
      <x:c r="A148" s="23" t="s">
        <x:v>202</x:v>
      </x:c>
      <x:c r="B148" s="24">
        <x:v>135</x:v>
      </x:c>
      <x:c r="C148" s="25" t="s">
        <x:v>172</x:v>
      </x:c>
      <x:c r="D148" s="26">
        <x:v>135</x:v>
      </x:c>
      <x:c r="E148" s="24">
        <x:v>260</x:v>
      </x:c>
      <x:c r="F148" s="25" t="s">
        <x:v>173</x:v>
      </x:c>
      <x:c r="G148" s="26">
        <x:v>260</x:v>
      </x:c>
      <x:c r="H148" s="25" t="str">
        <x:f t="shared" si="2"/>
        <x:v>فعال</x:v>
      </x:c>
      <x:c r="Y148" t="str">
        <x:f>IF(AND(LEN($K$2)&gt;=3,ISNUMBER(SEARCH($K$2,$A148))),MAX($Y$3:Y147)+1,"")</x:f>
      </x:c>
      <x:c r="Z148" s="79" t="str">
        <x:v>روغن</x:v>
      </x:c>
      <x:c r="AA148" s="79" t="str">
        <x:v>6a2d446d45c164ce6f28ae30</x:v>
      </x:c>
      <x:c r="AB148" s="79" t="str">
        <x:v>oil</x:v>
      </x:c>
      <x:c r="AC148" s="79" t="str">
        <x:v>EDIBLE</x:v>
      </x:c>
      <x:c r="AD148" s="79" t="str">
        <x:v>بله</x:v>
      </x:c>
      <x:c r="AE148" s="79" t="str">
        <x:v>بله</x:v>
      </x:c>
      <x:c r="AF148" s="79" t="n">
        <x:v>2</x:v>
      </x:c>
      <x:c r="AG148" s="104" t="n">
        <x:v>135000</x:v>
      </x:c>
      <x:c r="AH148" s="104" t="n">
        <x:v>260000</x:v>
      </x:c>
      <x:c r="AI148" s="79"/>
    </x:row>
    <x:row r="149">
      <x:c r="A149" s="23" t="s">
        <x:v>203</x:v>
      </x:c>
      <x:c r="B149" s="24">
        <x:v>115</x:v>
      </x:c>
      <x:c r="C149" s="25" t="s">
        <x:v>172</x:v>
      </x:c>
      <x:c r="D149" s="26">
        <x:v>115</x:v>
      </x:c>
      <x:c r="E149" s="24">
        <x:v>220</x:v>
      </x:c>
      <x:c r="F149" s="25" t="s">
        <x:v>173</x:v>
      </x:c>
      <x:c r="G149" s="26">
        <x:v>220</x:v>
      </x:c>
      <x:c r="H149" s="25" t="str">
        <x:f t="shared" si="2"/>
        <x:v>فعال</x:v>
      </x:c>
      <x:c r="Y149" t="str">
        <x:f>IF(AND(LEN($K$2)&gt;=3,ISNUMBER(SEARCH($K$2,$A149))),MAX($Y$3:Y148)+1,"")</x:f>
      </x:c>
      <x:c r="Z149" s="79" t="str">
        <x:v>روغن</x:v>
      </x:c>
      <x:c r="AA149" s="79" t="str">
        <x:v>6a2d446d45c164ce6f28ae30</x:v>
      </x:c>
      <x:c r="AB149" s="79" t="str">
        <x:v>oil</x:v>
      </x:c>
      <x:c r="AC149" s="79" t="str">
        <x:v>EDIBLE</x:v>
      </x:c>
      <x:c r="AD149" s="79" t="str">
        <x:v>بله</x:v>
      </x:c>
      <x:c r="AE149" s="79" t="str">
        <x:v>بله</x:v>
      </x:c>
      <x:c r="AF149" s="79" t="n">
        <x:v>2</x:v>
      </x:c>
      <x:c r="AG149" s="104" t="n">
        <x:v>115000</x:v>
      </x:c>
      <x:c r="AH149" s="104" t="n">
        <x:v>220000</x:v>
      </x:c>
      <x:c r="AI149" s="79"/>
    </x:row>
    <x:row r="150">
      <x:c r="A150" s="23" t="s">
        <x:v>204</x:v>
      </x:c>
      <x:c r="B150" s="24">
        <x:v>100</x:v>
      </x:c>
      <x:c r="C150" s="25" t="s">
        <x:v>172</x:v>
      </x:c>
      <x:c r="D150" s="26">
        <x:v>100</x:v>
      </x:c>
      <x:c r="E150" s="24">
        <x:v>195</x:v>
      </x:c>
      <x:c r="F150" s="25" t="s">
        <x:v>173</x:v>
      </x:c>
      <x:c r="G150" s="26">
        <x:v>195</x:v>
      </x:c>
      <x:c r="H150" s="25" t="str">
        <x:f t="shared" si="2"/>
        <x:v>فعال</x:v>
      </x:c>
      <x:c r="Y150" t="str">
        <x:f>IF(AND(LEN($K$2)&gt;=3,ISNUMBER(SEARCH($K$2,$A150))),MAX($Y$3:Y149)+1,"")</x:f>
      </x:c>
      <x:c r="Z150" s="79" t="str">
        <x:v>روغن</x:v>
      </x:c>
      <x:c r="AA150" s="79" t="str">
        <x:v>6a2d446d45c164ce6f28ae30</x:v>
      </x:c>
      <x:c r="AB150" s="79" t="str">
        <x:v>oil</x:v>
      </x:c>
      <x:c r="AC150" s="79" t="str">
        <x:v>EDIBLE</x:v>
      </x:c>
      <x:c r="AD150" s="79" t="str">
        <x:v>بله</x:v>
      </x:c>
      <x:c r="AE150" s="79" t="str">
        <x:v>بله</x:v>
      </x:c>
      <x:c r="AF150" s="79" t="n">
        <x:v>2</x:v>
      </x:c>
      <x:c r="AG150" s="104" t="n">
        <x:v>100000</x:v>
      </x:c>
      <x:c r="AH150" s="104" t="n">
        <x:v>195000</x:v>
      </x:c>
      <x:c r="AI150" s="79"/>
    </x:row>
    <x:row r="151">
      <x:c r="A151" s="23" t="s">
        <x:v>205</x:v>
      </x:c>
      <x:c r="B151" s="24">
        <x:v>95</x:v>
      </x:c>
      <x:c r="C151" s="25" t="s">
        <x:v>172</x:v>
      </x:c>
      <x:c r="D151" s="26">
        <x:v>95</x:v>
      </x:c>
      <x:c r="E151" s="24">
        <x:v>185</x:v>
      </x:c>
      <x:c r="F151" s="25" t="s">
        <x:v>173</x:v>
      </x:c>
      <x:c r="G151" s="26">
        <x:v>185</x:v>
      </x:c>
      <x:c r="H151" s="25" t="str">
        <x:f t="shared" si="2"/>
        <x:v>فعال</x:v>
      </x:c>
      <x:c r="Y151" t="str">
        <x:f>IF(AND(LEN($K$2)&gt;=3,ISNUMBER(SEARCH($K$2,$A151))),MAX($Y$3:Y150)+1,"")</x:f>
      </x:c>
      <x:c r="Z151" s="79" t="str">
        <x:v>روغن</x:v>
      </x:c>
      <x:c r="AA151" s="79" t="str">
        <x:v>6a2d446d45c164ce6f28ae30</x:v>
      </x:c>
      <x:c r="AB151" s="79" t="str">
        <x:v>oil</x:v>
      </x:c>
      <x:c r="AC151" s="79" t="str">
        <x:v>EDIBLE</x:v>
      </x:c>
      <x:c r="AD151" s="79" t="str">
        <x:v>بله</x:v>
      </x:c>
      <x:c r="AE151" s="79" t="str">
        <x:v>بله</x:v>
      </x:c>
      <x:c r="AF151" s="79" t="n">
        <x:v>2</x:v>
      </x:c>
      <x:c r="AG151" s="104" t="n">
        <x:v>95000</x:v>
      </x:c>
      <x:c r="AH151" s="104" t="n">
        <x:v>185000</x:v>
      </x:c>
      <x:c r="AI151" s="79"/>
    </x:row>
    <x:row r="152">
      <x:c r="A152" s="23" t="s">
        <x:v>206</x:v>
      </x:c>
      <x:c r="B152" s="24">
        <x:v>115</x:v>
      </x:c>
      <x:c r="C152" s="25" t="s">
        <x:v>172</x:v>
      </x:c>
      <x:c r="D152" s="26">
        <x:v>115</x:v>
      </x:c>
      <x:c r="E152" s="24">
        <x:v>220</x:v>
      </x:c>
      <x:c r="F152" s="25" t="s">
        <x:v>173</x:v>
      </x:c>
      <x:c r="G152" s="26">
        <x:v>220</x:v>
      </x:c>
      <x:c r="H152" s="25" t="str">
        <x:f t="shared" si="2"/>
        <x:v>فعال</x:v>
      </x:c>
      <x:c r="Y152" t="str">
        <x:f>IF(AND(LEN($K$2)&gt;=3,ISNUMBER(SEARCH($K$2,$A152))),MAX($Y$3:Y151)+1,"")</x:f>
      </x:c>
      <x:c r="Z152" s="79" t="str">
        <x:v>روغن</x:v>
      </x:c>
      <x:c r="AA152" s="79" t="str">
        <x:v>6a2d446d45c164ce6f28ae30</x:v>
      </x:c>
      <x:c r="AB152" s="79" t="str">
        <x:v>oil</x:v>
      </x:c>
      <x:c r="AC152" s="79" t="str">
        <x:v>EDIBLE</x:v>
      </x:c>
      <x:c r="AD152" s="79" t="str">
        <x:v>بله</x:v>
      </x:c>
      <x:c r="AE152" s="79" t="str">
        <x:v>بله</x:v>
      </x:c>
      <x:c r="AF152" s="79" t="n">
        <x:v>2</x:v>
      </x:c>
      <x:c r="AG152" s="104" t="n">
        <x:v>115000</x:v>
      </x:c>
      <x:c r="AH152" s="104" t="n">
        <x:v>220000</x:v>
      </x:c>
      <x:c r="AI152" s="79"/>
    </x:row>
    <x:row r="153">
      <x:c r="A153" s="23" t="s">
        <x:v>207</x:v>
      </x:c>
      <x:c r="B153" s="24">
        <x:v>500</x:v>
      </x:c>
      <x:c r="C153" s="25" t="s">
        <x:v>56</x:v>
      </x:c>
      <x:c r="D153" s="26">
        <x:v>500</x:v>
      </x:c>
      <x:c r="E153" s="24" t="s">
        <x:v>208</x:v>
      </x:c>
      <x:c r="F153" s="25" t="s">
        <x:v>57</x:v>
      </x:c>
      <x:c r="G153" s="26" t="s">
        <x:v>208</x:v>
      </x:c>
      <x:c r="H153" s="25" t="str">
        <x:f t="shared" si="2"/>
        <x:v>فعال</x:v>
      </x:c>
      <x:c r="Y153" t="str">
        <x:f>IF(AND(LEN($K$2)&gt;=3,ISNUMBER(SEARCH($K$2,$A153))),MAX($Y$3:Y152)+1,"")</x:f>
      </x:c>
      <x:c r="Z153" s="79" t="str">
        <x:v>روغن</x:v>
      </x:c>
      <x:c r="AA153" s="79" t="str">
        <x:v>6a2d446d45c164ce6f28ae30</x:v>
      </x:c>
      <x:c r="AB153" s="79" t="str">
        <x:v>oil</x:v>
      </x:c>
      <x:c r="AC153" s="79" t="str">
        <x:v>EDIBLE</x:v>
      </x:c>
      <x:c r="AD153" s="79" t="str">
        <x:v>بله</x:v>
      </x:c>
      <x:c r="AE153" s="79" t="str">
        <x:v>بله</x:v>
      </x:c>
      <x:c r="AF153" s="79" t="n">
        <x:v>2</x:v>
      </x:c>
      <x:c r="AG153" s="104" t="n">
        <x:v>500000</x:v>
      </x:c>
      <x:c r="AH153" s="104" t="n">
        <x:v>1000000</x:v>
      </x:c>
      <x:c r="AI153" s="79" t="str">
        <x:v>MERGED</x:v>
      </x:c>
    </x:row>
    <x:row r="154">
      <x:c r="A154" s="23" t="s">
        <x:v>207</x:v>
      </x:c>
      <x:c r="B154" s="24">
        <x:v>100</x:v>
      </x:c>
      <x:c r="C154" s="25" t="s">
        <x:v>172</x:v>
      </x:c>
      <x:c r="D154" s="26">
        <x:v>100</x:v>
      </x:c>
      <x:c r="E154" s="24">
        <x:v>195</x:v>
      </x:c>
      <x:c r="F154" s="25" t="s">
        <x:v>173</x:v>
      </x:c>
      <x:c r="G154" s="26">
        <x:v>195</x:v>
      </x:c>
      <x:c r="H154" s="25" t="str">
        <x:f t="shared" si="2"/>
        <x:v>فعال</x:v>
      </x:c>
      <x:c r="Y154" t="str">
        <x:f>IF(AND(LEN($K$2)&gt;=3,ISNUMBER(SEARCH($K$2,$A154))),MAX($Y$3:Y153)+1,"")</x:f>
      </x:c>
      <x:c r="Z154" s="79" t="str">
        <x:v>روغن</x:v>
      </x:c>
      <x:c r="AA154" s="79" t="str">
        <x:v>6a2d446d45c164ce6f28ae30</x:v>
      </x:c>
      <x:c r="AB154" s="79" t="str">
        <x:v>oil</x:v>
      </x:c>
      <x:c r="AC154" s="79" t="str">
        <x:v>EDIBLE</x:v>
      </x:c>
      <x:c r="AD154" s="79" t="str">
        <x:v>بله</x:v>
      </x:c>
      <x:c r="AE154" s="79" t="str">
        <x:v>بله</x:v>
      </x:c>
      <x:c r="AF154" s="79" t="n">
        <x:v>2</x:v>
      </x:c>
      <x:c r="AG154" s="104" t="n">
        <x:v>100000</x:v>
      </x:c>
      <x:c r="AH154" s="104" t="n">
        <x:v>195000</x:v>
      </x:c>
      <x:c r="AI154" s="79" t="str">
        <x:v>MERGED</x:v>
      </x:c>
    </x:row>
    <x:row r="155">
      <x:c r="A155" s="23" t="s">
        <x:v>209</x:v>
      </x:c>
      <x:c r="B155" s="24">
        <x:v>65</x:v>
      </x:c>
      <x:c r="C155" s="25" t="s">
        <x:v>172</x:v>
      </x:c>
      <x:c r="D155" s="26">
        <x:v>65</x:v>
      </x:c>
      <x:c r="E155" s="24">
        <x:v>120</x:v>
      </x:c>
      <x:c r="F155" s="25" t="s">
        <x:v>173</x:v>
      </x:c>
      <x:c r="G155" s="26">
        <x:v>120</x:v>
      </x:c>
      <x:c r="H155" s="25" t="str">
        <x:f t="shared" si="2"/>
        <x:v>فعال</x:v>
      </x:c>
      <x:c r="Y155" t="str">
        <x:f>IF(AND(LEN($K$2)&gt;=3,ISNUMBER(SEARCH($K$2,$A155))),MAX($Y$3:Y154)+1,"")</x:f>
      </x:c>
      <x:c r="Z155" s="79" t="str">
        <x:v>روغن</x:v>
      </x:c>
      <x:c r="AA155" s="79" t="str">
        <x:v>6a2d446d45c164ce6f28ae30</x:v>
      </x:c>
      <x:c r="AB155" s="79" t="str">
        <x:v>oil</x:v>
      </x:c>
      <x:c r="AC155" s="79" t="str">
        <x:v>EDIBLE</x:v>
      </x:c>
      <x:c r="AD155" s="79" t="str">
        <x:v>بله</x:v>
      </x:c>
      <x:c r="AE155" s="79" t="str">
        <x:v>بله</x:v>
      </x:c>
      <x:c r="AF155" s="79" t="n">
        <x:v>2</x:v>
      </x:c>
      <x:c r="AG155" s="104" t="n">
        <x:v>65000</x:v>
      </x:c>
      <x:c r="AH155" s="104" t="n">
        <x:v>120000</x:v>
      </x:c>
      <x:c r="AI155" s="79"/>
    </x:row>
    <x:row r="156">
      <x:c r="A156" s="23" t="s">
        <x:v>210</x:v>
      </x:c>
      <x:c r="B156" s="24">
        <x:v>65</x:v>
      </x:c>
      <x:c r="C156" s="25" t="s">
        <x:v>172</x:v>
      </x:c>
      <x:c r="D156" s="26">
        <x:v>65</x:v>
      </x:c>
      <x:c r="E156" s="24">
        <x:v>120</x:v>
      </x:c>
      <x:c r="F156" s="25" t="s">
        <x:v>173</x:v>
      </x:c>
      <x:c r="G156" s="26">
        <x:v>120</x:v>
      </x:c>
      <x:c r="H156" s="25" t="str">
        <x:f t="shared" si="2"/>
        <x:v>فعال</x:v>
      </x:c>
      <x:c r="Y156" t="str">
        <x:f>IF(AND(LEN($K$2)&gt;=3,ISNUMBER(SEARCH($K$2,$A156))),MAX($Y$3:Y155)+1,"")</x:f>
      </x:c>
      <x:c r="Z156" s="79" t="str">
        <x:v>روغن</x:v>
      </x:c>
      <x:c r="AA156" s="79" t="str">
        <x:v>6a2d446d45c164ce6f28ae30</x:v>
      </x:c>
      <x:c r="AB156" s="79" t="str">
        <x:v>oil</x:v>
      </x:c>
      <x:c r="AC156" s="79" t="str">
        <x:v>EDIBLE</x:v>
      </x:c>
      <x:c r="AD156" s="79" t="str">
        <x:v>بله</x:v>
      </x:c>
      <x:c r="AE156" s="79" t="str">
        <x:v>بله</x:v>
      </x:c>
      <x:c r="AF156" s="79" t="n">
        <x:v>2</x:v>
      </x:c>
      <x:c r="AG156" s="104" t="n">
        <x:v>65000</x:v>
      </x:c>
      <x:c r="AH156" s="104" t="n">
        <x:v>120000</x:v>
      </x:c>
      <x:c r="AI156" s="79"/>
    </x:row>
    <x:row r="157">
      <x:c r="A157" s="23" t="s">
        <x:v>211</x:v>
      </x:c>
      <x:c r="B157" s="24">
        <x:v>150</x:v>
      </x:c>
      <x:c r="C157" s="25" t="s">
        <x:v>172</x:v>
      </x:c>
      <x:c r="D157" s="26">
        <x:v>150</x:v>
      </x:c>
      <x:c r="E157" s="24">
        <x:v>295</x:v>
      </x:c>
      <x:c r="F157" s="25" t="s">
        <x:v>173</x:v>
      </x:c>
      <x:c r="G157" s="26">
        <x:v>295</x:v>
      </x:c>
      <x:c r="H157" s="25" t="str">
        <x:f t="shared" si="2"/>
        <x:v>فعال</x:v>
      </x:c>
      <x:c r="Y157" t="str">
        <x:f>IF(AND(LEN($K$2)&gt;=3,ISNUMBER(SEARCH($K$2,$A157))),MAX($Y$3:Y156)+1,"")</x:f>
      </x:c>
      <x:c r="Z157" s="79" t="str">
        <x:v>روغن</x:v>
      </x:c>
      <x:c r="AA157" s="79" t="str">
        <x:v>6a2d446d45c164ce6f28ae30</x:v>
      </x:c>
      <x:c r="AB157" s="79" t="str">
        <x:v>oil</x:v>
      </x:c>
      <x:c r="AC157" s="79" t="str">
        <x:v>EDIBLE</x:v>
      </x:c>
      <x:c r="AD157" s="79" t="str">
        <x:v>بله</x:v>
      </x:c>
      <x:c r="AE157" s="79" t="str">
        <x:v>بله</x:v>
      </x:c>
      <x:c r="AF157" s="79" t="n">
        <x:v>2</x:v>
      </x:c>
      <x:c r="AG157" s="104" t="n">
        <x:v>150000</x:v>
      </x:c>
      <x:c r="AH157" s="104" t="n">
        <x:v>295000</x:v>
      </x:c>
      <x:c r="AI157" s="79"/>
    </x:row>
    <x:row r="158">
      <x:c r="A158" s="23" t="s">
        <x:v>212</x:v>
      </x:c>
      <x:c r="B158" s="24">
        <x:v>555</x:v>
      </x:c>
      <x:c r="C158" s="25" t="s">
        <x:v>56</x:v>
      </x:c>
      <x:c r="D158" s="26">
        <x:v>555</x:v>
      </x:c>
      <x:c r="E158" s="24" t="s">
        <x:v>23</x:v>
      </x:c>
      <x:c r="F158" s="25" t="s">
        <x:v>57</x:v>
      </x:c>
      <x:c r="G158" s="26" t="s">
        <x:v>23</x:v>
      </x:c>
      <x:c r="H158" s="25" t="str">
        <x:f t="shared" si="2"/>
        <x:v>فعال</x:v>
      </x:c>
      <x:c r="Y158" t="str">
        <x:f>IF(AND(LEN($K$2)&gt;=3,ISNUMBER(SEARCH($K$2,$A158))),MAX($Y$3:Y157)+1,"")</x:f>
      </x:c>
      <x:c r="Z158" s="79" t="str">
        <x:v>روغن</x:v>
      </x:c>
      <x:c r="AA158" s="79" t="str">
        <x:v>6a2d446d45c164ce6f28ae30</x:v>
      </x:c>
      <x:c r="AB158" s="79" t="str">
        <x:v>oil</x:v>
      </x:c>
      <x:c r="AC158" s="79" t="str">
        <x:v>EDIBLE</x:v>
      </x:c>
      <x:c r="AD158" s="79" t="str">
        <x:v>بله</x:v>
      </x:c>
      <x:c r="AE158" s="79" t="str">
        <x:v>بله</x:v>
      </x:c>
      <x:c r="AF158" s="79" t="n">
        <x:v>2</x:v>
      </x:c>
      <x:c r="AG158" s="104" t="n">
        <x:v>555000</x:v>
      </x:c>
      <x:c r="AH158" s="104" t="n">
        <x:v>1100000</x:v>
      </x:c>
      <x:c r="AI158" s="79"/>
    </x:row>
    <x:row r="159">
      <x:c r="A159" s="23" t="s">
        <x:v>213</x:v>
      </x:c>
      <x:c r="B159" s="24" t="s">
        <x:v>54</x:v>
      </x:c>
      <x:c r="C159" s="25" t="s">
        <x:v>172</x:v>
      </x:c>
      <x:c r="D159" s="26" t="s">
        <x:v>54</x:v>
      </x:c>
      <x:c r="E159" s="24">
        <x:v>70</x:v>
      </x:c>
      <x:c r="F159" s="25" t="s">
        <x:v>173</x:v>
      </x:c>
      <x:c r="G159" s="26">
        <x:v>70</x:v>
      </x:c>
      <x:c r="H159" s="25" t="str">
        <x:f t="shared" si="2"/>
        <x:v>فعال</x:v>
      </x:c>
      <x:c r="Y159" t="str">
        <x:f>IF(AND(LEN($K$2)&gt;=3,ISNUMBER(SEARCH($K$2,$A159))),MAX($Y$3:Y158)+1,"")</x:f>
      </x:c>
      <x:c r="Z159" s="79" t="str">
        <x:v>روغن</x:v>
      </x:c>
      <x:c r="AA159" s="79" t="str">
        <x:v>6a2d446d45c164ce6f28ae30</x:v>
      </x:c>
      <x:c r="AB159" s="79" t="str">
        <x:v>oil</x:v>
      </x:c>
      <x:c r="AC159" s="79" t="str">
        <x:v>EDIBLE</x:v>
      </x:c>
      <x:c r="AD159" s="79" t="str">
        <x:v>بله</x:v>
      </x:c>
      <x:c r="AE159" s="79" t="str">
        <x:v>بله</x:v>
      </x:c>
      <x:c r="AF159" s="79" t="n">
        <x:v>2</x:v>
      </x:c>
      <x:c r="AG159" s="104"/>
      <x:c r="AH159" s="104" t="n">
        <x:v>70000</x:v>
      </x:c>
      <x:c r="AI159" s="79" t="str">
        <x:v>MISSING_PRICE_REVIEW</x:v>
      </x:c>
    </x:row>
    <x:row r="160">
      <x:c r="A160" s="23" t="s">
        <x:v>214</x:v>
      </x:c>
      <x:c r="B160" s="24">
        <x:v>90</x:v>
      </x:c>
      <x:c r="C160" s="25" t="s">
        <x:v>172</x:v>
      </x:c>
      <x:c r="D160" s="26">
        <x:v>90</x:v>
      </x:c>
      <x:c r="E160" s="24">
        <x:v>170</x:v>
      </x:c>
      <x:c r="F160" s="25" t="s">
        <x:v>173</x:v>
      </x:c>
      <x:c r="G160" s="26">
        <x:v>170</x:v>
      </x:c>
      <x:c r="H160" s="25" t="str">
        <x:f t="shared" si="2"/>
        <x:v>فعال</x:v>
      </x:c>
      <x:c r="Y160" t="str">
        <x:f>IF(AND(LEN($K$2)&gt;=3,ISNUMBER(SEARCH($K$2,$A160))),MAX($Y$3:Y159)+1,"")</x:f>
      </x:c>
      <x:c r="Z160" s="79" t="str">
        <x:v>روغن</x:v>
      </x:c>
      <x:c r="AA160" s="79" t="str">
        <x:v>6a2d446d45c164ce6f28ae30</x:v>
      </x:c>
      <x:c r="AB160" s="79" t="str">
        <x:v>oil</x:v>
      </x:c>
      <x:c r="AC160" s="79" t="str">
        <x:v>EDIBLE</x:v>
      </x:c>
      <x:c r="AD160" s="79" t="str">
        <x:v>بله</x:v>
      </x:c>
      <x:c r="AE160" s="79" t="str">
        <x:v>بله</x:v>
      </x:c>
      <x:c r="AF160" s="79" t="n">
        <x:v>2</x:v>
      </x:c>
      <x:c r="AG160" s="104" t="n">
        <x:v>90000</x:v>
      </x:c>
      <x:c r="AH160" s="104" t="n">
        <x:v>170000</x:v>
      </x:c>
      <x:c r="AI160" s="79"/>
    </x:row>
    <x:row r="161">
      <x:c r="A161" s="23" t="s">
        <x:v>215</x:v>
      </x:c>
      <x:c r="B161" s="24">
        <x:v>130</x:v>
      </x:c>
      <x:c r="C161" s="25" t="s">
        <x:v>172</x:v>
      </x:c>
      <x:c r="D161" s="26">
        <x:v>130</x:v>
      </x:c>
      <x:c r="E161" s="24">
        <x:v>255</x:v>
      </x:c>
      <x:c r="F161" s="25" t="s">
        <x:v>173</x:v>
      </x:c>
      <x:c r="G161" s="26">
        <x:v>255</x:v>
      </x:c>
      <x:c r="H161" s="25" t="str">
        <x:f t="shared" si="2"/>
        <x:v>فعال</x:v>
      </x:c>
      <x:c r="Y161" t="str">
        <x:f>IF(AND(LEN($K$2)&gt;=3,ISNUMBER(SEARCH($K$2,$A161))),MAX($Y$3:Y160)+1,"")</x:f>
      </x:c>
      <x:c r="Z161" s="79" t="str">
        <x:v>روغن</x:v>
      </x:c>
      <x:c r="AA161" s="79" t="str">
        <x:v>6a2d446d45c164ce6f28ae30</x:v>
      </x:c>
      <x:c r="AB161" s="79" t="str">
        <x:v>oil</x:v>
      </x:c>
      <x:c r="AC161" s="79" t="str">
        <x:v>EDIBLE</x:v>
      </x:c>
      <x:c r="AD161" s="79" t="str">
        <x:v>بله</x:v>
      </x:c>
      <x:c r="AE161" s="79" t="str">
        <x:v>بله</x:v>
      </x:c>
      <x:c r="AF161" s="79" t="n">
        <x:v>2</x:v>
      </x:c>
      <x:c r="AG161" s="104" t="n">
        <x:v>130000</x:v>
      </x:c>
      <x:c r="AH161" s="104" t="n">
        <x:v>255000</x:v>
      </x:c>
      <x:c r="AI161" s="79" t="str">
        <x:v>MERGED</x:v>
      </x:c>
    </x:row>
    <x:row r="162">
      <x:c r="A162" s="23" t="s">
        <x:v>216</x:v>
      </x:c>
      <x:c r="B162" s="24" t="s">
        <x:v>217</x:v>
      </x:c>
      <x:c r="C162" s="25" t="s">
        <x:v>56</x:v>
      </x:c>
      <x:c r="D162" s="26" t="s">
        <x:v>217</x:v>
      </x:c>
      <x:c r="E162" s="24" t="s">
        <x:v>218</x:v>
      </x:c>
      <x:c r="F162" s="25" t="s">
        <x:v>57</x:v>
      </x:c>
      <x:c r="G162" s="26" t="s">
        <x:v>218</x:v>
      </x:c>
      <x:c r="H162" s="25" t="str">
        <x:f t="shared" si="2"/>
        <x:v>فعال</x:v>
      </x:c>
      <x:c r="Y162" t="str">
        <x:f>IF(AND(LEN($K$2)&gt;=3,ISNUMBER(SEARCH($K$2,$A162))),MAX($Y$3:Y161)+1,"")</x:f>
      </x:c>
      <x:c r="Z162" s="79" t="str">
        <x:v>روغن</x:v>
      </x:c>
      <x:c r="AA162" s="79" t="str">
        <x:v>6a2d446d45c164ce6f28ae30</x:v>
      </x:c>
      <x:c r="AB162" s="79" t="str">
        <x:v>oil</x:v>
      </x:c>
      <x:c r="AC162" s="79" t="str">
        <x:v>EDIBLE</x:v>
      </x:c>
      <x:c r="AD162" s="79" t="str">
        <x:v>بله</x:v>
      </x:c>
      <x:c r="AE162" s="79" t="str">
        <x:v>بله</x:v>
      </x:c>
      <x:c r="AF162" s="79" t="n">
        <x:v>2</x:v>
      </x:c>
      <x:c r="AG162" s="104" t="n">
        <x:v>1760000</x:v>
      </x:c>
      <x:c r="AH162" s="104" t="n">
        <x:v>3500000</x:v>
      </x:c>
      <x:c r="AI162" s="79" t="str">
        <x:v>MERGED</x:v>
      </x:c>
    </x:row>
    <x:row r="163">
      <x:c r="A163" s="23" t="s">
        <x:v>219</x:v>
      </x:c>
      <x:c r="B163" s="24">
        <x:v>65</x:v>
      </x:c>
      <x:c r="C163" s="25" t="s">
        <x:v>172</x:v>
      </x:c>
      <x:c r="D163" s="26">
        <x:v>65</x:v>
      </x:c>
      <x:c r="E163" s="24">
        <x:v>120</x:v>
      </x:c>
      <x:c r="F163" s="25" t="s">
        <x:v>173</x:v>
      </x:c>
      <x:c r="G163" s="26">
        <x:v>120</x:v>
      </x:c>
      <x:c r="H163" s="25" t="str">
        <x:f t="shared" si="2"/>
        <x:v>فعال</x:v>
      </x:c>
      <x:c r="Y163" t="str">
        <x:f>IF(AND(LEN($K$2)&gt;=3,ISNUMBER(SEARCH($K$2,$A163))),MAX($Y$3:Y162)+1,"")</x:f>
      </x:c>
      <x:c r="Z163" s="79" t="str">
        <x:v>روغن</x:v>
      </x:c>
      <x:c r="AA163" s="79" t="str">
        <x:v>6a2d446d45c164ce6f28ae30</x:v>
      </x:c>
      <x:c r="AB163" s="79" t="str">
        <x:v>oil</x:v>
      </x:c>
      <x:c r="AC163" s="79" t="str">
        <x:v>EDIBLE</x:v>
      </x:c>
      <x:c r="AD163" s="79" t="str">
        <x:v>بله</x:v>
      </x:c>
      <x:c r="AE163" s="79" t="str">
        <x:v>بله</x:v>
      </x:c>
      <x:c r="AF163" s="79" t="n">
        <x:v>2</x:v>
      </x:c>
      <x:c r="AG163" s="104" t="n">
        <x:v>65000</x:v>
      </x:c>
      <x:c r="AH163" s="104" t="n">
        <x:v>120000</x:v>
      </x:c>
      <x:c r="AI163" s="79"/>
    </x:row>
    <x:row r="164">
      <x:c r="A164" s="23" t="s">
        <x:v>220</x:v>
      </x:c>
      <x:c r="B164" s="24">
        <x:v>90</x:v>
      </x:c>
      <x:c r="C164" s="25" t="s">
        <x:v>172</x:v>
      </x:c>
      <x:c r="D164" s="26">
        <x:v>90</x:v>
      </x:c>
      <x:c r="E164" s="24">
        <x:v>170</x:v>
      </x:c>
      <x:c r="F164" s="25" t="s">
        <x:v>173</x:v>
      </x:c>
      <x:c r="G164" s="26">
        <x:v>170</x:v>
      </x:c>
      <x:c r="H164" s="25" t="str">
        <x:f t="shared" si="2"/>
        <x:v>فعال</x:v>
      </x:c>
      <x:c r="Y164" t="str">
        <x:f>IF(AND(LEN($K$2)&gt;=3,ISNUMBER(SEARCH($K$2,$A164))),MAX($Y$3:Y163)+1,"")</x:f>
      </x:c>
      <x:c r="Z164" s="79" t="str">
        <x:v>روغن</x:v>
      </x:c>
      <x:c r="AA164" s="79" t="str">
        <x:v>6a2d446d45c164ce6f28ae30</x:v>
      </x:c>
      <x:c r="AB164" s="79" t="str">
        <x:v>oil</x:v>
      </x:c>
      <x:c r="AC164" s="79" t="str">
        <x:v>EDIBLE</x:v>
      </x:c>
      <x:c r="AD164" s="79" t="str">
        <x:v>بله</x:v>
      </x:c>
      <x:c r="AE164" s="79" t="str">
        <x:v>بله</x:v>
      </x:c>
      <x:c r="AF164" s="79" t="n">
        <x:v>2</x:v>
      </x:c>
      <x:c r="AG164" s="104" t="n">
        <x:v>90000</x:v>
      </x:c>
      <x:c r="AH164" s="104" t="n">
        <x:v>170000</x:v>
      </x:c>
      <x:c r="AI164" s="79"/>
    </x:row>
    <x:row r="165">
      <x:c r="A165" s="23" t="s">
        <x:v>221</x:v>
      </x:c>
      <x:c r="B165" s="24">
        <x:v>65</x:v>
      </x:c>
      <x:c r="C165" s="25" t="s">
        <x:v>172</x:v>
      </x:c>
      <x:c r="D165" s="26">
        <x:v>65</x:v>
      </x:c>
      <x:c r="E165" s="24">
        <x:v>120</x:v>
      </x:c>
      <x:c r="F165" s="25" t="s">
        <x:v>173</x:v>
      </x:c>
      <x:c r="G165" s="26">
        <x:v>120</x:v>
      </x:c>
      <x:c r="H165" s="25" t="str">
        <x:f t="shared" si="2"/>
        <x:v>فعال</x:v>
      </x:c>
      <x:c r="Y165" t="str">
        <x:f>IF(AND(LEN($K$2)&gt;=3,ISNUMBER(SEARCH($K$2,$A165))),MAX($Y$3:Y164)+1,"")</x:f>
      </x:c>
      <x:c r="Z165" s="79" t="str">
        <x:v>روغن</x:v>
      </x:c>
      <x:c r="AA165" s="79" t="str">
        <x:v>6a2d446d45c164ce6f28ae30</x:v>
      </x:c>
      <x:c r="AB165" s="79" t="str">
        <x:v>oil</x:v>
      </x:c>
      <x:c r="AC165" s="79" t="str">
        <x:v>EDIBLE</x:v>
      </x:c>
      <x:c r="AD165" s="79" t="str">
        <x:v>بله</x:v>
      </x:c>
      <x:c r="AE165" s="79" t="str">
        <x:v>بله</x:v>
      </x:c>
      <x:c r="AF165" s="79" t="n">
        <x:v>2</x:v>
      </x:c>
      <x:c r="AG165" s="104" t="n">
        <x:v>65000</x:v>
      </x:c>
      <x:c r="AH165" s="104" t="n">
        <x:v>120000</x:v>
      </x:c>
      <x:c r="AI165" s="79"/>
    </x:row>
    <x:row r="166">
      <x:c r="A166" s="23" t="s">
        <x:v>222</x:v>
      </x:c>
      <x:c r="B166" s="24">
        <x:v>145</x:v>
      </x:c>
      <x:c r="C166" s="25" t="s">
        <x:v>223</x:v>
      </x:c>
      <x:c r="D166" s="26">
        <x:v>145</x:v>
      </x:c>
      <x:c r="E166" s="24" t="s">
        <x:v>80</x:v>
      </x:c>
      <x:c r="F166" s="25" t="s">
        <x:v>16</x:v>
      </x:c>
      <x:c r="G166" s="26" t="s">
        <x:v>80</x:v>
      </x:c>
      <x:c r="H166" s="25" t="str">
        <x:f t="shared" si="2"/>
        <x:v>فعال</x:v>
      </x:c>
      <x:c r="Y166" t="str">
        <x:f>IF(AND(LEN($K$2)&gt;=3,ISNUMBER(SEARCH($K$2,$A166))),MAX($Y$3:Y165)+1,"")</x:f>
      </x:c>
      <x:c r="Z166" s="79" t="str">
        <x:v>روغن</x:v>
      </x:c>
      <x:c r="AA166" s="79" t="str">
        <x:v>6a2d446d45c164ce6f28ae30</x:v>
      </x:c>
      <x:c r="AB166" s="79" t="str">
        <x:v>oil</x:v>
      </x:c>
      <x:c r="AC166" s="79" t="str">
        <x:v>EDIBLE</x:v>
      </x:c>
      <x:c r="AD166" s="79" t="str">
        <x:v>بله</x:v>
      </x:c>
      <x:c r="AE166" s="79" t="str">
        <x:v>بله</x:v>
      </x:c>
      <x:c r="AF166" s="79" t="n">
        <x:v>2</x:v>
      </x:c>
      <x:c r="AG166" s="104" t="n">
        <x:v>145000</x:v>
      </x:c>
      <x:c r="AH166" s="104" t="n">
        <x:v>1500000</x:v>
      </x:c>
      <x:c r="AI166" s="79"/>
    </x:row>
    <x:row r="167">
      <x:c r="A167" s="23" t="s">
        <x:v>224</x:v>
      </x:c>
      <x:c r="B167" s="24">
        <x:v>120</x:v>
      </x:c>
      <x:c r="C167" s="25" t="s">
        <x:v>172</x:v>
      </x:c>
      <x:c r="D167" s="26">
        <x:v>120</x:v>
      </x:c>
      <x:c r="E167" s="24" t="s">
        <x:v>54</x:v>
      </x:c>
      <x:c r="F167" s="25" t="s">
        <x:v>173</x:v>
      </x:c>
      <x:c r="G167" s="26" t="s">
        <x:v>54</x:v>
      </x:c>
      <x:c r="H167" s="25" t="str">
        <x:f t="shared" si="2"/>
        <x:v>فعال</x:v>
      </x:c>
      <x:c r="Y167" t="str">
        <x:f>IF(AND(LEN($K$2)&gt;=3,ISNUMBER(SEARCH($K$2,$A167))),MAX($Y$3:Y166)+1,"")</x:f>
      </x:c>
      <x:c r="Z167" s="79" t="str">
        <x:v>روغن</x:v>
      </x:c>
      <x:c r="AA167" s="79" t="str">
        <x:v>6a2d446d45c164ce6f28ae30</x:v>
      </x:c>
      <x:c r="AB167" s="79" t="str">
        <x:v>oil</x:v>
      </x:c>
      <x:c r="AC167" s="79" t="str">
        <x:v>EDIBLE</x:v>
      </x:c>
      <x:c r="AD167" s="79" t="str">
        <x:v>بله</x:v>
      </x:c>
      <x:c r="AE167" s="79" t="str">
        <x:v>بله</x:v>
      </x:c>
      <x:c r="AF167" s="79" t="n">
        <x:v>2</x:v>
      </x:c>
      <x:c r="AG167" s="104" t="n">
        <x:v>120000</x:v>
      </x:c>
      <x:c r="AH167" s="104"/>
      <x:c r="AI167" s="79" t="str">
        <x:v>MISSING_PRICE_REVIEW</x:v>
      </x:c>
    </x:row>
    <x:row r="168">
      <x:c r="A168" s="23" t="s">
        <x:v>225</x:v>
      </x:c>
      <x:c r="B168" s="24" t="s">
        <x:v>226</x:v>
      </x:c>
      <x:c r="C168" s="25" t="s">
        <x:v>56</x:v>
      </x:c>
      <x:c r="D168" s="26" t="s">
        <x:v>226</x:v>
      </x:c>
      <x:c r="E168" s="24" t="s">
        <x:v>227</x:v>
      </x:c>
      <x:c r="F168" s="25" t="s">
        <x:v>57</x:v>
      </x:c>
      <x:c r="G168" s="26" t="s">
        <x:v>227</x:v>
      </x:c>
      <x:c r="H168" s="25" t="str">
        <x:f t="shared" si="2"/>
        <x:v>فعال</x:v>
      </x:c>
      <x:c r="Y168" t="str">
        <x:f>IF(AND(LEN($K$2)&gt;=3,ISNUMBER(SEARCH($K$2,$A168))),MAX($Y$3:Y167)+1,"")</x:f>
      </x:c>
      <x:c r="Z168" s="79" t="str">
        <x:v>روغن</x:v>
      </x:c>
      <x:c r="AA168" s="79" t="str">
        <x:v>6a2d446d45c164ce6f28ae30</x:v>
      </x:c>
      <x:c r="AB168" s="79" t="str">
        <x:v>oil</x:v>
      </x:c>
      <x:c r="AC168" s="79" t="str">
        <x:v>EDIBLE</x:v>
      </x:c>
      <x:c r="AD168" s="79" t="str">
        <x:v>بله</x:v>
      </x:c>
      <x:c r="AE168" s="79" t="str">
        <x:v>بله</x:v>
      </x:c>
      <x:c r="AF168" s="79" t="n">
        <x:v>2</x:v>
      </x:c>
      <x:c r="AG168" s="104" t="n">
        <x:v>1475000</x:v>
      </x:c>
      <x:c r="AH168" s="104" t="n">
        <x:v>2950000</x:v>
      </x:c>
      <x:c r="AI168" s="79" t="str">
        <x:v>MERGED</x:v>
      </x:c>
    </x:row>
    <x:row r="169">
      <x:c r="A169" s="23" t="s">
        <x:v>225</x:v>
      </x:c>
      <x:c r="B169" s="24">
        <x:v>100</x:v>
      </x:c>
      <x:c r="C169" s="25" t="s">
        <x:v>172</x:v>
      </x:c>
      <x:c r="D169" s="26">
        <x:v>100</x:v>
      </x:c>
      <x:c r="E169" s="24">
        <x:v>195</x:v>
      </x:c>
      <x:c r="F169" s="25" t="s">
        <x:v>173</x:v>
      </x:c>
      <x:c r="G169" s="26">
        <x:v>195</x:v>
      </x:c>
      <x:c r="H169" s="25" t="str">
        <x:f t="shared" si="2"/>
        <x:v>فعال</x:v>
      </x:c>
      <x:c r="Y169" t="str">
        <x:f>IF(AND(LEN($K$2)&gt;=3,ISNUMBER(SEARCH($K$2,$A169))),MAX($Y$3:Y168)+1,"")</x:f>
      </x:c>
      <x:c r="Z169" s="79" t="str">
        <x:v>روغن</x:v>
      </x:c>
      <x:c r="AA169" s="79" t="str">
        <x:v>6a2d446d45c164ce6f28ae30</x:v>
      </x:c>
      <x:c r="AB169" s="79" t="str">
        <x:v>oil</x:v>
      </x:c>
      <x:c r="AC169" s="79" t="str">
        <x:v>EDIBLE</x:v>
      </x:c>
      <x:c r="AD169" s="79" t="str">
        <x:v>بله</x:v>
      </x:c>
      <x:c r="AE169" s="79" t="str">
        <x:v>بله</x:v>
      </x:c>
      <x:c r="AF169" s="79" t="n">
        <x:v>2</x:v>
      </x:c>
      <x:c r="AG169" s="104" t="n">
        <x:v>100000</x:v>
      </x:c>
      <x:c r="AH169" s="104" t="n">
        <x:v>195000</x:v>
      </x:c>
      <x:c r="AI169" s="79" t="str">
        <x:v>MERGED</x:v>
      </x:c>
    </x:row>
    <x:row r="170">
      <x:c r="A170" s="23" t="s">
        <x:v>228</x:v>
      </x:c>
      <x:c r="B170" s="24">
        <x:v>100</x:v>
      </x:c>
      <x:c r="C170" s="25" t="s">
        <x:v>172</x:v>
      </x:c>
      <x:c r="D170" s="26">
        <x:v>100</x:v>
      </x:c>
      <x:c r="E170" s="24">
        <x:v>195</x:v>
      </x:c>
      <x:c r="F170" s="25" t="s">
        <x:v>173</x:v>
      </x:c>
      <x:c r="G170" s="26">
        <x:v>195</x:v>
      </x:c>
      <x:c r="H170" s="25" t="str">
        <x:f t="shared" si="2"/>
        <x:v>فعال</x:v>
      </x:c>
      <x:c r="Y170" t="str">
        <x:f>IF(AND(LEN($K$2)&gt;=3,ISNUMBER(SEARCH($K$2,$A170))),MAX($Y$3:Y169)+1,"")</x:f>
      </x:c>
      <x:c r="Z170" s="79" t="str">
        <x:v>روغن</x:v>
      </x:c>
      <x:c r="AA170" s="79" t="str">
        <x:v>6a2d446d45c164ce6f28ae30</x:v>
      </x:c>
      <x:c r="AB170" s="79" t="str">
        <x:v>oil</x:v>
      </x:c>
      <x:c r="AC170" s="79" t="str">
        <x:v>EDIBLE</x:v>
      </x:c>
      <x:c r="AD170" s="79" t="str">
        <x:v>بله</x:v>
      </x:c>
      <x:c r="AE170" s="79" t="str">
        <x:v>بله</x:v>
      </x:c>
      <x:c r="AF170" s="79" t="n">
        <x:v>2</x:v>
      </x:c>
      <x:c r="AG170" s="104" t="n">
        <x:v>100000</x:v>
      </x:c>
      <x:c r="AH170" s="104" t="n">
        <x:v>195000</x:v>
      </x:c>
      <x:c r="AI170" s="79"/>
    </x:row>
    <x:row r="171">
      <x:c r="A171" s="23" t="s">
        <x:v>229</x:v>
      </x:c>
      <x:c r="B171" s="24">
        <x:v>90</x:v>
      </x:c>
      <x:c r="C171" s="25" t="s">
        <x:v>172</x:v>
      </x:c>
      <x:c r="D171" s="26">
        <x:v>90</x:v>
      </x:c>
      <x:c r="E171" s="24">
        <x:v>170</x:v>
      </x:c>
      <x:c r="F171" s="25" t="s">
        <x:v>173</x:v>
      </x:c>
      <x:c r="G171" s="26">
        <x:v>170</x:v>
      </x:c>
      <x:c r="H171" s="25" t="str">
        <x:f t="shared" si="2"/>
        <x:v>فعال</x:v>
      </x:c>
      <x:c r="Y171" t="str">
        <x:f>IF(AND(LEN($K$2)&gt;=3,ISNUMBER(SEARCH($K$2,$A171))),MAX($Y$3:Y170)+1,"")</x:f>
      </x:c>
      <x:c r="Z171" s="79" t="str">
        <x:v>روغن</x:v>
      </x:c>
      <x:c r="AA171" s="79" t="str">
        <x:v>6a2d446d45c164ce6f28ae30</x:v>
      </x:c>
      <x:c r="AB171" s="79" t="str">
        <x:v>oil</x:v>
      </x:c>
      <x:c r="AC171" s="79" t="str">
        <x:v>EDIBLE</x:v>
      </x:c>
      <x:c r="AD171" s="79" t="str">
        <x:v>بله</x:v>
      </x:c>
      <x:c r="AE171" s="79" t="str">
        <x:v>بله</x:v>
      </x:c>
      <x:c r="AF171" s="79" t="n">
        <x:v>2</x:v>
      </x:c>
      <x:c r="AG171" s="104" t="n">
        <x:v>90000</x:v>
      </x:c>
      <x:c r="AH171" s="104" t="n">
        <x:v>170000</x:v>
      </x:c>
      <x:c r="AI171" s="79"/>
    </x:row>
    <x:row r="172">
      <x:c r="A172" s="23" t="s">
        <x:v>230</x:v>
      </x:c>
      <x:c r="B172" s="24">
        <x:v>500</x:v>
      </x:c>
      <x:c r="C172" s="25" t="s">
        <x:v>56</x:v>
      </x:c>
      <x:c r="D172" s="26">
        <x:v>500</x:v>
      </x:c>
      <x:c r="E172" s="24" t="s">
        <x:v>208</x:v>
      </x:c>
      <x:c r="F172" s="25" t="s">
        <x:v>57</x:v>
      </x:c>
      <x:c r="G172" s="26" t="s">
        <x:v>208</x:v>
      </x:c>
      <x:c r="H172" s="25" t="str">
        <x:f t="shared" si="2"/>
        <x:v>فعال</x:v>
      </x:c>
      <x:c r="Y172" t="str">
        <x:f>IF(AND(LEN($K$2)&gt;=3,ISNUMBER(SEARCH($K$2,$A172))),MAX($Y$3:Y171)+1,"")</x:f>
      </x:c>
      <x:c r="Z172" s="79" t="str">
        <x:v>روغن</x:v>
      </x:c>
      <x:c r="AA172" s="79" t="str">
        <x:v>6a2d446d45c164ce6f28ae30</x:v>
      </x:c>
      <x:c r="AB172" s="79" t="str">
        <x:v>oil</x:v>
      </x:c>
      <x:c r="AC172" s="79" t="str">
        <x:v>EDIBLE</x:v>
      </x:c>
      <x:c r="AD172" s="79" t="str">
        <x:v>بله</x:v>
      </x:c>
      <x:c r="AE172" s="79" t="str">
        <x:v>بله</x:v>
      </x:c>
      <x:c r="AF172" s="79" t="n">
        <x:v>2</x:v>
      </x:c>
      <x:c r="AG172" s="104" t="n">
        <x:v>500000</x:v>
      </x:c>
      <x:c r="AH172" s="104" t="n">
        <x:v>1000000</x:v>
      </x:c>
      <x:c r="AI172" s="79" t="str">
        <x:v>MERGED</x:v>
      </x:c>
    </x:row>
    <x:row r="173">
      <x:c r="A173" s="23" t="s">
        <x:v>230</x:v>
      </x:c>
      <x:c r="B173" s="24">
        <x:v>65</x:v>
      </x:c>
      <x:c r="C173" s="25" t="s">
        <x:v>172</x:v>
      </x:c>
      <x:c r="D173" s="26">
        <x:v>65</x:v>
      </x:c>
      <x:c r="E173" s="24">
        <x:v>120</x:v>
      </x:c>
      <x:c r="F173" s="25" t="s">
        <x:v>173</x:v>
      </x:c>
      <x:c r="G173" s="26">
        <x:v>120</x:v>
      </x:c>
      <x:c r="H173" s="25" t="str">
        <x:f t="shared" si="2"/>
        <x:v>فعال</x:v>
      </x:c>
      <x:c r="Y173" t="str">
        <x:f>IF(AND(LEN($K$2)&gt;=3,ISNUMBER(SEARCH($K$2,$A173))),MAX($Y$3:Y172)+1,"")</x:f>
      </x:c>
      <x:c r="Z173" s="79" t="str">
        <x:v>روغن</x:v>
      </x:c>
      <x:c r="AA173" s="79" t="str">
        <x:v>6a2d446d45c164ce6f28ae30</x:v>
      </x:c>
      <x:c r="AB173" s="79" t="str">
        <x:v>oil</x:v>
      </x:c>
      <x:c r="AC173" s="79" t="str">
        <x:v>EDIBLE</x:v>
      </x:c>
      <x:c r="AD173" s="79" t="str">
        <x:v>بله</x:v>
      </x:c>
      <x:c r="AE173" s="79" t="str">
        <x:v>بله</x:v>
      </x:c>
      <x:c r="AF173" s="79" t="n">
        <x:v>2</x:v>
      </x:c>
      <x:c r="AG173" s="104" t="n">
        <x:v>65000</x:v>
      </x:c>
      <x:c r="AH173" s="104" t="n">
        <x:v>120000</x:v>
      </x:c>
      <x:c r="AI173" s="79" t="str">
        <x:v>MERGED</x:v>
      </x:c>
    </x:row>
    <x:row r="174">
      <x:c r="A174" s="23" t="s">
        <x:v>231</x:v>
      </x:c>
      <x:c r="B174" s="24">
        <x:v>400</x:v>
      </x:c>
      <x:c r="C174" s="25" t="s">
        <x:v>56</x:v>
      </x:c>
      <x:c r="D174" s="26">
        <x:v>400</x:v>
      </x:c>
      <x:c r="E174" s="24">
        <x:v>790</x:v>
      </x:c>
      <x:c r="F174" s="25" t="s">
        <x:v>57</x:v>
      </x:c>
      <x:c r="G174" s="26">
        <x:v>790</x:v>
      </x:c>
      <x:c r="H174" s="25" t="str">
        <x:f t="shared" si="2"/>
        <x:v>فعال</x:v>
      </x:c>
      <x:c r="Y174" t="str">
        <x:f>IF(AND(LEN($K$2)&gt;=3,ISNUMBER(SEARCH($K$2,$A174))),MAX($Y$3:Y173)+1,"")</x:f>
      </x:c>
      <x:c r="Z174" s="79" t="str">
        <x:v>روغن</x:v>
      </x:c>
      <x:c r="AA174" s="79" t="str">
        <x:v>6a2d446d45c164ce6f28ae30</x:v>
      </x:c>
      <x:c r="AB174" s="79" t="str">
        <x:v>oil</x:v>
      </x:c>
      <x:c r="AC174" s="79" t="str">
        <x:v>EDIBLE</x:v>
      </x:c>
      <x:c r="AD174" s="79" t="str">
        <x:v>بله</x:v>
      </x:c>
      <x:c r="AE174" s="79" t="str">
        <x:v>بله</x:v>
      </x:c>
      <x:c r="AF174" s="79" t="n">
        <x:v>2</x:v>
      </x:c>
      <x:c r="AG174" s="104" t="n">
        <x:v>400000</x:v>
      </x:c>
      <x:c r="AH174" s="104" t="n">
        <x:v>790000</x:v>
      </x:c>
      <x:c r="AI174" s="79"/>
    </x:row>
    <x:row r="175">
      <x:c r="A175" s="23" t="s">
        <x:v>232</x:v>
      </x:c>
      <x:c r="B175" s="24">
        <x:v>555</x:v>
      </x:c>
      <x:c r="C175" s="25" t="s">
        <x:v>56</x:v>
      </x:c>
      <x:c r="D175" s="26">
        <x:v>555</x:v>
      </x:c>
      <x:c r="E175" s="24" t="s">
        <x:v>23</x:v>
      </x:c>
      <x:c r="F175" s="25" t="s">
        <x:v>57</x:v>
      </x:c>
      <x:c r="G175" s="26" t="s">
        <x:v>23</x:v>
      </x:c>
      <x:c r="H175" s="25" t="str">
        <x:f t="shared" si="2"/>
        <x:v>فعال</x:v>
      </x:c>
      <x:c r="Y175" t="str">
        <x:f>IF(AND(LEN($K$2)&gt;=3,ISNUMBER(SEARCH($K$2,$A175))),MAX($Y$3:Y174)+1,"")</x:f>
      </x:c>
      <x:c r="Z175" s="79" t="str">
        <x:v>روغن</x:v>
      </x:c>
      <x:c r="AA175" s="79" t="str">
        <x:v>6a2d446d45c164ce6f28ae30</x:v>
      </x:c>
      <x:c r="AB175" s="79" t="str">
        <x:v>oil</x:v>
      </x:c>
      <x:c r="AC175" s="79" t="str">
        <x:v>EDIBLE</x:v>
      </x:c>
      <x:c r="AD175" s="79" t="str">
        <x:v>بله</x:v>
      </x:c>
      <x:c r="AE175" s="79" t="str">
        <x:v>بله</x:v>
      </x:c>
      <x:c r="AF175" s="79" t="n">
        <x:v>2</x:v>
      </x:c>
      <x:c r="AG175" s="104" t="n">
        <x:v>555000</x:v>
      </x:c>
      <x:c r="AH175" s="104" t="n">
        <x:v>1100000</x:v>
      </x:c>
      <x:c r="AI175" s="79" t="str">
        <x:v>MERGED</x:v>
      </x:c>
    </x:row>
    <x:row r="176">
      <x:c r="A176" s="23" t="s">
        <x:v>233</x:v>
      </x:c>
      <x:c r="B176" s="24" t="s">
        <x:v>54</x:v>
      </x:c>
      <x:c r="C176" s="25" t="s">
        <x:v>16</x:v>
      </x:c>
      <x:c r="D176" s="26" t="s">
        <x:v>54</x:v>
      </x:c>
      <x:c r="E176" s="24" t="s">
        <x:v>54</x:v>
      </x:c>
      <x:c r="F176" s="25" t="s">
        <x:v>16</x:v>
      </x:c>
      <x:c r="G176" s="26" t="s">
        <x:v>54</x:v>
      </x:c>
      <x:c r="H176" s="25" t="str">
        <x:f t="shared" si="2"/>
        <x:v>نیاز به استعلام</x:v>
      </x:c>
      <x:c r="Y176" t="str">
        <x:f>IF(AND(LEN($K$2)&gt;=3,ISNUMBER(SEARCH($K$2,$A176))),MAX($Y$3:Y175)+1,"")</x:f>
      </x:c>
      <x:c r="Z176" s="79" t="str">
        <x:v>روغن</x:v>
      </x:c>
      <x:c r="AA176" s="79" t="str">
        <x:v>6a2d446d45c164ce6f28ae30</x:v>
      </x:c>
      <x:c r="AB176" s="79" t="str">
        <x:v>oil</x:v>
      </x:c>
      <x:c r="AC176" s="79" t="str">
        <x:v>EDIBLE</x:v>
      </x:c>
      <x:c r="AD176" s="79" t="str">
        <x:v>بله</x:v>
      </x:c>
      <x:c r="AE176" s="79" t="str">
        <x:v>بله</x:v>
      </x:c>
      <x:c r="AF176" s="79" t="n">
        <x:v>2</x:v>
      </x:c>
      <x:c r="AG176" s="104"/>
      <x:c r="AH176" s="104"/>
      <x:c r="AI176" s="79" t="str">
        <x:v>MERGED + MISSING_PRICE_REVIEW</x:v>
      </x:c>
    </x:row>
    <x:row r="177">
      <x:c r="A177" s="23" t="s">
        <x:v>234</x:v>
      </x:c>
      <x:c r="B177" s="24">
        <x:v>45</x:v>
      </x:c>
      <x:c r="C177" s="25" t="s">
        <x:v>172</x:v>
      </x:c>
      <x:c r="D177" s="26">
        <x:v>45</x:v>
      </x:c>
      <x:c r="E177" s="24">
        <x:v>80</x:v>
      </x:c>
      <x:c r="F177" s="25" t="s">
        <x:v>173</x:v>
      </x:c>
      <x:c r="G177" s="26">
        <x:v>80</x:v>
      </x:c>
      <x:c r="H177" s="25" t="str">
        <x:f t="shared" si="2"/>
        <x:v>فعال</x:v>
      </x:c>
      <x:c r="Y177" t="str">
        <x:f>IF(AND(LEN($K$2)&gt;=3,ISNUMBER(SEARCH($K$2,$A177))),MAX($Y$3:Y176)+1,"")</x:f>
      </x:c>
      <x:c r="Z177" s="79" t="str">
        <x:v>روغن</x:v>
      </x:c>
      <x:c r="AA177" s="79" t="str">
        <x:v>6a2d446d45c164ce6f28ae30</x:v>
      </x:c>
      <x:c r="AB177" s="79" t="str">
        <x:v>oil</x:v>
      </x:c>
      <x:c r="AC177" s="79" t="str">
        <x:v>EDIBLE</x:v>
      </x:c>
      <x:c r="AD177" s="79" t="str">
        <x:v>بله</x:v>
      </x:c>
      <x:c r="AE177" s="79" t="str">
        <x:v>بله</x:v>
      </x:c>
      <x:c r="AF177" s="79" t="n">
        <x:v>2</x:v>
      </x:c>
      <x:c r="AG177" s="104" t="n">
        <x:v>45000</x:v>
      </x:c>
      <x:c r="AH177" s="104" t="n">
        <x:v>80000</x:v>
      </x:c>
      <x:c r="AI177" s="79"/>
    </x:row>
    <x:row r="178">
      <x:c r="A178" s="23" t="s">
        <x:v>235</x:v>
      </x:c>
      <x:c r="B178" s="24">
        <x:v>85</x:v>
      </x:c>
      <x:c r="C178" s="25" t="s">
        <x:v>172</x:v>
      </x:c>
      <x:c r="D178" s="26">
        <x:v>85</x:v>
      </x:c>
      <x:c r="E178" s="24">
        <x:v>160</x:v>
      </x:c>
      <x:c r="F178" s="25" t="s">
        <x:v>173</x:v>
      </x:c>
      <x:c r="G178" s="26">
        <x:v>160</x:v>
      </x:c>
      <x:c r="H178" s="25" t="str">
        <x:f t="shared" si="2"/>
        <x:v>فعال</x:v>
      </x:c>
      <x:c r="Y178" t="str">
        <x:f>IF(AND(LEN($K$2)&gt;=3,ISNUMBER(SEARCH($K$2,$A178))),MAX($Y$3:Y177)+1,"")</x:f>
      </x:c>
      <x:c r="Z178" s="79" t="str">
        <x:v>روغن</x:v>
      </x:c>
      <x:c r="AA178" s="79" t="str">
        <x:v>6a2d446d45c164ce6f28ae30</x:v>
      </x:c>
      <x:c r="AB178" s="79" t="str">
        <x:v>oil</x:v>
      </x:c>
      <x:c r="AC178" s="79" t="str">
        <x:v>EDIBLE</x:v>
      </x:c>
      <x:c r="AD178" s="79" t="str">
        <x:v>بله</x:v>
      </x:c>
      <x:c r="AE178" s="79" t="str">
        <x:v>بله</x:v>
      </x:c>
      <x:c r="AF178" s="79" t="n">
        <x:v>2</x:v>
      </x:c>
      <x:c r="AG178" s="104" t="n">
        <x:v>85000</x:v>
      </x:c>
      <x:c r="AH178" s="104" t="n">
        <x:v>160000</x:v>
      </x:c>
      <x:c r="AI178" s="79"/>
    </x:row>
    <x:row r="179">
      <x:c r="A179" s="23" t="s">
        <x:v>236</x:v>
      </x:c>
      <x:c r="B179" s="24">
        <x:v>115</x:v>
      </x:c>
      <x:c r="C179" s="25" t="s">
        <x:v>172</x:v>
      </x:c>
      <x:c r="D179" s="26">
        <x:v>115</x:v>
      </x:c>
      <x:c r="E179" s="24">
        <x:v>220</x:v>
      </x:c>
      <x:c r="F179" s="25" t="s">
        <x:v>173</x:v>
      </x:c>
      <x:c r="G179" s="26">
        <x:v>220</x:v>
      </x:c>
      <x:c r="H179" s="25" t="str">
        <x:f t="shared" si="2"/>
        <x:v>فعال</x:v>
      </x:c>
      <x:c r="Y179" t="str">
        <x:f>IF(AND(LEN($K$2)&gt;=3,ISNUMBER(SEARCH($K$2,$A179))),MAX($Y$3:Y178)+1,"")</x:f>
      </x:c>
      <x:c r="Z179" s="79" t="str">
        <x:v>روغن</x:v>
      </x:c>
      <x:c r="AA179" s="79" t="str">
        <x:v>6a2d446d45c164ce6f28ae30</x:v>
      </x:c>
      <x:c r="AB179" s="79" t="str">
        <x:v>oil</x:v>
      </x:c>
      <x:c r="AC179" s="79" t="str">
        <x:v>EDIBLE</x:v>
      </x:c>
      <x:c r="AD179" s="79" t="str">
        <x:v>بله</x:v>
      </x:c>
      <x:c r="AE179" s="79" t="str">
        <x:v>بله</x:v>
      </x:c>
      <x:c r="AF179" s="79" t="n">
        <x:v>2</x:v>
      </x:c>
      <x:c r="AG179" s="104" t="n">
        <x:v>115000</x:v>
      </x:c>
      <x:c r="AH179" s="104" t="n">
        <x:v>220000</x:v>
      </x:c>
      <x:c r="AI179" s="79"/>
    </x:row>
    <x:row r="180">
      <x:c r="A180" s="23" t="s">
        <x:v>237</x:v>
      </x:c>
      <x:c r="B180" s="24">
        <x:v>90</x:v>
      </x:c>
      <x:c r="C180" s="25" t="s">
        <x:v>172</x:v>
      </x:c>
      <x:c r="D180" s="26">
        <x:v>90</x:v>
      </x:c>
      <x:c r="E180" s="24">
        <x:v>170</x:v>
      </x:c>
      <x:c r="F180" s="25" t="s">
        <x:v>173</x:v>
      </x:c>
      <x:c r="G180" s="26">
        <x:v>170</x:v>
      </x:c>
      <x:c r="H180" s="25" t="str">
        <x:f t="shared" si="2"/>
        <x:v>فعال</x:v>
      </x:c>
      <x:c r="Y180" t="str">
        <x:f>IF(AND(LEN($K$2)&gt;=3,ISNUMBER(SEARCH($K$2,$A180))),MAX($Y$3:Y179)+1,"")</x:f>
      </x:c>
      <x:c r="Z180" s="79" t="str">
        <x:v>روغن</x:v>
      </x:c>
      <x:c r="AA180" s="79" t="str">
        <x:v>6a2d446d45c164ce6f28ae30</x:v>
      </x:c>
      <x:c r="AB180" s="79" t="str">
        <x:v>oil</x:v>
      </x:c>
      <x:c r="AC180" s="79" t="str">
        <x:v>EDIBLE</x:v>
      </x:c>
      <x:c r="AD180" s="79" t="str">
        <x:v>بله</x:v>
      </x:c>
      <x:c r="AE180" s="79" t="str">
        <x:v>بله</x:v>
      </x:c>
      <x:c r="AF180" s="79" t="n">
        <x:v>2</x:v>
      </x:c>
      <x:c r="AG180" s="104" t="n">
        <x:v>90000</x:v>
      </x:c>
      <x:c r="AH180" s="104" t="n">
        <x:v>170000</x:v>
      </x:c>
      <x:c r="AI180" s="79"/>
    </x:row>
    <x:row r="181">
      <x:c r="A181" s="23" t="s">
        <x:v>238</x:v>
      </x:c>
      <x:c r="B181" s="24">
        <x:v>90</x:v>
      </x:c>
      <x:c r="C181" s="25" t="s">
        <x:v>172</x:v>
      </x:c>
      <x:c r="D181" s="26">
        <x:v>90</x:v>
      </x:c>
      <x:c r="E181" s="24">
        <x:v>170</x:v>
      </x:c>
      <x:c r="F181" s="25" t="s">
        <x:v>173</x:v>
      </x:c>
      <x:c r="G181" s="26">
        <x:v>170</x:v>
      </x:c>
      <x:c r="H181" s="25" t="str">
        <x:f t="shared" si="2"/>
        <x:v>فعال</x:v>
      </x:c>
      <x:c r="Y181" t="str">
        <x:f>IF(AND(LEN($K$2)&gt;=3,ISNUMBER(SEARCH($K$2,$A181))),MAX($Y$3:Y180)+1,"")</x:f>
      </x:c>
      <x:c r="Z181" s="79" t="str">
        <x:v>روغن</x:v>
      </x:c>
      <x:c r="AA181" s="79" t="str">
        <x:v>6a2d446d45c164ce6f28ae30</x:v>
      </x:c>
      <x:c r="AB181" s="79" t="str">
        <x:v>oil</x:v>
      </x:c>
      <x:c r="AC181" s="79" t="str">
        <x:v>EDIBLE</x:v>
      </x:c>
      <x:c r="AD181" s="79" t="str">
        <x:v>بله</x:v>
      </x:c>
      <x:c r="AE181" s="79" t="str">
        <x:v>بله</x:v>
      </x:c>
      <x:c r="AF181" s="79" t="n">
        <x:v>2</x:v>
      </x:c>
      <x:c r="AG181" s="104" t="n">
        <x:v>90000</x:v>
      </x:c>
      <x:c r="AH181" s="104" t="n">
        <x:v>170000</x:v>
      </x:c>
      <x:c r="AI181" s="79"/>
    </x:row>
    <x:row r="182">
      <x:c r="A182" s="23" t="s">
        <x:v>239</x:v>
      </x:c>
      <x:c r="B182" s="24">
        <x:v>115</x:v>
      </x:c>
      <x:c r="C182" s="25" t="s">
        <x:v>172</x:v>
      </x:c>
      <x:c r="D182" s="26">
        <x:v>115</x:v>
      </x:c>
      <x:c r="E182" s="24">
        <x:v>220</x:v>
      </x:c>
      <x:c r="F182" s="25" t="s">
        <x:v>173</x:v>
      </x:c>
      <x:c r="G182" s="26">
        <x:v>220</x:v>
      </x:c>
      <x:c r="H182" s="25" t="str">
        <x:f t="shared" si="2"/>
        <x:v>فعال</x:v>
      </x:c>
      <x:c r="Y182" t="str">
        <x:f>IF(AND(LEN($K$2)&gt;=3,ISNUMBER(SEARCH($K$2,$A182))),MAX($Y$3:Y181)+1,"")</x:f>
      </x:c>
      <x:c r="Z182" s="79" t="str">
        <x:v>روغن</x:v>
      </x:c>
      <x:c r="AA182" s="79" t="str">
        <x:v>6a2d446d45c164ce6f28ae30</x:v>
      </x:c>
      <x:c r="AB182" s="79" t="str">
        <x:v>oil</x:v>
      </x:c>
      <x:c r="AC182" s="79" t="str">
        <x:v>EDIBLE</x:v>
      </x:c>
      <x:c r="AD182" s="79" t="str">
        <x:v>بله</x:v>
      </x:c>
      <x:c r="AE182" s="79" t="str">
        <x:v>بله</x:v>
      </x:c>
      <x:c r="AF182" s="79" t="n">
        <x:v>2</x:v>
      </x:c>
      <x:c r="AG182" s="104" t="n">
        <x:v>115000</x:v>
      </x:c>
      <x:c r="AH182" s="104" t="n">
        <x:v>220000</x:v>
      </x:c>
      <x:c r="AI182" s="79"/>
    </x:row>
    <x:row r="183">
      <x:c r="A183" s="23" t="s">
        <x:v>240</x:v>
      </x:c>
      <x:c r="B183" s="24">
        <x:v>90</x:v>
      </x:c>
      <x:c r="C183" s="25" t="s">
        <x:v>172</x:v>
      </x:c>
      <x:c r="D183" s="26">
        <x:v>90</x:v>
      </x:c>
      <x:c r="E183" s="24">
        <x:v>170</x:v>
      </x:c>
      <x:c r="F183" s="25" t="s">
        <x:v>173</x:v>
      </x:c>
      <x:c r="G183" s="26">
        <x:v>170</x:v>
      </x:c>
      <x:c r="H183" s="25" t="str">
        <x:f t="shared" si="2"/>
        <x:v>فعال</x:v>
      </x:c>
      <x:c r="Y183" t="str">
        <x:f>IF(AND(LEN($K$2)&gt;=3,ISNUMBER(SEARCH($K$2,$A183))),MAX($Y$3:Y182)+1,"")</x:f>
      </x:c>
      <x:c r="Z183" s="79" t="str">
        <x:v>روغن</x:v>
      </x:c>
      <x:c r="AA183" s="79" t="str">
        <x:v>6a2d446d45c164ce6f28ae30</x:v>
      </x:c>
      <x:c r="AB183" s="79" t="str">
        <x:v>oil</x:v>
      </x:c>
      <x:c r="AC183" s="79" t="str">
        <x:v>EDIBLE</x:v>
      </x:c>
      <x:c r="AD183" s="79" t="str">
        <x:v>بله</x:v>
      </x:c>
      <x:c r="AE183" s="79" t="str">
        <x:v>بله</x:v>
      </x:c>
      <x:c r="AF183" s="79" t="n">
        <x:v>2</x:v>
      </x:c>
      <x:c r="AG183" s="104" t="n">
        <x:v>90000</x:v>
      </x:c>
      <x:c r="AH183" s="104" t="n">
        <x:v>170000</x:v>
      </x:c>
      <x:c r="AI183" s="79"/>
    </x:row>
    <x:row r="184">
      <x:c r="A184" s="23" t="s">
        <x:v>241</x:v>
      </x:c>
      <x:c r="B184" s="24">
        <x:v>75</x:v>
      </x:c>
      <x:c r="C184" s="25" t="s">
        <x:v>172</x:v>
      </x:c>
      <x:c r="D184" s="26">
        <x:v>75</x:v>
      </x:c>
      <x:c r="E184" s="24">
        <x:v>140</x:v>
      </x:c>
      <x:c r="F184" s="25" t="s">
        <x:v>173</x:v>
      </x:c>
      <x:c r="G184" s="26">
        <x:v>140</x:v>
      </x:c>
      <x:c r="H184" s="25" t="str">
        <x:f t="shared" si="2"/>
        <x:v>فعال</x:v>
      </x:c>
      <x:c r="Y184" t="str">
        <x:f>IF(AND(LEN($K$2)&gt;=3,ISNUMBER(SEARCH($K$2,$A184))),MAX($Y$3:Y183)+1,"")</x:f>
      </x:c>
      <x:c r="Z184" s="79" t="str">
        <x:v>روغن</x:v>
      </x:c>
      <x:c r="AA184" s="79" t="str">
        <x:v>6a2d446d45c164ce6f28ae30</x:v>
      </x:c>
      <x:c r="AB184" s="79" t="str">
        <x:v>oil</x:v>
      </x:c>
      <x:c r="AC184" s="79" t="str">
        <x:v>EDIBLE</x:v>
      </x:c>
      <x:c r="AD184" s="79" t="str">
        <x:v>بله</x:v>
      </x:c>
      <x:c r="AE184" s="79" t="str">
        <x:v>بله</x:v>
      </x:c>
      <x:c r="AF184" s="79" t="n">
        <x:v>2</x:v>
      </x:c>
      <x:c r="AG184" s="104" t="n">
        <x:v>75000</x:v>
      </x:c>
      <x:c r="AH184" s="104" t="n">
        <x:v>140000</x:v>
      </x:c>
      <x:c r="AI184" s="79"/>
    </x:row>
    <x:row r="185">
      <x:c r="A185" s="23" t="s">
        <x:v>242</x:v>
      </x:c>
      <x:c r="B185" s="24">
        <x:v>90</x:v>
      </x:c>
      <x:c r="C185" s="25" t="s">
        <x:v>172</x:v>
      </x:c>
      <x:c r="D185" s="26">
        <x:v>90</x:v>
      </x:c>
      <x:c r="E185" s="24">
        <x:v>170</x:v>
      </x:c>
      <x:c r="F185" s="25" t="s">
        <x:v>173</x:v>
      </x:c>
      <x:c r="G185" s="26">
        <x:v>170</x:v>
      </x:c>
      <x:c r="H185" s="25" t="str">
        <x:f t="shared" si="2"/>
        <x:v>فعال</x:v>
      </x:c>
      <x:c r="Y185" t="str">
        <x:f>IF(AND(LEN($K$2)&gt;=3,ISNUMBER(SEARCH($K$2,$A185))),MAX($Y$3:Y184)+1,"")</x:f>
      </x:c>
      <x:c r="Z185" s="79" t="str">
        <x:v>روغن</x:v>
      </x:c>
      <x:c r="AA185" s="79" t="str">
        <x:v>6a2d446d45c164ce6f28ae30</x:v>
      </x:c>
      <x:c r="AB185" s="79" t="str">
        <x:v>oil</x:v>
      </x:c>
      <x:c r="AC185" s="79" t="str">
        <x:v>EDIBLE</x:v>
      </x:c>
      <x:c r="AD185" s="79" t="str">
        <x:v>بله</x:v>
      </x:c>
      <x:c r="AE185" s="79" t="str">
        <x:v>بله</x:v>
      </x:c>
      <x:c r="AF185" s="79" t="n">
        <x:v>2</x:v>
      </x:c>
      <x:c r="AG185" s="104" t="n">
        <x:v>90000</x:v>
      </x:c>
      <x:c r="AH185" s="104" t="n">
        <x:v>170000</x:v>
      </x:c>
      <x:c r="AI185" s="79"/>
    </x:row>
    <x:row r="186">
      <x:c r="A186" s="23" t="s">
        <x:v>243</x:v>
      </x:c>
      <x:c r="B186" s="24">
        <x:v>100</x:v>
      </x:c>
      <x:c r="C186" s="25" t="s">
        <x:v>172</x:v>
      </x:c>
      <x:c r="D186" s="26">
        <x:v>100</x:v>
      </x:c>
      <x:c r="E186" s="24">
        <x:v>190</x:v>
      </x:c>
      <x:c r="F186" s="25" t="s">
        <x:v>173</x:v>
      </x:c>
      <x:c r="G186" s="26">
        <x:v>190</x:v>
      </x:c>
      <x:c r="H186" s="25" t="str">
        <x:f t="shared" si="2"/>
        <x:v>فعال</x:v>
      </x:c>
      <x:c r="Y186" t="str">
        <x:f>IF(AND(LEN($K$2)&gt;=3,ISNUMBER(SEARCH($K$2,$A186))),MAX($Y$3:Y185)+1,"")</x:f>
      </x:c>
      <x:c r="Z186" s="79" t="str">
        <x:v>روغن</x:v>
      </x:c>
      <x:c r="AA186" s="79" t="str">
        <x:v>6a2d446d45c164ce6f28ae30</x:v>
      </x:c>
      <x:c r="AB186" s="79" t="str">
        <x:v>oil</x:v>
      </x:c>
      <x:c r="AC186" s="79" t="str">
        <x:v>EDIBLE</x:v>
      </x:c>
      <x:c r="AD186" s="79" t="str">
        <x:v>بله</x:v>
      </x:c>
      <x:c r="AE186" s="79" t="str">
        <x:v>بله</x:v>
      </x:c>
      <x:c r="AF186" s="79" t="n">
        <x:v>2</x:v>
      </x:c>
      <x:c r="AG186" s="104" t="n">
        <x:v>100000</x:v>
      </x:c>
      <x:c r="AH186" s="104" t="n">
        <x:v>190000</x:v>
      </x:c>
      <x:c r="AI186" s="79"/>
    </x:row>
    <x:row r="187">
      <x:c r="A187" s="23" t="s">
        <x:v>244</x:v>
      </x:c>
      <x:c r="B187" s="24">
        <x:v>90</x:v>
      </x:c>
      <x:c r="C187" s="25" t="s">
        <x:v>172</x:v>
      </x:c>
      <x:c r="D187" s="26">
        <x:v>90</x:v>
      </x:c>
      <x:c r="E187" s="24">
        <x:v>170</x:v>
      </x:c>
      <x:c r="F187" s="25" t="s">
        <x:v>173</x:v>
      </x:c>
      <x:c r="G187" s="26">
        <x:v>170</x:v>
      </x:c>
      <x:c r="H187" s="25" t="str">
        <x:f t="shared" si="2"/>
        <x:v>فعال</x:v>
      </x:c>
      <x:c r="Y187" t="str">
        <x:f>IF(AND(LEN($K$2)&gt;=3,ISNUMBER(SEARCH($K$2,$A187))),MAX($Y$3:Y186)+1,"")</x:f>
      </x:c>
      <x:c r="Z187" s="79" t="str">
        <x:v>روغن</x:v>
      </x:c>
      <x:c r="AA187" s="79" t="str">
        <x:v>6a2d446d45c164ce6f28ae30</x:v>
      </x:c>
      <x:c r="AB187" s="79" t="str">
        <x:v>oil</x:v>
      </x:c>
      <x:c r="AC187" s="79" t="str">
        <x:v>EDIBLE</x:v>
      </x:c>
      <x:c r="AD187" s="79" t="str">
        <x:v>بله</x:v>
      </x:c>
      <x:c r="AE187" s="79" t="str">
        <x:v>بله</x:v>
      </x:c>
      <x:c r="AF187" s="79" t="n">
        <x:v>2</x:v>
      </x:c>
      <x:c r="AG187" s="104" t="n">
        <x:v>90000</x:v>
      </x:c>
      <x:c r="AH187" s="104" t="n">
        <x:v>170000</x:v>
      </x:c>
      <x:c r="AI187" s="79"/>
    </x:row>
    <x:row r="188">
      <x:c r="A188" s="23" t="s">
        <x:v>245</x:v>
      </x:c>
      <x:c r="B188" s="24">
        <x:v>100</x:v>
      </x:c>
      <x:c r="C188" s="25" t="s">
        <x:v>172</x:v>
      </x:c>
      <x:c r="D188" s="26">
        <x:v>100</x:v>
      </x:c>
      <x:c r="E188" s="24">
        <x:v>190</x:v>
      </x:c>
      <x:c r="F188" s="25" t="s">
        <x:v>173</x:v>
      </x:c>
      <x:c r="G188" s="26">
        <x:v>190</x:v>
      </x:c>
      <x:c r="H188" s="25" t="str">
        <x:f t="shared" si="2"/>
        <x:v>فعال</x:v>
      </x:c>
      <x:c r="Y188" t="str">
        <x:f>IF(AND(LEN($K$2)&gt;=3,ISNUMBER(SEARCH($K$2,$A188))),MAX($Y$3:Y187)+1,"")</x:f>
      </x:c>
      <x:c r="Z188" s="79" t="str">
        <x:v>روغن</x:v>
      </x:c>
      <x:c r="AA188" s="79" t="str">
        <x:v>6a2d446d45c164ce6f28ae30</x:v>
      </x:c>
      <x:c r="AB188" s="79" t="str">
        <x:v>oil</x:v>
      </x:c>
      <x:c r="AC188" s="79" t="str">
        <x:v>EDIBLE</x:v>
      </x:c>
      <x:c r="AD188" s="79" t="str">
        <x:v>بله</x:v>
      </x:c>
      <x:c r="AE188" s="79" t="str">
        <x:v>بله</x:v>
      </x:c>
      <x:c r="AF188" s="79" t="n">
        <x:v>2</x:v>
      </x:c>
      <x:c r="AG188" s="104" t="n">
        <x:v>100000</x:v>
      </x:c>
      <x:c r="AH188" s="104" t="n">
        <x:v>190000</x:v>
      </x:c>
      <x:c r="AI188" s="79"/>
    </x:row>
    <x:row r="189">
      <x:c r="A189" s="23" t="s">
        <x:v>246</x:v>
      </x:c>
      <x:c r="B189" s="24">
        <x:v>90</x:v>
      </x:c>
      <x:c r="C189" s="25" t="s">
        <x:v>172</x:v>
      </x:c>
      <x:c r="D189" s="26">
        <x:v>90</x:v>
      </x:c>
      <x:c r="E189" s="24">
        <x:v>170</x:v>
      </x:c>
      <x:c r="F189" s="25" t="s">
        <x:v>173</x:v>
      </x:c>
      <x:c r="G189" s="26">
        <x:v>170</x:v>
      </x:c>
      <x:c r="H189" s="25" t="str">
        <x:f t="shared" si="2"/>
        <x:v>فعال</x:v>
      </x:c>
      <x:c r="Y189" t="str">
        <x:f>IF(AND(LEN($K$2)&gt;=3,ISNUMBER(SEARCH($K$2,$A189))),MAX($Y$3:Y188)+1,"")</x:f>
      </x:c>
      <x:c r="Z189" s="79" t="str">
        <x:v>روغن</x:v>
      </x:c>
      <x:c r="AA189" s="79" t="str">
        <x:v>6a2d446d45c164ce6f28ae30</x:v>
      </x:c>
      <x:c r="AB189" s="79" t="str">
        <x:v>oil</x:v>
      </x:c>
      <x:c r="AC189" s="79" t="str">
        <x:v>EDIBLE</x:v>
      </x:c>
      <x:c r="AD189" s="79" t="str">
        <x:v>بله</x:v>
      </x:c>
      <x:c r="AE189" s="79" t="str">
        <x:v>بله</x:v>
      </x:c>
      <x:c r="AF189" s="79" t="n">
        <x:v>2</x:v>
      </x:c>
      <x:c r="AG189" s="104" t="n">
        <x:v>90000</x:v>
      </x:c>
      <x:c r="AH189" s="104" t="n">
        <x:v>170000</x:v>
      </x:c>
      <x:c r="AI189" s="79"/>
    </x:row>
    <x:row r="190">
      <x:c r="A190" s="23" t="s">
        <x:v>247</x:v>
      </x:c>
      <x:c r="B190" s="24" t="s">
        <x:v>23</x:v>
      </x:c>
      <x:c r="C190" s="25" t="s">
        <x:v>56</x:v>
      </x:c>
      <x:c r="D190" s="26" t="s">
        <x:v>23</x:v>
      </x:c>
      <x:c r="E190" s="24" t="s">
        <x:v>248</x:v>
      </x:c>
      <x:c r="F190" s="25" t="s">
        <x:v>57</x:v>
      </x:c>
      <x:c r="G190" s="26" t="s">
        <x:v>248</x:v>
      </x:c>
      <x:c r="H190" s="25" t="str">
        <x:f t="shared" si="2"/>
        <x:v>فعال</x:v>
      </x:c>
      <x:c r="Y190" t="str">
        <x:f>IF(AND(LEN($K$2)&gt;=3,ISNUMBER(SEARCH($K$2,$A190))),MAX($Y$3:Y189)+1,"")</x:f>
      </x:c>
      <x:c r="Z190" s="79" t="str">
        <x:v>روغن</x:v>
      </x:c>
      <x:c r="AA190" s="79" t="str">
        <x:v>6a2d446d45c164ce6f28ae30</x:v>
      </x:c>
      <x:c r="AB190" s="79" t="str">
        <x:v>oil</x:v>
      </x:c>
      <x:c r="AC190" s="79" t="str">
        <x:v>EDIBLE</x:v>
      </x:c>
      <x:c r="AD190" s="79" t="str">
        <x:v>بله</x:v>
      </x:c>
      <x:c r="AE190" s="79" t="str">
        <x:v>بله</x:v>
      </x:c>
      <x:c r="AF190" s="79" t="n">
        <x:v>2</x:v>
      </x:c>
      <x:c r="AG190" s="104" t="n">
        <x:v>1100000</x:v>
      </x:c>
      <x:c r="AH190" s="104" t="n">
        <x:v>2200000</x:v>
      </x:c>
      <x:c r="AI190" s="79" t="str">
        <x:v>MERGED</x:v>
      </x:c>
    </x:row>
    <x:row r="191">
      <x:c r="A191" s="23" t="s">
        <x:v>247</x:v>
      </x:c>
      <x:c r="B191" s="24">
        <x:v>90</x:v>
      </x:c>
      <x:c r="C191" s="25" t="s">
        <x:v>172</x:v>
      </x:c>
      <x:c r="D191" s="26">
        <x:v>90</x:v>
      </x:c>
      <x:c r="E191" s="24">
        <x:v>170</x:v>
      </x:c>
      <x:c r="F191" s="25" t="s">
        <x:v>173</x:v>
      </x:c>
      <x:c r="G191" s="26">
        <x:v>170</x:v>
      </x:c>
      <x:c r="H191" s="25" t="str">
        <x:f t="shared" si="2"/>
        <x:v>فعال</x:v>
      </x:c>
      <x:c r="Y191" t="str">
        <x:f>IF(AND(LEN($K$2)&gt;=3,ISNUMBER(SEARCH($K$2,$A191))),MAX($Y$3:Y190)+1,"")</x:f>
      </x:c>
      <x:c r="Z191" s="79" t="str">
        <x:v>روغن</x:v>
      </x:c>
      <x:c r="AA191" s="79" t="str">
        <x:v>6a2d446d45c164ce6f28ae30</x:v>
      </x:c>
      <x:c r="AB191" s="79" t="str">
        <x:v>oil</x:v>
      </x:c>
      <x:c r="AC191" s="79" t="str">
        <x:v>EDIBLE</x:v>
      </x:c>
      <x:c r="AD191" s="79" t="str">
        <x:v>بله</x:v>
      </x:c>
      <x:c r="AE191" s="79" t="str">
        <x:v>بله</x:v>
      </x:c>
      <x:c r="AF191" s="79" t="n">
        <x:v>2</x:v>
      </x:c>
      <x:c r="AG191" s="104" t="n">
        <x:v>90000</x:v>
      </x:c>
      <x:c r="AH191" s="104" t="n">
        <x:v>170000</x:v>
      </x:c>
      <x:c r="AI191" s="79" t="str">
        <x:v>MERGED</x:v>
      </x:c>
    </x:row>
    <x:row r="192">
      <x:c r="A192" s="23" t="s">
        <x:v>249</x:v>
      </x:c>
      <x:c r="B192" s="24">
        <x:v>65</x:v>
      </x:c>
      <x:c r="C192" s="25" t="s">
        <x:v>172</x:v>
      </x:c>
      <x:c r="D192" s="26">
        <x:v>65</x:v>
      </x:c>
      <x:c r="E192" s="24">
        <x:v>120</x:v>
      </x:c>
      <x:c r="F192" s="25" t="s">
        <x:v>173</x:v>
      </x:c>
      <x:c r="G192" s="26">
        <x:v>120</x:v>
      </x:c>
      <x:c r="H192" s="25" t="str">
        <x:f t="shared" si="2"/>
        <x:v>فعال</x:v>
      </x:c>
      <x:c r="Y192" t="str">
        <x:f>IF(AND(LEN($K$2)&gt;=3,ISNUMBER(SEARCH($K$2,$A192))),MAX($Y$3:Y191)+1,"")</x:f>
      </x:c>
      <x:c r="Z192" s="79" t="str">
        <x:v>روغن</x:v>
      </x:c>
      <x:c r="AA192" s="79" t="str">
        <x:v>6a2d446d45c164ce6f28ae30</x:v>
      </x:c>
      <x:c r="AB192" s="79" t="str">
        <x:v>oil</x:v>
      </x:c>
      <x:c r="AC192" s="79" t="str">
        <x:v>EDIBLE</x:v>
      </x:c>
      <x:c r="AD192" s="79" t="str">
        <x:v>بله</x:v>
      </x:c>
      <x:c r="AE192" s="79" t="str">
        <x:v>بله</x:v>
      </x:c>
      <x:c r="AF192" s="79" t="n">
        <x:v>2</x:v>
      </x:c>
      <x:c r="AG192" s="104" t="n">
        <x:v>65000</x:v>
      </x:c>
      <x:c r="AH192" s="104" t="n">
        <x:v>120000</x:v>
      </x:c>
      <x:c r="AI192" s="79"/>
    </x:row>
    <x:row r="193">
      <x:c r="A193" s="23" t="s">
        <x:v>250</x:v>
      </x:c>
      <x:c r="B193" s="24">
        <x:v>65</x:v>
      </x:c>
      <x:c r="C193" s="25" t="s">
        <x:v>172</x:v>
      </x:c>
      <x:c r="D193" s="26">
        <x:v>65</x:v>
      </x:c>
      <x:c r="E193" s="24" t="s">
        <x:v>54</x:v>
      </x:c>
      <x:c r="F193" s="25" t="s">
        <x:v>173</x:v>
      </x:c>
      <x:c r="G193" s="26" t="s">
        <x:v>54</x:v>
      </x:c>
      <x:c r="H193" s="25" t="str">
        <x:f t="shared" si="2"/>
        <x:v>فعال</x:v>
      </x:c>
      <x:c r="Y193" t="str">
        <x:f>IF(AND(LEN($K$2)&gt;=3,ISNUMBER(SEARCH($K$2,$A193))),MAX($Y$3:Y192)+1,"")</x:f>
      </x:c>
      <x:c r="Z193" s="79" t="str">
        <x:v>روغن</x:v>
      </x:c>
      <x:c r="AA193" s="79" t="str">
        <x:v>6a2d446d45c164ce6f28ae30</x:v>
      </x:c>
      <x:c r="AB193" s="79" t="str">
        <x:v>oil</x:v>
      </x:c>
      <x:c r="AC193" s="79" t="str">
        <x:v>EDIBLE</x:v>
      </x:c>
      <x:c r="AD193" s="79" t="str">
        <x:v>بله</x:v>
      </x:c>
      <x:c r="AE193" s="79" t="str">
        <x:v>بله</x:v>
      </x:c>
      <x:c r="AF193" s="79" t="n">
        <x:v>2</x:v>
      </x:c>
      <x:c r="AG193" s="104" t="n">
        <x:v>65000</x:v>
      </x:c>
      <x:c r="AH193" s="104"/>
      <x:c r="AI193" s="79" t="str">
        <x:v>MISSING_PRICE_REVIEW</x:v>
      </x:c>
    </x:row>
    <x:row r="194">
      <x:c r="A194" s="23" t="s">
        <x:v>251</x:v>
      </x:c>
      <x:c r="B194" s="24">
        <x:v>500</x:v>
      </x:c>
      <x:c r="C194" s="25" t="s">
        <x:v>16</x:v>
      </x:c>
      <x:c r="D194" s="26">
        <x:v>500</x:v>
      </x:c>
      <x:c r="E194" s="24"/>
      <x:c r="F194" s="25"/>
      <x:c r="G194" s="26"/>
      <x:c r="H194" s="25" t="str">
        <x:f t="shared" si="2"/>
        <x:v>فعال</x:v>
      </x:c>
      <x:c r="Y194" t="str">
        <x:f>IF(AND(LEN($K$2)&gt;=3,ISNUMBER(SEARCH($K$2,$A194))),MAX($Y$3:Y193)+1,"")</x:f>
      </x:c>
      <x:c r="Z194" s="79" t="str">
        <x:v>گیاهان دارویی</x:v>
      </x:c>
      <x:c r="AA194" s="79" t="str">
        <x:v>6a3782d7df5573f4e676e243</x:v>
      </x:c>
      <x:c r="AB194" s="79" t="str">
        <x:v>medicinal-plants</x:v>
      </x:c>
      <x:c r="AC194" s="79" t="str">
        <x:v>TOPICAL</x:v>
      </x:c>
      <x:c r="AD194" s="79" t="str">
        <x:v>خیر</x:v>
      </x:c>
      <x:c r="AE194" s="79" t="str">
        <x:v>خیر</x:v>
      </x:c>
      <x:c r="AF194" s="79" t="n">
        <x:v>1</x:v>
      </x:c>
      <x:c r="AG194" s="104" t="n">
        <x:v>500000</x:v>
      </x:c>
      <x:c r="AH194" s="104"/>
      <x:c r="AI194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95">
      <x:c r="A195" s="23" t="s">
        <x:v>252</x:v>
      </x:c>
      <x:c r="B195" s="24">
        <x:v>880</x:v>
      </x:c>
      <x:c r="C195" s="25" t="s">
        <x:v>16</x:v>
      </x:c>
      <x:c r="D195" s="26">
        <x:v>880</x:v>
      </x:c>
      <x:c r="E195" s="24"/>
      <x:c r="F195" s="25"/>
      <x:c r="G195" s="26"/>
      <x:c r="H195" s="25" t="str">
        <x:f t="shared" si="2"/>
        <x:v>فعال</x:v>
      </x:c>
      <x:c r="Y195" t="str">
        <x:f>IF(AND(LEN($K$2)&gt;=3,ISNUMBER(SEARCH($K$2,$A195))),MAX($Y$3:Y194)+1,"")</x:f>
      </x:c>
      <x:c r="Z195" s="79" t="str">
        <x:v>ادویه</x:v>
      </x:c>
      <x:c r="AA195" s="79" t="str">
        <x:v>6a3781e4df5573f4e676e226</x:v>
      </x:c>
      <x:c r="AB195" s="79" t="str">
        <x:v>spice</x:v>
      </x:c>
      <x:c r="AC195" s="79" t="str">
        <x:v>EDIBLE</x:v>
      </x:c>
      <x:c r="AD195" s="79" t="str">
        <x:v>بله</x:v>
      </x:c>
      <x:c r="AE195" s="79" t="str">
        <x:v>خیر</x:v>
      </x:c>
      <x:c r="AF195" s="79" t="n">
        <x:v>1</x:v>
      </x:c>
      <x:c r="AG195" s="104" t="n">
        <x:v>880000</x:v>
      </x:c>
      <x:c r="AH195" s="104"/>
      <x:c r="AI195" s="79" t="str">
        <x:v>MERGED</x:v>
      </x:c>
    </x:row>
    <x:row r="196">
      <x:c r="A196" s="23" t="s">
        <x:v>253</x:v>
      </x:c>
      <x:c r="B196" s="24" t="s">
        <x:v>54</x:v>
      </x:c>
      <x:c r="C196" s="25" t="s">
        <x:v>16</x:v>
      </x:c>
      <x:c r="D196" s="26" t="s">
        <x:v>54</x:v>
      </x:c>
      <x:c r="E196" s="24"/>
      <x:c r="F196" s="25"/>
      <x:c r="G196" s="26"/>
      <x:c r="H196" s="25" t="str">
        <x:f t="shared" ref="H196:H259" si="3">IF(AND(OR(B196="",B196="؟"),OR(E196="",E196="؟")),"نیاز به استعلام","فعال")</x:f>
        <x:v>نیاز به استعلام</x:v>
      </x:c>
      <x:c r="Y196" t="str">
        <x:f>IF(AND(LEN($K$2)&gt;=3,ISNUMBER(SEARCH($K$2,$A196))),MAX($Y$3:Y195)+1,"")</x:f>
      </x:c>
      <x:c r="Z196" s="79" t="str">
        <x:v>ادویه</x:v>
      </x:c>
      <x:c r="AA196" s="79" t="str">
        <x:v>6a3781e4df5573f4e676e226</x:v>
      </x:c>
      <x:c r="AB196" s="79" t="str">
        <x:v>spice</x:v>
      </x:c>
      <x:c r="AC196" s="79" t="str">
        <x:v>EDIBLE</x:v>
      </x:c>
      <x:c r="AD196" s="79" t="str">
        <x:v>بله</x:v>
      </x:c>
      <x:c r="AE196" s="79" t="str">
        <x:v>خیر</x:v>
      </x:c>
      <x:c r="AF196" s="79" t="n">
        <x:v>1</x:v>
      </x:c>
      <x:c r="AG196" s="104"/>
      <x:c r="AH196" s="104"/>
      <x:c r="AI196" s="79" t="str">
        <x:v>MERGED + MISSING_PRICE_REVIEW</x:v>
      </x:c>
    </x:row>
    <x:row r="197">
      <x:c r="A197" s="23" t="s">
        <x:v>254</x:v>
      </x:c>
      <x:c r="B197" s="24" t="s">
        <x:v>54</x:v>
      </x:c>
      <x:c r="C197" s="25" t="s">
        <x:v>16</x:v>
      </x:c>
      <x:c r="D197" s="26" t="s">
        <x:v>54</x:v>
      </x:c>
      <x:c r="E197" s="24"/>
      <x:c r="F197" s="25"/>
      <x:c r="G197" s="26"/>
      <x:c r="H197" s="25" t="str">
        <x:f t="shared" si="3"/>
        <x:v>نیاز به استعلام</x:v>
      </x:c>
      <x:c r="Y197" t="str">
        <x:f>IF(AND(LEN($K$2)&gt;=3,ISNUMBER(SEARCH($K$2,$A197))),MAX($Y$3:Y196)+1,"")</x:f>
      </x:c>
      <x:c r="Z197" s="79" t="str">
        <x:v>خشکبار و آجیل</x:v>
      </x:c>
      <x:c r="AA197" s="79" t="str">
        <x:v>6a37810ddf5573f4e676e201</x:v>
      </x:c>
      <x:c r="AB197" s="79" t="str">
        <x:v>dried-fruits-nuts</x:v>
      </x:c>
      <x:c r="AC197" s="79" t="str">
        <x:v>EDIBLE</x:v>
      </x:c>
      <x:c r="AD197" s="79" t="str">
        <x:v>بله</x:v>
      </x:c>
      <x:c r="AE197" s="79" t="str">
        <x:v>خیر</x:v>
      </x:c>
      <x:c r="AF197" s="79" t="n">
        <x:v>1</x:v>
      </x:c>
      <x:c r="AG197" s="104"/>
      <x:c r="AH197" s="104"/>
      <x:c r="AI197" s="79" t="str">
        <x:v>MERGED + MISSING_PRICE_REVIEW</x:v>
      </x:c>
    </x:row>
    <x:row r="198">
      <x:c r="A198" s="23" t="s">
        <x:v>255</x:v>
      </x:c>
      <x:c r="B198" s="24" t="s">
        <x:v>54</x:v>
      </x:c>
      <x:c r="C198" s="25" t="s">
        <x:v>16</x:v>
      </x:c>
      <x:c r="D198" s="26" t="s">
        <x:v>54</x:v>
      </x:c>
      <x:c r="E198" s="24"/>
      <x:c r="F198" s="25"/>
      <x:c r="G198" s="26"/>
      <x:c r="H198" s="25" t="str">
        <x:f t="shared" si="3"/>
        <x:v>نیاز به استعلام</x:v>
      </x:c>
      <x:c r="Y198" t="str">
        <x:f>IF(AND(LEN($K$2)&gt;=3,ISNUMBER(SEARCH($K$2,$A198))),MAX($Y$3:Y197)+1,"")</x:f>
      </x:c>
      <x:c r="Z198" s="79" t="str">
        <x:v>خشکبار و آجیل</x:v>
      </x:c>
      <x:c r="AA198" s="79" t="str">
        <x:v>6a37810ddf5573f4e676e201</x:v>
      </x:c>
      <x:c r="AB198" s="79" t="str">
        <x:v>dried-fruits-nuts</x:v>
      </x:c>
      <x:c r="AC198" s="79" t="str">
        <x:v>EDIBLE</x:v>
      </x:c>
      <x:c r="AD198" s="79" t="str">
        <x:v>بله</x:v>
      </x:c>
      <x:c r="AE198" s="79" t="str">
        <x:v>خیر</x:v>
      </x:c>
      <x:c r="AF198" s="79" t="n">
        <x:v>1</x:v>
      </x:c>
      <x:c r="AG198" s="104"/>
      <x:c r="AH198" s="104"/>
      <x:c r="AI198" s="79" t="str">
        <x:v>MERGED + MISSING_PRICE_REVIEW</x:v>
      </x:c>
    </x:row>
    <x:row r="199">
      <x:c r="A199" s="23" t="s">
        <x:v>256</x:v>
      </x:c>
      <x:c r="B199" s="24" t="s">
        <x:v>54</x:v>
      </x:c>
      <x:c r="C199" s="25" t="s">
        <x:v>16</x:v>
      </x:c>
      <x:c r="D199" s="26" t="s">
        <x:v>54</x:v>
      </x:c>
      <x:c r="E199" s="24"/>
      <x:c r="F199" s="25"/>
      <x:c r="G199" s="26"/>
      <x:c r="H199" s="25" t="str">
        <x:f t="shared" si="3"/>
        <x:v>نیاز به استعلام</x:v>
      </x:c>
      <x:c r="Y199" t="str">
        <x:f>IF(AND(LEN($K$2)&gt;=3,ISNUMBER(SEARCH($K$2,$A199))),MAX($Y$3:Y198)+1,"")</x:f>
      </x:c>
      <x:c r="Z199" s="79" t="str">
        <x:v>ادویه</x:v>
      </x:c>
      <x:c r="AA199" s="79" t="str">
        <x:v>6a3781e4df5573f4e676e226</x:v>
      </x:c>
      <x:c r="AB199" s="79" t="str">
        <x:v>spice</x:v>
      </x:c>
      <x:c r="AC199" s="79" t="str">
        <x:v>EDIBLE</x:v>
      </x:c>
      <x:c r="AD199" s="79" t="str">
        <x:v>بله</x:v>
      </x:c>
      <x:c r="AE199" s="79" t="str">
        <x:v>خیر</x:v>
      </x:c>
      <x:c r="AF199" s="79" t="n">
        <x:v>1</x:v>
      </x:c>
      <x:c r="AG199" s="104"/>
      <x:c r="AH199" s="104"/>
      <x:c r="AI199" s="79" t="str">
        <x:v>MISSING_PRICE_REVIEW</x:v>
      </x:c>
    </x:row>
    <x:row r="200">
      <x:c r="A200" s="23" t="s">
        <x:v>257</x:v>
      </x:c>
      <x:c r="B200" s="24" t="s">
        <x:v>115</x:v>
      </x:c>
      <x:c r="C200" s="25" t="s">
        <x:v>16</x:v>
      </x:c>
      <x:c r="D200" s="26" t="s">
        <x:v>115</x:v>
      </x:c>
      <x:c r="E200" s="24"/>
      <x:c r="F200" s="25"/>
      <x:c r="G200" s="26"/>
      <x:c r="H200" s="25" t="str">
        <x:f t="shared" si="3"/>
        <x:v>فعال</x:v>
      </x:c>
      <x:c r="Y200" t="str">
        <x:f>IF(AND(LEN($K$2)&gt;=3,ISNUMBER(SEARCH($K$2,$A200))),MAX($Y$3:Y199)+1,"")</x:f>
      </x:c>
      <x:c r="Z200" s="79" t="str">
        <x:v>ادویه</x:v>
      </x:c>
      <x:c r="AA200" s="79" t="str">
        <x:v>6a3781e4df5573f4e676e226</x:v>
      </x:c>
      <x:c r="AB200" s="79" t="str">
        <x:v>spice</x:v>
      </x:c>
      <x:c r="AC200" s="79" t="str">
        <x:v>EDIBLE</x:v>
      </x:c>
      <x:c r="AD200" s="79" t="str">
        <x:v>بله</x:v>
      </x:c>
      <x:c r="AE200" s="79" t="str">
        <x:v>خیر</x:v>
      </x:c>
      <x:c r="AF200" s="79" t="n">
        <x:v>1</x:v>
      </x:c>
      <x:c r="AG200" s="104" t="n">
        <x:v>1200000</x:v>
      </x:c>
      <x:c r="AH200" s="104"/>
      <x:c r="AI200" s="79"/>
    </x:row>
    <x:row r="201">
      <x:c r="A201" s="23" t="s">
        <x:v>258</x:v>
      </x:c>
      <x:c r="B201" s="24">
        <x:v>500</x:v>
      </x:c>
      <x:c r="C201" s="25" t="s">
        <x:v>16</x:v>
      </x:c>
      <x:c r="D201" s="26">
        <x:v>500</x:v>
      </x:c>
      <x:c r="E201" s="24"/>
      <x:c r="F201" s="25"/>
      <x:c r="G201" s="26"/>
      <x:c r="H201" s="25" t="str">
        <x:f t="shared" si="3"/>
        <x:v>فعال</x:v>
      </x:c>
      <x:c r="Y201" t="str">
        <x:f>IF(AND(LEN($K$2)&gt;=3,ISNUMBER(SEARCH($K$2,$A201))),MAX($Y$3:Y200)+1,"")</x:f>
      </x:c>
      <x:c r="Z201" s="79" t="str">
        <x:v>ادویه</x:v>
      </x:c>
      <x:c r="AA201" s="79" t="str">
        <x:v>6a3781e4df5573f4e676e226</x:v>
      </x:c>
      <x:c r="AB201" s="79" t="str">
        <x:v>spice</x:v>
      </x:c>
      <x:c r="AC201" s="79" t="str">
        <x:v>EDIBLE</x:v>
      </x:c>
      <x:c r="AD201" s="79" t="str">
        <x:v>بله</x:v>
      </x:c>
      <x:c r="AE201" s="79" t="str">
        <x:v>خیر</x:v>
      </x:c>
      <x:c r="AF201" s="79" t="n">
        <x:v>1</x:v>
      </x:c>
      <x:c r="AG201" s="104" t="n">
        <x:v>500000</x:v>
      </x:c>
      <x:c r="AH201" s="104"/>
      <x:c r="AI201" s="79"/>
    </x:row>
    <x:row r="202">
      <x:c r="A202" s="23" t="s">
        <x:v>259</x:v>
      </x:c>
      <x:c r="B202" s="24" t="s">
        <x:v>260</x:v>
      </x:c>
      <x:c r="C202" s="25" t="s">
        <x:v>16</x:v>
      </x:c>
      <x:c r="D202" s="26" t="s">
        <x:v>260</x:v>
      </x:c>
      <x:c r="E202" s="24"/>
      <x:c r="F202" s="25"/>
      <x:c r="G202" s="26"/>
      <x:c r="H202" s="25" t="str">
        <x:f t="shared" si="3"/>
        <x:v>فعال</x:v>
      </x:c>
      <x:c r="Y202" t="str">
        <x:f>IF(AND(LEN($K$2)&gt;=3,ISNUMBER(SEARCH($K$2,$A202))),MAX($Y$3:Y201)+1,"")</x:f>
      </x:c>
      <x:c r="Z202" s="79" t="str">
        <x:v>ادویه</x:v>
      </x:c>
      <x:c r="AA202" s="79" t="str">
        <x:v>6a3781e4df5573f4e676e226</x:v>
      </x:c>
      <x:c r="AB202" s="79" t="str">
        <x:v>spice</x:v>
      </x:c>
      <x:c r="AC202" s="79" t="str">
        <x:v>EDIBLE</x:v>
      </x:c>
      <x:c r="AD202" s="79" t="str">
        <x:v>بله</x:v>
      </x:c>
      <x:c r="AE202" s="79" t="str">
        <x:v>خیر</x:v>
      </x:c>
      <x:c r="AF202" s="79" t="n">
        <x:v>1</x:v>
      </x:c>
      <x:c r="AG202" s="104" t="n">
        <x:v>1340000</x:v>
      </x:c>
      <x:c r="AH202" s="104"/>
      <x:c r="AI202" s="79"/>
    </x:row>
    <x:row r="203">
      <x:c r="A203" s="23" t="s">
        <x:v>261</x:v>
      </x:c>
      <x:c r="B203" s="24" t="s">
        <x:v>227</x:v>
      </x:c>
      <x:c r="C203" s="25" t="s">
        <x:v>16</x:v>
      </x:c>
      <x:c r="D203" s="26" t="s">
        <x:v>227</x:v>
      </x:c>
      <x:c r="E203" s="24"/>
      <x:c r="F203" s="25"/>
      <x:c r="G203" s="26"/>
      <x:c r="H203" s="25" t="str">
        <x:f t="shared" si="3"/>
        <x:v>فعال</x:v>
      </x:c>
      <x:c r="Y203" t="str">
        <x:f>IF(AND(LEN($K$2)&gt;=3,ISNUMBER(SEARCH($K$2,$A203))),MAX($Y$3:Y202)+1,"")</x:f>
      </x:c>
      <x:c r="Z203" s="79" t="str">
        <x:v>ادویه</x:v>
      </x:c>
      <x:c r="AA203" s="79" t="str">
        <x:v>6a3781e4df5573f4e676e226</x:v>
      </x:c>
      <x:c r="AB203" s="79" t="str">
        <x:v>spice</x:v>
      </x:c>
      <x:c r="AC203" s="79" t="str">
        <x:v>EDIBLE</x:v>
      </x:c>
      <x:c r="AD203" s="79" t="str">
        <x:v>بله</x:v>
      </x:c>
      <x:c r="AE203" s="79" t="str">
        <x:v>خیر</x:v>
      </x:c>
      <x:c r="AF203" s="79" t="n">
        <x:v>1</x:v>
      </x:c>
      <x:c r="AG203" s="104" t="n">
        <x:v>2950000</x:v>
      </x:c>
      <x:c r="AH203" s="104"/>
      <x:c r="AI203" s="79"/>
    </x:row>
    <x:row r="204">
      <x:c r="A204" s="23" t="s">
        <x:v>262</x:v>
      </x:c>
      <x:c r="B204" s="24">
        <x:v>910</x:v>
      </x:c>
      <x:c r="C204" s="25" t="s">
        <x:v>16</x:v>
      </x:c>
      <x:c r="D204" s="26">
        <x:v>910</x:v>
      </x:c>
      <x:c r="E204" s="24"/>
      <x:c r="F204" s="25"/>
      <x:c r="G204" s="26"/>
      <x:c r="H204" s="25" t="str">
        <x:f t="shared" si="3"/>
        <x:v>فعال</x:v>
      </x:c>
      <x:c r="Y204" t="str">
        <x:f>IF(AND(LEN($K$2)&gt;=3,ISNUMBER(SEARCH($K$2,$A204))),MAX($Y$3:Y203)+1,"")</x:f>
      </x:c>
      <x:c r="Z204" s="79" t="str">
        <x:v>آرد و قنادی</x:v>
      </x:c>
      <x:c r="AA204" s="79" t="str">
        <x:v>6a3a00000000000000000004</x:v>
      </x:c>
      <x:c r="AB204" s="79" t="str">
        <x:v>flour-confectionery</x:v>
      </x:c>
      <x:c r="AC204" s="79" t="str">
        <x:v>EDIBLE</x:v>
      </x:c>
      <x:c r="AD204" s="79" t="str">
        <x:v>بله</x:v>
      </x:c>
      <x:c r="AE204" s="79" t="str">
        <x:v>خیر</x:v>
      </x:c>
      <x:c r="AF204" s="79" t="n">
        <x:v>1</x:v>
      </x:c>
      <x:c r="AG204" s="104" t="n">
        <x:v>910000</x:v>
      </x:c>
      <x:c r="AH204" s="104"/>
      <x:c r="AI204" s="79"/>
    </x:row>
    <x:row r="205">
      <x:c r="A205" s="23" t="s">
        <x:v>263</x:v>
      </x:c>
      <x:c r="B205" s="24">
        <x:v>500</x:v>
      </x:c>
      <x:c r="C205" s="25" t="s">
        <x:v>16</x:v>
      </x:c>
      <x:c r="D205" s="26">
        <x:v>500</x:v>
      </x:c>
      <x:c r="E205" s="24"/>
      <x:c r="F205" s="25"/>
      <x:c r="G205" s="26"/>
      <x:c r="H205" s="25" t="str">
        <x:f t="shared" si="3"/>
        <x:v>فعال</x:v>
      </x:c>
      <x:c r="Y205" t="str">
        <x:f>IF(AND(LEN($K$2)&gt;=3,ISNUMBER(SEARCH($K$2,$A205))),MAX($Y$3:Y204)+1,"")</x:f>
      </x:c>
      <x:c r="Z205" s="79" t="str">
        <x:v>گیاهان دارویی</x:v>
      </x:c>
      <x:c r="AA205" s="79" t="str">
        <x:v>6a3782d7df5573f4e676e243</x:v>
      </x:c>
      <x:c r="AB205" s="79" t="str">
        <x:v>medicinal-plants</x:v>
      </x:c>
      <x:c r="AC205" s="79" t="str">
        <x:v>TOPICAL</x:v>
      </x:c>
      <x:c r="AD205" s="79" t="str">
        <x:v>خیر</x:v>
      </x:c>
      <x:c r="AE205" s="79" t="str">
        <x:v>خیر</x:v>
      </x:c>
      <x:c r="AF205" s="79" t="n">
        <x:v>1</x:v>
      </x:c>
      <x:c r="AG205" s="104" t="n">
        <x:v>500000</x:v>
      </x:c>
      <x:c r="AH205" s="104"/>
      <x:c r="AI205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06">
      <x:c r="A206" s="23" t="s">
        <x:v>264</x:v>
      </x:c>
      <x:c r="B206" s="24">
        <x:v>135</x:v>
      </x:c>
      <x:c r="C206" s="25" t="s">
        <x:v>265</x:v>
      </x:c>
      <x:c r="D206" s="26">
        <x:v>135</x:v>
      </x:c>
      <x:c r="E206" s="24">
        <x:v>260</x:v>
      </x:c>
      <x:c r="F206" s="25" t="s">
        <x:v>266</x:v>
      </x:c>
      <x:c r="G206" s="26">
        <x:v>260</x:v>
      </x:c>
      <x:c r="H206" s="25" t="str">
        <x:f t="shared" si="3"/>
        <x:v>فعال</x:v>
      </x:c>
      <x:c r="Y206" t="str">
        <x:f>IF(AND(LEN($K$2)&gt;=3,ISNUMBER(SEARCH($K$2,$A206))),MAX($Y$3:Y205)+1,"")</x:f>
      </x:c>
      <x:c r="Z206" s="79" t="str">
        <x:v>نوشیدنی‌ها</x:v>
      </x:c>
      <x:c r="AA206" s="79" t="str">
        <x:v>6a3782ffdf5573f4e676e24b</x:v>
      </x:c>
      <x:c r="AB206" s="79" t="str">
        <x:v>syrup</x:v>
      </x:c>
      <x:c r="AC206" s="79" t="str">
        <x:v>EDIBLE</x:v>
      </x:c>
      <x:c r="AD206" s="79" t="str">
        <x:v>بله</x:v>
      </x:c>
      <x:c r="AE206" s="79" t="str">
        <x:v>بله</x:v>
      </x:c>
      <x:c r="AF206" s="79" t="n">
        <x:v>2</x:v>
      </x:c>
      <x:c r="AG206" s="104" t="n">
        <x:v>135000</x:v>
      </x:c>
      <x:c r="AH206" s="104" t="n">
        <x:v>260000</x:v>
      </x:c>
      <x:c r="AI206" s="79"/>
    </x:row>
    <x:row r="207">
      <x:c r="A207" s="23" t="s">
        <x:v>267</x:v>
      </x:c>
      <x:c r="B207" s="24">
        <x:v>130</x:v>
      </x:c>
      <x:c r="C207" s="25" t="s">
        <x:v>265</x:v>
      </x:c>
      <x:c r="D207" s="26">
        <x:v>130</x:v>
      </x:c>
      <x:c r="E207" s="24">
        <x:v>250</x:v>
      </x:c>
      <x:c r="F207" s="25" t="s">
        <x:v>266</x:v>
      </x:c>
      <x:c r="G207" s="26">
        <x:v>250</x:v>
      </x:c>
      <x:c r="H207" s="25" t="str">
        <x:f t="shared" si="3"/>
        <x:v>فعال</x:v>
      </x:c>
      <x:c r="Y207" t="str">
        <x:f>IF(AND(LEN($K$2)&gt;=3,ISNUMBER(SEARCH($K$2,$A207))),MAX($Y$3:Y206)+1,"")</x:f>
      </x:c>
      <x:c r="Z207" s="79" t="str">
        <x:v>نوشیدنی‌ها</x:v>
      </x:c>
      <x:c r="AA207" s="79" t="str">
        <x:v>6a3782ffdf5573f4e676e24b</x:v>
      </x:c>
      <x:c r="AB207" s="79" t="str">
        <x:v>syrup</x:v>
      </x:c>
      <x:c r="AC207" s="79" t="str">
        <x:v>EDIBLE</x:v>
      </x:c>
      <x:c r="AD207" s="79" t="str">
        <x:v>بله</x:v>
      </x:c>
      <x:c r="AE207" s="79" t="str">
        <x:v>بله</x:v>
      </x:c>
      <x:c r="AF207" s="79" t="n">
        <x:v>2</x:v>
      </x:c>
      <x:c r="AG207" s="104" t="n">
        <x:v>130000</x:v>
      </x:c>
      <x:c r="AH207" s="104" t="n">
        <x:v>250000</x:v>
      </x:c>
      <x:c r="AI207" s="79"/>
    </x:row>
    <x:row r="208">
      <x:c r="A208" s="23" t="s">
        <x:v>268</x:v>
      </x:c>
      <x:c r="B208" s="24">
        <x:v>80</x:v>
      </x:c>
      <x:c r="C208" s="25" t="s">
        <x:v>16</x:v>
      </x:c>
      <x:c r="D208" s="26">
        <x:v>80</x:v>
      </x:c>
      <x:c r="E208" s="24"/>
      <x:c r="F208" s="25"/>
      <x:c r="G208" s="26"/>
      <x:c r="H208" s="25" t="str">
        <x:f t="shared" si="3"/>
        <x:v>فعال</x:v>
      </x:c>
      <x:c r="Y208" t="str">
        <x:f>IF(AND(LEN($K$2)&gt;=3,ISNUMBER(SEARCH($K$2,$A208))),MAX($Y$3:Y207)+1,"")</x:f>
      </x:c>
      <x:c r="Z208" s="79" t="str">
        <x:v>گیاهان دارویی</x:v>
      </x:c>
      <x:c r="AA208" s="79" t="str">
        <x:v>6a3782d7df5573f4e676e243</x:v>
      </x:c>
      <x:c r="AB208" s="79" t="str">
        <x:v>medicinal-plants</x:v>
      </x:c>
      <x:c r="AC208" s="79" t="str">
        <x:v>TOPICAL</x:v>
      </x:c>
      <x:c r="AD208" s="79" t="str">
        <x:v>خیر</x:v>
      </x:c>
      <x:c r="AE208" s="79" t="str">
        <x:v>خیر</x:v>
      </x:c>
      <x:c r="AF208" s="79" t="n">
        <x:v>1</x:v>
      </x:c>
      <x:c r="AG208" s="104" t="n">
        <x:v>80000</x:v>
      </x:c>
      <x:c r="AH208" s="104"/>
      <x:c r="AI20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09">
      <x:c r="A209" s="23" t="s">
        <x:v>269</x:v>
      </x:c>
      <x:c r="B209" s="24" t="s">
        <x:v>270</x:v>
      </x:c>
      <x:c r="C209" s="25" t="s">
        <x:v>16</x:v>
      </x:c>
      <x:c r="D209" s="26" t="s">
        <x:v>270</x:v>
      </x:c>
      <x:c r="E209" s="24"/>
      <x:c r="F209" s="25"/>
      <x:c r="G209" s="26"/>
      <x:c r="H209" s="25" t="str">
        <x:f t="shared" si="3"/>
        <x:v>فعال</x:v>
      </x:c>
      <x:c r="Y209" t="str">
        <x:f>IF(AND(LEN($K$2)&gt;=3,ISNUMBER(SEARCH($K$2,$A209))),MAX($Y$3:Y208)+1,"")</x:f>
      </x:c>
      <x:c r="Z209" s="79" t="str">
        <x:v>قنادی و شیرینی</x:v>
      </x:c>
      <x:c r="AA209" s="79" t="str">
        <x:v>6a3a00000000000000000003</x:v>
      </x:c>
      <x:c r="AB209" s="79" t="str">
        <x:v>confectionery</x:v>
      </x:c>
      <x:c r="AC209" s="79" t="str">
        <x:v>EDIBLE</x:v>
      </x:c>
      <x:c r="AD209" s="79" t="str">
        <x:v>بله</x:v>
      </x:c>
      <x:c r="AE209" s="79" t="str">
        <x:v>خیر</x:v>
      </x:c>
      <x:c r="AF209" s="79" t="n">
        <x:v>1</x:v>
      </x:c>
      <x:c r="AG209" s="104" t="n">
        <x:v>3000000</x:v>
      </x:c>
      <x:c r="AH209" s="104"/>
      <x:c r="AI209" s="79" t="str">
        <x:v>دسته از «ادویه» به «قنادی و شیرینی» اصلاح شد</x:v>
      </x:c>
    </x:row>
    <x:row r="210">
      <x:c r="A210" s="23" t="s">
        <x:v>271</x:v>
      </x:c>
      <x:c r="B210" s="24" t="s">
        <x:v>190</x:v>
      </x:c>
      <x:c r="C210" s="25" t="s">
        <x:v>16</x:v>
      </x:c>
      <x:c r="D210" s="26" t="s">
        <x:v>190</x:v>
      </x:c>
      <x:c r="E210" s="24"/>
      <x:c r="F210" s="25"/>
      <x:c r="G210" s="26"/>
      <x:c r="H210" s="25" t="str">
        <x:f t="shared" si="3"/>
        <x:v>فعال</x:v>
      </x:c>
      <x:c r="Y210" t="str">
        <x:f>IF(AND(LEN($K$2)&gt;=3,ISNUMBER(SEARCH($K$2,$A210))),MAX($Y$3:Y209)+1,"")</x:f>
      </x:c>
      <x:c r="Z210" s="79" t="str">
        <x:v>ادویه</x:v>
      </x:c>
      <x:c r="AA210" s="79" t="str">
        <x:v>6a3781e4df5573f4e676e226</x:v>
      </x:c>
      <x:c r="AB210" s="79" t="str">
        <x:v>spice</x:v>
      </x:c>
      <x:c r="AC210" s="79" t="str">
        <x:v>EDIBLE</x:v>
      </x:c>
      <x:c r="AD210" s="79" t="str">
        <x:v>بله</x:v>
      </x:c>
      <x:c r="AE210" s="79" t="str">
        <x:v>خیر</x:v>
      </x:c>
      <x:c r="AF210" s="79" t="n">
        <x:v>1</x:v>
      </x:c>
      <x:c r="AG210" s="104" t="n">
        <x:v>2600000</x:v>
      </x:c>
      <x:c r="AH210" s="104"/>
      <x:c r="AI210" s="79"/>
    </x:row>
    <x:row r="211">
      <x:c r="A211" s="23" t="s">
        <x:v>272</x:v>
      </x:c>
      <x:c r="B211" s="24" t="s">
        <x:v>190</x:v>
      </x:c>
      <x:c r="C211" s="25" t="s">
        <x:v>16</x:v>
      </x:c>
      <x:c r="D211" s="26" t="s">
        <x:v>190</x:v>
      </x:c>
      <x:c r="E211" s="24"/>
      <x:c r="F211" s="25"/>
      <x:c r="G211" s="26"/>
      <x:c r="H211" s="25" t="str">
        <x:f t="shared" si="3"/>
        <x:v>فعال</x:v>
      </x:c>
      <x:c r="Y211" t="str">
        <x:f>IF(AND(LEN($K$2)&gt;=3,ISNUMBER(SEARCH($K$2,$A211))),MAX($Y$3:Y210)+1,"")</x:f>
      </x:c>
      <x:c r="Z211" s="79" t="str">
        <x:v>ادویه</x:v>
      </x:c>
      <x:c r="AA211" s="79" t="str">
        <x:v>6a3781e4df5573f4e676e226</x:v>
      </x:c>
      <x:c r="AB211" s="79" t="str">
        <x:v>spice</x:v>
      </x:c>
      <x:c r="AC211" s="79" t="str">
        <x:v>EDIBLE</x:v>
      </x:c>
      <x:c r="AD211" s="79" t="str">
        <x:v>بله</x:v>
      </x:c>
      <x:c r="AE211" s="79" t="str">
        <x:v>خیر</x:v>
      </x:c>
      <x:c r="AF211" s="79" t="n">
        <x:v>1</x:v>
      </x:c>
      <x:c r="AG211" s="104" t="n">
        <x:v>2600000</x:v>
      </x:c>
      <x:c r="AH211" s="104"/>
      <x:c r="AI211" s="79"/>
    </x:row>
    <x:row r="212">
      <x:c r="A212" s="23" t="s">
        <x:v>273</x:v>
      </x:c>
      <x:c r="B212" s="24">
        <x:v>400</x:v>
      </x:c>
      <x:c r="C212" s="25" t="s">
        <x:v>16</x:v>
      </x:c>
      <x:c r="D212" s="26">
        <x:v>400</x:v>
      </x:c>
      <x:c r="E212" s="24"/>
      <x:c r="F212" s="25"/>
      <x:c r="G212" s="26"/>
      <x:c r="H212" s="25" t="str">
        <x:f t="shared" si="3"/>
        <x:v>فعال</x:v>
      </x:c>
      <x:c r="Y212" t="str">
        <x:f>IF(AND(LEN($K$2)&gt;=3,ISNUMBER(SEARCH($K$2,$A212))),MAX($Y$3:Y211)+1,"")</x:f>
      </x:c>
      <x:c r="Z212" s="79" t="str">
        <x:v>ادویه</x:v>
      </x:c>
      <x:c r="AA212" s="79" t="str">
        <x:v>6a3781e4df5573f4e676e226</x:v>
      </x:c>
      <x:c r="AB212" s="79" t="str">
        <x:v>spice</x:v>
      </x:c>
      <x:c r="AC212" s="79" t="str">
        <x:v>EDIBLE</x:v>
      </x:c>
      <x:c r="AD212" s="79" t="str">
        <x:v>بله</x:v>
      </x:c>
      <x:c r="AE212" s="79" t="str">
        <x:v>خیر</x:v>
      </x:c>
      <x:c r="AF212" s="79" t="n">
        <x:v>1</x:v>
      </x:c>
      <x:c r="AG212" s="104" t="n">
        <x:v>400000</x:v>
      </x:c>
      <x:c r="AH212" s="104"/>
      <x:c r="AI212" s="79"/>
    </x:row>
    <x:row r="213">
      <x:c r="A213" s="23" t="s">
        <x:v>274</x:v>
      </x:c>
      <x:c r="B213" s="24">
        <x:v>180</x:v>
      </x:c>
      <x:c r="C213" s="25" t="s">
        <x:v>16</x:v>
      </x:c>
      <x:c r="D213" s="26">
        <x:v>180</x:v>
      </x:c>
      <x:c r="E213" s="24"/>
      <x:c r="F213" s="25"/>
      <x:c r="G213" s="26"/>
      <x:c r="H213" s="25" t="str">
        <x:f t="shared" si="3"/>
        <x:v>فعال</x:v>
      </x:c>
      <x:c r="Y213" t="str">
        <x:f>IF(AND(LEN($K$2)&gt;=3,ISNUMBER(SEARCH($K$2,$A213))),MAX($Y$3:Y212)+1,"")</x:f>
      </x:c>
      <x:c r="Z213" s="79" t="str">
        <x:v>قنادی و شیرینی</x:v>
      </x:c>
      <x:c r="AA213" s="79" t="str">
        <x:v>6a3a00000000000000000003</x:v>
      </x:c>
      <x:c r="AB213" s="79" t="str">
        <x:v>confectionery</x:v>
      </x:c>
      <x:c r="AC213" s="79" t="str">
        <x:v>EDIBLE</x:v>
      </x:c>
      <x:c r="AD213" s="79" t="str">
        <x:v>بله</x:v>
      </x:c>
      <x:c r="AE213" s="79" t="str">
        <x:v>خیر</x:v>
      </x:c>
      <x:c r="AF213" s="79" t="n">
        <x:v>1</x:v>
      </x:c>
      <x:c r="AG213" s="104" t="n">
        <x:v>180000</x:v>
      </x:c>
      <x:c r="AH213" s="104"/>
      <x:c r="AI213" s="79" t="str">
        <x:v>دسته از «نیاز به بررسی» به «قنادی و شیرینی» اصلاح شد</x:v>
      </x:c>
    </x:row>
    <x:row r="214">
      <x:c r="A214" s="23" t="s">
        <x:v>275</x:v>
      </x:c>
      <x:c r="B214" s="24" t="s">
        <x:v>190</x:v>
      </x:c>
      <x:c r="C214" s="25" t="s">
        <x:v>16</x:v>
      </x:c>
      <x:c r="D214" s="26" t="s">
        <x:v>190</x:v>
      </x:c>
      <x:c r="E214" s="24"/>
      <x:c r="F214" s="25"/>
      <x:c r="G214" s="26"/>
      <x:c r="H214" s="25" t="str">
        <x:f t="shared" si="3"/>
        <x:v>فعال</x:v>
      </x:c>
      <x:c r="Y214" t="str">
        <x:f>IF(AND(LEN($K$2)&gt;=3,ISNUMBER(SEARCH($K$2,$A214))),MAX($Y$3:Y213)+1,"")</x:f>
      </x:c>
      <x:c r="Z214" s="79" t="str">
        <x:v>گیاهان دارویی</x:v>
      </x:c>
      <x:c r="AA214" s="79" t="str">
        <x:v>6a3782d7df5573f4e676e243</x:v>
      </x:c>
      <x:c r="AB214" s="79" t="str">
        <x:v>medicinal-plants</x:v>
      </x:c>
      <x:c r="AC214" s="79" t="str">
        <x:v>EDIBLE</x:v>
      </x:c>
      <x:c r="AD214" s="79" t="str">
        <x:v>بله</x:v>
      </x:c>
      <x:c r="AE214" s="79" t="str">
        <x:v>خیر</x:v>
      </x:c>
      <x:c r="AF214" s="79" t="n">
        <x:v>1</x:v>
      </x:c>
      <x:c r="AG214" s="104" t="n">
        <x:v>2600000</x:v>
      </x:c>
      <x:c r="AH214" s="104"/>
      <x:c r="AI214" s="79"/>
    </x:row>
    <x:row r="215">
      <x:c r="A215" s="23" t="s">
        <x:v>276</x:v>
      </x:c>
      <x:c r="B215" s="24">
        <x:v>500</x:v>
      </x:c>
      <x:c r="C215" s="25" t="s">
        <x:v>16</x:v>
      </x:c>
      <x:c r="D215" s="26">
        <x:v>500</x:v>
      </x:c>
      <x:c r="E215" s="24"/>
      <x:c r="F215" s="25"/>
      <x:c r="G215" s="26"/>
      <x:c r="H215" s="25" t="str">
        <x:f t="shared" si="3"/>
        <x:v>فعال</x:v>
      </x:c>
      <x:c r="Y215" t="str">
        <x:f>IF(AND(LEN($K$2)&gt;=3,ISNUMBER(SEARCH($K$2,$A215))),MAX($Y$3:Y214)+1,"")</x:f>
      </x:c>
      <x:c r="Z215" s="79" t="str">
        <x:v>خشکبار و آجیل</x:v>
      </x:c>
      <x:c r="AA215" s="79" t="str">
        <x:v>6a37810ddf5573f4e676e201</x:v>
      </x:c>
      <x:c r="AB215" s="79" t="str">
        <x:v>dried-fruits-nuts</x:v>
      </x:c>
      <x:c r="AC215" s="79" t="str">
        <x:v>EDIBLE</x:v>
      </x:c>
      <x:c r="AD215" s="79" t="str">
        <x:v>بله</x:v>
      </x:c>
      <x:c r="AE215" s="79" t="str">
        <x:v>خیر</x:v>
      </x:c>
      <x:c r="AF215" s="79" t="n">
        <x:v>1</x:v>
      </x:c>
      <x:c r="AG215" s="104" t="n">
        <x:v>500000</x:v>
      </x:c>
      <x:c r="AH215" s="104"/>
      <x:c r="AI215" s="79" t="str">
        <x:v>MERGED</x:v>
      </x:c>
    </x:row>
    <x:row r="216">
      <x:c r="A216" s="23" t="s">
        <x:v>277</x:v>
      </x:c>
      <x:c r="B216" s="24">
        <x:v>650</x:v>
      </x:c>
      <x:c r="C216" s="25" t="s">
        <x:v>16</x:v>
      </x:c>
      <x:c r="D216" s="26">
        <x:v>650</x:v>
      </x:c>
      <x:c r="E216" s="24"/>
      <x:c r="F216" s="25"/>
      <x:c r="G216" s="26"/>
      <x:c r="H216" s="25" t="str">
        <x:f t="shared" si="3"/>
        <x:v>فعال</x:v>
      </x:c>
      <x:c r="Y216" t="str">
        <x:f>IF(AND(LEN($K$2)&gt;=3,ISNUMBER(SEARCH($K$2,$A216))),MAX($Y$3:Y215)+1,"")</x:f>
      </x:c>
      <x:c r="Z216" s="79" t="str">
        <x:v>خشکبار و آجیل</x:v>
      </x:c>
      <x:c r="AA216" s="79" t="str">
        <x:v>6a37810ddf5573f4e676e201</x:v>
      </x:c>
      <x:c r="AB216" s="79" t="str">
        <x:v>dried-fruits-nuts</x:v>
      </x:c>
      <x:c r="AC216" s="79" t="str">
        <x:v>EDIBLE</x:v>
      </x:c>
      <x:c r="AD216" s="79" t="str">
        <x:v>بله</x:v>
      </x:c>
      <x:c r="AE216" s="79" t="str">
        <x:v>خیر</x:v>
      </x:c>
      <x:c r="AF216" s="79" t="n">
        <x:v>1</x:v>
      </x:c>
      <x:c r="AG216" s="104" t="n">
        <x:v>650000</x:v>
      </x:c>
      <x:c r="AH216" s="104"/>
      <x:c r="AI216" s="79" t="str">
        <x:v>MERGED</x:v>
      </x:c>
    </x:row>
    <x:row r="217">
      <x:c r="A217" s="23" t="s">
        <x:v>278</x:v>
      </x:c>
      <x:c r="B217" s="24">
        <x:v>500</x:v>
      </x:c>
      <x:c r="C217" s="25" t="s">
        <x:v>16</x:v>
      </x:c>
      <x:c r="D217" s="26">
        <x:v>500</x:v>
      </x:c>
      <x:c r="E217" s="24"/>
      <x:c r="F217" s="25"/>
      <x:c r="G217" s="26"/>
      <x:c r="H217" s="25" t="str">
        <x:f t="shared" si="3"/>
        <x:v>فعال</x:v>
      </x:c>
      <x:c r="Y217" t="str">
        <x:f>IF(AND(LEN($K$2)&gt;=3,ISNUMBER(SEARCH($K$2,$A217))),MAX($Y$3:Y216)+1,"")</x:f>
      </x:c>
      <x:c r="Z217" s="79" t="str">
        <x:v>حبوبات و غلات</x:v>
      </x:c>
      <x:c r="AA217" s="79" t="str">
        <x:v>6a3a00000000000000000002</x:v>
      </x:c>
      <x:c r="AB217" s="79" t="str">
        <x:v>legumes-grains</x:v>
      </x:c>
      <x:c r="AC217" s="79" t="str">
        <x:v>EDIBLE</x:v>
      </x:c>
      <x:c r="AD217" s="79" t="str">
        <x:v>بله</x:v>
      </x:c>
      <x:c r="AE217" s="79" t="str">
        <x:v>خیر</x:v>
      </x:c>
      <x:c r="AF217" s="79" t="n">
        <x:v>1</x:v>
      </x:c>
      <x:c r="AG217" s="104" t="n">
        <x:v>500000</x:v>
      </x:c>
      <x:c r="AH217" s="104"/>
      <x:c r="AI217" s="79" t="str">
        <x:v>دسته از «نیاز به بررسی» به «حبوبات و غلات» اصلاح شد</x:v>
      </x:c>
    </x:row>
    <x:row r="218">
      <x:c r="A218" s="23" t="s">
        <x:v>279</x:v>
      </x:c>
      <x:c r="B218" s="24">
        <x:v>500</x:v>
      </x:c>
      <x:c r="C218" s="25" t="s">
        <x:v>16</x:v>
      </x:c>
      <x:c r="D218" s="26">
        <x:v>500</x:v>
      </x:c>
      <x:c r="E218" s="24"/>
      <x:c r="F218" s="25"/>
      <x:c r="G218" s="26"/>
      <x:c r="H218" s="25" t="str">
        <x:f t="shared" si="3"/>
        <x:v>فعال</x:v>
      </x:c>
      <x:c r="Y218" t="str">
        <x:f>IF(AND(LEN($K$2)&gt;=3,ISNUMBER(SEARCH($K$2,$A218))),MAX($Y$3:Y217)+1,"")</x:f>
      </x:c>
      <x:c r="Z218" s="79" t="str">
        <x:v>حبوبات و غلات</x:v>
      </x:c>
      <x:c r="AA218" s="79" t="str">
        <x:v>6a3a00000000000000000002</x:v>
      </x:c>
      <x:c r="AB218" s="79" t="str">
        <x:v>legumes-grains</x:v>
      </x:c>
      <x:c r="AC218" s="79" t="str">
        <x:v>EDIBLE</x:v>
      </x:c>
      <x:c r="AD218" s="79" t="str">
        <x:v>بله</x:v>
      </x:c>
      <x:c r="AE218" s="79" t="str">
        <x:v>خیر</x:v>
      </x:c>
      <x:c r="AF218" s="79" t="n">
        <x:v>1</x:v>
      </x:c>
      <x:c r="AG218" s="104" t="n">
        <x:v>500000</x:v>
      </x:c>
      <x:c r="AH218" s="104"/>
      <x:c r="AI218" s="79"/>
    </x:row>
    <x:row r="219">
      <x:c r="A219" s="23" t="s">
        <x:v>280</x:v>
      </x:c>
      <x:c r="B219" s="24">
        <x:v>450</x:v>
      </x:c>
      <x:c r="C219" s="25" t="s">
        <x:v>16</x:v>
      </x:c>
      <x:c r="D219" s="26">
        <x:v>450</x:v>
      </x:c>
      <x:c r="E219" s="24"/>
      <x:c r="F219" s="25"/>
      <x:c r="G219" s="26"/>
      <x:c r="H219" s="25" t="str">
        <x:f t="shared" si="3"/>
        <x:v>فعال</x:v>
      </x:c>
      <x:c r="Y219" t="str">
        <x:f>IF(AND(LEN($K$2)&gt;=3,ISNUMBER(SEARCH($K$2,$A219))),MAX($Y$3:Y218)+1,"")</x:f>
      </x:c>
      <x:c r="Z219" s="79" t="str">
        <x:v>حبوبات و غلات</x:v>
      </x:c>
      <x:c r="AA219" s="79" t="str">
        <x:v>6a3a00000000000000000002</x:v>
      </x:c>
      <x:c r="AB219" s="79" t="str">
        <x:v>legumes-grains</x:v>
      </x:c>
      <x:c r="AC219" s="79" t="str">
        <x:v>EDIBLE</x:v>
      </x:c>
      <x:c r="AD219" s="79" t="str">
        <x:v>بله</x:v>
      </x:c>
      <x:c r="AE219" s="79" t="str">
        <x:v>خیر</x:v>
      </x:c>
      <x:c r="AF219" s="79" t="n">
        <x:v>1</x:v>
      </x:c>
      <x:c r="AG219" s="104" t="n">
        <x:v>450000</x:v>
      </x:c>
      <x:c r="AH219" s="104"/>
      <x:c r="AI219" s="79"/>
    </x:row>
    <x:row r="220">
      <x:c r="A220" s="23" t="s">
        <x:v>281</x:v>
      </x:c>
      <x:c r="B220" s="24">
        <x:v>380</x:v>
      </x:c>
      <x:c r="C220" s="25" t="s">
        <x:v>16</x:v>
      </x:c>
      <x:c r="D220" s="26">
        <x:v>380</x:v>
      </x:c>
      <x:c r="E220" s="24"/>
      <x:c r="F220" s="25"/>
      <x:c r="G220" s="26"/>
      <x:c r="H220" s="25" t="str">
        <x:f t="shared" si="3"/>
        <x:v>فعال</x:v>
      </x:c>
      <x:c r="Y220" t="str">
        <x:f>IF(AND(LEN($K$2)&gt;=3,ISNUMBER(SEARCH($K$2,$A220))),MAX($Y$3:Y219)+1,"")</x:f>
      </x:c>
      <x:c r="Z220" s="79" t="str">
        <x:v>حبوبات و غلات</x:v>
      </x:c>
      <x:c r="AA220" s="79" t="str">
        <x:v>6a3a00000000000000000002</x:v>
      </x:c>
      <x:c r="AB220" s="79" t="str">
        <x:v>legumes-grains</x:v>
      </x:c>
      <x:c r="AC220" s="79" t="str">
        <x:v>EDIBLE</x:v>
      </x:c>
      <x:c r="AD220" s="79" t="str">
        <x:v>بله</x:v>
      </x:c>
      <x:c r="AE220" s="79" t="str">
        <x:v>خیر</x:v>
      </x:c>
      <x:c r="AF220" s="79" t="n">
        <x:v>1</x:v>
      </x:c>
      <x:c r="AG220" s="104" t="n">
        <x:v>380000</x:v>
      </x:c>
      <x:c r="AH220" s="104"/>
      <x:c r="AI220" s="79"/>
    </x:row>
    <x:row r="221">
      <x:c r="A221" s="23" t="s">
        <x:v>282</x:v>
      </x:c>
      <x:c r="B221" s="24">
        <x:v>450</x:v>
      </x:c>
      <x:c r="C221" s="25" t="s">
        <x:v>16</x:v>
      </x:c>
      <x:c r="D221" s="26">
        <x:v>450</x:v>
      </x:c>
      <x:c r="E221" s="24"/>
      <x:c r="F221" s="25"/>
      <x:c r="G221" s="26"/>
      <x:c r="H221" s="25" t="str">
        <x:f t="shared" si="3"/>
        <x:v>فعال</x:v>
      </x:c>
      <x:c r="Y221" t="str">
        <x:f>IF(AND(LEN($K$2)&gt;=3,ISNUMBER(SEARCH($K$2,$A221))),MAX($Y$3:Y220)+1,"")</x:f>
      </x:c>
      <x:c r="Z221" s="79" t="str">
        <x:v>حبوبات و غلات</x:v>
      </x:c>
      <x:c r="AA221" s="79" t="str">
        <x:v>6a3a00000000000000000002</x:v>
      </x:c>
      <x:c r="AB221" s="79" t="str">
        <x:v>legumes-grains</x:v>
      </x:c>
      <x:c r="AC221" s="79" t="str">
        <x:v>EDIBLE</x:v>
      </x:c>
      <x:c r="AD221" s="79" t="str">
        <x:v>بله</x:v>
      </x:c>
      <x:c r="AE221" s="79" t="str">
        <x:v>خیر</x:v>
      </x:c>
      <x:c r="AF221" s="79" t="n">
        <x:v>1</x:v>
      </x:c>
      <x:c r="AG221" s="104" t="n">
        <x:v>450000</x:v>
      </x:c>
      <x:c r="AH221" s="104"/>
      <x:c r="AI221" s="79"/>
    </x:row>
    <x:row r="222">
      <x:c r="A222" s="23" t="s">
        <x:v>283</x:v>
      </x:c>
      <x:c r="B222" s="24" t="s">
        <x:v>189</x:v>
      </x:c>
      <x:c r="C222" s="25" t="s">
        <x:v>16</x:v>
      </x:c>
      <x:c r="D222" s="26" t="s">
        <x:v>189</x:v>
      </x:c>
      <x:c r="E222" s="24"/>
      <x:c r="F222" s="25"/>
      <x:c r="G222" s="26"/>
      <x:c r="H222" s="25" t="str">
        <x:f t="shared" si="3"/>
        <x:v>فعال</x:v>
      </x:c>
      <x:c r="Y222" t="str">
        <x:f>IF(AND(LEN($K$2)&gt;=3,ISNUMBER(SEARCH($K$2,$A222))),MAX($Y$3:Y221)+1,"")</x:f>
      </x:c>
      <x:c r="Z222" s="79" t="str">
        <x:v>گیاهان دارویی</x:v>
      </x:c>
      <x:c r="AA222" s="79" t="str">
        <x:v>6a3782d7df5573f4e676e243</x:v>
      </x:c>
      <x:c r="AB222" s="79" t="str">
        <x:v>medicinal-plants</x:v>
      </x:c>
      <x:c r="AC222" s="79" t="str">
        <x:v>EDIBLE</x:v>
      </x:c>
      <x:c r="AD222" s="79" t="str">
        <x:v>بله</x:v>
      </x:c>
      <x:c r="AE222" s="79" t="str">
        <x:v>خیر</x:v>
      </x:c>
      <x:c r="AF222" s="79" t="n">
        <x:v>1</x:v>
      </x:c>
      <x:c r="AG222" s="104" t="n">
        <x:v>1300000</x:v>
      </x:c>
      <x:c r="AH222" s="104"/>
      <x:c r="AI222" s="79" t="str">
        <x:v>دسته از «نیاز به بررسی» به «گیاهان دارویی» اصلاح شد</x:v>
      </x:c>
    </x:row>
    <x:row r="223">
      <x:c r="A223" s="23" t="s">
        <x:v>284</x:v>
      </x:c>
      <x:c r="B223" s="24">
        <x:v>800</x:v>
      </x:c>
      <x:c r="C223" s="25" t="s">
        <x:v>16</x:v>
      </x:c>
      <x:c r="D223" s="26">
        <x:v>800</x:v>
      </x:c>
      <x:c r="E223" s="24"/>
      <x:c r="F223" s="25"/>
      <x:c r="G223" s="26"/>
      <x:c r="H223" s="25" t="str">
        <x:f t="shared" si="3"/>
        <x:v>فعال</x:v>
      </x:c>
      <x:c r="Y223" t="str">
        <x:f>IF(AND(LEN($K$2)&gt;=3,ISNUMBER(SEARCH($K$2,$A223))),MAX($Y$3:Y222)+1,"")</x:f>
      </x:c>
      <x:c r="Z223" s="79" t="str">
        <x:v>ادویه</x:v>
      </x:c>
      <x:c r="AA223" s="79" t="str">
        <x:v>6a3781e4df5573f4e676e226</x:v>
      </x:c>
      <x:c r="AB223" s="79" t="str">
        <x:v>spice</x:v>
      </x:c>
      <x:c r="AC223" s="79" t="str">
        <x:v>EDIBLE</x:v>
      </x:c>
      <x:c r="AD223" s="79" t="str">
        <x:v>بله</x:v>
      </x:c>
      <x:c r="AE223" s="79" t="str">
        <x:v>خیر</x:v>
      </x:c>
      <x:c r="AF223" s="79" t="n">
        <x:v>1</x:v>
      </x:c>
      <x:c r="AG223" s="104" t="n">
        <x:v>800000</x:v>
      </x:c>
      <x:c r="AH223" s="104"/>
      <x:c r="AI223" s="79"/>
    </x:row>
    <x:row r="224">
      <x:c r="A224" s="23" t="s">
        <x:v>285</x:v>
      </x:c>
      <x:c r="B224" s="24" t="s">
        <x:v>23</x:v>
      </x:c>
      <x:c r="C224" s="25" t="s">
        <x:v>16</x:v>
      </x:c>
      <x:c r="D224" s="26" t="s">
        <x:v>23</x:v>
      </x:c>
      <x:c r="E224" s="24"/>
      <x:c r="F224" s="25"/>
      <x:c r="G224" s="26"/>
      <x:c r="H224" s="25" t="str">
        <x:f t="shared" si="3"/>
        <x:v>فعال</x:v>
      </x:c>
      <x:c r="Y224" t="str">
        <x:f>IF(AND(LEN($K$2)&gt;=3,ISNUMBER(SEARCH($K$2,$A224))),MAX($Y$3:Y223)+1,"")</x:f>
      </x:c>
      <x:c r="Z224" s="79" t="str">
        <x:v>ادویه</x:v>
      </x:c>
      <x:c r="AA224" s="79" t="str">
        <x:v>6a3781e4df5573f4e676e226</x:v>
      </x:c>
      <x:c r="AB224" s="79" t="str">
        <x:v>spice</x:v>
      </x:c>
      <x:c r="AC224" s="79" t="str">
        <x:v>EDIBLE</x:v>
      </x:c>
      <x:c r="AD224" s="79" t="str">
        <x:v>بله</x:v>
      </x:c>
      <x:c r="AE224" s="79" t="str">
        <x:v>خیر</x:v>
      </x:c>
      <x:c r="AF224" s="79" t="n">
        <x:v>1</x:v>
      </x:c>
      <x:c r="AG224" s="104" t="n">
        <x:v>1100000</x:v>
      </x:c>
      <x:c r="AH224" s="104"/>
      <x:c r="AI224" s="79"/>
    </x:row>
    <x:row r="225">
      <x:c r="A225" s="23" t="s">
        <x:v>286</x:v>
      </x:c>
      <x:c r="B225" s="24" t="s">
        <x:v>54</x:v>
      </x:c>
      <x:c r="C225" s="25" t="s">
        <x:v>16</x:v>
      </x:c>
      <x:c r="D225" s="26" t="s">
        <x:v>54</x:v>
      </x:c>
      <x:c r="E225" s="24"/>
      <x:c r="F225" s="25"/>
      <x:c r="G225" s="26"/>
      <x:c r="H225" s="25" t="str">
        <x:f t="shared" si="3"/>
        <x:v>نیاز به استعلام</x:v>
      </x:c>
      <x:c r="Y225" t="str">
        <x:f>IF(AND(LEN($K$2)&gt;=3,ISNUMBER(SEARCH($K$2,$A225))),MAX($Y$3:Y224)+1,"")</x:f>
      </x:c>
      <x:c r="Z225" s="79" t="str">
        <x:v>ادویه</x:v>
      </x:c>
      <x:c r="AA225" s="79" t="str">
        <x:v>6a3781e4df5573f4e676e226</x:v>
      </x:c>
      <x:c r="AB225" s="79" t="str">
        <x:v>spice</x:v>
      </x:c>
      <x:c r="AC225" s="79" t="str">
        <x:v>EDIBLE</x:v>
      </x:c>
      <x:c r="AD225" s="79" t="str">
        <x:v>بله</x:v>
      </x:c>
      <x:c r="AE225" s="79" t="str">
        <x:v>خیر</x:v>
      </x:c>
      <x:c r="AF225" s="79" t="n">
        <x:v>1</x:v>
      </x:c>
      <x:c r="AG225" s="104"/>
      <x:c r="AH225" s="104"/>
      <x:c r="AI225" s="79" t="str">
        <x:v>MISSING_PRICE_REVIEW</x:v>
      </x:c>
    </x:row>
    <x:row r="226">
      <x:c r="A226" s="23" t="s">
        <x:v>287</x:v>
      </x:c>
      <x:c r="B226" s="24" t="s">
        <x:v>54</x:v>
      </x:c>
      <x:c r="C226" s="25" t="s">
        <x:v>16</x:v>
      </x:c>
      <x:c r="D226" s="26" t="s">
        <x:v>54</x:v>
      </x:c>
      <x:c r="E226" s="24"/>
      <x:c r="F226" s="25"/>
      <x:c r="G226" s="26"/>
      <x:c r="H226" s="25" t="str">
        <x:f t="shared" si="3"/>
        <x:v>نیاز به استعلام</x:v>
      </x:c>
      <x:c r="Y226" t="str">
        <x:f>IF(AND(LEN($K$2)&gt;=3,ISNUMBER(SEARCH($K$2,$A226))),MAX($Y$3:Y225)+1,"")</x:f>
      </x:c>
      <x:c r="Z226" s="79" t="str">
        <x:v>نوشیدنی‌ها</x:v>
      </x:c>
      <x:c r="AA226" s="79" t="str">
        <x:v>6a3782ffdf5573f4e676e24b</x:v>
      </x:c>
      <x:c r="AB226" s="79" t="str">
        <x:v>syrup</x:v>
      </x:c>
      <x:c r="AC226" s="79" t="str">
        <x:v>EDIBLE</x:v>
      </x:c>
      <x:c r="AD226" s="79" t="str">
        <x:v>بله</x:v>
      </x:c>
      <x:c r="AE226" s="79" t="str">
        <x:v>خیر</x:v>
      </x:c>
      <x:c r="AF226" s="79" t="n">
        <x:v>1</x:v>
      </x:c>
      <x:c r="AG226" s="104"/>
      <x:c r="AH226" s="104"/>
      <x:c r="AI226" s="79" t="str">
        <x:v>MISSING_PRICE_REVIEW</x:v>
      </x:c>
    </x:row>
    <x:row r="227">
      <x:c r="A227" s="23" t="s">
        <x:v>288</x:v>
      </x:c>
      <x:c r="B227" s="24">
        <x:v>250</x:v>
      </x:c>
      <x:c r="C227" s="25" t="s">
        <x:v>56</x:v>
      </x:c>
      <x:c r="D227" s="26">
        <x:v>250</x:v>
      </x:c>
      <x:c r="E227" s="24">
        <x:v>500</x:v>
      </x:c>
      <x:c r="F227" s="25" t="s">
        <x:v>57</x:v>
      </x:c>
      <x:c r="G227" s="26">
        <x:v>500</x:v>
      </x:c>
      <x:c r="H227" s="25" t="str">
        <x:f t="shared" si="3"/>
        <x:v>فعال</x:v>
      </x:c>
      <x:c r="Y227" t="str">
        <x:f>IF(AND(LEN($K$2)&gt;=3,ISNUMBER(SEARCH($K$2,$A227))),MAX($Y$3:Y226)+1,"")</x:f>
      </x:c>
      <x:c r="Z227" s="79" t="str">
        <x:v>نوشیدنی‌ها</x:v>
      </x:c>
      <x:c r="AA227" s="79" t="str">
        <x:v>6a3782ffdf5573f4e676e24b</x:v>
      </x:c>
      <x:c r="AB227" s="79" t="str">
        <x:v>syrup</x:v>
      </x:c>
      <x:c r="AC227" s="79" t="str">
        <x:v>EDIBLE</x:v>
      </x:c>
      <x:c r="AD227" s="79" t="str">
        <x:v>بله</x:v>
      </x:c>
      <x:c r="AE227" s="79" t="str">
        <x:v>بله</x:v>
      </x:c>
      <x:c r="AF227" s="79" t="n">
        <x:v>2</x:v>
      </x:c>
      <x:c r="AG227" s="104" t="n">
        <x:v>250000</x:v>
      </x:c>
      <x:c r="AH227" s="104" t="n">
        <x:v>500000</x:v>
      </x:c>
      <x:c r="AI227" s="79"/>
    </x:row>
    <x:row r="228">
      <x:c r="A228" s="23" t="s">
        <x:v>289</x:v>
      </x:c>
      <x:c r="B228" s="24">
        <x:v>155</x:v>
      </x:c>
      <x:c r="C228" s="25" t="s">
        <x:v>56</x:v>
      </x:c>
      <x:c r="D228" s="26">
        <x:v>155</x:v>
      </x:c>
      <x:c r="E228" s="24">
        <x:v>295</x:v>
      </x:c>
      <x:c r="F228" s="25" t="s">
        <x:v>57</x:v>
      </x:c>
      <x:c r="G228" s="26">
        <x:v>295</x:v>
      </x:c>
      <x:c r="H228" s="25" t="str">
        <x:f t="shared" si="3"/>
        <x:v>فعال</x:v>
      </x:c>
      <x:c r="Y228" t="str">
        <x:f>IF(AND(LEN($K$2)&gt;=3,ISNUMBER(SEARCH($K$2,$A228))),MAX($Y$3:Y227)+1,"")</x:f>
      </x:c>
      <x:c r="Z228" s="79" t="str">
        <x:v>نوشیدنی‌ها</x:v>
      </x:c>
      <x:c r="AA228" s="79" t="str">
        <x:v>6a3782ffdf5573f4e676e24b</x:v>
      </x:c>
      <x:c r="AB228" s="79" t="str">
        <x:v>syrup</x:v>
      </x:c>
      <x:c r="AC228" s="79" t="str">
        <x:v>EDIBLE</x:v>
      </x:c>
      <x:c r="AD228" s="79" t="str">
        <x:v>بله</x:v>
      </x:c>
      <x:c r="AE228" s="79" t="str">
        <x:v>بله</x:v>
      </x:c>
      <x:c r="AF228" s="79" t="n">
        <x:v>2</x:v>
      </x:c>
      <x:c r="AG228" s="104" t="n">
        <x:v>155000</x:v>
      </x:c>
      <x:c r="AH228" s="104" t="n">
        <x:v>295000</x:v>
      </x:c>
      <x:c r="AI228" s="79"/>
    </x:row>
    <x:row r="229">
      <x:c r="A229" s="23" t="s">
        <x:v>290</x:v>
      </x:c>
      <x:c r="B229" s="24" t="s">
        <x:v>54</x:v>
      </x:c>
      <x:c r="C229" s="25" t="s">
        <x:v>16</x:v>
      </x:c>
      <x:c r="D229" s="26" t="s">
        <x:v>54</x:v>
      </x:c>
      <x:c r="E229" s="24"/>
      <x:c r="F229" s="25"/>
      <x:c r="G229" s="26"/>
      <x:c r="H229" s="25" t="str">
        <x:f t="shared" si="3"/>
        <x:v>نیاز به استعلام</x:v>
      </x:c>
      <x:c r="Y229" t="str">
        <x:f>IF(AND(LEN($K$2)&gt;=3,ISNUMBER(SEARCH($K$2,$A229))),MAX($Y$3:Y228)+1,"")</x:f>
      </x:c>
      <x:c r="Z229" s="79" t="str">
        <x:v>قنادی و شیرینی</x:v>
      </x:c>
      <x:c r="AA229" s="79" t="str">
        <x:v>6a3a00000000000000000003</x:v>
      </x:c>
      <x:c r="AB229" s="79" t="str">
        <x:v>confectionery</x:v>
      </x:c>
      <x:c r="AC229" s="79" t="str">
        <x:v>EDIBLE</x:v>
      </x:c>
      <x:c r="AD229" s="79" t="str">
        <x:v>بله</x:v>
      </x:c>
      <x:c r="AE229" s="79" t="str">
        <x:v>خیر</x:v>
      </x:c>
      <x:c r="AF229" s="79" t="n">
        <x:v>1</x:v>
      </x:c>
      <x:c r="AG229" s="104"/>
      <x:c r="AH229" s="104"/>
      <x:c r="AI229" s="79" t="str">
        <x:v>MISSING_PRICE_REVIEW</x:v>
      </x:c>
    </x:row>
    <x:row r="230">
      <x:c r="A230" s="23" t="s">
        <x:v>291</x:v>
      </x:c>
      <x:c r="B230" s="24">
        <x:v>190</x:v>
      </x:c>
      <x:c r="C230" s="25" t="s">
        <x:v>16</x:v>
      </x:c>
      <x:c r="D230" s="26">
        <x:v>190</x:v>
      </x:c>
      <x:c r="E230" s="24"/>
      <x:c r="F230" s="25"/>
      <x:c r="G230" s="26"/>
      <x:c r="H230" s="25" t="str">
        <x:f t="shared" si="3"/>
        <x:v>فعال</x:v>
      </x:c>
      <x:c r="Y230" t="str">
        <x:f>IF(AND(LEN($K$2)&gt;=3,ISNUMBER(SEARCH($K$2,$A230))),MAX($Y$3:Y229)+1,"")</x:f>
      </x:c>
      <x:c r="Z230" s="79" t="str">
        <x:v>قنادی و شیرینی</x:v>
      </x:c>
      <x:c r="AA230" s="79" t="str">
        <x:v>6a3a00000000000000000003</x:v>
      </x:c>
      <x:c r="AB230" s="79" t="str">
        <x:v>confectionery</x:v>
      </x:c>
      <x:c r="AC230" s="79" t="str">
        <x:v>EDIBLE</x:v>
      </x:c>
      <x:c r="AD230" s="79" t="str">
        <x:v>بله</x:v>
      </x:c>
      <x:c r="AE230" s="79" t="str">
        <x:v>خیر</x:v>
      </x:c>
      <x:c r="AF230" s="79" t="n">
        <x:v>1</x:v>
      </x:c>
      <x:c r="AG230" s="104" t="n">
        <x:v>190000</x:v>
      </x:c>
      <x:c r="AH230" s="104"/>
      <x:c r="AI230" s="79"/>
    </x:row>
    <x:row r="231">
      <x:c r="A231" s="23" t="s">
        <x:v>292</x:v>
      </x:c>
      <x:c r="B231" s="24">
        <x:v>700</x:v>
      </x:c>
      <x:c r="C231" s="25" t="s">
        <x:v>16</x:v>
      </x:c>
      <x:c r="D231" s="26">
        <x:v>700</x:v>
      </x:c>
      <x:c r="E231" s="24"/>
      <x:c r="F231" s="25"/>
      <x:c r="G231" s="26"/>
      <x:c r="H231" s="25" t="str">
        <x:f t="shared" si="3"/>
        <x:v>فعال</x:v>
      </x:c>
      <x:c r="Y231" t="str">
        <x:f>IF(AND(LEN($K$2)&gt;=3,ISNUMBER(SEARCH($K$2,$A231))),MAX($Y$3:Y230)+1,"")</x:f>
      </x:c>
      <x:c r="Z231" s="79" t="str">
        <x:v>قنادی و شیرینی</x:v>
      </x:c>
      <x:c r="AA231" s="79" t="str">
        <x:v>6a3a00000000000000000003</x:v>
      </x:c>
      <x:c r="AB231" s="79" t="str">
        <x:v>confectionery</x:v>
      </x:c>
      <x:c r="AC231" s="79" t="str">
        <x:v>EDIBLE</x:v>
      </x:c>
      <x:c r="AD231" s="79" t="str">
        <x:v>بله</x:v>
      </x:c>
      <x:c r="AE231" s="79" t="str">
        <x:v>خیر</x:v>
      </x:c>
      <x:c r="AF231" s="79" t="n">
        <x:v>1</x:v>
      </x:c>
      <x:c r="AG231" s="104" t="n">
        <x:v>700000</x:v>
      </x:c>
      <x:c r="AH231" s="104"/>
      <x:c r="AI231" s="79"/>
    </x:row>
    <x:row r="232">
      <x:c r="A232" s="23" t="s">
        <x:v>293</x:v>
      </x:c>
      <x:c r="B232" s="24">
        <x:v>890</x:v>
      </x:c>
      <x:c r="C232" s="25" t="s">
        <x:v>16</x:v>
      </x:c>
      <x:c r="D232" s="26">
        <x:v>890</x:v>
      </x:c>
      <x:c r="E232" s="24"/>
      <x:c r="F232" s="25"/>
      <x:c r="G232" s="26"/>
      <x:c r="H232" s="25" t="str">
        <x:f t="shared" si="3"/>
        <x:v>فعال</x:v>
      </x:c>
      <x:c r="Y232" t="str">
        <x:f>IF(AND(LEN($K$2)&gt;=3,ISNUMBER(SEARCH($K$2,$A232))),MAX($Y$3:Y231)+1,"")</x:f>
      </x:c>
      <x:c r="Z232" s="79" t="str">
        <x:v>قنادی و شیرینی</x:v>
      </x:c>
      <x:c r="AA232" s="79" t="str">
        <x:v>6a3a00000000000000000003</x:v>
      </x:c>
      <x:c r="AB232" s="79" t="str">
        <x:v>confectionery</x:v>
      </x:c>
      <x:c r="AC232" s="79" t="str">
        <x:v>EDIBLE</x:v>
      </x:c>
      <x:c r="AD232" s="79" t="str">
        <x:v>بله</x:v>
      </x:c>
      <x:c r="AE232" s="79" t="str">
        <x:v>خیر</x:v>
      </x:c>
      <x:c r="AF232" s="79" t="n">
        <x:v>1</x:v>
      </x:c>
      <x:c r="AG232" s="104" t="n">
        <x:v>890000</x:v>
      </x:c>
      <x:c r="AH232" s="104"/>
      <x:c r="AI232" s="79"/>
    </x:row>
    <x:row r="233">
      <x:c r="A233" s="23" t="s">
        <x:v>294</x:v>
      </x:c>
      <x:c r="B233" s="24">
        <x:v>890</x:v>
      </x:c>
      <x:c r="C233" s="25" t="s">
        <x:v>16</x:v>
      </x:c>
      <x:c r="D233" s="26">
        <x:v>890</x:v>
      </x:c>
      <x:c r="E233" s="24"/>
      <x:c r="F233" s="25"/>
      <x:c r="G233" s="26"/>
      <x:c r="H233" s="25" t="str">
        <x:f t="shared" si="3"/>
        <x:v>فعال</x:v>
      </x:c>
      <x:c r="Y233" t="str">
        <x:f>IF(AND(LEN($K$2)&gt;=3,ISNUMBER(SEARCH($K$2,$A233))),MAX($Y$3:Y232)+1,"")</x:f>
      </x:c>
      <x:c r="Z233" s="79" t="str">
        <x:v>قنادی و شیرینی</x:v>
      </x:c>
      <x:c r="AA233" s="79" t="str">
        <x:v>6a3a00000000000000000003</x:v>
      </x:c>
      <x:c r="AB233" s="79" t="str">
        <x:v>confectionery</x:v>
      </x:c>
      <x:c r="AC233" s="79" t="str">
        <x:v>EDIBLE</x:v>
      </x:c>
      <x:c r="AD233" s="79" t="str">
        <x:v>بله</x:v>
      </x:c>
      <x:c r="AE233" s="79" t="str">
        <x:v>خیر</x:v>
      </x:c>
      <x:c r="AF233" s="79" t="n">
        <x:v>1</x:v>
      </x:c>
      <x:c r="AG233" s="104" t="n">
        <x:v>890000</x:v>
      </x:c>
      <x:c r="AH233" s="104"/>
      <x:c r="AI233" s="79"/>
    </x:row>
    <x:row r="234">
      <x:c r="A234" s="23" t="s">
        <x:v>295</x:v>
      </x:c>
      <x:c r="B234" s="24" t="s">
        <x:v>54</x:v>
      </x:c>
      <x:c r="C234" s="25" t="s">
        <x:v>16</x:v>
      </x:c>
      <x:c r="D234" s="26" t="s">
        <x:v>54</x:v>
      </x:c>
      <x:c r="E234" s="24"/>
      <x:c r="F234" s="25"/>
      <x:c r="G234" s="26"/>
      <x:c r="H234" s="25" t="str">
        <x:f t="shared" si="3"/>
        <x:v>نیاز به استعلام</x:v>
      </x:c>
      <x:c r="Y234" t="str">
        <x:f>IF(AND(LEN($K$2)&gt;=3,ISNUMBER(SEARCH($K$2,$A234))),MAX($Y$3:Y233)+1,"")</x:f>
      </x:c>
      <x:c r="Z234" s="79" t="str">
        <x:v>گیاهان دارویی</x:v>
      </x:c>
      <x:c r="AA234" s="79" t="str">
        <x:v>6a3782d7df5573f4e676e243</x:v>
      </x:c>
      <x:c r="AB234" s="79" t="str">
        <x:v>medicinal-plants</x:v>
      </x:c>
      <x:c r="AC234" s="79" t="str">
        <x:v>EDIBLE</x:v>
      </x:c>
      <x:c r="AD234" s="79" t="str">
        <x:v>بله</x:v>
      </x:c>
      <x:c r="AE234" s="79" t="str">
        <x:v>خیر</x:v>
      </x:c>
      <x:c r="AF234" s="79" t="n">
        <x:v>1</x:v>
      </x:c>
      <x:c r="AG234" s="104"/>
      <x:c r="AH234" s="104"/>
      <x:c r="AI234" s="79" t="str">
        <x:v>MISSING_PRICE_REVIEW</x:v>
      </x:c>
    </x:row>
    <x:row r="235">
      <x:c r="A235" s="23" t="s">
        <x:v>296</x:v>
      </x:c>
      <x:c r="B235" s="24">
        <x:v>650</x:v>
      </x:c>
      <x:c r="C235" s="25" t="s">
        <x:v>16</x:v>
      </x:c>
      <x:c r="D235" s="26">
        <x:v>650</x:v>
      </x:c>
      <x:c r="E235" s="24"/>
      <x:c r="F235" s="25"/>
      <x:c r="G235" s="26"/>
      <x:c r="H235" s="25" t="str">
        <x:f t="shared" si="3"/>
        <x:v>فعال</x:v>
      </x:c>
      <x:c r="Y235" t="str">
        <x:f>IF(AND(LEN($K$2)&gt;=3,ISNUMBER(SEARCH($K$2,$A235))),MAX($Y$3:Y234)+1,"")</x:f>
      </x:c>
      <x:c r="Z235" s="79" t="str">
        <x:v>گیاهان دارویی</x:v>
      </x:c>
      <x:c r="AA235" s="79" t="str">
        <x:v>6a3782d7df5573f4e676e243</x:v>
      </x:c>
      <x:c r="AB235" s="79" t="str">
        <x:v>medicinal-plants</x:v>
      </x:c>
      <x:c r="AC235" s="79" t="str">
        <x:v>EDIBLE</x:v>
      </x:c>
      <x:c r="AD235" s="79" t="str">
        <x:v>بله</x:v>
      </x:c>
      <x:c r="AE235" s="79" t="str">
        <x:v>خیر</x:v>
      </x:c>
      <x:c r="AF235" s="79" t="n">
        <x:v>1</x:v>
      </x:c>
      <x:c r="AG235" s="104" t="n">
        <x:v>650000</x:v>
      </x:c>
      <x:c r="AH235" s="104"/>
      <x:c r="AI235" s="79"/>
    </x:row>
    <x:row r="236">
      <x:c r="A236" s="23" t="s">
        <x:v>297</x:v>
      </x:c>
      <x:c r="B236" s="24">
        <x:v>700</x:v>
      </x:c>
      <x:c r="C236" s="25" t="s">
        <x:v>16</x:v>
      </x:c>
      <x:c r="D236" s="26">
        <x:v>700</x:v>
      </x:c>
      <x:c r="E236" s="24"/>
      <x:c r="F236" s="25"/>
      <x:c r="G236" s="26"/>
      <x:c r="H236" s="25" t="str">
        <x:f t="shared" si="3"/>
        <x:v>فعال</x:v>
      </x:c>
      <x:c r="Y236" t="str">
        <x:f>IF(AND(LEN($K$2)&gt;=3,ISNUMBER(SEARCH($K$2,$A236))),MAX($Y$3:Y235)+1,"")</x:f>
      </x:c>
      <x:c r="Z236" s="79" t="str">
        <x:v>گیاهان دارویی</x:v>
      </x:c>
      <x:c r="AA236" s="79" t="str">
        <x:v>6a3782d7df5573f4e676e243</x:v>
      </x:c>
      <x:c r="AB236" s="79" t="str">
        <x:v>medicinal-plants</x:v>
      </x:c>
      <x:c r="AC236" s="79" t="str">
        <x:v>EDIBLE</x:v>
      </x:c>
      <x:c r="AD236" s="79" t="str">
        <x:v>بله</x:v>
      </x:c>
      <x:c r="AE236" s="79" t="str">
        <x:v>خیر</x:v>
      </x:c>
      <x:c r="AF236" s="79" t="n">
        <x:v>1</x:v>
      </x:c>
      <x:c r="AG236" s="104" t="n">
        <x:v>700000</x:v>
      </x:c>
      <x:c r="AH236" s="104"/>
      <x:c r="AI236" s="79" t="str">
        <x:v>دسته از «خشکبار و آجیل» به «گیاهان دارویی» اصلاح شد</x:v>
      </x:c>
    </x:row>
    <x:row r="237">
      <x:c r="A237" s="23" t="s">
        <x:v>298</x:v>
      </x:c>
      <x:c r="B237" s="24">
        <x:v>950</x:v>
      </x:c>
      <x:c r="C237" s="25" t="s">
        <x:v>16</x:v>
      </x:c>
      <x:c r="D237" s="26">
        <x:v>950</x:v>
      </x:c>
      <x:c r="E237" s="24"/>
      <x:c r="F237" s="25"/>
      <x:c r="G237" s="26"/>
      <x:c r="H237" s="25" t="str">
        <x:f t="shared" si="3"/>
        <x:v>فعال</x:v>
      </x:c>
      <x:c r="Y237" t="str">
        <x:f>IF(AND(LEN($K$2)&gt;=3,ISNUMBER(SEARCH($K$2,$A237))),MAX($Y$3:Y236)+1,"")</x:f>
      </x:c>
      <x:c r="Z237" s="79" t="str">
        <x:v>گیاهان دارویی</x:v>
      </x:c>
      <x:c r="AA237" s="79" t="str">
        <x:v>6a3782d7df5573f4e676e243</x:v>
      </x:c>
      <x:c r="AB237" s="79" t="str">
        <x:v>medicinal-plants</x:v>
      </x:c>
      <x:c r="AC237" s="79" t="str">
        <x:v>EDIBLE</x:v>
      </x:c>
      <x:c r="AD237" s="79" t="str">
        <x:v>بله</x:v>
      </x:c>
      <x:c r="AE237" s="79" t="str">
        <x:v>خیر</x:v>
      </x:c>
      <x:c r="AF237" s="79" t="n">
        <x:v>1</x:v>
      </x:c>
      <x:c r="AG237" s="104" t="n">
        <x:v>950000</x:v>
      </x:c>
      <x:c r="AH237" s="104"/>
      <x:c r="AI237" s="79" t="str">
        <x:v>دسته از «نیاز به بررسی» به «گیاهان دارویی» اصلاح شد</x:v>
      </x:c>
    </x:row>
    <x:row r="238">
      <x:c r="A238" s="23" t="s">
        <x:v>299</x:v>
      </x:c>
      <x:c r="B238" s="24">
        <x:v>980</x:v>
      </x:c>
      <x:c r="C238" s="25" t="s">
        <x:v>16</x:v>
      </x:c>
      <x:c r="D238" s="26">
        <x:v>980</x:v>
      </x:c>
      <x:c r="E238" s="24"/>
      <x:c r="F238" s="25"/>
      <x:c r="G238" s="26"/>
      <x:c r="H238" s="25" t="str">
        <x:f t="shared" si="3"/>
        <x:v>فعال</x:v>
      </x:c>
      <x:c r="Y238" t="str">
        <x:f>IF(AND(LEN($K$2)&gt;=3,ISNUMBER(SEARCH($K$2,$A238))),MAX($Y$3:Y237)+1,"")</x:f>
      </x:c>
      <x:c r="Z238" s="79" t="str">
        <x:v>قنادی و شیرینی</x:v>
      </x:c>
      <x:c r="AA238" s="79" t="str">
        <x:v>6a3a00000000000000000003</x:v>
      </x:c>
      <x:c r="AB238" s="79" t="str">
        <x:v>confectionery</x:v>
      </x:c>
      <x:c r="AC238" s="79" t="str">
        <x:v>EDIBLE</x:v>
      </x:c>
      <x:c r="AD238" s="79" t="str">
        <x:v>بله</x:v>
      </x:c>
      <x:c r="AE238" s="79" t="str">
        <x:v>خیر</x:v>
      </x:c>
      <x:c r="AF238" s="79" t="n">
        <x:v>1</x:v>
      </x:c>
      <x:c r="AG238" s="104" t="n">
        <x:v>980000</x:v>
      </x:c>
      <x:c r="AH238" s="104"/>
      <x:c r="AI238" s="79" t="str">
        <x:v>دسته از «نیاز به بررسی» به «قنادی و شیرینی» اصلاح شد</x:v>
      </x:c>
    </x:row>
    <x:row r="239">
      <x:c r="A239" s="23" t="s">
        <x:v>300</x:v>
      </x:c>
      <x:c r="B239" s="24">
        <x:v>230</x:v>
      </x:c>
      <x:c r="C239" s="25" t="s">
        <x:v>301</x:v>
      </x:c>
      <x:c r="D239" s="26">
        <x:v>230</x:v>
      </x:c>
      <x:c r="E239" s="24"/>
      <x:c r="F239" s="25"/>
      <x:c r="G239" s="26"/>
      <x:c r="H239" s="25" t="str">
        <x:f t="shared" si="3"/>
        <x:v>فعال</x:v>
      </x:c>
      <x:c r="Y239" t="str">
        <x:f>IF(AND(LEN($K$2)&gt;=3,ISNUMBER(SEARCH($K$2,$A239))),MAX($Y$3:Y238)+1,"")</x:f>
      </x:c>
      <x:c r="Z239" s="79" t="str">
        <x:v>نوشیدنی‌ها</x:v>
      </x:c>
      <x:c r="AA239" s="79" t="str">
        <x:v>6a3782ffdf5573f4e676e24b</x:v>
      </x:c>
      <x:c r="AB239" s="79" t="str">
        <x:v>syrup</x:v>
      </x:c>
      <x:c r="AC239" s="79" t="str">
        <x:v>EDIBLE</x:v>
      </x:c>
      <x:c r="AD239" s="79" t="str">
        <x:v>بله</x:v>
      </x:c>
      <x:c r="AE239" s="79" t="str">
        <x:v>خیر</x:v>
      </x:c>
      <x:c r="AF239" s="79" t="n">
        <x:v>1</x:v>
      </x:c>
      <x:c r="AG239" s="104" t="n">
        <x:v>230000</x:v>
      </x:c>
      <x:c r="AH239" s="104"/>
      <x:c r="AI239" s="79" t="str">
        <x:v>دسته از «نیاز به بررسی» به «نوشیدنی‌ها» اصلاح شد</x:v>
      </x:c>
    </x:row>
    <x:row r="240">
      <x:c r="A240" s="23" t="s">
        <x:v>302</x:v>
      </x:c>
      <x:c r="B240" s="24">
        <x:v>230</x:v>
      </x:c>
      <x:c r="C240" s="25" t="s">
        <x:v>301</x:v>
      </x:c>
      <x:c r="D240" s="26">
        <x:v>230</x:v>
      </x:c>
      <x:c r="E240" s="24"/>
      <x:c r="F240" s="25"/>
      <x:c r="G240" s="26"/>
      <x:c r="H240" s="25" t="str">
        <x:f t="shared" si="3"/>
        <x:v>فعال</x:v>
      </x:c>
      <x:c r="Y240" t="str">
        <x:f>IF(AND(LEN($K$2)&gt;=3,ISNUMBER(SEARCH($K$2,$A240))),MAX($Y$3:Y239)+1,"")</x:f>
      </x:c>
      <x:c r="Z240" s="79" t="str">
        <x:v>نوشیدنی‌ها</x:v>
      </x:c>
      <x:c r="AA240" s="79" t="str">
        <x:v>6a3782ffdf5573f4e676e24b</x:v>
      </x:c>
      <x:c r="AB240" s="79" t="str">
        <x:v>syrup</x:v>
      </x:c>
      <x:c r="AC240" s="79" t="str">
        <x:v>EDIBLE</x:v>
      </x:c>
      <x:c r="AD240" s="79" t="str">
        <x:v>بله</x:v>
      </x:c>
      <x:c r="AE240" s="79" t="str">
        <x:v>خیر</x:v>
      </x:c>
      <x:c r="AF240" s="79" t="n">
        <x:v>1</x:v>
      </x:c>
      <x:c r="AG240" s="104" t="n">
        <x:v>230000</x:v>
      </x:c>
      <x:c r="AH240" s="104"/>
      <x:c r="AI240" s="79" t="str">
        <x:v>دسته از «نیاز به بررسی» به «نوشیدنی‌ها» اصلاح شد</x:v>
      </x:c>
    </x:row>
    <x:row r="241">
      <x:c r="A241" s="23" t="s">
        <x:v>303</x:v>
      </x:c>
      <x:c r="B241" s="24">
        <x:v>230</x:v>
      </x:c>
      <x:c r="C241" s="25" t="s">
        <x:v>301</x:v>
      </x:c>
      <x:c r="D241" s="26">
        <x:v>230</x:v>
      </x:c>
      <x:c r="E241" s="24"/>
      <x:c r="F241" s="25"/>
      <x:c r="G241" s="26"/>
      <x:c r="H241" s="25" t="str">
        <x:f t="shared" si="3"/>
        <x:v>فعال</x:v>
      </x:c>
      <x:c r="Y241" t="str">
        <x:f>IF(AND(LEN($K$2)&gt;=3,ISNUMBER(SEARCH($K$2,$A241))),MAX($Y$3:Y240)+1,"")</x:f>
      </x:c>
      <x:c r="Z241" s="79" t="str">
        <x:v>خشکبار و آجیل</x:v>
      </x:c>
      <x:c r="AA241" s="79" t="str">
        <x:v>6a37810ddf5573f4e676e201</x:v>
      </x:c>
      <x:c r="AB241" s="79" t="str">
        <x:v>dried-fruits-nuts</x:v>
      </x:c>
      <x:c r="AC241" s="79" t="str">
        <x:v>EDIBLE</x:v>
      </x:c>
      <x:c r="AD241" s="79" t="str">
        <x:v>بله</x:v>
      </x:c>
      <x:c r="AE241" s="79" t="str">
        <x:v>خیر</x:v>
      </x:c>
      <x:c r="AF241" s="79" t="n">
        <x:v>1</x:v>
      </x:c>
      <x:c r="AG241" s="104" t="n">
        <x:v>230000</x:v>
      </x:c>
      <x:c r="AH241" s="104"/>
      <x:c r="AI241" s="79"/>
    </x:row>
    <x:row r="242">
      <x:c r="A242" s="23" t="s">
        <x:v>304</x:v>
      </x:c>
      <x:c r="B242" s="24">
        <x:v>230</x:v>
      </x:c>
      <x:c r="C242" s="25" t="s">
        <x:v>301</x:v>
      </x:c>
      <x:c r="D242" s="26">
        <x:v>230</x:v>
      </x:c>
      <x:c r="E242" s="24"/>
      <x:c r="F242" s="25"/>
      <x:c r="G242" s="26"/>
      <x:c r="H242" s="25" t="str">
        <x:f t="shared" si="3"/>
        <x:v>فعال</x:v>
      </x:c>
      <x:c r="Y242" t="str">
        <x:f>IF(AND(LEN($K$2)&gt;=3,ISNUMBER(SEARCH($K$2,$A242))),MAX($Y$3:Y241)+1,"")</x:f>
      </x:c>
      <x:c r="Z242" s="79" t="str">
        <x:v>نوشیدنی‌ها</x:v>
      </x:c>
      <x:c r="AA242" s="79" t="str">
        <x:v>6a3782ffdf5573f4e676e24b</x:v>
      </x:c>
      <x:c r="AB242" s="79" t="str">
        <x:v>syrup</x:v>
      </x:c>
      <x:c r="AC242" s="79" t="str">
        <x:v>EDIBLE</x:v>
      </x:c>
      <x:c r="AD242" s="79" t="str">
        <x:v>بله</x:v>
      </x:c>
      <x:c r="AE242" s="79" t="str">
        <x:v>خیر</x:v>
      </x:c>
      <x:c r="AF242" s="79" t="n">
        <x:v>1</x:v>
      </x:c>
      <x:c r="AG242" s="104" t="n">
        <x:v>230000</x:v>
      </x:c>
      <x:c r="AH242" s="104"/>
      <x:c r="AI242" s="79" t="str">
        <x:v>دسته از «نیاز به بررسی» به «نوشیدنی‌ها» اصلاح شد</x:v>
      </x:c>
    </x:row>
    <x:row r="243">
      <x:c r="A243" s="23" t="s">
        <x:v>305</x:v>
      </x:c>
      <x:c r="B243" s="24">
        <x:v>230</x:v>
      </x:c>
      <x:c r="C243" s="25" t="s">
        <x:v>301</x:v>
      </x:c>
      <x:c r="D243" s="26">
        <x:v>230</x:v>
      </x:c>
      <x:c r="E243" s="24"/>
      <x:c r="F243" s="25"/>
      <x:c r="G243" s="26"/>
      <x:c r="H243" s="25" t="str">
        <x:f t="shared" si="3"/>
        <x:v>فعال</x:v>
      </x:c>
      <x:c r="Y243" t="str">
        <x:f>IF(AND(LEN($K$2)&gt;=3,ISNUMBER(SEARCH($K$2,$A243))),MAX($Y$3:Y242)+1,"")</x:f>
      </x:c>
      <x:c r="Z243" s="79" t="str">
        <x:v>نوشیدنی‌ها</x:v>
      </x:c>
      <x:c r="AA243" s="79" t="str">
        <x:v>6a3782ffdf5573f4e676e24b</x:v>
      </x:c>
      <x:c r="AB243" s="79" t="str">
        <x:v>syrup</x:v>
      </x:c>
      <x:c r="AC243" s="79" t="str">
        <x:v>EDIBLE</x:v>
      </x:c>
      <x:c r="AD243" s="79" t="str">
        <x:v>بله</x:v>
      </x:c>
      <x:c r="AE243" s="79" t="str">
        <x:v>خیر</x:v>
      </x:c>
      <x:c r="AF243" s="79" t="n">
        <x:v>1</x:v>
      </x:c>
      <x:c r="AG243" s="104" t="n">
        <x:v>230000</x:v>
      </x:c>
      <x:c r="AH243" s="104"/>
      <x:c r="AI243" s="79" t="str">
        <x:v>دسته از «نیاز به بررسی» به «نوشیدنی‌ها» اصلاح شد</x:v>
      </x:c>
    </x:row>
    <x:row r="244">
      <x:c r="A244" s="23" t="s">
        <x:v>306</x:v>
      </x:c>
      <x:c r="B244" s="24">
        <x:v>220</x:v>
      </x:c>
      <x:c r="C244" s="25" t="s">
        <x:v>301</x:v>
      </x:c>
      <x:c r="D244" s="26">
        <x:v>220</x:v>
      </x:c>
      <x:c r="E244" s="24"/>
      <x:c r="F244" s="25"/>
      <x:c r="G244" s="26"/>
      <x:c r="H244" s="25" t="str">
        <x:f t="shared" si="3"/>
        <x:v>فعال</x:v>
      </x:c>
      <x:c r="Y244" t="str">
        <x:f>IF(AND(LEN($K$2)&gt;=3,ISNUMBER(SEARCH($K$2,$A244))),MAX($Y$3:Y243)+1,"")</x:f>
      </x:c>
      <x:c r="Z244" s="79" t="str">
        <x:v>قنادی و شیرینی</x:v>
      </x:c>
      <x:c r="AA244" s="79" t="str">
        <x:v>6a3a00000000000000000003</x:v>
      </x:c>
      <x:c r="AB244" s="79" t="str">
        <x:v>confectionery</x:v>
      </x:c>
      <x:c r="AC244" s="79" t="str">
        <x:v>EDIBLE</x:v>
      </x:c>
      <x:c r="AD244" s="79" t="str">
        <x:v>بله</x:v>
      </x:c>
      <x:c r="AE244" s="79" t="str">
        <x:v>خیر</x:v>
      </x:c>
      <x:c r="AF244" s="79" t="n">
        <x:v>1</x:v>
      </x:c>
      <x:c r="AG244" s="104" t="n">
        <x:v>220000</x:v>
      </x:c>
      <x:c r="AH244" s="104"/>
      <x:c r="AI244" s="79"/>
    </x:row>
    <x:row r="245">
      <x:c r="A245" s="23" t="s">
        <x:v>307</x:v>
      </x:c>
      <x:c r="B245" s="24">
        <x:v>340</x:v>
      </x:c>
      <x:c r="C245" s="25" t="s">
        <x:v>301</x:v>
      </x:c>
      <x:c r="D245" s="26">
        <x:v>340</x:v>
      </x:c>
      <x:c r="E245" s="24">
        <x:v>670</x:v>
      </x:c>
      <x:c r="F245" s="25" t="s">
        <x:v>308</x:v>
      </x:c>
      <x:c r="G245" s="26">
        <x:v>670</x:v>
      </x:c>
      <x:c r="H245" s="25" t="str">
        <x:f t="shared" si="3"/>
        <x:v>فعال</x:v>
      </x:c>
      <x:c r="Y245" t="str">
        <x:f>IF(AND(LEN($K$2)&gt;=3,ISNUMBER(SEARCH($K$2,$A245))),MAX($Y$3:Y244)+1,"")</x:f>
      </x:c>
      <x:c r="Z245" s="79" t="str">
        <x:v>نوشیدنی‌ها</x:v>
      </x:c>
      <x:c r="AA245" s="79" t="str">
        <x:v>6a3782ffdf5573f4e676e24b</x:v>
      </x:c>
      <x:c r="AB245" s="79" t="str">
        <x:v>syrup</x:v>
      </x:c>
      <x:c r="AC245" s="79" t="str">
        <x:v>EDIBLE</x:v>
      </x:c>
      <x:c r="AD245" s="79" t="str">
        <x:v>بله</x:v>
      </x:c>
      <x:c r="AE245" s="79" t="str">
        <x:v>بله</x:v>
      </x:c>
      <x:c r="AF245" s="79" t="n">
        <x:v>2</x:v>
      </x:c>
      <x:c r="AG245" s="104" t="n">
        <x:v>340000</x:v>
      </x:c>
      <x:c r="AH245" s="104" t="n">
        <x:v>670000</x:v>
      </x:c>
      <x:c r="AI245" s="79" t="str">
        <x:v>دسته از «نیاز به بررسی» به «نوشیدنی‌ها» اصلاح شد</x:v>
      </x:c>
    </x:row>
    <x:row r="246">
      <x:c r="A246" s="23" t="s">
        <x:v>309</x:v>
      </x:c>
      <x:c r="B246" s="24">
        <x:v>300</x:v>
      </x:c>
      <x:c r="C246" s="25" t="s">
        <x:v>301</x:v>
      </x:c>
      <x:c r="D246" s="26">
        <x:v>300</x:v>
      </x:c>
      <x:c r="E246" s="24"/>
      <x:c r="F246" s="25"/>
      <x:c r="G246" s="26"/>
      <x:c r="H246" s="25" t="str">
        <x:f t="shared" si="3"/>
        <x:v>فعال</x:v>
      </x:c>
      <x:c r="Y246" t="str">
        <x:f>IF(AND(LEN($K$2)&gt;=3,ISNUMBER(SEARCH($K$2,$A246))),MAX($Y$3:Y245)+1,"")</x:f>
      </x:c>
      <x:c r="Z246" s="79" t="str">
        <x:v>نوشیدنی‌ها</x:v>
      </x:c>
      <x:c r="AA246" s="79" t="str">
        <x:v>6a3782ffdf5573f4e676e24b</x:v>
      </x:c>
      <x:c r="AB246" s="79" t="str">
        <x:v>syrup</x:v>
      </x:c>
      <x:c r="AC246" s="79" t="str">
        <x:v>EDIBLE</x:v>
      </x:c>
      <x:c r="AD246" s="79" t="str">
        <x:v>بله</x:v>
      </x:c>
      <x:c r="AE246" s="79" t="str">
        <x:v>خیر</x:v>
      </x:c>
      <x:c r="AF246" s="79" t="n">
        <x:v>1</x:v>
      </x:c>
      <x:c r="AG246" s="104" t="n">
        <x:v>300000</x:v>
      </x:c>
      <x:c r="AH246" s="104"/>
      <x:c r="AI246" s="79" t="str">
        <x:v>دسته از «نیاز به بررسی» به «نوشیدنی‌ها» اصلاح شد</x:v>
      </x:c>
    </x:row>
    <x:row r="247">
      <x:c r="A247" s="23" t="s">
        <x:v>310</x:v>
      </x:c>
      <x:c r="B247" s="24" t="s">
        <x:v>68</x:v>
      </x:c>
      <x:c r="C247" s="25" t="s">
        <x:v>16</x:v>
      </x:c>
      <x:c r="D247" s="26" t="s">
        <x:v>68</x:v>
      </x:c>
      <x:c r="E247" s="24"/>
      <x:c r="F247" s="25"/>
      <x:c r="G247" s="26"/>
      <x:c r="H247" s="25" t="str">
        <x:f t="shared" si="3"/>
        <x:v>فعال</x:v>
      </x:c>
      <x:c r="Y247" t="str">
        <x:f>IF(AND(LEN($K$2)&gt;=3,ISNUMBER(SEARCH($K$2,$A247))),MAX($Y$3:Y246)+1,"")</x:f>
      </x:c>
      <x:c r="Z247" s="79" t="str">
        <x:v>گیاهان دارویی</x:v>
      </x:c>
      <x:c r="AA247" s="79" t="str">
        <x:v>6a3782d7df5573f4e676e243</x:v>
      </x:c>
      <x:c r="AB247" s="79" t="str">
        <x:v>medicinal-plants</x:v>
      </x:c>
      <x:c r="AC247" s="79" t="str">
        <x:v>EDIBLE</x:v>
      </x:c>
      <x:c r="AD247" s="79" t="str">
        <x:v>بله</x:v>
      </x:c>
      <x:c r="AE247" s="79" t="str">
        <x:v>خیر</x:v>
      </x:c>
      <x:c r="AF247" s="79" t="n">
        <x:v>1</x:v>
      </x:c>
      <x:c r="AG247" s="104" t="n">
        <x:v>1800000</x:v>
      </x:c>
      <x:c r="AH247" s="104"/>
      <x:c r="AI247" s="79"/>
    </x:row>
    <x:row r="248">
      <x:c r="A248" s="23" t="s">
        <x:v>311</x:v>
      </x:c>
      <x:c r="B248" s="24">
        <x:v>600</x:v>
      </x:c>
      <x:c r="C248" s="25" t="s">
        <x:v>16</x:v>
      </x:c>
      <x:c r="D248" s="26">
        <x:v>600</x:v>
      </x:c>
      <x:c r="E248" s="24"/>
      <x:c r="F248" s="25"/>
      <x:c r="G248" s="26"/>
      <x:c r="H248" s="25" t="str">
        <x:f t="shared" si="3"/>
        <x:v>فعال</x:v>
      </x:c>
      <x:c r="Y248" t="str">
        <x:f>IF(AND(LEN($K$2)&gt;=3,ISNUMBER(SEARCH($K$2,$A248))),MAX($Y$3:Y247)+1,"")</x:f>
      </x:c>
      <x:c r="Z248" s="79" t="str">
        <x:v>گیاهان دارویی</x:v>
      </x:c>
      <x:c r="AA248" s="79" t="str">
        <x:v>6a3782d7df5573f4e676e243</x:v>
      </x:c>
      <x:c r="AB248" s="79" t="str">
        <x:v>medicinal-plants</x:v>
      </x:c>
      <x:c r="AC248" s="79" t="str">
        <x:v>EDIBLE</x:v>
      </x:c>
      <x:c r="AD248" s="79" t="str">
        <x:v>بله</x:v>
      </x:c>
      <x:c r="AE248" s="79" t="str">
        <x:v>خیر</x:v>
      </x:c>
      <x:c r="AF248" s="79" t="n">
        <x:v>1</x:v>
      </x:c>
      <x:c r="AG248" s="104" t="n">
        <x:v>600000</x:v>
      </x:c>
      <x:c r="AH248" s="104"/>
      <x:c r="AI248" s="79"/>
    </x:row>
    <x:row r="249">
      <x:c r="A249" s="23" t="s">
        <x:v>312</x:v>
      </x:c>
      <x:c r="B249" s="24">
        <x:v>120</x:v>
      </x:c>
      <x:c r="C249" s="25" t="s">
        <x:v>16</x:v>
      </x:c>
      <x:c r="D249" s="26">
        <x:v>120</x:v>
      </x:c>
      <x:c r="E249" s="24"/>
      <x:c r="F249" s="25"/>
      <x:c r="G249" s="26"/>
      <x:c r="H249" s="25" t="str">
        <x:f t="shared" si="3"/>
        <x:v>فعال</x:v>
      </x:c>
      <x:c r="Y249" t="str">
        <x:f>IF(AND(LEN($K$2)&gt;=3,ISNUMBER(SEARCH($K$2,$A249))),MAX($Y$3:Y248)+1,"")</x:f>
      </x:c>
      <x:c r="Z249" s="79" t="str">
        <x:v>گیاهان دارویی</x:v>
      </x:c>
      <x:c r="AA249" s="79" t="str">
        <x:v>6a3782d7df5573f4e676e243</x:v>
      </x:c>
      <x:c r="AB249" s="79" t="str">
        <x:v>medicinal-plants</x:v>
      </x:c>
      <x:c r="AC249" s="79" t="str">
        <x:v>TOPICAL</x:v>
      </x:c>
      <x:c r="AD249" s="79" t="str">
        <x:v>خیر</x:v>
      </x:c>
      <x:c r="AE249" s="79" t="str">
        <x:v>خیر</x:v>
      </x:c>
      <x:c r="AF249" s="79" t="n">
        <x:v>1</x:v>
      </x:c>
      <x:c r="AG249" s="104" t="n">
        <x:v>120000</x:v>
      </x:c>
      <x:c r="AH249" s="104"/>
      <x:c r="AI24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0">
      <x:c r="A250" s="23" t="s">
        <x:v>313</x:v>
      </x:c>
      <x:c r="B250" s="24">
        <x:v>120</x:v>
      </x:c>
      <x:c r="C250" s="25" t="s">
        <x:v>16</x:v>
      </x:c>
      <x:c r="D250" s="26">
        <x:v>120</x:v>
      </x:c>
      <x:c r="E250" s="24"/>
      <x:c r="F250" s="25"/>
      <x:c r="G250" s="26"/>
      <x:c r="H250" s="25" t="str">
        <x:f t="shared" si="3"/>
        <x:v>فعال</x:v>
      </x:c>
      <x:c r="Y250" t="str">
        <x:f>IF(AND(LEN($K$2)&gt;=3,ISNUMBER(SEARCH($K$2,$A250))),MAX($Y$3:Y249)+1,"")</x:f>
      </x:c>
      <x:c r="Z250" s="79" t="str">
        <x:v>گیاهان دارویی</x:v>
      </x:c>
      <x:c r="AA250" s="79" t="str">
        <x:v>6a3782d7df5573f4e676e243</x:v>
      </x:c>
      <x:c r="AB250" s="79" t="str">
        <x:v>medicinal-plants</x:v>
      </x:c>
      <x:c r="AC250" s="79" t="str">
        <x:v>TOPICAL</x:v>
      </x:c>
      <x:c r="AD250" s="79" t="str">
        <x:v>خیر</x:v>
      </x:c>
      <x:c r="AE250" s="79" t="str">
        <x:v>خیر</x:v>
      </x:c>
      <x:c r="AF250" s="79" t="n">
        <x:v>1</x:v>
      </x:c>
      <x:c r="AG250" s="104" t="n">
        <x:v>120000</x:v>
      </x:c>
      <x:c r="AH250" s="104"/>
      <x:c r="AI25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1">
      <x:c r="A251" s="23" t="s">
        <x:v>314</x:v>
      </x:c>
      <x:c r="B251" s="24">
        <x:v>120</x:v>
      </x:c>
      <x:c r="C251" s="25" t="s">
        <x:v>16</x:v>
      </x:c>
      <x:c r="D251" s="26">
        <x:v>120</x:v>
      </x:c>
      <x:c r="E251" s="24"/>
      <x:c r="F251" s="25"/>
      <x:c r="G251" s="26"/>
      <x:c r="H251" s="25" t="str">
        <x:f t="shared" si="3"/>
        <x:v>فعال</x:v>
      </x:c>
      <x:c r="Y251" t="str">
        <x:f>IF(AND(LEN($K$2)&gt;=3,ISNUMBER(SEARCH($K$2,$A251))),MAX($Y$3:Y250)+1,"")</x:f>
      </x:c>
      <x:c r="Z251" s="79" t="str">
        <x:v>گیاهان دارویی</x:v>
      </x:c>
      <x:c r="AA251" s="79" t="str">
        <x:v>6a3782d7df5573f4e676e243</x:v>
      </x:c>
      <x:c r="AB251" s="79" t="str">
        <x:v>medicinal-plants</x:v>
      </x:c>
      <x:c r="AC251" s="79" t="str">
        <x:v>TOPICAL</x:v>
      </x:c>
      <x:c r="AD251" s="79" t="str">
        <x:v>خیر</x:v>
      </x:c>
      <x:c r="AE251" s="79" t="str">
        <x:v>خیر</x:v>
      </x:c>
      <x:c r="AF251" s="79" t="n">
        <x:v>1</x:v>
      </x:c>
      <x:c r="AG251" s="104" t="n">
        <x:v>120000</x:v>
      </x:c>
      <x:c r="AH251" s="104"/>
      <x:c r="AI251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2">
      <x:c r="A252" s="23" t="s">
        <x:v>315</x:v>
      </x:c>
      <x:c r="B252" s="24">
        <x:v>180</x:v>
      </x:c>
      <x:c r="C252" s="25" t="s">
        <x:v>16</x:v>
      </x:c>
      <x:c r="D252" s="26">
        <x:v>180</x:v>
      </x:c>
      <x:c r="E252" s="24"/>
      <x:c r="F252" s="25"/>
      <x:c r="G252" s="26"/>
      <x:c r="H252" s="25" t="str">
        <x:f t="shared" si="3"/>
        <x:v>فعال</x:v>
      </x:c>
      <x:c r="Y252" t="str">
        <x:f>IF(AND(LEN($K$2)&gt;=3,ISNUMBER(SEARCH($K$2,$A252))),MAX($Y$3:Y251)+1,"")</x:f>
      </x:c>
      <x:c r="Z252" s="79" t="str">
        <x:v>گیاهان دارویی</x:v>
      </x:c>
      <x:c r="AA252" s="79" t="str">
        <x:v>6a3782d7df5573f4e676e243</x:v>
      </x:c>
      <x:c r="AB252" s="79" t="str">
        <x:v>medicinal-plants</x:v>
      </x:c>
      <x:c r="AC252" s="79" t="str">
        <x:v>TOPICAL</x:v>
      </x:c>
      <x:c r="AD252" s="79" t="str">
        <x:v>خیر</x:v>
      </x:c>
      <x:c r="AE252" s="79" t="str">
        <x:v>خیر</x:v>
      </x:c>
      <x:c r="AF252" s="79" t="n">
        <x:v>1</x:v>
      </x:c>
      <x:c r="AG252" s="104" t="n">
        <x:v>180000</x:v>
      </x:c>
      <x:c r="AH252" s="104"/>
      <x:c r="AI25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3">
      <x:c r="A253" s="23" t="s">
        <x:v>316</x:v>
      </x:c>
      <x:c r="B253" s="24">
        <x:v>120</x:v>
      </x:c>
      <x:c r="C253" s="25" t="s">
        <x:v>16</x:v>
      </x:c>
      <x:c r="D253" s="26">
        <x:v>120</x:v>
      </x:c>
      <x:c r="E253" s="24"/>
      <x:c r="F253" s="25"/>
      <x:c r="G253" s="26"/>
      <x:c r="H253" s="25" t="str">
        <x:f t="shared" si="3"/>
        <x:v>فعال</x:v>
      </x:c>
      <x:c r="Y253" t="str">
        <x:f>IF(AND(LEN($K$2)&gt;=3,ISNUMBER(SEARCH($K$2,$A253))),MAX($Y$3:Y252)+1,"")</x:f>
      </x:c>
      <x:c r="Z253" s="79" t="str">
        <x:v>گیاهان دارویی</x:v>
      </x:c>
      <x:c r="AA253" s="79" t="str">
        <x:v>6a3782d7df5573f4e676e243</x:v>
      </x:c>
      <x:c r="AB253" s="79" t="str">
        <x:v>medicinal-plants</x:v>
      </x:c>
      <x:c r="AC253" s="79" t="str">
        <x:v>TOPICAL</x:v>
      </x:c>
      <x:c r="AD253" s="79" t="str">
        <x:v>خیر</x:v>
      </x:c>
      <x:c r="AE253" s="79" t="str">
        <x:v>خیر</x:v>
      </x:c>
      <x:c r="AF253" s="79" t="n">
        <x:v>1</x:v>
      </x:c>
      <x:c r="AG253" s="104" t="n">
        <x:v>120000</x:v>
      </x:c>
      <x:c r="AH253" s="104"/>
      <x:c r="AI25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4">
      <x:c r="A254" s="23" t="s">
        <x:v>317</x:v>
      </x:c>
      <x:c r="B254" s="24">
        <x:v>250</x:v>
      </x:c>
      <x:c r="C254" s="25" t="s">
        <x:v>16</x:v>
      </x:c>
      <x:c r="D254" s="26">
        <x:v>250</x:v>
      </x:c>
      <x:c r="E254" s="24"/>
      <x:c r="F254" s="25"/>
      <x:c r="G254" s="26"/>
      <x:c r="H254" s="25" t="str">
        <x:f t="shared" si="3"/>
        <x:v>فعال</x:v>
      </x:c>
      <x:c r="Y254" t="str">
        <x:f>IF(AND(LEN($K$2)&gt;=3,ISNUMBER(SEARCH($K$2,$A254))),MAX($Y$3:Y253)+1,"")</x:f>
      </x:c>
      <x:c r="Z254" s="79" t="str">
        <x:v>گیاهان دارویی</x:v>
      </x:c>
      <x:c r="AA254" s="79" t="str">
        <x:v>6a3782d7df5573f4e676e243</x:v>
      </x:c>
      <x:c r="AB254" s="79" t="str">
        <x:v>medicinal-plants</x:v>
      </x:c>
      <x:c r="AC254" s="79" t="str">
        <x:v>TOPICAL</x:v>
      </x:c>
      <x:c r="AD254" s="79" t="str">
        <x:v>خیر</x:v>
      </x:c>
      <x:c r="AE254" s="79" t="str">
        <x:v>خیر</x:v>
      </x:c>
      <x:c r="AF254" s="79" t="n">
        <x:v>1</x:v>
      </x:c>
      <x:c r="AG254" s="104" t="n">
        <x:v>250000</x:v>
      </x:c>
      <x:c r="AH254" s="104"/>
      <x:c r="AI254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5">
      <x:c r="A255" s="23" t="s">
        <x:v>318</x:v>
      </x:c>
      <x:c r="B255" s="24">
        <x:v>120</x:v>
      </x:c>
      <x:c r="C255" s="25" t="s">
        <x:v>16</x:v>
      </x:c>
      <x:c r="D255" s="26">
        <x:v>120</x:v>
      </x:c>
      <x:c r="E255" s="24"/>
      <x:c r="F255" s="25"/>
      <x:c r="G255" s="26"/>
      <x:c r="H255" s="25" t="str">
        <x:f t="shared" si="3"/>
        <x:v>فعال</x:v>
      </x:c>
      <x:c r="Y255" t="str">
        <x:f>IF(AND(LEN($K$2)&gt;=3,ISNUMBER(SEARCH($K$2,$A255))),MAX($Y$3:Y254)+1,"")</x:f>
      </x:c>
      <x:c r="Z255" s="79" t="str">
        <x:v>گیاهان دارویی</x:v>
      </x:c>
      <x:c r="AA255" s="79" t="str">
        <x:v>6a3782d7df5573f4e676e243</x:v>
      </x:c>
      <x:c r="AB255" s="79" t="str">
        <x:v>medicinal-plants</x:v>
      </x:c>
      <x:c r="AC255" s="79" t="str">
        <x:v>TOPICAL</x:v>
      </x:c>
      <x:c r="AD255" s="79" t="str">
        <x:v>خیر</x:v>
      </x:c>
      <x:c r="AE255" s="79" t="str">
        <x:v>خیر</x:v>
      </x:c>
      <x:c r="AF255" s="79" t="n">
        <x:v>1</x:v>
      </x:c>
      <x:c r="AG255" s="104" t="n">
        <x:v>120000</x:v>
      </x:c>
      <x:c r="AH255" s="104"/>
      <x:c r="AI255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6">
      <x:c r="A256" s="23" t="s">
        <x:v>319</x:v>
      </x:c>
      <x:c r="B256" s="24">
        <x:v>120</x:v>
      </x:c>
      <x:c r="C256" s="25" t="s">
        <x:v>16</x:v>
      </x:c>
      <x:c r="D256" s="26">
        <x:v>120</x:v>
      </x:c>
      <x:c r="E256" s="24"/>
      <x:c r="F256" s="25"/>
      <x:c r="G256" s="26"/>
      <x:c r="H256" s="25" t="str">
        <x:f t="shared" si="3"/>
        <x:v>فعال</x:v>
      </x:c>
      <x:c r="Y256" t="str">
        <x:f>IF(AND(LEN($K$2)&gt;=3,ISNUMBER(SEARCH($K$2,$A256))),MAX($Y$3:Y255)+1,"")</x:f>
      </x:c>
      <x:c r="Z256" s="79" t="str">
        <x:v>گیاهان دارویی</x:v>
      </x:c>
      <x:c r="AA256" s="79" t="str">
        <x:v>6a3782d7df5573f4e676e243</x:v>
      </x:c>
      <x:c r="AB256" s="79" t="str">
        <x:v>medicinal-plants</x:v>
      </x:c>
      <x:c r="AC256" s="79" t="str">
        <x:v>TOPICAL</x:v>
      </x:c>
      <x:c r="AD256" s="79" t="str">
        <x:v>خیر</x:v>
      </x:c>
      <x:c r="AE256" s="79" t="str">
        <x:v>خیر</x:v>
      </x:c>
      <x:c r="AF256" s="79" t="n">
        <x:v>1</x:v>
      </x:c>
      <x:c r="AG256" s="104" t="n">
        <x:v>120000</x:v>
      </x:c>
      <x:c r="AH256" s="104"/>
      <x:c r="AI256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7">
      <x:c r="A257" s="23" t="s">
        <x:v>320</x:v>
      </x:c>
      <x:c r="B257" s="24">
        <x:v>120</x:v>
      </x:c>
      <x:c r="C257" s="25" t="s">
        <x:v>16</x:v>
      </x:c>
      <x:c r="D257" s="26">
        <x:v>120</x:v>
      </x:c>
      <x:c r="E257" s="24"/>
      <x:c r="F257" s="25"/>
      <x:c r="G257" s="26"/>
      <x:c r="H257" s="25" t="str">
        <x:f t="shared" si="3"/>
        <x:v>فعال</x:v>
      </x:c>
      <x:c r="Y257" t="str">
        <x:f>IF(AND(LEN($K$2)&gt;=3,ISNUMBER(SEARCH($K$2,$A257))),MAX($Y$3:Y256)+1,"")</x:f>
      </x:c>
      <x:c r="Z257" s="79" t="str">
        <x:v>گیاهان دارویی</x:v>
      </x:c>
      <x:c r="AA257" s="79" t="str">
        <x:v>6a3782d7df5573f4e676e243</x:v>
      </x:c>
      <x:c r="AB257" s="79" t="str">
        <x:v>medicinal-plants</x:v>
      </x:c>
      <x:c r="AC257" s="79" t="str">
        <x:v>TOPICAL</x:v>
      </x:c>
      <x:c r="AD257" s="79" t="str">
        <x:v>خیر</x:v>
      </x:c>
      <x:c r="AE257" s="79" t="str">
        <x:v>خیر</x:v>
      </x:c>
      <x:c r="AF257" s="79" t="n">
        <x:v>1</x:v>
      </x:c>
      <x:c r="AG257" s="104" t="n">
        <x:v>120000</x:v>
      </x:c>
      <x:c r="AH257" s="104"/>
      <x:c r="AI257" s="79" t="str">
        <x:v>دسته از «خشکبار و آجیل» به «گیاهان دارویی» اصلاح شد | نوع مصرف به موضعی/غیرخوراکی اصلاح شد</x:v>
      </x:c>
    </x:row>
    <x:row r="258">
      <x:c r="A258" s="23" t="s">
        <x:v>321</x:v>
      </x:c>
      <x:c r="B258" s="24">
        <x:v>120</x:v>
      </x:c>
      <x:c r="C258" s="25" t="s">
        <x:v>16</x:v>
      </x:c>
      <x:c r="D258" s="26">
        <x:v>120</x:v>
      </x:c>
      <x:c r="E258" s="24"/>
      <x:c r="F258" s="25"/>
      <x:c r="G258" s="26"/>
      <x:c r="H258" s="25" t="str">
        <x:f t="shared" si="3"/>
        <x:v>فعال</x:v>
      </x:c>
      <x:c r="Y258" t="str">
        <x:f>IF(AND(LEN($K$2)&gt;=3,ISNUMBER(SEARCH($K$2,$A258))),MAX($Y$3:Y257)+1,"")</x:f>
      </x:c>
      <x:c r="Z258" s="79" t="str">
        <x:v>گیاهان دارویی</x:v>
      </x:c>
      <x:c r="AA258" s="79" t="str">
        <x:v>6a3782d7df5573f4e676e243</x:v>
      </x:c>
      <x:c r="AB258" s="79" t="str">
        <x:v>medicinal-plants</x:v>
      </x:c>
      <x:c r="AC258" s="79" t="str">
        <x:v>TOPICAL</x:v>
      </x:c>
      <x:c r="AD258" s="79" t="str">
        <x:v>خیر</x:v>
      </x:c>
      <x:c r="AE258" s="79" t="str">
        <x:v>خیر</x:v>
      </x:c>
      <x:c r="AF258" s="79" t="n">
        <x:v>1</x:v>
      </x:c>
      <x:c r="AG258" s="104" t="n">
        <x:v>120000</x:v>
      </x:c>
      <x:c r="AH258" s="104"/>
      <x:c r="AI258" s="79" t="str">
        <x:v>دسته از «ادویه» به «گیاهان دارویی» اصلاح شد | نوع مصرف به موضعی/غیرخوراکی اصلاح شد</x:v>
      </x:c>
    </x:row>
    <x:row r="259">
      <x:c r="A259" s="23" t="s">
        <x:v>322</x:v>
      </x:c>
      <x:c r="B259" s="24">
        <x:v>120</x:v>
      </x:c>
      <x:c r="C259" s="25" t="s">
        <x:v>16</x:v>
      </x:c>
      <x:c r="D259" s="26">
        <x:v>120</x:v>
      </x:c>
      <x:c r="E259" s="24"/>
      <x:c r="F259" s="25"/>
      <x:c r="G259" s="26"/>
      <x:c r="H259" s="25" t="str">
        <x:f t="shared" si="3"/>
        <x:v>فعال</x:v>
      </x:c>
      <x:c r="Y259" t="str">
        <x:f>IF(AND(LEN($K$2)&gt;=3,ISNUMBER(SEARCH($K$2,$A259))),MAX($Y$3:Y258)+1,"")</x:f>
      </x:c>
      <x:c r="Z259" s="79" t="str">
        <x:v>گیاهان دارویی</x:v>
      </x:c>
      <x:c r="AA259" s="79" t="str">
        <x:v>6a3782d7df5573f4e676e243</x:v>
      </x:c>
      <x:c r="AB259" s="79" t="str">
        <x:v>medicinal-plants</x:v>
      </x:c>
      <x:c r="AC259" s="79" t="str">
        <x:v>TOPICAL</x:v>
      </x:c>
      <x:c r="AD259" s="79" t="str">
        <x:v>خیر</x:v>
      </x:c>
      <x:c r="AE259" s="79" t="str">
        <x:v>خیر</x:v>
      </x:c>
      <x:c r="AF259" s="79" t="n">
        <x:v>1</x:v>
      </x:c>
      <x:c r="AG259" s="104" t="n">
        <x:v>120000</x:v>
      </x:c>
      <x:c r="AH259" s="104"/>
      <x:c r="AI25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60">
      <x:c r="A260" s="23" t="s">
        <x:v>323</x:v>
      </x:c>
      <x:c r="B260" s="24">
        <x:v>90</x:v>
      </x:c>
      <x:c r="C260" s="25" t="s">
        <x:v>16</x:v>
      </x:c>
      <x:c r="D260" s="26">
        <x:v>90</x:v>
      </x:c>
      <x:c r="E260" s="24"/>
      <x:c r="F260" s="25"/>
      <x:c r="G260" s="26"/>
      <x:c r="H260" s="25" t="str">
        <x:f t="shared" ref="H260:H323" si="4">IF(AND(OR(B260="",B260="؟"),OR(E260="",E260="؟")),"نیاز به استعلام","فعال")</x:f>
        <x:v>فعال</x:v>
      </x:c>
      <x:c r="Y260" t="str">
        <x:f>IF(AND(LEN($K$2)&gt;=3,ISNUMBER(SEARCH($K$2,$A260))),MAX($Y$3:Y259)+1,"")</x:f>
      </x:c>
      <x:c r="Z260" s="79" t="str">
        <x:v>گیاهان دارویی</x:v>
      </x:c>
      <x:c r="AA260" s="79" t="str">
        <x:v>6a3782d7df5573f4e676e243</x:v>
      </x:c>
      <x:c r="AB260" s="79" t="str">
        <x:v>medicinal-plants</x:v>
      </x:c>
      <x:c r="AC260" s="79" t="str">
        <x:v>TOPICAL</x:v>
      </x:c>
      <x:c r="AD260" s="79" t="str">
        <x:v>خیر</x:v>
      </x:c>
      <x:c r="AE260" s="79" t="str">
        <x:v>خیر</x:v>
      </x:c>
      <x:c r="AF260" s="79" t="n">
        <x:v>1</x:v>
      </x:c>
      <x:c r="AG260" s="104" t="n">
        <x:v>90000</x:v>
      </x:c>
      <x:c r="AH260" s="104"/>
      <x:c r="AI26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61">
      <x:c r="A261" s="23" t="s">
        <x:v>324</x:v>
      </x:c>
      <x:c r="B261" s="24">
        <x:v>120</x:v>
      </x:c>
      <x:c r="C261" s="25" t="s">
        <x:v>16</x:v>
      </x:c>
      <x:c r="D261" s="26">
        <x:v>120</x:v>
      </x:c>
      <x:c r="E261" s="24"/>
      <x:c r="F261" s="25"/>
      <x:c r="G261" s="26"/>
      <x:c r="H261" s="25" t="str">
        <x:f t="shared" si="4"/>
        <x:v>فعال</x:v>
      </x:c>
      <x:c r="Y261" t="str">
        <x:f>IF(AND(LEN($K$2)&gt;=3,ISNUMBER(SEARCH($K$2,$A261))),MAX($Y$3:Y260)+1,"")</x:f>
      </x:c>
      <x:c r="Z261" s="79" t="str">
        <x:v>گیاهان دارویی</x:v>
      </x:c>
      <x:c r="AA261" s="79" t="str">
        <x:v>6a3782d7df5573f4e676e243</x:v>
      </x:c>
      <x:c r="AB261" s="79" t="str">
        <x:v>medicinal-plants</x:v>
      </x:c>
      <x:c r="AC261" s="79" t="str">
        <x:v>TOPICAL</x:v>
      </x:c>
      <x:c r="AD261" s="79" t="str">
        <x:v>خیر</x:v>
      </x:c>
      <x:c r="AE261" s="79" t="str">
        <x:v>خیر</x:v>
      </x:c>
      <x:c r="AF261" s="79" t="n">
        <x:v>1</x:v>
      </x:c>
      <x:c r="AG261" s="104" t="n">
        <x:v>120000</x:v>
      </x:c>
      <x:c r="AH261" s="104"/>
      <x:c r="AI261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62">
      <x:c r="A262" s="23" t="s">
        <x:v>325</x:v>
      </x:c>
      <x:c r="B262" s="24">
        <x:v>180</x:v>
      </x:c>
      <x:c r="C262" s="25" t="s">
        <x:v>16</x:v>
      </x:c>
      <x:c r="D262" s="26">
        <x:v>180</x:v>
      </x:c>
      <x:c r="E262" s="24"/>
      <x:c r="F262" s="25"/>
      <x:c r="G262" s="26"/>
      <x:c r="H262" s="25" t="str">
        <x:f t="shared" si="4"/>
        <x:v>فعال</x:v>
      </x:c>
      <x:c r="Y262" t="str">
        <x:f>IF(AND(LEN($K$2)&gt;=3,ISNUMBER(SEARCH($K$2,$A262))),MAX($Y$3:Y261)+1,"")</x:f>
      </x:c>
      <x:c r="Z262" s="79" t="str">
        <x:v>گیاهان دارویی</x:v>
      </x:c>
      <x:c r="AA262" s="79" t="str">
        <x:v>6a3782d7df5573f4e676e243</x:v>
      </x:c>
      <x:c r="AB262" s="79" t="str">
        <x:v>medicinal-plants</x:v>
      </x:c>
      <x:c r="AC262" s="79" t="str">
        <x:v>TOPICAL</x:v>
      </x:c>
      <x:c r="AD262" s="79" t="str">
        <x:v>خیر</x:v>
      </x:c>
      <x:c r="AE262" s="79" t="str">
        <x:v>خیر</x:v>
      </x:c>
      <x:c r="AF262" s="79" t="n">
        <x:v>1</x:v>
      </x:c>
      <x:c r="AG262" s="104" t="n">
        <x:v>180000</x:v>
      </x:c>
      <x:c r="AH262" s="104"/>
      <x:c r="AI26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63">
      <x:c r="A263" s="23" t="s">
        <x:v>326</x:v>
      </x:c>
      <x:c r="B263" s="24">
        <x:v>120</x:v>
      </x:c>
      <x:c r="C263" s="25" t="s">
        <x:v>16</x:v>
      </x:c>
      <x:c r="D263" s="26">
        <x:v>120</x:v>
      </x:c>
      <x:c r="E263" s="24"/>
      <x:c r="F263" s="25"/>
      <x:c r="G263" s="26"/>
      <x:c r="H263" s="25" t="str">
        <x:f t="shared" si="4"/>
        <x:v>فعال</x:v>
      </x:c>
      <x:c r="Y263" t="str">
        <x:f>IF(AND(LEN($K$2)&gt;=3,ISNUMBER(SEARCH($K$2,$A263))),MAX($Y$3:Y262)+1,"")</x:f>
      </x:c>
      <x:c r="Z263" s="79" t="str">
        <x:v>گیاهان دارویی</x:v>
      </x:c>
      <x:c r="AA263" s="79" t="str">
        <x:v>6a3782d7df5573f4e676e243</x:v>
      </x:c>
      <x:c r="AB263" s="79" t="str">
        <x:v>medicinal-plants</x:v>
      </x:c>
      <x:c r="AC263" s="79" t="str">
        <x:v>TOPICAL</x:v>
      </x:c>
      <x:c r="AD263" s="79" t="str">
        <x:v>خیر</x:v>
      </x:c>
      <x:c r="AE263" s="79" t="str">
        <x:v>خیر</x:v>
      </x:c>
      <x:c r="AF263" s="79" t="n">
        <x:v>1</x:v>
      </x:c>
      <x:c r="AG263" s="104" t="n">
        <x:v>120000</x:v>
      </x:c>
      <x:c r="AH263" s="104"/>
      <x:c r="AI263" s="79" t="str">
        <x:v>دسته از «خشکبار و آجیل» به «گیاهان دارویی» اصلاح شد | نوع مصرف به موضعی/غیرخوراکی اصلاح شد</x:v>
      </x:c>
    </x:row>
    <x:row r="264">
      <x:c r="A264" s="23" t="s">
        <x:v>327</x:v>
      </x:c>
      <x:c r="B264" s="24">
        <x:v>180</x:v>
      </x:c>
      <x:c r="C264" s="25" t="s">
        <x:v>16</x:v>
      </x:c>
      <x:c r="D264" s="26">
        <x:v>180</x:v>
      </x:c>
      <x:c r="E264" s="24"/>
      <x:c r="F264" s="25"/>
      <x:c r="G264" s="26"/>
      <x:c r="H264" s="25" t="str">
        <x:f t="shared" si="4"/>
        <x:v>فعال</x:v>
      </x:c>
      <x:c r="Y264" t="str">
        <x:f>IF(AND(LEN($K$2)&gt;=3,ISNUMBER(SEARCH($K$2,$A264))),MAX($Y$3:Y263)+1,"")</x:f>
      </x:c>
      <x:c r="Z264" s="79" t="str">
        <x:v>گیاهان دارویی</x:v>
      </x:c>
      <x:c r="AA264" s="79" t="str">
        <x:v>6a3782d7df5573f4e676e243</x:v>
      </x:c>
      <x:c r="AB264" s="79" t="str">
        <x:v>medicinal-plants</x:v>
      </x:c>
      <x:c r="AC264" s="79" t="str">
        <x:v>TOPICAL</x:v>
      </x:c>
      <x:c r="AD264" s="79" t="str">
        <x:v>خیر</x:v>
      </x:c>
      <x:c r="AE264" s="79" t="str">
        <x:v>خیر</x:v>
      </x:c>
      <x:c r="AF264" s="79" t="n">
        <x:v>1</x:v>
      </x:c>
      <x:c r="AG264" s="104" t="n">
        <x:v>180000</x:v>
      </x:c>
      <x:c r="AH264" s="104"/>
      <x:c r="AI264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65">
      <x:c r="A265" s="23" t="s">
        <x:v>328</x:v>
      </x:c>
      <x:c r="B265" s="24">
        <x:v>500</x:v>
      </x:c>
      <x:c r="C265" s="25" t="s">
        <x:v>16</x:v>
      </x:c>
      <x:c r="D265" s="26">
        <x:v>500</x:v>
      </x:c>
      <x:c r="E265" s="24"/>
      <x:c r="F265" s="25"/>
      <x:c r="G265" s="26"/>
      <x:c r="H265" s="25" t="str">
        <x:f t="shared" si="4"/>
        <x:v>فعال</x:v>
      </x:c>
      <x:c r="Y265" t="str">
        <x:f>IF(AND(LEN($K$2)&gt;=3,ISNUMBER(SEARCH($K$2,$A265))),MAX($Y$3:Y264)+1,"")</x:f>
      </x:c>
      <x:c r="Z265" s="79" t="str">
        <x:v>گیاهان دارویی</x:v>
      </x:c>
      <x:c r="AA265" s="79" t="str">
        <x:v>6a3782d7df5573f4e676e243</x:v>
      </x:c>
      <x:c r="AB265" s="79" t="str">
        <x:v>medicinal-plants</x:v>
      </x:c>
      <x:c r="AC265" s="79" t="str">
        <x:v>EDIBLE</x:v>
      </x:c>
      <x:c r="AD265" s="79" t="str">
        <x:v>بله</x:v>
      </x:c>
      <x:c r="AE265" s="79" t="str">
        <x:v>خیر</x:v>
      </x:c>
      <x:c r="AF265" s="79" t="n">
        <x:v>1</x:v>
      </x:c>
      <x:c r="AG265" s="104" t="n">
        <x:v>500000</x:v>
      </x:c>
      <x:c r="AH265" s="104"/>
      <x:c r="AI265" s="79" t="str">
        <x:v>دسته از «نیاز به بررسی» به «گیاهان دارویی» اصلاح شد</x:v>
      </x:c>
    </x:row>
    <x:row r="266">
      <x:c r="A266" s="23" t="s">
        <x:v>329</x:v>
      </x:c>
      <x:c r="B266" s="24">
        <x:v>30</x:v>
      </x:c>
      <x:c r="C266" s="25" t="s">
        <x:v>16</x:v>
      </x:c>
      <x:c r="D266" s="26">
        <x:v>30</x:v>
      </x:c>
      <x:c r="E266" s="24"/>
      <x:c r="F266" s="25"/>
      <x:c r="G266" s="26"/>
      <x:c r="H266" s="25" t="str">
        <x:f t="shared" si="4"/>
        <x:v>فعال</x:v>
      </x:c>
      <x:c r="Y266" t="str">
        <x:f>IF(AND(LEN($K$2)&gt;=3,ISNUMBER(SEARCH($K$2,$A266))),MAX($Y$3:Y265)+1,"")</x:f>
      </x:c>
      <x:c r="Z266" s="79" t="str">
        <x:v>عدم ایمپورت</x:v>
      </x:c>
      <x:c r="AA266" s="79"/>
      <x:c r="AB266" s="79" t="str">
        <x:v>SKIP</x:v>
      </x:c>
      <x:c r="AC266" s="79" t="str">
        <x:v>NON_PRODUCT</x:v>
      </x:c>
      <x:c r="AD266" s="79" t="str">
        <x:v>خیر</x:v>
      </x:c>
      <x:c r="AE266" s="79" t="str">
        <x:v>خیر</x:v>
      </x:c>
      <x:c r="AF266" s="79" t="n">
        <x:v>1</x:v>
      </x:c>
      <x:c r="AG266" s="104" t="n">
        <x:v>30000</x:v>
      </x:c>
      <x:c r="AH266" s="104"/>
      <x:c r="AI266" s="79" t="str">
        <x:v>SKIP_NON_PRODUCT</x:v>
      </x:c>
    </x:row>
    <x:row r="267">
      <x:c r="A267" s="23" t="s">
        <x:v>330</x:v>
      </x:c>
      <x:c r="B267" s="24">
        <x:v>70</x:v>
      </x:c>
      <x:c r="C267" s="25" t="s">
        <x:v>331</x:v>
      </x:c>
      <x:c r="D267" s="26">
        <x:v>70</x:v>
      </x:c>
      <x:c r="E267" s="24">
        <x:v>60</x:v>
      </x:c>
      <x:c r="F267" s="25" t="s">
        <x:v>332</x:v>
      </x:c>
      <x:c r="G267" s="26">
        <x:v>60</x:v>
      </x:c>
      <x:c r="H267" s="25" t="str">
        <x:f t="shared" si="4"/>
        <x:v>فعال</x:v>
      </x:c>
      <x:c r="Y267" t="str">
        <x:f>IF(AND(LEN($K$2)&gt;=3,ISNUMBER(SEARCH($K$2,$A267))),MAX($Y$3:Y266)+1,"")</x:f>
      </x:c>
      <x:c r="Z267" s="79" t="str">
        <x:v>عدم ایمپورت</x:v>
      </x:c>
      <x:c r="AA267" s="79"/>
      <x:c r="AB267" s="79" t="str">
        <x:v>SKIP</x:v>
      </x:c>
      <x:c r="AC267" s="79" t="str">
        <x:v>NON_PRODUCT</x:v>
      </x:c>
      <x:c r="AD267" s="79" t="str">
        <x:v>خیر</x:v>
      </x:c>
      <x:c r="AE267" s="79" t="str">
        <x:v>بله</x:v>
      </x:c>
      <x:c r="AF267" s="79" t="n">
        <x:v>2</x:v>
      </x:c>
      <x:c r="AG267" s="104" t="n">
        <x:v>70000</x:v>
      </x:c>
      <x:c r="AH267" s="104" t="n">
        <x:v>60000</x:v>
      </x:c>
      <x:c r="AI267" s="79" t="str">
        <x:v>SKIP_NON_PRODUCT</x:v>
      </x:c>
    </x:row>
    <x:row r="268">
      <x:c r="A268" s="23" t="s">
        <x:v>333</x:v>
      </x:c>
      <x:c r="B268" s="24">
        <x:v>18</x:v>
      </x:c>
      <x:c r="C268" s="25" t="s">
        <x:v>56</x:v>
      </x:c>
      <x:c r="D268" s="26">
        <x:v>18</x:v>
      </x:c>
      <x:c r="E268" s="24">
        <x:v>30</x:v>
      </x:c>
      <x:c r="F268" s="25" t="s">
        <x:v>57</x:v>
      </x:c>
      <x:c r="G268" s="26">
        <x:v>30</x:v>
      </x:c>
      <x:c r="H268" s="25" t="str">
        <x:f t="shared" si="4"/>
        <x:v>فعال</x:v>
      </x:c>
      <x:c r="Y268" t="str">
        <x:f>IF(AND(LEN($K$2)&gt;=3,ISNUMBER(SEARCH($K$2,$A268))),MAX($Y$3:Y267)+1,"")</x:f>
      </x:c>
      <x:c r="Z268" s="79" t="str">
        <x:v>عدم ایمپورت</x:v>
      </x:c>
      <x:c r="AA268" s="79"/>
      <x:c r="AB268" s="79" t="str">
        <x:v>SKIP</x:v>
      </x:c>
      <x:c r="AC268" s="79" t="str">
        <x:v>NON_PRODUCT</x:v>
      </x:c>
      <x:c r="AD268" s="79" t="str">
        <x:v>خیر</x:v>
      </x:c>
      <x:c r="AE268" s="79" t="str">
        <x:v>بله</x:v>
      </x:c>
      <x:c r="AF268" s="79" t="n">
        <x:v>2</x:v>
      </x:c>
      <x:c r="AG268" s="104" t="n">
        <x:v>18000</x:v>
      </x:c>
      <x:c r="AH268" s="104" t="n">
        <x:v>30000</x:v>
      </x:c>
      <x:c r="AI268" s="79" t="str">
        <x:v>SKIP_NON_PRODUCT</x:v>
      </x:c>
    </x:row>
    <x:row r="269">
      <x:c r="A269" s="23" t="s">
        <x:v>334</x:v>
      </x:c>
      <x:c r="B269" s="24">
        <x:v>18</x:v>
      </x:c>
      <x:c r="C269" s="25" t="s">
        <x:v>56</x:v>
      </x:c>
      <x:c r="D269" s="26">
        <x:v>18</x:v>
      </x:c>
      <x:c r="E269" s="24">
        <x:v>23</x:v>
      </x:c>
      <x:c r="F269" s="25" t="s">
        <x:v>57</x:v>
      </x:c>
      <x:c r="G269" s="26">
        <x:v>23</x:v>
      </x:c>
      <x:c r="H269" s="25" t="str">
        <x:f t="shared" si="4"/>
        <x:v>فعال</x:v>
      </x:c>
      <x:c r="Y269" t="str">
        <x:f>IF(AND(LEN($K$2)&gt;=3,ISNUMBER(SEARCH($K$2,$A269))),MAX($Y$3:Y268)+1,"")</x:f>
      </x:c>
      <x:c r="Z269" s="79" t="str">
        <x:v>عدم ایمپورت</x:v>
      </x:c>
      <x:c r="AA269" s="79"/>
      <x:c r="AB269" s="79" t="str">
        <x:v>SKIP</x:v>
      </x:c>
      <x:c r="AC269" s="79" t="str">
        <x:v>NON_PRODUCT</x:v>
      </x:c>
      <x:c r="AD269" s="79" t="str">
        <x:v>خیر</x:v>
      </x:c>
      <x:c r="AE269" s="79" t="str">
        <x:v>بله</x:v>
      </x:c>
      <x:c r="AF269" s="79" t="n">
        <x:v>2</x:v>
      </x:c>
      <x:c r="AG269" s="104" t="n">
        <x:v>18000</x:v>
      </x:c>
      <x:c r="AH269" s="104" t="n">
        <x:v>23000</x:v>
      </x:c>
      <x:c r="AI269" s="79" t="str">
        <x:v>SKIP_NON_PRODUCT</x:v>
      </x:c>
    </x:row>
    <x:row r="270">
      <x:c r="A270" s="23" t="s">
        <x:v>335</x:v>
      </x:c>
      <x:c r="B270" s="24">
        <x:v>32</x:v>
      </x:c>
      <x:c r="C270" s="25" t="s">
        <x:v>336</x:v>
      </x:c>
      <x:c r="D270" s="26">
        <x:v>32</x:v>
      </x:c>
      <x:c r="E270" s="24">
        <x:v>35</x:v>
      </x:c>
      <x:c r="F270" s="25" t="s">
        <x:v>337</x:v>
      </x:c>
      <x:c r="G270" s="26">
        <x:v>35</x:v>
      </x:c>
      <x:c r="H270" s="25" t="str">
        <x:f t="shared" si="4"/>
        <x:v>فعال</x:v>
      </x:c>
      <x:c r="Y270" t="str">
        <x:f>IF(AND(LEN($K$2)&gt;=3,ISNUMBER(SEARCH($K$2,$A270))),MAX($Y$3:Y269)+1,"")</x:f>
      </x:c>
      <x:c r="Z270" s="79" t="str">
        <x:v>عدم ایمپورت</x:v>
      </x:c>
      <x:c r="AA270" s="79"/>
      <x:c r="AB270" s="79" t="str">
        <x:v>SKIP</x:v>
      </x:c>
      <x:c r="AC270" s="79" t="str">
        <x:v>NON_PRODUCT</x:v>
      </x:c>
      <x:c r="AD270" s="79" t="str">
        <x:v>خیر</x:v>
      </x:c>
      <x:c r="AE270" s="79" t="str">
        <x:v>بله</x:v>
      </x:c>
      <x:c r="AF270" s="79" t="n">
        <x:v>2</x:v>
      </x:c>
      <x:c r="AG270" s="104" t="n">
        <x:v>32000</x:v>
      </x:c>
      <x:c r="AH270" s="104" t="n">
        <x:v>35000</x:v>
      </x:c>
      <x:c r="AI270" s="79" t="str">
        <x:v>SKIP_NON_PRODUCT</x:v>
      </x:c>
    </x:row>
    <x:row r="271">
      <x:c r="A271" s="23" t="s">
        <x:v>338</x:v>
      </x:c>
      <x:c r="B271" s="24">
        <x:v>15</x:v>
      </x:c>
      <x:c r="C271" s="25" t="s">
        <x:v>339</x:v>
      </x:c>
      <x:c r="D271" s="26">
        <x:v>15</x:v>
      </x:c>
      <x:c r="E271" s="24">
        <x:v>25</x:v>
      </x:c>
      <x:c r="F271" s="25" t="s">
        <x:v>340</x:v>
      </x:c>
      <x:c r="G271" s="26">
        <x:v>25</x:v>
      </x:c>
      <x:c r="H271" s="25" t="str">
        <x:f t="shared" si="4"/>
        <x:v>فعال</x:v>
      </x:c>
      <x:c r="Y271" t="str">
        <x:f>IF(AND(LEN($K$2)&gt;=3,ISNUMBER(SEARCH($K$2,$A271))),MAX($Y$3:Y270)+1,"")</x:f>
      </x:c>
      <x:c r="Z271" s="79" t="str">
        <x:v>عدم ایمپورت</x:v>
      </x:c>
      <x:c r="AA271" s="79"/>
      <x:c r="AB271" s="79" t="str">
        <x:v>SKIP</x:v>
      </x:c>
      <x:c r="AC271" s="79" t="str">
        <x:v>NON_PRODUCT</x:v>
      </x:c>
      <x:c r="AD271" s="79" t="str">
        <x:v>خیر</x:v>
      </x:c>
      <x:c r="AE271" s="79" t="str">
        <x:v>بله</x:v>
      </x:c>
      <x:c r="AF271" s="79" t="n">
        <x:v>2</x:v>
      </x:c>
      <x:c r="AG271" s="104" t="n">
        <x:v>15000</x:v>
      </x:c>
      <x:c r="AH271" s="104" t="n">
        <x:v>25000</x:v>
      </x:c>
      <x:c r="AI271" s="79" t="str">
        <x:v>SKIP_NON_PRODUCT</x:v>
      </x:c>
    </x:row>
    <x:row r="272">
      <x:c r="A272" s="23" t="s">
        <x:v>341</x:v>
      </x:c>
      <x:c r="B272" s="24">
        <x:v>12</x:v>
      </x:c>
      <x:c r="C272" s="25" t="s">
        <x:v>172</x:v>
      </x:c>
      <x:c r="D272" s="26">
        <x:v>12</x:v>
      </x:c>
      <x:c r="E272" s="24">
        <x:v>20</x:v>
      </x:c>
      <x:c r="F272" s="25" t="s">
        <x:v>173</x:v>
      </x:c>
      <x:c r="G272" s="26">
        <x:v>20</x:v>
      </x:c>
      <x:c r="H272" s="25" t="str">
        <x:f t="shared" si="4"/>
        <x:v>فعال</x:v>
      </x:c>
      <x:c r="Y272" t="str">
        <x:f>IF(AND(LEN($K$2)&gt;=3,ISNUMBER(SEARCH($K$2,$A272))),MAX($Y$3:Y271)+1,"")</x:f>
      </x:c>
      <x:c r="Z272" s="79" t="str">
        <x:v>عدم ایمپورت</x:v>
      </x:c>
      <x:c r="AA272" s="79"/>
      <x:c r="AB272" s="79" t="str">
        <x:v>SKIP</x:v>
      </x:c>
      <x:c r="AC272" s="79" t="str">
        <x:v>NON_PRODUCT</x:v>
      </x:c>
      <x:c r="AD272" s="79" t="str">
        <x:v>خیر</x:v>
      </x:c>
      <x:c r="AE272" s="79" t="str">
        <x:v>بله</x:v>
      </x:c>
      <x:c r="AF272" s="79" t="n">
        <x:v>2</x:v>
      </x:c>
      <x:c r="AG272" s="104" t="n">
        <x:v>12000</x:v>
      </x:c>
      <x:c r="AH272" s="104" t="n">
        <x:v>20000</x:v>
      </x:c>
      <x:c r="AI272" s="79" t="str">
        <x:v>SKIP_NON_PRODUCT</x:v>
      </x:c>
    </x:row>
    <x:row r="273">
      <x:c r="A273" s="23" t="s">
        <x:v>342</x:v>
      </x:c>
      <x:c r="B273" s="24">
        <x:v>50</x:v>
      </x:c>
      <x:c r="C273" s="25" t="s">
        <x:v>16</x:v>
      </x:c>
      <x:c r="D273" s="26">
        <x:v>50</x:v>
      </x:c>
      <x:c r="E273" s="24"/>
      <x:c r="F273" s="25"/>
      <x:c r="G273" s="26"/>
      <x:c r="H273" s="25" t="str">
        <x:f t="shared" si="4"/>
        <x:v>فعال</x:v>
      </x:c>
      <x:c r="Y273" t="str">
        <x:f>IF(AND(LEN($K$2)&gt;=3,ISNUMBER(SEARCH($K$2,$A273))),MAX($Y$3:Y272)+1,"")</x:f>
      </x:c>
      <x:c r="Z273" s="79" t="str">
        <x:v>عدم ایمپورت</x:v>
      </x:c>
      <x:c r="AA273" s="79"/>
      <x:c r="AB273" s="79" t="str">
        <x:v>SKIP</x:v>
      </x:c>
      <x:c r="AC273" s="79" t="str">
        <x:v>NON_PRODUCT</x:v>
      </x:c>
      <x:c r="AD273" s="79" t="str">
        <x:v>خیر</x:v>
      </x:c>
      <x:c r="AE273" s="79" t="str">
        <x:v>خیر</x:v>
      </x:c>
      <x:c r="AF273" s="79" t="n">
        <x:v>1</x:v>
      </x:c>
      <x:c r="AG273" s="104" t="n">
        <x:v>50000</x:v>
      </x:c>
      <x:c r="AH273" s="104"/>
      <x:c r="AI273" s="79" t="str">
        <x:v>SKIP_NON_PRODUCT</x:v>
      </x:c>
    </x:row>
    <x:row r="274">
      <x:c r="A274" s="23" t="s">
        <x:v>343</x:v>
      </x:c>
      <x:c r="B274" s="24">
        <x:v>22</x:v>
      </x:c>
      <x:c r="C274" s="25" t="s">
        <x:v>155</x:v>
      </x:c>
      <x:c r="D274" s="26">
        <x:v>22</x:v>
      </x:c>
      <x:c r="E274" s="24">
        <x:v>25</x:v>
      </x:c>
      <x:c r="F274" s="25" t="s">
        <x:v>344</x:v>
      </x:c>
      <x:c r="G274" s="26">
        <x:v>25</x:v>
      </x:c>
      <x:c r="H274" s="25" t="str">
        <x:f t="shared" si="4"/>
        <x:v>فعال</x:v>
      </x:c>
      <x:c r="Y274" t="str">
        <x:f>IF(AND(LEN($K$2)&gt;=3,ISNUMBER(SEARCH($K$2,$A274))),MAX($Y$3:Y273)+1,"")</x:f>
      </x:c>
      <x:c r="Z274" s="79" t="str">
        <x:v>عدم ایمپورت</x:v>
      </x:c>
      <x:c r="AA274" s="79"/>
      <x:c r="AB274" s="79" t="str">
        <x:v>SKIP</x:v>
      </x:c>
      <x:c r="AC274" s="79" t="str">
        <x:v>NON_PRODUCT</x:v>
      </x:c>
      <x:c r="AD274" s="79" t="str">
        <x:v>خیر</x:v>
      </x:c>
      <x:c r="AE274" s="79" t="str">
        <x:v>بله</x:v>
      </x:c>
      <x:c r="AF274" s="79" t="n">
        <x:v>2</x:v>
      </x:c>
      <x:c r="AG274" s="104" t="n">
        <x:v>22000</x:v>
      </x:c>
      <x:c r="AH274" s="104" t="n">
        <x:v>25000</x:v>
      </x:c>
      <x:c r="AI274" s="79" t="str">
        <x:v>SKIP_NON_PRODUCT</x:v>
      </x:c>
    </x:row>
    <x:row r="275">
      <x:c r="A275" s="23" t="s">
        <x:v>345</x:v>
      </x:c>
      <x:c r="B275" s="24">
        <x:v>40</x:v>
      </x:c>
      <x:c r="C275" s="25" t="s">
        <x:v>339</x:v>
      </x:c>
      <x:c r="D275" s="26">
        <x:v>40</x:v>
      </x:c>
      <x:c r="E275" s="24">
        <x:v>50</x:v>
      </x:c>
      <x:c r="F275" s="25" t="s">
        <x:v>332</x:v>
      </x:c>
      <x:c r="G275" s="26">
        <x:v>50</x:v>
      </x:c>
      <x:c r="H275" s="25" t="str">
        <x:f t="shared" si="4"/>
        <x:v>فعال</x:v>
      </x:c>
      <x:c r="Y275" t="str">
        <x:f>IF(AND(LEN($K$2)&gt;=3,ISNUMBER(SEARCH($K$2,$A275))),MAX($Y$3:Y274)+1,"")</x:f>
      </x:c>
      <x:c r="Z275" s="79" t="str">
        <x:v>عدم ایمپورت</x:v>
      </x:c>
      <x:c r="AA275" s="79"/>
      <x:c r="AB275" s="79" t="str">
        <x:v>SKIP</x:v>
      </x:c>
      <x:c r="AC275" s="79" t="str">
        <x:v>NON_PRODUCT</x:v>
      </x:c>
      <x:c r="AD275" s="79" t="str">
        <x:v>خیر</x:v>
      </x:c>
      <x:c r="AE275" s="79" t="str">
        <x:v>بله</x:v>
      </x:c>
      <x:c r="AF275" s="79" t="n">
        <x:v>2</x:v>
      </x:c>
      <x:c r="AG275" s="104" t="n">
        <x:v>40000</x:v>
      </x:c>
      <x:c r="AH275" s="104" t="n">
        <x:v>50000</x:v>
      </x:c>
      <x:c r="AI275" s="79" t="str">
        <x:v>SKIP_NON_PRODUCT</x:v>
      </x:c>
    </x:row>
    <x:row r="276">
      <x:c r="A276" s="23" t="s">
        <x:v>346</x:v>
      </x:c>
      <x:c r="B276" s="24">
        <x:v>65</x:v>
      </x:c>
      <x:c r="C276" s="25" t="s">
        <x:v>172</x:v>
      </x:c>
      <x:c r="D276" s="26">
        <x:v>65</x:v>
      </x:c>
      <x:c r="E276" s="24">
        <x:v>120</x:v>
      </x:c>
      <x:c r="F276" s="25" t="s">
        <x:v>173</x:v>
      </x:c>
      <x:c r="G276" s="26">
        <x:v>120</x:v>
      </x:c>
      <x:c r="H276" s="25" t="str">
        <x:f t="shared" si="4"/>
        <x:v>فعال</x:v>
      </x:c>
      <x:c r="Y276" t="str">
        <x:f>IF(AND(LEN($K$2)&gt;=3,ISNUMBER(SEARCH($K$2,$A276))),MAX($Y$3:Y275)+1,"")</x:f>
      </x:c>
      <x:c r="Z276" s="79" t="str">
        <x:v>گیاهان دارویی</x:v>
      </x:c>
      <x:c r="AA276" s="79" t="str">
        <x:v>6a3782d7df5573f4e676e243</x:v>
      </x:c>
      <x:c r="AB276" s="79" t="str">
        <x:v>medicinal-plants</x:v>
      </x:c>
      <x:c r="AC276" s="79" t="str">
        <x:v>TOPICAL</x:v>
      </x:c>
      <x:c r="AD276" s="79" t="str">
        <x:v>خیر</x:v>
      </x:c>
      <x:c r="AE276" s="79" t="str">
        <x:v>بله</x:v>
      </x:c>
      <x:c r="AF276" s="79" t="n">
        <x:v>2</x:v>
      </x:c>
      <x:c r="AG276" s="104" t="n">
        <x:v>65000</x:v>
      </x:c>
      <x:c r="AH276" s="104" t="n">
        <x:v>120000</x:v>
      </x:c>
      <x:c r="AI276" s="79" t="str">
        <x:v>به دلیل مصرف استنشاقی/موضعی از نوشیدنی‌ها به گیاهان دارویی منتقل شد</x:v>
      </x:c>
    </x:row>
    <x:row r="277">
      <x:c r="A277" s="23" t="s">
        <x:v>347</x:v>
      </x:c>
      <x:c r="B277" s="24">
        <x:v>100</x:v>
      </x:c>
      <x:c r="C277" s="25" t="s">
        <x:v>56</x:v>
      </x:c>
      <x:c r="D277" s="26">
        <x:v>100</x:v>
      </x:c>
      <x:c r="E277" s="24">
        <x:v>190</x:v>
      </x:c>
      <x:c r="F277" s="25" t="s">
        <x:v>57</x:v>
      </x:c>
      <x:c r="G277" s="26">
        <x:v>190</x:v>
      </x:c>
      <x:c r="H277" s="25" t="str">
        <x:f t="shared" si="4"/>
        <x:v>فعال</x:v>
      </x:c>
      <x:c r="Y277" t="str">
        <x:f>IF(AND(LEN($K$2)&gt;=3,ISNUMBER(SEARCH($K$2,$A277))),MAX($Y$3:Y276)+1,"")</x:f>
      </x:c>
      <x:c r="Z277" s="79" t="str">
        <x:v>نوشیدنی‌ها</x:v>
      </x:c>
      <x:c r="AA277" s="79" t="str">
        <x:v>6a3782ffdf5573f4e676e24b</x:v>
      </x:c>
      <x:c r="AB277" s="79" t="str">
        <x:v>syrup</x:v>
      </x:c>
      <x:c r="AC277" s="79" t="str">
        <x:v>EDIBLE</x:v>
      </x:c>
      <x:c r="AD277" s="79" t="str">
        <x:v>بله</x:v>
      </x:c>
      <x:c r="AE277" s="79" t="str">
        <x:v>بله</x:v>
      </x:c>
      <x:c r="AF277" s="79" t="n">
        <x:v>2</x:v>
      </x:c>
      <x:c r="AG277" s="104" t="n">
        <x:v>100000</x:v>
      </x:c>
      <x:c r="AH277" s="104" t="n">
        <x:v>190000</x:v>
      </x:c>
      <x:c r="AI277" s="79"/>
    </x:row>
    <x:row r="278">
      <x:c r="A278" s="23" t="s">
        <x:v>348</x:v>
      </x:c>
      <x:c r="B278" s="24">
        <x:v>65</x:v>
      </x:c>
      <x:c r="C278" s="25" t="s">
        <x:v>56</x:v>
      </x:c>
      <x:c r="D278" s="26">
        <x:v>65</x:v>
      </x:c>
      <x:c r="E278" s="24">
        <x:v>120</x:v>
      </x:c>
      <x:c r="F278" s="25" t="s">
        <x:v>57</x:v>
      </x:c>
      <x:c r="G278" s="26">
        <x:v>120</x:v>
      </x:c>
      <x:c r="H278" s="25" t="str">
        <x:f t="shared" si="4"/>
        <x:v>فعال</x:v>
      </x:c>
      <x:c r="Y278" t="str">
        <x:f>IF(AND(LEN($K$2)&gt;=3,ISNUMBER(SEARCH($K$2,$A278))),MAX($Y$3:Y277)+1,"")</x:f>
      </x:c>
      <x:c r="Z278" s="79" t="str">
        <x:v>نوشیدنی‌ها</x:v>
      </x:c>
      <x:c r="AA278" s="79" t="str">
        <x:v>6a3782ffdf5573f4e676e24b</x:v>
      </x:c>
      <x:c r="AB278" s="79" t="str">
        <x:v>syrup</x:v>
      </x:c>
      <x:c r="AC278" s="79" t="str">
        <x:v>EDIBLE</x:v>
      </x:c>
      <x:c r="AD278" s="79" t="str">
        <x:v>بله</x:v>
      </x:c>
      <x:c r="AE278" s="79" t="str">
        <x:v>بله</x:v>
      </x:c>
      <x:c r="AF278" s="79" t="n">
        <x:v>2</x:v>
      </x:c>
      <x:c r="AG278" s="104" t="n">
        <x:v>65000</x:v>
      </x:c>
      <x:c r="AH278" s="104" t="n">
        <x:v>120000</x:v>
      </x:c>
      <x:c r="AI278" s="79"/>
    </x:row>
    <x:row r="279">
      <x:c r="A279" s="23" t="s">
        <x:v>349</x:v>
      </x:c>
      <x:c r="B279" s="24">
        <x:v>140</x:v>
      </x:c>
      <x:c r="C279" s="25" t="s">
        <x:v>56</x:v>
      </x:c>
      <x:c r="D279" s="26">
        <x:v>140</x:v>
      </x:c>
      <x:c r="E279" s="24">
        <x:v>270</x:v>
      </x:c>
      <x:c r="F279" s="25" t="s">
        <x:v>57</x:v>
      </x:c>
      <x:c r="G279" s="26">
        <x:v>270</x:v>
      </x:c>
      <x:c r="H279" s="25" t="str">
        <x:f t="shared" si="4"/>
        <x:v>فعال</x:v>
      </x:c>
      <x:c r="Y279" t="str">
        <x:f>IF(AND(LEN($K$2)&gt;=3,ISNUMBER(SEARCH($K$2,$A279))),MAX($Y$3:Y278)+1,"")</x:f>
      </x:c>
      <x:c r="Z279" s="79" t="str">
        <x:v>نوشیدنی‌ها</x:v>
      </x:c>
      <x:c r="AA279" s="79" t="str">
        <x:v>6a3782ffdf5573f4e676e24b</x:v>
      </x:c>
      <x:c r="AB279" s="79" t="str">
        <x:v>syrup</x:v>
      </x:c>
      <x:c r="AC279" s="79" t="str">
        <x:v>EDIBLE</x:v>
      </x:c>
      <x:c r="AD279" s="79" t="str">
        <x:v>بله</x:v>
      </x:c>
      <x:c r="AE279" s="79" t="str">
        <x:v>بله</x:v>
      </x:c>
      <x:c r="AF279" s="79" t="n">
        <x:v>2</x:v>
      </x:c>
      <x:c r="AG279" s="104" t="n">
        <x:v>140000</x:v>
      </x:c>
      <x:c r="AH279" s="104" t="n">
        <x:v>270000</x:v>
      </x:c>
      <x:c r="AI279" s="79"/>
    </x:row>
    <x:row r="280">
      <x:c r="A280" s="23" t="s">
        <x:v>350</x:v>
      </x:c>
      <x:c r="B280" s="24">
        <x:v>95</x:v>
      </x:c>
      <x:c r="C280" s="25" t="s">
        <x:v>56</x:v>
      </x:c>
      <x:c r="D280" s="26">
        <x:v>95</x:v>
      </x:c>
      <x:c r="E280" s="24">
        <x:v>180</x:v>
      </x:c>
      <x:c r="F280" s="25" t="s">
        <x:v>57</x:v>
      </x:c>
      <x:c r="G280" s="26">
        <x:v>180</x:v>
      </x:c>
      <x:c r="H280" s="25" t="str">
        <x:f t="shared" si="4"/>
        <x:v>فعال</x:v>
      </x:c>
      <x:c r="Y280" t="str">
        <x:f>IF(AND(LEN($K$2)&gt;=3,ISNUMBER(SEARCH($K$2,$A280))),MAX($Y$3:Y279)+1,"")</x:f>
      </x:c>
      <x:c r="Z280" s="79" t="str">
        <x:v>نوشیدنی‌ها</x:v>
      </x:c>
      <x:c r="AA280" s="79" t="str">
        <x:v>6a3782ffdf5573f4e676e24b</x:v>
      </x:c>
      <x:c r="AB280" s="79" t="str">
        <x:v>syrup</x:v>
      </x:c>
      <x:c r="AC280" s="79" t="str">
        <x:v>EDIBLE</x:v>
      </x:c>
      <x:c r="AD280" s="79" t="str">
        <x:v>بله</x:v>
      </x:c>
      <x:c r="AE280" s="79" t="str">
        <x:v>بله</x:v>
      </x:c>
      <x:c r="AF280" s="79" t="n">
        <x:v>2</x:v>
      </x:c>
      <x:c r="AG280" s="104" t="n">
        <x:v>95000</x:v>
      </x:c>
      <x:c r="AH280" s="104" t="n">
        <x:v>180000</x:v>
      </x:c>
      <x:c r="AI280" s="79"/>
    </x:row>
    <x:row r="281">
      <x:c r="A281" s="23" t="s">
        <x:v>351</x:v>
      </x:c>
      <x:c r="B281" s="24">
        <x:v>140</x:v>
      </x:c>
      <x:c r="C281" s="25" t="s">
        <x:v>56</x:v>
      </x:c>
      <x:c r="D281" s="26">
        <x:v>140</x:v>
      </x:c>
      <x:c r="E281" s="24">
        <x:v>270</x:v>
      </x:c>
      <x:c r="F281" s="25" t="s">
        <x:v>57</x:v>
      </x:c>
      <x:c r="G281" s="26">
        <x:v>270</x:v>
      </x:c>
      <x:c r="H281" s="25" t="str">
        <x:f t="shared" si="4"/>
        <x:v>فعال</x:v>
      </x:c>
      <x:c r="Y281" t="str">
        <x:f>IF(AND(LEN($K$2)&gt;=3,ISNUMBER(SEARCH($K$2,$A281))),MAX($Y$3:Y280)+1,"")</x:f>
      </x:c>
      <x:c r="Z281" s="79" t="str">
        <x:v>نوشیدنی‌ها</x:v>
      </x:c>
      <x:c r="AA281" s="79" t="str">
        <x:v>6a3782ffdf5573f4e676e24b</x:v>
      </x:c>
      <x:c r="AB281" s="79" t="str">
        <x:v>syrup</x:v>
      </x:c>
      <x:c r="AC281" s="79" t="str">
        <x:v>EDIBLE</x:v>
      </x:c>
      <x:c r="AD281" s="79" t="str">
        <x:v>بله</x:v>
      </x:c>
      <x:c r="AE281" s="79" t="str">
        <x:v>بله</x:v>
      </x:c>
      <x:c r="AF281" s="79" t="n">
        <x:v>2</x:v>
      </x:c>
      <x:c r="AG281" s="104" t="n">
        <x:v>140000</x:v>
      </x:c>
      <x:c r="AH281" s="104" t="n">
        <x:v>270000</x:v>
      </x:c>
      <x:c r="AI281" s="79"/>
    </x:row>
    <x:row r="282">
      <x:c r="A282" s="23" t="s">
        <x:v>352</x:v>
      </x:c>
      <x:c r="B282" s="24">
        <x:v>70</x:v>
      </x:c>
      <x:c r="C282" s="25" t="s">
        <x:v>56</x:v>
      </x:c>
      <x:c r="D282" s="26">
        <x:v>70</x:v>
      </x:c>
      <x:c r="E282" s="24">
        <x:v>130</x:v>
      </x:c>
      <x:c r="F282" s="25" t="s">
        <x:v>57</x:v>
      </x:c>
      <x:c r="G282" s="26">
        <x:v>130</x:v>
      </x:c>
      <x:c r="H282" s="25" t="str">
        <x:f t="shared" si="4"/>
        <x:v>فعال</x:v>
      </x:c>
      <x:c r="Y282" t="str">
        <x:f>IF(AND(LEN($K$2)&gt;=3,ISNUMBER(SEARCH($K$2,$A282))),MAX($Y$3:Y281)+1,"")</x:f>
      </x:c>
      <x:c r="Z282" s="79" t="str">
        <x:v>نوشیدنی‌ها</x:v>
      </x:c>
      <x:c r="AA282" s="79" t="str">
        <x:v>6a3782ffdf5573f4e676e24b</x:v>
      </x:c>
      <x:c r="AB282" s="79" t="str">
        <x:v>syrup</x:v>
      </x:c>
      <x:c r="AC282" s="79" t="str">
        <x:v>EDIBLE</x:v>
      </x:c>
      <x:c r="AD282" s="79" t="str">
        <x:v>بله</x:v>
      </x:c>
      <x:c r="AE282" s="79" t="str">
        <x:v>بله</x:v>
      </x:c>
      <x:c r="AF282" s="79" t="n">
        <x:v>2</x:v>
      </x:c>
      <x:c r="AG282" s="104" t="n">
        <x:v>70000</x:v>
      </x:c>
      <x:c r="AH282" s="104" t="n">
        <x:v>130000</x:v>
      </x:c>
      <x:c r="AI282" s="79"/>
    </x:row>
    <x:row r="283">
      <x:c r="A283" s="23" t="s">
        <x:v>353</x:v>
      </x:c>
      <x:c r="B283" s="24">
        <x:v>115</x:v>
      </x:c>
      <x:c r="C283" s="25" t="s">
        <x:v>56</x:v>
      </x:c>
      <x:c r="D283" s="26">
        <x:v>115</x:v>
      </x:c>
      <x:c r="E283" s="24">
        <x:v>220</x:v>
      </x:c>
      <x:c r="F283" s="25" t="s">
        <x:v>57</x:v>
      </x:c>
      <x:c r="G283" s="26">
        <x:v>220</x:v>
      </x:c>
      <x:c r="H283" s="25" t="str">
        <x:f t="shared" si="4"/>
        <x:v>فعال</x:v>
      </x:c>
      <x:c r="Y283" t="str">
        <x:f>IF(AND(LEN($K$2)&gt;=3,ISNUMBER(SEARCH($K$2,$A283))),MAX($Y$3:Y282)+1,"")</x:f>
      </x:c>
      <x:c r="Z283" s="79" t="str">
        <x:v>نوشیدنی‌ها</x:v>
      </x:c>
      <x:c r="AA283" s="79" t="str">
        <x:v>6a3782ffdf5573f4e676e24b</x:v>
      </x:c>
      <x:c r="AB283" s="79" t="str">
        <x:v>syrup</x:v>
      </x:c>
      <x:c r="AC283" s="79" t="str">
        <x:v>EDIBLE</x:v>
      </x:c>
      <x:c r="AD283" s="79" t="str">
        <x:v>بله</x:v>
      </x:c>
      <x:c r="AE283" s="79" t="str">
        <x:v>بله</x:v>
      </x:c>
      <x:c r="AF283" s="79" t="n">
        <x:v>2</x:v>
      </x:c>
      <x:c r="AG283" s="104" t="n">
        <x:v>115000</x:v>
      </x:c>
      <x:c r="AH283" s="104" t="n">
        <x:v>220000</x:v>
      </x:c>
      <x:c r="AI283" s="79"/>
    </x:row>
    <x:row r="284">
      <x:c r="A284" s="23" t="s">
        <x:v>354</x:v>
      </x:c>
      <x:c r="B284" s="24">
        <x:v>80</x:v>
      </x:c>
      <x:c r="C284" s="25" t="s">
        <x:v>56</x:v>
      </x:c>
      <x:c r="D284" s="26">
        <x:v>80</x:v>
      </x:c>
      <x:c r="E284" s="24">
        <x:v>150</x:v>
      </x:c>
      <x:c r="F284" s="25" t="s">
        <x:v>57</x:v>
      </x:c>
      <x:c r="G284" s="26">
        <x:v>150</x:v>
      </x:c>
      <x:c r="H284" s="25" t="str">
        <x:f t="shared" si="4"/>
        <x:v>فعال</x:v>
      </x:c>
      <x:c r="Y284" t="str">
        <x:f>IF(AND(LEN($K$2)&gt;=3,ISNUMBER(SEARCH($K$2,$A284))),MAX($Y$3:Y283)+1,"")</x:f>
      </x:c>
      <x:c r="Z284" s="79" t="str">
        <x:v>نوشیدنی‌ها</x:v>
      </x:c>
      <x:c r="AA284" s="79" t="str">
        <x:v>6a3782ffdf5573f4e676e24b</x:v>
      </x:c>
      <x:c r="AB284" s="79" t="str">
        <x:v>syrup</x:v>
      </x:c>
      <x:c r="AC284" s="79" t="str">
        <x:v>EDIBLE</x:v>
      </x:c>
      <x:c r="AD284" s="79" t="str">
        <x:v>بله</x:v>
      </x:c>
      <x:c r="AE284" s="79" t="str">
        <x:v>بله</x:v>
      </x:c>
      <x:c r="AF284" s="79" t="n">
        <x:v>2</x:v>
      </x:c>
      <x:c r="AG284" s="104" t="n">
        <x:v>80000</x:v>
      </x:c>
      <x:c r="AH284" s="104" t="n">
        <x:v>150000</x:v>
      </x:c>
      <x:c r="AI284" s="79"/>
    </x:row>
    <x:row r="285">
      <x:c r="A285" s="23" t="s">
        <x:v>355</x:v>
      </x:c>
      <x:c r="B285" s="24">
        <x:v>70</x:v>
      </x:c>
      <x:c r="C285" s="25" t="s">
        <x:v>56</x:v>
      </x:c>
      <x:c r="D285" s="26">
        <x:v>70</x:v>
      </x:c>
      <x:c r="E285" s="24">
        <x:v>130</x:v>
      </x:c>
      <x:c r="F285" s="25" t="s">
        <x:v>57</x:v>
      </x:c>
      <x:c r="G285" s="26">
        <x:v>130</x:v>
      </x:c>
      <x:c r="H285" s="25" t="str">
        <x:f t="shared" si="4"/>
        <x:v>فعال</x:v>
      </x:c>
      <x:c r="Y285" t="str">
        <x:f>IF(AND(LEN($K$2)&gt;=3,ISNUMBER(SEARCH($K$2,$A285))),MAX($Y$3:Y284)+1,"")</x:f>
      </x:c>
      <x:c r="Z285" s="79" t="str">
        <x:v>نوشیدنی‌ها</x:v>
      </x:c>
      <x:c r="AA285" s="79" t="str">
        <x:v>6a3782ffdf5573f4e676e24b</x:v>
      </x:c>
      <x:c r="AB285" s="79" t="str">
        <x:v>syrup</x:v>
      </x:c>
      <x:c r="AC285" s="79" t="str">
        <x:v>EDIBLE</x:v>
      </x:c>
      <x:c r="AD285" s="79" t="str">
        <x:v>بله</x:v>
      </x:c>
      <x:c r="AE285" s="79" t="str">
        <x:v>بله</x:v>
      </x:c>
      <x:c r="AF285" s="79" t="n">
        <x:v>2</x:v>
      </x:c>
      <x:c r="AG285" s="104" t="n">
        <x:v>70000</x:v>
      </x:c>
      <x:c r="AH285" s="104" t="n">
        <x:v>130000</x:v>
      </x:c>
      <x:c r="AI285" s="79"/>
    </x:row>
    <x:row r="286">
      <x:c r="A286" s="23" t="s">
        <x:v>356</x:v>
      </x:c>
      <x:c r="B286" s="24">
        <x:v>70</x:v>
      </x:c>
      <x:c r="C286" s="25" t="s">
        <x:v>56</x:v>
      </x:c>
      <x:c r="D286" s="26">
        <x:v>70</x:v>
      </x:c>
      <x:c r="E286" s="24">
        <x:v>130</x:v>
      </x:c>
      <x:c r="F286" s="25" t="s">
        <x:v>57</x:v>
      </x:c>
      <x:c r="G286" s="26">
        <x:v>130</x:v>
      </x:c>
      <x:c r="H286" s="25" t="str">
        <x:f t="shared" si="4"/>
        <x:v>فعال</x:v>
      </x:c>
      <x:c r="Y286" t="str">
        <x:f>IF(AND(LEN($K$2)&gt;=3,ISNUMBER(SEARCH($K$2,$A286))),MAX($Y$3:Y285)+1,"")</x:f>
      </x:c>
      <x:c r="Z286" s="79" t="str">
        <x:v>نوشیدنی‌ها</x:v>
      </x:c>
      <x:c r="AA286" s="79" t="str">
        <x:v>6a3782ffdf5573f4e676e24b</x:v>
      </x:c>
      <x:c r="AB286" s="79" t="str">
        <x:v>syrup</x:v>
      </x:c>
      <x:c r="AC286" s="79" t="str">
        <x:v>EDIBLE</x:v>
      </x:c>
      <x:c r="AD286" s="79" t="str">
        <x:v>بله</x:v>
      </x:c>
      <x:c r="AE286" s="79" t="str">
        <x:v>بله</x:v>
      </x:c>
      <x:c r="AF286" s="79" t="n">
        <x:v>2</x:v>
      </x:c>
      <x:c r="AG286" s="104" t="n">
        <x:v>70000</x:v>
      </x:c>
      <x:c r="AH286" s="104" t="n">
        <x:v>130000</x:v>
      </x:c>
      <x:c r="AI286" s="79"/>
    </x:row>
    <x:row r="287">
      <x:c r="A287" s="23" t="s">
        <x:v>357</x:v>
      </x:c>
      <x:c r="B287" s="24">
        <x:v>80</x:v>
      </x:c>
      <x:c r="C287" s="25" t="s">
        <x:v>56</x:v>
      </x:c>
      <x:c r="D287" s="26">
        <x:v>80</x:v>
      </x:c>
      <x:c r="E287" s="24">
        <x:v>150</x:v>
      </x:c>
      <x:c r="F287" s="25" t="s">
        <x:v>57</x:v>
      </x:c>
      <x:c r="G287" s="26">
        <x:v>150</x:v>
      </x:c>
      <x:c r="H287" s="25" t="str">
        <x:f t="shared" si="4"/>
        <x:v>فعال</x:v>
      </x:c>
      <x:c r="Y287" t="str">
        <x:f>IF(AND(LEN($K$2)&gt;=3,ISNUMBER(SEARCH($K$2,$A287))),MAX($Y$3:Y286)+1,"")</x:f>
      </x:c>
      <x:c r="Z287" s="79" t="str">
        <x:v>نوشیدنی‌ها</x:v>
      </x:c>
      <x:c r="AA287" s="79" t="str">
        <x:v>6a3782ffdf5573f4e676e24b</x:v>
      </x:c>
      <x:c r="AB287" s="79" t="str">
        <x:v>syrup</x:v>
      </x:c>
      <x:c r="AC287" s="79" t="str">
        <x:v>EDIBLE</x:v>
      </x:c>
      <x:c r="AD287" s="79" t="str">
        <x:v>بله</x:v>
      </x:c>
      <x:c r="AE287" s="79" t="str">
        <x:v>بله</x:v>
      </x:c>
      <x:c r="AF287" s="79" t="n">
        <x:v>2</x:v>
      </x:c>
      <x:c r="AG287" s="104" t="n">
        <x:v>80000</x:v>
      </x:c>
      <x:c r="AH287" s="104" t="n">
        <x:v>150000</x:v>
      </x:c>
      <x:c r="AI287" s="79"/>
    </x:row>
    <x:row r="288">
      <x:c r="A288" s="23" t="s">
        <x:v>358</x:v>
      </x:c>
      <x:c r="B288" s="24">
        <x:v>90</x:v>
      </x:c>
      <x:c r="C288" s="25" t="s">
        <x:v>56</x:v>
      </x:c>
      <x:c r="D288" s="26">
        <x:v>90</x:v>
      </x:c>
      <x:c r="E288" s="24">
        <x:v>170</x:v>
      </x:c>
      <x:c r="F288" s="25" t="s">
        <x:v>57</x:v>
      </x:c>
      <x:c r="G288" s="26">
        <x:v>170</x:v>
      </x:c>
      <x:c r="H288" s="25" t="str">
        <x:f t="shared" si="4"/>
        <x:v>فعال</x:v>
      </x:c>
      <x:c r="Y288" t="str">
        <x:f>IF(AND(LEN($K$2)&gt;=3,ISNUMBER(SEARCH($K$2,$A288))),MAX($Y$3:Y287)+1,"")</x:f>
      </x:c>
      <x:c r="Z288" s="79" t="str">
        <x:v>نوشیدنی‌ها</x:v>
      </x:c>
      <x:c r="AA288" s="79" t="str">
        <x:v>6a3782ffdf5573f4e676e24b</x:v>
      </x:c>
      <x:c r="AB288" s="79" t="str">
        <x:v>syrup</x:v>
      </x:c>
      <x:c r="AC288" s="79" t="str">
        <x:v>EDIBLE</x:v>
      </x:c>
      <x:c r="AD288" s="79" t="str">
        <x:v>بله</x:v>
      </x:c>
      <x:c r="AE288" s="79" t="str">
        <x:v>بله</x:v>
      </x:c>
      <x:c r="AF288" s="79" t="n">
        <x:v>2</x:v>
      </x:c>
      <x:c r="AG288" s="104" t="n">
        <x:v>90000</x:v>
      </x:c>
      <x:c r="AH288" s="104" t="n">
        <x:v>170000</x:v>
      </x:c>
      <x:c r="AI288" s="79"/>
    </x:row>
    <x:row r="289">
      <x:c r="A289" s="23" t="s">
        <x:v>359</x:v>
      </x:c>
      <x:c r="B289" s="24">
        <x:v>95</x:v>
      </x:c>
      <x:c r="C289" s="25" t="s">
        <x:v>56</x:v>
      </x:c>
      <x:c r="D289" s="26">
        <x:v>95</x:v>
      </x:c>
      <x:c r="E289" s="24">
        <x:v>180</x:v>
      </x:c>
      <x:c r="F289" s="25" t="s">
        <x:v>57</x:v>
      </x:c>
      <x:c r="G289" s="26">
        <x:v>180</x:v>
      </x:c>
      <x:c r="H289" s="25" t="str">
        <x:f t="shared" si="4"/>
        <x:v>فعال</x:v>
      </x:c>
      <x:c r="Y289" t="str">
        <x:f>IF(AND(LEN($K$2)&gt;=3,ISNUMBER(SEARCH($K$2,$A289))),MAX($Y$3:Y288)+1,"")</x:f>
      </x:c>
      <x:c r="Z289" s="79" t="str">
        <x:v>نوشیدنی‌ها</x:v>
      </x:c>
      <x:c r="AA289" s="79" t="str">
        <x:v>6a3782ffdf5573f4e676e24b</x:v>
      </x:c>
      <x:c r="AB289" s="79" t="str">
        <x:v>syrup</x:v>
      </x:c>
      <x:c r="AC289" s="79" t="str">
        <x:v>EDIBLE</x:v>
      </x:c>
      <x:c r="AD289" s="79" t="str">
        <x:v>بله</x:v>
      </x:c>
      <x:c r="AE289" s="79" t="str">
        <x:v>بله</x:v>
      </x:c>
      <x:c r="AF289" s="79" t="n">
        <x:v>2</x:v>
      </x:c>
      <x:c r="AG289" s="104" t="n">
        <x:v>95000</x:v>
      </x:c>
      <x:c r="AH289" s="104" t="n">
        <x:v>180000</x:v>
      </x:c>
      <x:c r="AI289" s="79" t="str">
        <x:v>MERGED</x:v>
      </x:c>
    </x:row>
    <x:row r="290">
      <x:c r="A290" s="23" t="s">
        <x:v>360</x:v>
      </x:c>
      <x:c r="B290" s="24">
        <x:v>105</x:v>
      </x:c>
      <x:c r="C290" s="25" t="s">
        <x:v>361</x:v>
      </x:c>
      <x:c r="D290" s="26">
        <x:v>105</x:v>
      </x:c>
      <x:c r="E290" s="24"/>
      <x:c r="F290" s="25"/>
      <x:c r="G290" s="26"/>
      <x:c r="H290" s="25" t="str">
        <x:f t="shared" si="4"/>
        <x:v>فعال</x:v>
      </x:c>
      <x:c r="Y290" t="str">
        <x:f>IF(AND(LEN($K$2)&gt;=3,ISNUMBER(SEARCH($K$2,$A290))),MAX($Y$3:Y289)+1,"")</x:f>
      </x:c>
      <x:c r="Z290" s="79" t="str">
        <x:v>نوشیدنی‌ها</x:v>
      </x:c>
      <x:c r="AA290" s="79" t="str">
        <x:v>6a3782ffdf5573f4e676e24b</x:v>
      </x:c>
      <x:c r="AB290" s="79" t="str">
        <x:v>syrup</x:v>
      </x:c>
      <x:c r="AC290" s="79" t="str">
        <x:v>EDIBLE</x:v>
      </x:c>
      <x:c r="AD290" s="79" t="str">
        <x:v>بله</x:v>
      </x:c>
      <x:c r="AE290" s="79" t="str">
        <x:v>خیر</x:v>
      </x:c>
      <x:c r="AF290" s="79" t="n">
        <x:v>1</x:v>
      </x:c>
      <x:c r="AG290" s="104" t="n">
        <x:v>105000</x:v>
      </x:c>
      <x:c r="AH290" s="104"/>
      <x:c r="AI290" s="79" t="str">
        <x:v>MERGED</x:v>
      </x:c>
    </x:row>
    <x:row r="291">
      <x:c r="A291" s="23" t="s">
        <x:v>362</x:v>
      </x:c>
      <x:c r="B291" s="24">
        <x:v>80</x:v>
      </x:c>
      <x:c r="C291" s="25" t="s">
        <x:v>56</x:v>
      </x:c>
      <x:c r="D291" s="26">
        <x:v>80</x:v>
      </x:c>
      <x:c r="E291" s="24">
        <x:v>150</x:v>
      </x:c>
      <x:c r="F291" s="25" t="s">
        <x:v>57</x:v>
      </x:c>
      <x:c r="G291" s="26">
        <x:v>150</x:v>
      </x:c>
      <x:c r="H291" s="25" t="str">
        <x:f t="shared" si="4"/>
        <x:v>فعال</x:v>
      </x:c>
      <x:c r="Y291" t="str">
        <x:f>IF(AND(LEN($K$2)&gt;=3,ISNUMBER(SEARCH($K$2,$A291))),MAX($Y$3:Y290)+1,"")</x:f>
      </x:c>
      <x:c r="Z291" s="79" t="str">
        <x:v>نوشیدنی‌ها</x:v>
      </x:c>
      <x:c r="AA291" s="79" t="str">
        <x:v>6a3782ffdf5573f4e676e24b</x:v>
      </x:c>
      <x:c r="AB291" s="79" t="str">
        <x:v>syrup</x:v>
      </x:c>
      <x:c r="AC291" s="79" t="str">
        <x:v>EDIBLE</x:v>
      </x:c>
      <x:c r="AD291" s="79" t="str">
        <x:v>بله</x:v>
      </x:c>
      <x:c r="AE291" s="79" t="str">
        <x:v>بله</x:v>
      </x:c>
      <x:c r="AF291" s="79" t="n">
        <x:v>2</x:v>
      </x:c>
      <x:c r="AG291" s="104" t="n">
        <x:v>80000</x:v>
      </x:c>
      <x:c r="AH291" s="104" t="n">
        <x:v>150000</x:v>
      </x:c>
      <x:c r="AI291" s="79"/>
    </x:row>
    <x:row r="292">
      <x:c r="A292" s="23" t="s">
        <x:v>363</x:v>
      </x:c>
      <x:c r="B292" s="24">
        <x:v>80</x:v>
      </x:c>
      <x:c r="C292" s="25" t="s">
        <x:v>56</x:v>
      </x:c>
      <x:c r="D292" s="26">
        <x:v>80</x:v>
      </x:c>
      <x:c r="E292" s="24">
        <x:v>150</x:v>
      </x:c>
      <x:c r="F292" s="25" t="s">
        <x:v>57</x:v>
      </x:c>
      <x:c r="G292" s="26">
        <x:v>150</x:v>
      </x:c>
      <x:c r="H292" s="25" t="str">
        <x:f t="shared" si="4"/>
        <x:v>فعال</x:v>
      </x:c>
      <x:c r="Y292" t="str">
        <x:f>IF(AND(LEN($K$2)&gt;=3,ISNUMBER(SEARCH($K$2,$A292))),MAX($Y$3:Y291)+1,"")</x:f>
      </x:c>
      <x:c r="Z292" s="79" t="str">
        <x:v>نوشیدنی‌ها</x:v>
      </x:c>
      <x:c r="AA292" s="79" t="str">
        <x:v>6a3782ffdf5573f4e676e24b</x:v>
      </x:c>
      <x:c r="AB292" s="79" t="str">
        <x:v>syrup</x:v>
      </x:c>
      <x:c r="AC292" s="79" t="str">
        <x:v>EDIBLE</x:v>
      </x:c>
      <x:c r="AD292" s="79" t="str">
        <x:v>بله</x:v>
      </x:c>
      <x:c r="AE292" s="79" t="str">
        <x:v>بله</x:v>
      </x:c>
      <x:c r="AF292" s="79" t="n">
        <x:v>2</x:v>
      </x:c>
      <x:c r="AG292" s="104" t="n">
        <x:v>80000</x:v>
      </x:c>
      <x:c r="AH292" s="104" t="n">
        <x:v>150000</x:v>
      </x:c>
      <x:c r="AI292" s="79"/>
    </x:row>
    <x:row r="293">
      <x:c r="A293" s="23" t="s">
        <x:v>364</x:v>
      </x:c>
      <x:c r="B293" s="24">
        <x:v>105</x:v>
      </x:c>
      <x:c r="C293" s="25" t="s">
        <x:v>56</x:v>
      </x:c>
      <x:c r="D293" s="26">
        <x:v>105</x:v>
      </x:c>
      <x:c r="E293" s="24">
        <x:v>200</x:v>
      </x:c>
      <x:c r="F293" s="25" t="s">
        <x:v>57</x:v>
      </x:c>
      <x:c r="G293" s="26">
        <x:v>200</x:v>
      </x:c>
      <x:c r="H293" s="25" t="str">
        <x:f t="shared" si="4"/>
        <x:v>فعال</x:v>
      </x:c>
      <x:c r="Y293" t="str">
        <x:f>IF(AND(LEN($K$2)&gt;=3,ISNUMBER(SEARCH($K$2,$A293))),MAX($Y$3:Y292)+1,"")</x:f>
      </x:c>
      <x:c r="Z293" s="79" t="str">
        <x:v>نوشیدنی‌ها</x:v>
      </x:c>
      <x:c r="AA293" s="79" t="str">
        <x:v>6a3782ffdf5573f4e676e24b</x:v>
      </x:c>
      <x:c r="AB293" s="79" t="str">
        <x:v>syrup</x:v>
      </x:c>
      <x:c r="AC293" s="79" t="str">
        <x:v>EDIBLE</x:v>
      </x:c>
      <x:c r="AD293" s="79" t="str">
        <x:v>بله</x:v>
      </x:c>
      <x:c r="AE293" s="79" t="str">
        <x:v>بله</x:v>
      </x:c>
      <x:c r="AF293" s="79" t="n">
        <x:v>2</x:v>
      </x:c>
      <x:c r="AG293" s="104" t="n">
        <x:v>105000</x:v>
      </x:c>
      <x:c r="AH293" s="104" t="n">
        <x:v>200000</x:v>
      </x:c>
      <x:c r="AI293" s="79"/>
    </x:row>
    <x:row r="294">
      <x:c r="A294" s="23" t="s">
        <x:v>365</x:v>
      </x:c>
      <x:c r="B294" s="24">
        <x:v>80</x:v>
      </x:c>
      <x:c r="C294" s="25" t="s">
        <x:v>56</x:v>
      </x:c>
      <x:c r="D294" s="26">
        <x:v>80</x:v>
      </x:c>
      <x:c r="E294" s="24">
        <x:v>150</x:v>
      </x:c>
      <x:c r="F294" s="25" t="s">
        <x:v>57</x:v>
      </x:c>
      <x:c r="G294" s="26">
        <x:v>150</x:v>
      </x:c>
      <x:c r="H294" s="25" t="str">
        <x:f t="shared" si="4"/>
        <x:v>فعال</x:v>
      </x:c>
      <x:c r="Y294" t="str">
        <x:f>IF(AND(LEN($K$2)&gt;=3,ISNUMBER(SEARCH($K$2,$A294))),MAX($Y$3:Y293)+1,"")</x:f>
      </x:c>
      <x:c r="Z294" s="79" t="str">
        <x:v>نوشیدنی‌ها</x:v>
      </x:c>
      <x:c r="AA294" s="79" t="str">
        <x:v>6a3782ffdf5573f4e676e24b</x:v>
      </x:c>
      <x:c r="AB294" s="79" t="str">
        <x:v>syrup</x:v>
      </x:c>
      <x:c r="AC294" s="79" t="str">
        <x:v>EDIBLE</x:v>
      </x:c>
      <x:c r="AD294" s="79" t="str">
        <x:v>بله</x:v>
      </x:c>
      <x:c r="AE294" s="79" t="str">
        <x:v>بله</x:v>
      </x:c>
      <x:c r="AF294" s="79" t="n">
        <x:v>2</x:v>
      </x:c>
      <x:c r="AG294" s="104" t="n">
        <x:v>80000</x:v>
      </x:c>
      <x:c r="AH294" s="104" t="n">
        <x:v>150000</x:v>
      </x:c>
      <x:c r="AI294" s="79"/>
    </x:row>
    <x:row r="295">
      <x:c r="A295" s="23" t="s">
        <x:v>366</x:v>
      </x:c>
      <x:c r="B295" s="24">
        <x:v>70</x:v>
      </x:c>
      <x:c r="C295" s="25" t="s">
        <x:v>56</x:v>
      </x:c>
      <x:c r="D295" s="26">
        <x:v>70</x:v>
      </x:c>
      <x:c r="E295" s="24">
        <x:v>130</x:v>
      </x:c>
      <x:c r="F295" s="25" t="s">
        <x:v>57</x:v>
      </x:c>
      <x:c r="G295" s="26">
        <x:v>130</x:v>
      </x:c>
      <x:c r="H295" s="25" t="str">
        <x:f t="shared" si="4"/>
        <x:v>فعال</x:v>
      </x:c>
      <x:c r="Y295" t="str">
        <x:f>IF(AND(LEN($K$2)&gt;=3,ISNUMBER(SEARCH($K$2,$A295))),MAX($Y$3:Y294)+1,"")</x:f>
      </x:c>
      <x:c r="Z295" s="79" t="str">
        <x:v>نوشیدنی‌ها</x:v>
      </x:c>
      <x:c r="AA295" s="79" t="str">
        <x:v>6a3782ffdf5573f4e676e24b</x:v>
      </x:c>
      <x:c r="AB295" s="79" t="str">
        <x:v>syrup</x:v>
      </x:c>
      <x:c r="AC295" s="79" t="str">
        <x:v>EDIBLE</x:v>
      </x:c>
      <x:c r="AD295" s="79" t="str">
        <x:v>بله</x:v>
      </x:c>
      <x:c r="AE295" s="79" t="str">
        <x:v>بله</x:v>
      </x:c>
      <x:c r="AF295" s="79" t="n">
        <x:v>2</x:v>
      </x:c>
      <x:c r="AG295" s="104" t="n">
        <x:v>70000</x:v>
      </x:c>
      <x:c r="AH295" s="104" t="n">
        <x:v>130000</x:v>
      </x:c>
      <x:c r="AI295" s="79"/>
    </x:row>
    <x:row r="296">
      <x:c r="A296" s="23" t="s">
        <x:v>367</x:v>
      </x:c>
      <x:c r="B296" s="24">
        <x:v>70</x:v>
      </x:c>
      <x:c r="C296" s="25" t="s">
        <x:v>56</x:v>
      </x:c>
      <x:c r="D296" s="26">
        <x:v>70</x:v>
      </x:c>
      <x:c r="E296" s="24">
        <x:v>130</x:v>
      </x:c>
      <x:c r="F296" s="25" t="s">
        <x:v>57</x:v>
      </x:c>
      <x:c r="G296" s="26">
        <x:v>130</x:v>
      </x:c>
      <x:c r="H296" s="25" t="str">
        <x:f t="shared" si="4"/>
        <x:v>فعال</x:v>
      </x:c>
      <x:c r="Y296" t="str">
        <x:f>IF(AND(LEN($K$2)&gt;=3,ISNUMBER(SEARCH($K$2,$A296))),MAX($Y$3:Y295)+1,"")</x:f>
      </x:c>
      <x:c r="Z296" s="79" t="str">
        <x:v>نوشیدنی‌ها</x:v>
      </x:c>
      <x:c r="AA296" s="79" t="str">
        <x:v>6a3782ffdf5573f4e676e24b</x:v>
      </x:c>
      <x:c r="AB296" s="79" t="str">
        <x:v>syrup</x:v>
      </x:c>
      <x:c r="AC296" s="79" t="str">
        <x:v>EDIBLE</x:v>
      </x:c>
      <x:c r="AD296" s="79" t="str">
        <x:v>بله</x:v>
      </x:c>
      <x:c r="AE296" s="79" t="str">
        <x:v>بله</x:v>
      </x:c>
      <x:c r="AF296" s="79" t="n">
        <x:v>2</x:v>
      </x:c>
      <x:c r="AG296" s="104" t="n">
        <x:v>70000</x:v>
      </x:c>
      <x:c r="AH296" s="104" t="n">
        <x:v>130000</x:v>
      </x:c>
      <x:c r="AI296" s="79"/>
    </x:row>
    <x:row r="297">
      <x:c r="A297" s="23" t="s">
        <x:v>368</x:v>
      </x:c>
      <x:c r="B297" s="24">
        <x:v>80</x:v>
      </x:c>
      <x:c r="C297" s="25" t="s">
        <x:v>56</x:v>
      </x:c>
      <x:c r="D297" s="26">
        <x:v>80</x:v>
      </x:c>
      <x:c r="E297" s="24">
        <x:v>150</x:v>
      </x:c>
      <x:c r="F297" s="25" t="s">
        <x:v>57</x:v>
      </x:c>
      <x:c r="G297" s="26">
        <x:v>150</x:v>
      </x:c>
      <x:c r="H297" s="25" t="str">
        <x:f t="shared" si="4"/>
        <x:v>فعال</x:v>
      </x:c>
      <x:c r="Y297" t="str">
        <x:f>IF(AND(LEN($K$2)&gt;=3,ISNUMBER(SEARCH($K$2,$A297))),MAX($Y$3:Y296)+1,"")</x:f>
      </x:c>
      <x:c r="Z297" s="79" t="str">
        <x:v>نوشیدنی‌ها</x:v>
      </x:c>
      <x:c r="AA297" s="79" t="str">
        <x:v>6a3782ffdf5573f4e676e24b</x:v>
      </x:c>
      <x:c r="AB297" s="79" t="str">
        <x:v>syrup</x:v>
      </x:c>
      <x:c r="AC297" s="79" t="str">
        <x:v>EDIBLE</x:v>
      </x:c>
      <x:c r="AD297" s="79" t="str">
        <x:v>بله</x:v>
      </x:c>
      <x:c r="AE297" s="79" t="str">
        <x:v>بله</x:v>
      </x:c>
      <x:c r="AF297" s="79" t="n">
        <x:v>2</x:v>
      </x:c>
      <x:c r="AG297" s="104" t="n">
        <x:v>80000</x:v>
      </x:c>
      <x:c r="AH297" s="104" t="n">
        <x:v>150000</x:v>
      </x:c>
      <x:c r="AI297" s="79"/>
    </x:row>
    <x:row r="298">
      <x:c r="A298" s="23" t="s">
        <x:v>369</x:v>
      </x:c>
      <x:c r="B298" s="24">
        <x:v>70</x:v>
      </x:c>
      <x:c r="C298" s="25" t="s">
        <x:v>56</x:v>
      </x:c>
      <x:c r="D298" s="26">
        <x:v>70</x:v>
      </x:c>
      <x:c r="E298" s="24">
        <x:v>130</x:v>
      </x:c>
      <x:c r="F298" s="25" t="s">
        <x:v>57</x:v>
      </x:c>
      <x:c r="G298" s="26">
        <x:v>130</x:v>
      </x:c>
      <x:c r="H298" s="25" t="str">
        <x:f t="shared" si="4"/>
        <x:v>فعال</x:v>
      </x:c>
      <x:c r="Y298" t="str">
        <x:f>IF(AND(LEN($K$2)&gt;=3,ISNUMBER(SEARCH($K$2,$A298))),MAX($Y$3:Y297)+1,"")</x:f>
      </x:c>
      <x:c r="Z298" s="79" t="str">
        <x:v>نوشیدنی‌ها</x:v>
      </x:c>
      <x:c r="AA298" s="79" t="str">
        <x:v>6a3782ffdf5573f4e676e24b</x:v>
      </x:c>
      <x:c r="AB298" s="79" t="str">
        <x:v>syrup</x:v>
      </x:c>
      <x:c r="AC298" s="79" t="str">
        <x:v>EDIBLE</x:v>
      </x:c>
      <x:c r="AD298" s="79" t="str">
        <x:v>بله</x:v>
      </x:c>
      <x:c r="AE298" s="79" t="str">
        <x:v>بله</x:v>
      </x:c>
      <x:c r="AF298" s="79" t="n">
        <x:v>2</x:v>
      </x:c>
      <x:c r="AG298" s="104" t="n">
        <x:v>70000</x:v>
      </x:c>
      <x:c r="AH298" s="104" t="n">
        <x:v>130000</x:v>
      </x:c>
      <x:c r="AI298" s="79"/>
    </x:row>
    <x:row r="299">
      <x:c r="A299" s="23" t="s">
        <x:v>370</x:v>
      </x:c>
      <x:c r="B299" s="24">
        <x:v>90</x:v>
      </x:c>
      <x:c r="C299" s="25" t="s">
        <x:v>56</x:v>
      </x:c>
      <x:c r="D299" s="26">
        <x:v>90</x:v>
      </x:c>
      <x:c r="E299" s="24">
        <x:v>170</x:v>
      </x:c>
      <x:c r="F299" s="25" t="s">
        <x:v>57</x:v>
      </x:c>
      <x:c r="G299" s="26">
        <x:v>170</x:v>
      </x:c>
      <x:c r="H299" s="25" t="str">
        <x:f t="shared" si="4"/>
        <x:v>فعال</x:v>
      </x:c>
      <x:c r="Y299" t="n">
        <x:f>IF(AND(LEN($K$2)&gt;=3,ISNUMBER(SEARCH($K$2,$A299))),MAX($Y$3:Y298)+1,"")</x:f>
        <x:v>1</x:v>
      </x:c>
      <x:c r="Z299" s="79" t="str">
        <x:v>نوشیدنی‌ها</x:v>
      </x:c>
      <x:c r="AA299" s="79" t="str">
        <x:v>6a3782ffdf5573f4e676e24b</x:v>
      </x:c>
      <x:c r="AB299" s="79" t="str">
        <x:v>syrup</x:v>
      </x:c>
      <x:c r="AC299" s="79" t="str">
        <x:v>EDIBLE</x:v>
      </x:c>
      <x:c r="AD299" s="79" t="str">
        <x:v>بله</x:v>
      </x:c>
      <x:c r="AE299" s="79" t="str">
        <x:v>بله</x:v>
      </x:c>
      <x:c r="AF299" s="79" t="n">
        <x:v>2</x:v>
      </x:c>
      <x:c r="AG299" s="104" t="n">
        <x:v>90000</x:v>
      </x:c>
      <x:c r="AH299" s="104" t="n">
        <x:v>170000</x:v>
      </x:c>
      <x:c r="AI299" s="79"/>
    </x:row>
    <x:row r="300">
      <x:c r="A300" s="23" t="s">
        <x:v>371</x:v>
      </x:c>
      <x:c r="B300" s="24" t="s">
        <x:v>54</x:v>
      </x:c>
      <x:c r="C300" s="25" t="s">
        <x:v>56</x:v>
      </x:c>
      <x:c r="D300" s="26" t="s">
        <x:v>54</x:v>
      </x:c>
      <x:c r="E300" s="24" t="s">
        <x:v>54</x:v>
      </x:c>
      <x:c r="F300" s="25" t="s">
        <x:v>57</x:v>
      </x:c>
      <x:c r="G300" s="26" t="s">
        <x:v>54</x:v>
      </x:c>
      <x:c r="H300" s="25" t="str">
        <x:f t="shared" si="4"/>
        <x:v>نیاز به استعلام</x:v>
      </x:c>
      <x:c r="Y300" t="str">
        <x:f>IF(AND(LEN($K$2)&gt;=3,ISNUMBER(SEARCH($K$2,$A300))),MAX($Y$3:Y299)+1,"")</x:f>
      </x:c>
      <x:c r="Z300" s="79" t="str">
        <x:v>نوشیدنی‌ها</x:v>
      </x:c>
      <x:c r="AA300" s="79" t="str">
        <x:v>6a3782ffdf5573f4e676e24b</x:v>
      </x:c>
      <x:c r="AB300" s="79" t="str">
        <x:v>syrup</x:v>
      </x:c>
      <x:c r="AC300" s="79" t="str">
        <x:v>EDIBLE</x:v>
      </x:c>
      <x:c r="AD300" s="79" t="str">
        <x:v>بله</x:v>
      </x:c>
      <x:c r="AE300" s="79" t="str">
        <x:v>بله</x:v>
      </x:c>
      <x:c r="AF300" s="79" t="n">
        <x:v>2</x:v>
      </x:c>
      <x:c r="AG300" s="104"/>
      <x:c r="AH300" s="104"/>
      <x:c r="AI300" s="79" t="str">
        <x:v>MERGED + MISSING_PRICE_REVIEW</x:v>
      </x:c>
    </x:row>
    <x:row r="301">
      <x:c r="A301" s="23" t="s">
        <x:v>372</x:v>
      </x:c>
      <x:c r="B301" s="24">
        <x:v>195</x:v>
      </x:c>
      <x:c r="C301" s="25" t="s">
        <x:v>56</x:v>
      </x:c>
      <x:c r="D301" s="26">
        <x:v>195</x:v>
      </x:c>
      <x:c r="E301" s="24">
        <x:v>380</x:v>
      </x:c>
      <x:c r="F301" s="25" t="s">
        <x:v>57</x:v>
      </x:c>
      <x:c r="G301" s="26">
        <x:v>380</x:v>
      </x:c>
      <x:c r="H301" s="25" t="str">
        <x:f t="shared" si="4"/>
        <x:v>فعال</x:v>
      </x:c>
      <x:c r="Y301" t="str">
        <x:f>IF(AND(LEN($K$2)&gt;=3,ISNUMBER(SEARCH($K$2,$A301))),MAX($Y$3:Y300)+1,"")</x:f>
      </x:c>
      <x:c r="Z301" s="79" t="str">
        <x:v>نوشیدنی‌ها</x:v>
      </x:c>
      <x:c r="AA301" s="79" t="str">
        <x:v>6a3782ffdf5573f4e676e24b</x:v>
      </x:c>
      <x:c r="AB301" s="79" t="str">
        <x:v>syrup</x:v>
      </x:c>
      <x:c r="AC301" s="79" t="str">
        <x:v>EDIBLE</x:v>
      </x:c>
      <x:c r="AD301" s="79" t="str">
        <x:v>بله</x:v>
      </x:c>
      <x:c r="AE301" s="79" t="str">
        <x:v>بله</x:v>
      </x:c>
      <x:c r="AF301" s="79" t="n">
        <x:v>2</x:v>
      </x:c>
      <x:c r="AG301" s="104" t="n">
        <x:v>195000</x:v>
      </x:c>
      <x:c r="AH301" s="104" t="n">
        <x:v>380000</x:v>
      </x:c>
      <x:c r="AI301" s="79" t="str">
        <x:v>MERGED</x:v>
      </x:c>
    </x:row>
    <x:row r="302">
      <x:c r="A302" s="23" t="s">
        <x:v>373</x:v>
      </x:c>
      <x:c r="B302" s="24" t="s">
        <x:v>54</x:v>
      </x:c>
      <x:c r="C302" s="25" t="s">
        <x:v>56</x:v>
      </x:c>
      <x:c r="D302" s="26" t="s">
        <x:v>54</x:v>
      </x:c>
      <x:c r="E302" s="24" t="s">
        <x:v>54</x:v>
      </x:c>
      <x:c r="F302" s="25" t="s">
        <x:v>57</x:v>
      </x:c>
      <x:c r="G302" s="26" t="s">
        <x:v>54</x:v>
      </x:c>
      <x:c r="H302" s="25" t="str">
        <x:f t="shared" si="4"/>
        <x:v>نیاز به استعلام</x:v>
      </x:c>
      <x:c r="Y302" t="str">
        <x:f>IF(AND(LEN($K$2)&gt;=3,ISNUMBER(SEARCH($K$2,$A302))),MAX($Y$3:Y301)+1,"")</x:f>
      </x:c>
      <x:c r="Z302" s="79" t="str">
        <x:v>نوشیدنی‌ها</x:v>
      </x:c>
      <x:c r="AA302" s="79" t="str">
        <x:v>6a3782ffdf5573f4e676e24b</x:v>
      </x:c>
      <x:c r="AB302" s="79" t="str">
        <x:v>syrup</x:v>
      </x:c>
      <x:c r="AC302" s="79" t="str">
        <x:v>EDIBLE</x:v>
      </x:c>
      <x:c r="AD302" s="79" t="str">
        <x:v>بله</x:v>
      </x:c>
      <x:c r="AE302" s="79" t="str">
        <x:v>بله</x:v>
      </x:c>
      <x:c r="AF302" s="79" t="n">
        <x:v>2</x:v>
      </x:c>
      <x:c r="AG302" s="104"/>
      <x:c r="AH302" s="104"/>
      <x:c r="AI302" s="79" t="str">
        <x:v>MERGED + MISSING_PRICE_REVIEW</x:v>
      </x:c>
    </x:row>
    <x:row r="303">
      <x:c r="A303" s="23" t="s">
        <x:v>374</x:v>
      </x:c>
      <x:c r="B303" s="24">
        <x:v>120</x:v>
      </x:c>
      <x:c r="C303" s="25" t="s">
        <x:v>56</x:v>
      </x:c>
      <x:c r="D303" s="26">
        <x:v>120</x:v>
      </x:c>
      <x:c r="E303" s="24">
        <x:v>240</x:v>
      </x:c>
      <x:c r="F303" s="25" t="s">
        <x:v>57</x:v>
      </x:c>
      <x:c r="G303" s="26">
        <x:v>240</x:v>
      </x:c>
      <x:c r="H303" s="25" t="str">
        <x:f t="shared" si="4"/>
        <x:v>فعال</x:v>
      </x:c>
      <x:c r="Y303" t="str">
        <x:f>IF(AND(LEN($K$2)&gt;=3,ISNUMBER(SEARCH($K$2,$A303))),MAX($Y$3:Y302)+1,"")</x:f>
      </x:c>
      <x:c r="Z303" s="79" t="str">
        <x:v>گیاهان دارویی</x:v>
      </x:c>
      <x:c r="AA303" s="79" t="str">
        <x:v>6a3782d7df5573f4e676e243</x:v>
      </x:c>
      <x:c r="AB303" s="79" t="str">
        <x:v>medicinal-plants</x:v>
      </x:c>
      <x:c r="AC303" s="79" t="str">
        <x:v>TOPICAL</x:v>
      </x:c>
      <x:c r="AD303" s="79" t="str">
        <x:v>خیر</x:v>
      </x:c>
      <x:c r="AE303" s="79" t="str">
        <x:v>بله</x:v>
      </x:c>
      <x:c r="AF303" s="79" t="n">
        <x:v>2</x:v>
      </x:c>
      <x:c r="AG303" s="104" t="n">
        <x:v>120000</x:v>
      </x:c>
      <x:c r="AH303" s="104" t="n">
        <x:v>240000</x:v>
      </x:c>
      <x:c r="AI303" s="79" t="str">
        <x:v>به دلیل مصرف استنشاقی/موضعی از نوشیدنی‌ها به گیاهان دارویی منتقل شد</x:v>
      </x:c>
    </x:row>
    <x:row r="304">
      <x:c r="A304" s="23" t="s">
        <x:v>375</x:v>
      </x:c>
      <x:c r="B304" s="24">
        <x:v>95</x:v>
      </x:c>
      <x:c r="C304" s="25" t="s">
        <x:v>56</x:v>
      </x:c>
      <x:c r="D304" s="26">
        <x:v>95</x:v>
      </x:c>
      <x:c r="E304" s="24">
        <x:v>180</x:v>
      </x:c>
      <x:c r="F304" s="25" t="s">
        <x:v>57</x:v>
      </x:c>
      <x:c r="G304" s="26">
        <x:v>180</x:v>
      </x:c>
      <x:c r="H304" s="25" t="str">
        <x:f t="shared" si="4"/>
        <x:v>فعال</x:v>
      </x:c>
      <x:c r="Y304" t="str">
        <x:f>IF(AND(LEN($K$2)&gt;=3,ISNUMBER(SEARCH($K$2,$A304))),MAX($Y$3:Y303)+1,"")</x:f>
      </x:c>
      <x:c r="Z304" s="79" t="str">
        <x:v>نوشیدنی‌ها</x:v>
      </x:c>
      <x:c r="AA304" s="79" t="str">
        <x:v>6a3782ffdf5573f4e676e24b</x:v>
      </x:c>
      <x:c r="AB304" s="79" t="str">
        <x:v>syrup</x:v>
      </x:c>
      <x:c r="AC304" s="79" t="str">
        <x:v>EDIBLE</x:v>
      </x:c>
      <x:c r="AD304" s="79" t="str">
        <x:v>بله</x:v>
      </x:c>
      <x:c r="AE304" s="79" t="str">
        <x:v>بله</x:v>
      </x:c>
      <x:c r="AF304" s="79" t="n">
        <x:v>2</x:v>
      </x:c>
      <x:c r="AG304" s="104" t="n">
        <x:v>95000</x:v>
      </x:c>
      <x:c r="AH304" s="104" t="n">
        <x:v>180000</x:v>
      </x:c>
      <x:c r="AI304" s="79"/>
    </x:row>
    <x:row r="305">
      <x:c r="A305" s="23" t="s">
        <x:v>376</x:v>
      </x:c>
      <x:c r="B305" s="24">
        <x:v>80</x:v>
      </x:c>
      <x:c r="C305" s="25" t="s">
        <x:v>56</x:v>
      </x:c>
      <x:c r="D305" s="26">
        <x:v>80</x:v>
      </x:c>
      <x:c r="E305" s="24">
        <x:v>150</x:v>
      </x:c>
      <x:c r="F305" s="25" t="s">
        <x:v>57</x:v>
      </x:c>
      <x:c r="G305" s="26">
        <x:v>150</x:v>
      </x:c>
      <x:c r="H305" s="25" t="str">
        <x:f t="shared" si="4"/>
        <x:v>فعال</x:v>
      </x:c>
      <x:c r="Y305" t="str">
        <x:f>IF(AND(LEN($K$2)&gt;=3,ISNUMBER(SEARCH($K$2,$A305))),MAX($Y$3:Y304)+1,"")</x:f>
      </x:c>
      <x:c r="Z305" s="79" t="str">
        <x:v>نوشیدنی‌ها</x:v>
      </x:c>
      <x:c r="AA305" s="79" t="str">
        <x:v>6a3782ffdf5573f4e676e24b</x:v>
      </x:c>
      <x:c r="AB305" s="79" t="str">
        <x:v>syrup</x:v>
      </x:c>
      <x:c r="AC305" s="79" t="str">
        <x:v>EDIBLE</x:v>
      </x:c>
      <x:c r="AD305" s="79" t="str">
        <x:v>بله</x:v>
      </x:c>
      <x:c r="AE305" s="79" t="str">
        <x:v>بله</x:v>
      </x:c>
      <x:c r="AF305" s="79" t="n">
        <x:v>2</x:v>
      </x:c>
      <x:c r="AG305" s="104" t="n">
        <x:v>80000</x:v>
      </x:c>
      <x:c r="AH305" s="104" t="n">
        <x:v>150000</x:v>
      </x:c>
      <x:c r="AI305" s="79"/>
    </x:row>
    <x:row r="306">
      <x:c r="A306" s="23" t="s">
        <x:v>377</x:v>
      </x:c>
      <x:c r="B306" s="24">
        <x:v>75</x:v>
      </x:c>
      <x:c r="C306" s="25" t="s">
        <x:v>56</x:v>
      </x:c>
      <x:c r="D306" s="26">
        <x:v>75</x:v>
      </x:c>
      <x:c r="E306" s="24">
        <x:v>140</x:v>
      </x:c>
      <x:c r="F306" s="25" t="s">
        <x:v>57</x:v>
      </x:c>
      <x:c r="G306" s="26">
        <x:v>140</x:v>
      </x:c>
      <x:c r="H306" s="25" t="str">
        <x:f t="shared" si="4"/>
        <x:v>فعال</x:v>
      </x:c>
      <x:c r="Y306" t="str">
        <x:f>IF(AND(LEN($K$2)&gt;=3,ISNUMBER(SEARCH($K$2,$A306))),MAX($Y$3:Y305)+1,"")</x:f>
      </x:c>
      <x:c r="Z306" s="79" t="str">
        <x:v>نوشیدنی‌ها</x:v>
      </x:c>
      <x:c r="AA306" s="79" t="str">
        <x:v>6a3782ffdf5573f4e676e24b</x:v>
      </x:c>
      <x:c r="AB306" s="79" t="str">
        <x:v>syrup</x:v>
      </x:c>
      <x:c r="AC306" s="79" t="str">
        <x:v>EDIBLE</x:v>
      </x:c>
      <x:c r="AD306" s="79" t="str">
        <x:v>بله</x:v>
      </x:c>
      <x:c r="AE306" s="79" t="str">
        <x:v>بله</x:v>
      </x:c>
      <x:c r="AF306" s="79" t="n">
        <x:v>2</x:v>
      </x:c>
      <x:c r="AG306" s="104" t="n">
        <x:v>75000</x:v>
      </x:c>
      <x:c r="AH306" s="104" t="n">
        <x:v>140000</x:v>
      </x:c>
      <x:c r="AI306" s="79" t="str">
        <x:v>دسته از «ادویه» به «نوشیدنی‌ها» اصلاح شد</x:v>
      </x:c>
    </x:row>
    <x:row r="307">
      <x:c r="A307" s="23" t="s">
        <x:v>378</x:v>
      </x:c>
      <x:c r="B307" s="24">
        <x:v>230</x:v>
      </x:c>
      <x:c r="C307" s="25" t="s">
        <x:v>56</x:v>
      </x:c>
      <x:c r="D307" s="26">
        <x:v>230</x:v>
      </x:c>
      <x:c r="E307" s="24">
        <x:v>450</x:v>
      </x:c>
      <x:c r="F307" s="25" t="s">
        <x:v>57</x:v>
      </x:c>
      <x:c r="G307" s="26">
        <x:v>450</x:v>
      </x:c>
      <x:c r="H307" s="25" t="str">
        <x:f t="shared" si="4"/>
        <x:v>فعال</x:v>
      </x:c>
      <x:c r="Y307" t="str">
        <x:f>IF(AND(LEN($K$2)&gt;=3,ISNUMBER(SEARCH($K$2,$A307))),MAX($Y$3:Y306)+1,"")</x:f>
      </x:c>
      <x:c r="Z307" s="79" t="str">
        <x:v>نوشیدنی‌ها</x:v>
      </x:c>
      <x:c r="AA307" s="79" t="str">
        <x:v>6a3782ffdf5573f4e676e24b</x:v>
      </x:c>
      <x:c r="AB307" s="79" t="str">
        <x:v>syrup</x:v>
      </x:c>
      <x:c r="AC307" s="79" t="str">
        <x:v>EDIBLE</x:v>
      </x:c>
      <x:c r="AD307" s="79" t="str">
        <x:v>بله</x:v>
      </x:c>
      <x:c r="AE307" s="79" t="str">
        <x:v>بله</x:v>
      </x:c>
      <x:c r="AF307" s="79" t="n">
        <x:v>2</x:v>
      </x:c>
      <x:c r="AG307" s="104" t="n">
        <x:v>230000</x:v>
      </x:c>
      <x:c r="AH307" s="104" t="n">
        <x:v>450000</x:v>
      </x:c>
      <x:c r="AI307" s="79"/>
    </x:row>
    <x:row r="308">
      <x:c r="A308" s="23" t="s">
        <x:v>379</x:v>
      </x:c>
      <x:c r="B308" s="24">
        <x:v>80</x:v>
      </x:c>
      <x:c r="C308" s="25" t="s">
        <x:v>56</x:v>
      </x:c>
      <x:c r="D308" s="26">
        <x:v>80</x:v>
      </x:c>
      <x:c r="E308" s="24">
        <x:v>150</x:v>
      </x:c>
      <x:c r="F308" s="25" t="s">
        <x:v>57</x:v>
      </x:c>
      <x:c r="G308" s="26">
        <x:v>150</x:v>
      </x:c>
      <x:c r="H308" s="25" t="str">
        <x:f t="shared" si="4"/>
        <x:v>فعال</x:v>
      </x:c>
      <x:c r="Y308" t="str">
        <x:f>IF(AND(LEN($K$2)&gt;=3,ISNUMBER(SEARCH($K$2,$A308))),MAX($Y$3:Y307)+1,"")</x:f>
      </x:c>
      <x:c r="Z308" s="79" t="str">
        <x:v>نوشیدنی‌ها</x:v>
      </x:c>
      <x:c r="AA308" s="79" t="str">
        <x:v>6a3782ffdf5573f4e676e24b</x:v>
      </x:c>
      <x:c r="AB308" s="79" t="str">
        <x:v>syrup</x:v>
      </x:c>
      <x:c r="AC308" s="79" t="str">
        <x:v>EDIBLE</x:v>
      </x:c>
      <x:c r="AD308" s="79" t="str">
        <x:v>بله</x:v>
      </x:c>
      <x:c r="AE308" s="79" t="str">
        <x:v>بله</x:v>
      </x:c>
      <x:c r="AF308" s="79" t="n">
        <x:v>2</x:v>
      </x:c>
      <x:c r="AG308" s="104" t="n">
        <x:v>80000</x:v>
      </x:c>
      <x:c r="AH308" s="104" t="n">
        <x:v>150000</x:v>
      </x:c>
      <x:c r="AI308" s="79"/>
    </x:row>
    <x:row r="309">
      <x:c r="A309" s="23" t="s">
        <x:v>380</x:v>
      </x:c>
      <x:c r="B309" s="24" t="s">
        <x:v>115</x:v>
      </x:c>
      <x:c r="C309" s="25" t="s">
        <x:v>381</x:v>
      </x:c>
      <x:c r="D309" s="26" t="s">
        <x:v>115</x:v>
      </x:c>
      <x:c r="E309" s="24" t="s">
        <x:v>189</x:v>
      </x:c>
      <x:c r="F309" s="25" t="s">
        <x:v>382</x:v>
      </x:c>
      <x:c r="G309" s="26" t="s">
        <x:v>189</x:v>
      </x:c>
      <x:c r="H309" s="25" t="str">
        <x:f t="shared" si="4"/>
        <x:v>فعال</x:v>
      </x:c>
      <x:c r="Y309" t="str">
        <x:f>IF(AND(LEN($K$2)&gt;=3,ISNUMBER(SEARCH($K$2,$A309))),MAX($Y$3:Y308)+1,"")</x:f>
      </x:c>
      <x:c r="Z309" s="79" t="str">
        <x:v>قنادی و شیرینی</x:v>
      </x:c>
      <x:c r="AA309" s="79" t="str">
        <x:v>6a3a00000000000000000003</x:v>
      </x:c>
      <x:c r="AB309" s="79" t="str">
        <x:v>confectionery</x:v>
      </x:c>
      <x:c r="AC309" s="79" t="str">
        <x:v>EDIBLE</x:v>
      </x:c>
      <x:c r="AD309" s="79" t="str">
        <x:v>بله</x:v>
      </x:c>
      <x:c r="AE309" s="79" t="str">
        <x:v>بله</x:v>
      </x:c>
      <x:c r="AF309" s="79" t="n">
        <x:v>2</x:v>
      </x:c>
      <x:c r="AG309" s="104" t="n">
        <x:v>1200000</x:v>
      </x:c>
      <x:c r="AH309" s="104" t="n">
        <x:v>1300000</x:v>
      </x:c>
      <x:c r="AI309" s="79"/>
    </x:row>
    <x:row r="310">
      <x:c r="A310" s="23" t="s">
        <x:v>383</x:v>
      </x:c>
      <x:c r="B310" s="24" t="s">
        <x:v>54</x:v>
      </x:c>
      <x:c r="C310" s="25" t="s">
        <x:v>16</x:v>
      </x:c>
      <x:c r="D310" s="26" t="s">
        <x:v>54</x:v>
      </x:c>
      <x:c r="E310" s="24"/>
      <x:c r="F310" s="25"/>
      <x:c r="G310" s="26"/>
      <x:c r="H310" s="25" t="str">
        <x:f t="shared" si="4"/>
        <x:v>نیاز به استعلام</x:v>
      </x:c>
      <x:c r="Y310" t="str">
        <x:f>IF(AND(LEN($K$2)&gt;=3,ISNUMBER(SEARCH($K$2,$A310))),MAX($Y$3:Y309)+1,"")</x:f>
      </x:c>
      <x:c r="Z310" s="79" t="str">
        <x:v>قنادی و شیرینی</x:v>
      </x:c>
      <x:c r="AA310" s="79" t="str">
        <x:v>6a3a00000000000000000003</x:v>
      </x:c>
      <x:c r="AB310" s="79" t="str">
        <x:v>confectionery</x:v>
      </x:c>
      <x:c r="AC310" s="79" t="str">
        <x:v>EDIBLE</x:v>
      </x:c>
      <x:c r="AD310" s="79" t="str">
        <x:v>بله</x:v>
      </x:c>
      <x:c r="AE310" s="79" t="str">
        <x:v>خیر</x:v>
      </x:c>
      <x:c r="AF310" s="79" t="n">
        <x:v>1</x:v>
      </x:c>
      <x:c r="AG310" s="104"/>
      <x:c r="AH310" s="104"/>
      <x:c r="AI310" s="79" t="str">
        <x:v>MISSING_PRICE_REVIEW</x:v>
      </x:c>
    </x:row>
    <x:row r="311">
      <x:c r="A311" s="23" t="s">
        <x:v>384</x:v>
      </x:c>
      <x:c r="B311" s="24" t="s">
        <x:v>54</x:v>
      </x:c>
      <x:c r="C311" s="25" t="s">
        <x:v>16</x:v>
      </x:c>
      <x:c r="D311" s="26" t="s">
        <x:v>54</x:v>
      </x:c>
      <x:c r="E311" s="24"/>
      <x:c r="F311" s="25"/>
      <x:c r="G311" s="26"/>
      <x:c r="H311" s="25" t="str">
        <x:f t="shared" si="4"/>
        <x:v>نیاز به استعلام</x:v>
      </x:c>
      <x:c r="Y311" t="str">
        <x:f>IF(AND(LEN($K$2)&gt;=3,ISNUMBER(SEARCH($K$2,$A311))),MAX($Y$3:Y310)+1,"")</x:f>
      </x:c>
      <x:c r="Z311" s="79" t="str">
        <x:v>قنادی و شیرینی</x:v>
      </x:c>
      <x:c r="AA311" s="79" t="str">
        <x:v>6a3a00000000000000000003</x:v>
      </x:c>
      <x:c r="AB311" s="79" t="str">
        <x:v>confectionery</x:v>
      </x:c>
      <x:c r="AC311" s="79" t="str">
        <x:v>EDIBLE</x:v>
      </x:c>
      <x:c r="AD311" s="79" t="str">
        <x:v>بله</x:v>
      </x:c>
      <x:c r="AE311" s="79" t="str">
        <x:v>خیر</x:v>
      </x:c>
      <x:c r="AF311" s="79" t="n">
        <x:v>1</x:v>
      </x:c>
      <x:c r="AG311" s="104"/>
      <x:c r="AH311" s="104"/>
      <x:c r="AI311" s="79" t="str">
        <x:v>MISSING_PRICE_REVIEW</x:v>
      </x:c>
    </x:row>
    <x:row r="312">
      <x:c r="A312" s="23" t="s">
        <x:v>385</x:v>
      </x:c>
      <x:c r="B312" s="24" t="s">
        <x:v>54</x:v>
      </x:c>
      <x:c r="C312" s="25" t="s">
        <x:v>16</x:v>
      </x:c>
      <x:c r="D312" s="26" t="s">
        <x:v>54</x:v>
      </x:c>
      <x:c r="E312" s="24"/>
      <x:c r="F312" s="25"/>
      <x:c r="G312" s="26"/>
      <x:c r="H312" s="25" t="str">
        <x:f t="shared" si="4"/>
        <x:v>نیاز به استعلام</x:v>
      </x:c>
      <x:c r="Y312" t="str">
        <x:f>IF(AND(LEN($K$2)&gt;=3,ISNUMBER(SEARCH($K$2,$A312))),MAX($Y$3:Y311)+1,"")</x:f>
      </x:c>
      <x:c r="Z312" s="79" t="str">
        <x:v>قنادی و شیرینی</x:v>
      </x:c>
      <x:c r="AA312" s="79" t="str">
        <x:v>6a3a00000000000000000003</x:v>
      </x:c>
      <x:c r="AB312" s="79" t="str">
        <x:v>confectionery</x:v>
      </x:c>
      <x:c r="AC312" s="79" t="str">
        <x:v>EDIBLE</x:v>
      </x:c>
      <x:c r="AD312" s="79" t="str">
        <x:v>بله</x:v>
      </x:c>
      <x:c r="AE312" s="79" t="str">
        <x:v>خیر</x:v>
      </x:c>
      <x:c r="AF312" s="79" t="n">
        <x:v>1</x:v>
      </x:c>
      <x:c r="AG312" s="104"/>
      <x:c r="AH312" s="104"/>
      <x:c r="AI312" s="79" t="str">
        <x:v>MISSING_PRICE_REVIEW</x:v>
      </x:c>
    </x:row>
    <x:row r="313">
      <x:c r="A313" s="23" t="s">
        <x:v>386</x:v>
      </x:c>
      <x:c r="B313" s="24">
        <x:v>700</x:v>
      </x:c>
      <x:c r="C313" s="25" t="s">
        <x:v>16</x:v>
      </x:c>
      <x:c r="D313" s="26">
        <x:v>700</x:v>
      </x:c>
      <x:c r="E313" s="24"/>
      <x:c r="F313" s="25"/>
      <x:c r="G313" s="26"/>
      <x:c r="H313" s="25" t="str">
        <x:f t="shared" si="4"/>
        <x:v>فعال</x:v>
      </x:c>
      <x:c r="Y313" t="str">
        <x:f>IF(AND(LEN($K$2)&gt;=3,ISNUMBER(SEARCH($K$2,$A313))),MAX($Y$3:Y312)+1,"")</x:f>
      </x:c>
      <x:c r="Z313" s="79" t="str">
        <x:v>قنادی و شیرینی</x:v>
      </x:c>
      <x:c r="AA313" s="79" t="str">
        <x:v>6a3a00000000000000000003</x:v>
      </x:c>
      <x:c r="AB313" s="79" t="str">
        <x:v>confectionery</x:v>
      </x:c>
      <x:c r="AC313" s="79" t="str">
        <x:v>EDIBLE</x:v>
      </x:c>
      <x:c r="AD313" s="79" t="str">
        <x:v>بله</x:v>
      </x:c>
      <x:c r="AE313" s="79" t="str">
        <x:v>خیر</x:v>
      </x:c>
      <x:c r="AF313" s="79" t="n">
        <x:v>1</x:v>
      </x:c>
      <x:c r="AG313" s="104" t="n">
        <x:v>700000</x:v>
      </x:c>
      <x:c r="AH313" s="104"/>
      <x:c r="AI313" s="79"/>
    </x:row>
    <x:row r="314">
      <x:c r="A314" s="23" t="s">
        <x:v>387</x:v>
      </x:c>
      <x:c r="B314" s="24" t="s">
        <x:v>54</x:v>
      </x:c>
      <x:c r="C314" s="25" t="s">
        <x:v>16</x:v>
      </x:c>
      <x:c r="D314" s="26" t="s">
        <x:v>54</x:v>
      </x:c>
      <x:c r="E314" s="24"/>
      <x:c r="F314" s="25"/>
      <x:c r="G314" s="26"/>
      <x:c r="H314" s="25" t="str">
        <x:f t="shared" si="4"/>
        <x:v>نیاز به استعلام</x:v>
      </x:c>
      <x:c r="Y314" t="str">
        <x:f>IF(AND(LEN($K$2)&gt;=3,ISNUMBER(SEARCH($K$2,$A314))),MAX($Y$3:Y313)+1,"")</x:f>
      </x:c>
      <x:c r="Z314" s="79" t="str">
        <x:v>قنادی و شیرینی</x:v>
      </x:c>
      <x:c r="AA314" s="79" t="str">
        <x:v>6a3a00000000000000000003</x:v>
      </x:c>
      <x:c r="AB314" s="79" t="str">
        <x:v>confectionery</x:v>
      </x:c>
      <x:c r="AC314" s="79" t="str">
        <x:v>EDIBLE</x:v>
      </x:c>
      <x:c r="AD314" s="79" t="str">
        <x:v>بله</x:v>
      </x:c>
      <x:c r="AE314" s="79" t="str">
        <x:v>خیر</x:v>
      </x:c>
      <x:c r="AF314" s="79" t="n">
        <x:v>1</x:v>
      </x:c>
      <x:c r="AG314" s="104"/>
      <x:c r="AH314" s="104"/>
      <x:c r="AI314" s="79" t="str">
        <x:v>MISSING_PRICE_REVIEW</x:v>
      </x:c>
    </x:row>
    <x:row r="315">
      <x:c r="A315" s="23" t="s">
        <x:v>388</x:v>
      </x:c>
      <x:c r="B315" s="24">
        <x:v>250</x:v>
      </x:c>
      <x:c r="C315" s="25" t="s">
        <x:v>389</x:v>
      </x:c>
      <x:c r="D315" s="26">
        <x:v>250</x:v>
      </x:c>
      <x:c r="E315" s="24">
        <x:v>280</x:v>
      </x:c>
      <x:c r="F315" s="25" t="s">
        <x:v>390</x:v>
      </x:c>
      <x:c r="G315" s="26">
        <x:v>280</x:v>
      </x:c>
      <x:c r="H315" s="25" t="str">
        <x:f t="shared" si="4"/>
        <x:v>فعال</x:v>
      </x:c>
      <x:c r="Y315" t="str">
        <x:f>IF(AND(LEN($K$2)&gt;=3,ISNUMBER(SEARCH($K$2,$A315))),MAX($Y$3:Y314)+1,"")</x:f>
      </x:c>
      <x:c r="Z315" s="79" t="str">
        <x:v>خشکبار و آجیل</x:v>
      </x:c>
      <x:c r="AA315" s="79" t="str">
        <x:v>6a37810ddf5573f4e676e201</x:v>
      </x:c>
      <x:c r="AB315" s="79" t="str">
        <x:v>dried-fruits-nuts</x:v>
      </x:c>
      <x:c r="AC315" s="79" t="str">
        <x:v>EDIBLE</x:v>
      </x:c>
      <x:c r="AD315" s="79" t="str">
        <x:v>بله</x:v>
      </x:c>
      <x:c r="AE315" s="79" t="str">
        <x:v>بله</x:v>
      </x:c>
      <x:c r="AF315" s="79" t="n">
        <x:v>2</x:v>
      </x:c>
      <x:c r="AG315" s="104" t="n">
        <x:v>250000</x:v>
      </x:c>
      <x:c r="AH315" s="104" t="n">
        <x:v>280000</x:v>
      </x:c>
      <x:c r="AI315" s="79" t="str">
        <x:v>MERGED</x:v>
      </x:c>
    </x:row>
    <x:row r="316">
      <x:c r="A316" s="23" t="s">
        <x:v>391</x:v>
      </x:c>
      <x:c r="B316" s="24">
        <x:v>410</x:v>
      </x:c>
      <x:c r="C316" s="25" t="s">
        <x:v>16</x:v>
      </x:c>
      <x:c r="D316" s="26">
        <x:v>410</x:v>
      </x:c>
      <x:c r="E316" s="24">
        <x:v>150</x:v>
      </x:c>
      <x:c r="F316" s="25" t="s">
        <x:v>109</x:v>
      </x:c>
      <x:c r="G316" s="26">
        <x:v>150</x:v>
      </x:c>
      <x:c r="H316" s="25" t="str">
        <x:f t="shared" si="4"/>
        <x:v>فعال</x:v>
      </x:c>
      <x:c r="Y316" t="str">
        <x:f>IF(AND(LEN($K$2)&gt;=3,ISNUMBER(SEARCH($K$2,$A316))),MAX($Y$3:Y315)+1,"")</x:f>
      </x:c>
      <x:c r="Z316" s="79" t="str">
        <x:v>خشکبار و آجیل</x:v>
      </x:c>
      <x:c r="AA316" s="79" t="str">
        <x:v>6a37810ddf5573f4e676e201</x:v>
      </x:c>
      <x:c r="AB316" s="79" t="str">
        <x:v>dried-fruits-nuts</x:v>
      </x:c>
      <x:c r="AC316" s="79" t="str">
        <x:v>EDIBLE</x:v>
      </x:c>
      <x:c r="AD316" s="79" t="str">
        <x:v>بله</x:v>
      </x:c>
      <x:c r="AE316" s="79" t="str">
        <x:v>بله</x:v>
      </x:c>
      <x:c r="AF316" s="79" t="n">
        <x:v>2</x:v>
      </x:c>
      <x:c r="AG316" s="104" t="n">
        <x:v>410000</x:v>
      </x:c>
      <x:c r="AH316" s="104" t="n">
        <x:v>150000</x:v>
      </x:c>
      <x:c r="AI316" s="79" t="str">
        <x:v>MERGED</x:v>
      </x:c>
    </x:row>
    <x:row r="317">
      <x:c r="A317" s="23" t="s">
        <x:v>392</x:v>
      </x:c>
      <x:c r="B317" s="24">
        <x:v>30</x:v>
      </x:c>
      <x:c r="C317" s="25" t="s">
        <x:v>393</x:v>
      </x:c>
      <x:c r="D317" s="26">
        <x:v>30</x:v>
      </x:c>
      <x:c r="E317" s="24"/>
      <x:c r="F317" s="25"/>
      <x:c r="G317" s="26"/>
      <x:c r="H317" s="25" t="str">
        <x:f t="shared" si="4"/>
        <x:v>فعال</x:v>
      </x:c>
      <x:c r="Y317" t="str">
        <x:f>IF(AND(LEN($K$2)&gt;=3,ISNUMBER(SEARCH($K$2,$A317))),MAX($Y$3:Y316)+1,"")</x:f>
      </x:c>
      <x:c r="Z317" s="79" t="str">
        <x:v>گیاهان دارویی</x:v>
      </x:c>
      <x:c r="AA317" s="79" t="str">
        <x:v>6a3782d7df5573f4e676e243</x:v>
      </x:c>
      <x:c r="AB317" s="79" t="str">
        <x:v>medicinal-plants</x:v>
      </x:c>
      <x:c r="AC317" s="79" t="str">
        <x:v>NON_EDIBLE</x:v>
      </x:c>
      <x:c r="AD317" s="79" t="str">
        <x:v>خیر</x:v>
      </x:c>
      <x:c r="AE317" s="79" t="str">
        <x:v>خیر</x:v>
      </x:c>
      <x:c r="AF317" s="79" t="n">
        <x:v>1</x:v>
      </x:c>
      <x:c r="AG317" s="104" t="n">
        <x:v>30000</x:v>
      </x:c>
      <x:c r="AH317" s="104"/>
      <x:c r="AI317" s="79" t="str">
        <x:v>دسته قبلاً خالی/نیازمند بررسی بود؛ بر اساس ماهیت موضعی/غیرخوراکی به گیاهان دارویی منتقل شد | غیرخوراکی</x:v>
      </x:c>
    </x:row>
    <x:row r="318">
      <x:c r="A318" s="23" t="s">
        <x:v>394</x:v>
      </x:c>
      <x:c r="B318" s="24" t="s">
        <x:v>54</x:v>
      </x:c>
      <x:c r="C318" s="25" t="s">
        <x:v>16</x:v>
      </x:c>
      <x:c r="D318" s="26" t="s">
        <x:v>54</x:v>
      </x:c>
      <x:c r="E318" s="24"/>
      <x:c r="F318" s="25"/>
      <x:c r="G318" s="26"/>
      <x:c r="H318" s="25" t="str">
        <x:f t="shared" si="4"/>
        <x:v>نیاز به استعلام</x:v>
      </x:c>
      <x:c r="Y318" t="str">
        <x:f>IF(AND(LEN($K$2)&gt;=3,ISNUMBER(SEARCH($K$2,$A318))),MAX($Y$3:Y317)+1,"")</x:f>
      </x:c>
      <x:c r="Z318" s="79" t="str">
        <x:v>ادویه</x:v>
      </x:c>
      <x:c r="AA318" s="79" t="str">
        <x:v>6a3781e4df5573f4e676e226</x:v>
      </x:c>
      <x:c r="AB318" s="79" t="str">
        <x:v>spice</x:v>
      </x:c>
      <x:c r="AC318" s="79" t="str">
        <x:v>EDIBLE</x:v>
      </x:c>
      <x:c r="AD318" s="79" t="str">
        <x:v>بله</x:v>
      </x:c>
      <x:c r="AE318" s="79" t="str">
        <x:v>خیر</x:v>
      </x:c>
      <x:c r="AF318" s="79" t="n">
        <x:v>1</x:v>
      </x:c>
      <x:c r="AG318" s="104"/>
      <x:c r="AH318" s="104"/>
      <x:c r="AI318" s="79" t="str">
        <x:v>MISSING_PRICE_REVIEW</x:v>
      </x:c>
    </x:row>
    <x:row r="319">
      <x:c r="A319" s="23" t="s">
        <x:v>395</x:v>
      </x:c>
      <x:c r="B319" s="24">
        <x:v>850</x:v>
      </x:c>
      <x:c r="C319" s="25" t="s">
        <x:v>16</x:v>
      </x:c>
      <x:c r="D319" s="26">
        <x:v>850</x:v>
      </x:c>
      <x:c r="E319" s="24"/>
      <x:c r="F319" s="25"/>
      <x:c r="G319" s="26"/>
      <x:c r="H319" s="25" t="str">
        <x:f t="shared" si="4"/>
        <x:v>فعال</x:v>
      </x:c>
      <x:c r="Y319" t="str">
        <x:f>IF(AND(LEN($K$2)&gt;=3,ISNUMBER(SEARCH($K$2,$A319))),MAX($Y$3:Y318)+1,"")</x:f>
      </x:c>
      <x:c r="Z319" s="79" t="str">
        <x:v>ادویه</x:v>
      </x:c>
      <x:c r="AA319" s="79" t="str">
        <x:v>6a3781e4df5573f4e676e226</x:v>
      </x:c>
      <x:c r="AB319" s="79" t="str">
        <x:v>spice</x:v>
      </x:c>
      <x:c r="AC319" s="79" t="str">
        <x:v>EDIBLE</x:v>
      </x:c>
      <x:c r="AD319" s="79" t="str">
        <x:v>بله</x:v>
      </x:c>
      <x:c r="AE319" s="79" t="str">
        <x:v>خیر</x:v>
      </x:c>
      <x:c r="AF319" s="79" t="n">
        <x:v>1</x:v>
      </x:c>
      <x:c r="AG319" s="104" t="n">
        <x:v>850000</x:v>
      </x:c>
      <x:c r="AH319" s="104"/>
      <x:c r="AI319" s="79"/>
    </x:row>
    <x:row r="320">
      <x:c r="A320" s="23" t="s">
        <x:v>396</x:v>
      </x:c>
      <x:c r="B320" s="24" t="s">
        <x:v>397</x:v>
      </x:c>
      <x:c r="C320" s="25" t="s">
        <x:v>16</x:v>
      </x:c>
      <x:c r="D320" s="26" t="s">
        <x:v>397</x:v>
      </x:c>
      <x:c r="E320" s="24"/>
      <x:c r="F320" s="25"/>
      <x:c r="G320" s="26"/>
      <x:c r="H320" s="25" t="str">
        <x:f t="shared" si="4"/>
        <x:v>فعال</x:v>
      </x:c>
      <x:c r="Y320" t="str">
        <x:f>IF(AND(LEN($K$2)&gt;=3,ISNUMBER(SEARCH($K$2,$A320))),MAX($Y$3:Y319)+1,"")</x:f>
      </x:c>
      <x:c r="Z320" s="79" t="str">
        <x:v>ادویه</x:v>
      </x:c>
      <x:c r="AA320" s="79" t="str">
        <x:v>6a3781e4df5573f4e676e226</x:v>
      </x:c>
      <x:c r="AB320" s="79" t="str">
        <x:v>spice</x:v>
      </x:c>
      <x:c r="AC320" s="79" t="str">
        <x:v>EDIBLE</x:v>
      </x:c>
      <x:c r="AD320" s="79" t="str">
        <x:v>بله</x:v>
      </x:c>
      <x:c r="AE320" s="79" t="str">
        <x:v>خیر</x:v>
      </x:c>
      <x:c r="AF320" s="79" t="n">
        <x:v>1</x:v>
      </x:c>
      <x:c r="AG320" s="104" t="n">
        <x:v>2300000</x:v>
      </x:c>
      <x:c r="AH320" s="104"/>
      <x:c r="AI320" s="79"/>
    </x:row>
    <x:row r="321">
      <x:c r="A321" s="23" t="s">
        <x:v>398</x:v>
      </x:c>
      <x:c r="B321" s="24">
        <x:v>600</x:v>
      </x:c>
      <x:c r="C321" s="25" t="s">
        <x:v>16</x:v>
      </x:c>
      <x:c r="D321" s="26">
        <x:v>600</x:v>
      </x:c>
      <x:c r="E321" s="24"/>
      <x:c r="F321" s="25"/>
      <x:c r="G321" s="26"/>
      <x:c r="H321" s="25" t="str">
        <x:f t="shared" si="4"/>
        <x:v>فعال</x:v>
      </x:c>
      <x:c r="Y321" t="str">
        <x:f>IF(AND(LEN($K$2)&gt;=3,ISNUMBER(SEARCH($K$2,$A321))),MAX($Y$3:Y320)+1,"")</x:f>
      </x:c>
      <x:c r="Z321" s="79" t="str">
        <x:v>ادویه</x:v>
      </x:c>
      <x:c r="AA321" s="79" t="str">
        <x:v>6a3781e4df5573f4e676e226</x:v>
      </x:c>
      <x:c r="AB321" s="79" t="str">
        <x:v>spice</x:v>
      </x:c>
      <x:c r="AC321" s="79" t="str">
        <x:v>EDIBLE</x:v>
      </x:c>
      <x:c r="AD321" s="79" t="str">
        <x:v>بله</x:v>
      </x:c>
      <x:c r="AE321" s="79" t="str">
        <x:v>خیر</x:v>
      </x:c>
      <x:c r="AF321" s="79" t="n">
        <x:v>1</x:v>
      </x:c>
      <x:c r="AG321" s="104" t="n">
        <x:v>600000</x:v>
      </x:c>
      <x:c r="AH321" s="104"/>
      <x:c r="AI321" s="79"/>
    </x:row>
    <x:row r="322">
      <x:c r="A322" s="23" t="s">
        <x:v>399</x:v>
      </x:c>
      <x:c r="B322" s="24">
        <x:v>700</x:v>
      </x:c>
      <x:c r="C322" s="25" t="s">
        <x:v>16</x:v>
      </x:c>
      <x:c r="D322" s="26">
        <x:v>700</x:v>
      </x:c>
      <x:c r="E322" s="24"/>
      <x:c r="F322" s="25"/>
      <x:c r="G322" s="26"/>
      <x:c r="H322" s="25" t="str">
        <x:f t="shared" si="4"/>
        <x:v>فعال</x:v>
      </x:c>
      <x:c r="Y322" t="str">
        <x:f>IF(AND(LEN($K$2)&gt;=3,ISNUMBER(SEARCH($K$2,$A322))),MAX($Y$3:Y321)+1,"")</x:f>
      </x:c>
      <x:c r="Z322" s="79" t="str">
        <x:v>ادویه</x:v>
      </x:c>
      <x:c r="AA322" s="79" t="str">
        <x:v>6a3781e4df5573f4e676e226</x:v>
      </x:c>
      <x:c r="AB322" s="79" t="str">
        <x:v>spice</x:v>
      </x:c>
      <x:c r="AC322" s="79" t="str">
        <x:v>EDIBLE</x:v>
      </x:c>
      <x:c r="AD322" s="79" t="str">
        <x:v>بله</x:v>
      </x:c>
      <x:c r="AE322" s="79" t="str">
        <x:v>خیر</x:v>
      </x:c>
      <x:c r="AF322" s="79" t="n">
        <x:v>1</x:v>
      </x:c>
      <x:c r="AG322" s="104" t="n">
        <x:v>700000</x:v>
      </x:c>
      <x:c r="AH322" s="104"/>
      <x:c r="AI322" s="79"/>
    </x:row>
    <x:row r="323">
      <x:c r="A323" s="23" t="s">
        <x:v>400</x:v>
      </x:c>
      <x:c r="B323" s="24">
        <x:v>900</x:v>
      </x:c>
      <x:c r="C323" s="25" t="s">
        <x:v>16</x:v>
      </x:c>
      <x:c r="D323" s="26">
        <x:v>900</x:v>
      </x:c>
      <x:c r="E323" s="24"/>
      <x:c r="F323" s="25"/>
      <x:c r="G323" s="26"/>
      <x:c r="H323" s="25" t="str">
        <x:f t="shared" si="4"/>
        <x:v>فعال</x:v>
      </x:c>
      <x:c r="Y323" t="str">
        <x:f>IF(AND(LEN($K$2)&gt;=3,ISNUMBER(SEARCH($K$2,$A323))),MAX($Y$3:Y322)+1,"")</x:f>
      </x:c>
      <x:c r="Z323" s="79" t="str">
        <x:v>ادویه</x:v>
      </x:c>
      <x:c r="AA323" s="79" t="str">
        <x:v>6a3781e4df5573f4e676e226</x:v>
      </x:c>
      <x:c r="AB323" s="79" t="str">
        <x:v>spice</x:v>
      </x:c>
      <x:c r="AC323" s="79" t="str">
        <x:v>EDIBLE</x:v>
      </x:c>
      <x:c r="AD323" s="79" t="str">
        <x:v>بله</x:v>
      </x:c>
      <x:c r="AE323" s="79" t="str">
        <x:v>خیر</x:v>
      </x:c>
      <x:c r="AF323" s="79" t="n">
        <x:v>1</x:v>
      </x:c>
      <x:c r="AG323" s="104" t="n">
        <x:v>900000</x:v>
      </x:c>
      <x:c r="AH323" s="104"/>
      <x:c r="AI323" s="79"/>
    </x:row>
    <x:row r="324">
      <x:c r="A324" s="23" t="s">
        <x:v>401</x:v>
      </x:c>
      <x:c r="B324" s="24">
        <x:v>500</x:v>
      </x:c>
      <x:c r="C324" s="25" t="s">
        <x:v>16</x:v>
      </x:c>
      <x:c r="D324" s="26">
        <x:v>500</x:v>
      </x:c>
      <x:c r="E324" s="24"/>
      <x:c r="F324" s="25"/>
      <x:c r="G324" s="26"/>
      <x:c r="H324" s="25" t="str">
        <x:f t="shared" ref="H324:H391" si="5">IF(AND(OR(B324="",B324="؟"),OR(E324="",E324="؟")),"نیاز به استعلام","فعال")</x:f>
        <x:v>فعال</x:v>
      </x:c>
      <x:c r="Y324" t="str">
        <x:f>IF(AND(LEN($K$2)&gt;=3,ISNUMBER(SEARCH($K$2,$A324))),MAX($Y$3:Y323)+1,"")</x:f>
      </x:c>
      <x:c r="Z324" s="79" t="str">
        <x:v>گیاهان دارویی</x:v>
      </x:c>
      <x:c r="AA324" s="79" t="str">
        <x:v>6a3782d7df5573f4e676e243</x:v>
      </x:c>
      <x:c r="AB324" s="79" t="str">
        <x:v>medicinal-plants</x:v>
      </x:c>
      <x:c r="AC324" s="79" t="str">
        <x:v>REVIEW</x:v>
      </x:c>
      <x:c r="AD324" s="79" t="str">
        <x:v>نیاز به بررسی</x:v>
      </x:c>
      <x:c r="AE324" s="79" t="str">
        <x:v>خیر</x:v>
      </x:c>
      <x:c r="AF324" s="79" t="n">
        <x:v>1</x:v>
      </x:c>
      <x:c r="AG324" s="104" t="n">
        <x:v>500000</x:v>
      </x:c>
      <x:c r="AH324" s="104"/>
      <x:c r="AI324" s="79" t="str">
        <x:v>دسته با اطمینان متوسط اصلاح شد؛ در صورت حساسیت دستی بازبینی شود | نوع مصرف نیازمند بررسی دستی</x:v>
      </x:c>
    </x:row>
    <x:row r="325">
      <x:c r="A325" s="23" t="s">
        <x:v>402</x:v>
      </x:c>
      <x:c r="B325" s="24">
        <x:v>250</x:v>
      </x:c>
      <x:c r="C325" s="25" t="s">
        <x:v>16</x:v>
      </x:c>
      <x:c r="D325" s="26">
        <x:v>250</x:v>
      </x:c>
      <x:c r="E325" s="24"/>
      <x:c r="F325" s="25"/>
      <x:c r="G325" s="26"/>
      <x:c r="H325" s="25" t="str">
        <x:f t="shared" si="5"/>
        <x:v>فعال</x:v>
      </x:c>
      <x:c r="Y325" t="str">
        <x:f>IF(AND(LEN($K$2)&gt;=3,ISNUMBER(SEARCH($K$2,$A325))),MAX($Y$3:Y324)+1,"")</x:f>
      </x:c>
      <x:c r="Z325" s="79" t="str">
        <x:v>قنادی و شیرینی</x:v>
      </x:c>
      <x:c r="AA325" s="79" t="str">
        <x:v>6a3a00000000000000000003</x:v>
      </x:c>
      <x:c r="AB325" s="79" t="str">
        <x:v>confectionery</x:v>
      </x:c>
      <x:c r="AC325" s="79" t="str">
        <x:v>EDIBLE</x:v>
      </x:c>
      <x:c r="AD325" s="79" t="str">
        <x:v>بله</x:v>
      </x:c>
      <x:c r="AE325" s="79" t="str">
        <x:v>خیر</x:v>
      </x:c>
      <x:c r="AF325" s="79" t="n">
        <x:v>1</x:v>
      </x:c>
      <x:c r="AG325" s="104" t="n">
        <x:v>250000</x:v>
      </x:c>
      <x:c r="AH325" s="104"/>
      <x:c r="AI325" s="79" t="str">
        <x:v>دسته از «نیاز به بررسی» به «قنادی و شیرینی» اصلاح شد</x:v>
      </x:c>
    </x:row>
    <x:row r="326">
      <x:c r="A326" s="23" t="s">
        <x:v>403</x:v>
      </x:c>
      <x:c r="B326" s="24" t="s">
        <x:v>133</x:v>
      </x:c>
      <x:c r="C326" s="25" t="s">
        <x:v>16</x:v>
      </x:c>
      <x:c r="D326" s="26" t="s">
        <x:v>133</x:v>
      </x:c>
      <x:c r="E326" s="24">
        <x:v>220</x:v>
      </x:c>
      <x:c r="F326" s="25" t="s">
        <x:v>404</x:v>
      </x:c>
      <x:c r="G326" s="26">
        <x:v>220</x:v>
      </x:c>
      <x:c r="H326" s="25" t="str">
        <x:f t="shared" si="5"/>
        <x:v>فعال</x:v>
      </x:c>
      <x:c r="Y326" t="str">
        <x:f>IF(AND(LEN($K$2)&gt;=3,ISNUMBER(SEARCH($K$2,$A326))),MAX($Y$3:Y325)+1,"")</x:f>
      </x:c>
      <x:c r="Z326" s="79" t="str">
        <x:v>نوشیدنی‌ها</x:v>
      </x:c>
      <x:c r="AA326" s="79" t="str">
        <x:v>6a3782ffdf5573f4e676e24b</x:v>
      </x:c>
      <x:c r="AB326" s="79" t="str">
        <x:v>syrup</x:v>
      </x:c>
      <x:c r="AC326" s="79" t="str">
        <x:v>EDIBLE</x:v>
      </x:c>
      <x:c r="AD326" s="79" t="str">
        <x:v>بله</x:v>
      </x:c>
      <x:c r="AE326" s="79" t="str">
        <x:v>بله</x:v>
      </x:c>
      <x:c r="AF326" s="79" t="n">
        <x:v>2</x:v>
      </x:c>
      <x:c r="AG326" s="104" t="n">
        <x:v>1850000</x:v>
      </x:c>
      <x:c r="AH326" s="104" t="n">
        <x:v>220000</x:v>
      </x:c>
      <x:c r="AI326" s="79" t="str">
        <x:v>دسته از «نیاز به بررسی» به «نوشیدنی‌ها» اصلاح شد</x:v>
      </x:c>
    </x:row>
    <x:row r="327">
      <x:c r="A327" s="23" t="s">
        <x:v>405</x:v>
      </x:c>
      <x:c r="B327" s="24" t="s">
        <x:v>133</x:v>
      </x:c>
      <x:c r="C327" s="25" t="s">
        <x:v>16</x:v>
      </x:c>
      <x:c r="D327" s="26" t="s">
        <x:v>133</x:v>
      </x:c>
      <x:c r="E327" s="24">
        <x:v>220</x:v>
      </x:c>
      <x:c r="F327" s="25" t="s">
        <x:v>404</x:v>
      </x:c>
      <x:c r="G327" s="26">
        <x:v>220</x:v>
      </x:c>
      <x:c r="H327" s="25" t="str">
        <x:f t="shared" si="5"/>
        <x:v>فعال</x:v>
      </x:c>
      <x:c r="Y327" t="str">
        <x:f>IF(AND(LEN($K$2)&gt;=3,ISNUMBER(SEARCH($K$2,$A327))),MAX($Y$3:Y326)+1,"")</x:f>
      </x:c>
      <x:c r="Z327" s="79" t="str">
        <x:v>نوشیدنی‌ها</x:v>
      </x:c>
      <x:c r="AA327" s="79" t="str">
        <x:v>6a3782ffdf5573f4e676e24b</x:v>
      </x:c>
      <x:c r="AB327" s="79" t="str">
        <x:v>syrup</x:v>
      </x:c>
      <x:c r="AC327" s="79" t="str">
        <x:v>EDIBLE</x:v>
      </x:c>
      <x:c r="AD327" s="79" t="str">
        <x:v>بله</x:v>
      </x:c>
      <x:c r="AE327" s="79" t="str">
        <x:v>بله</x:v>
      </x:c>
      <x:c r="AF327" s="79" t="n">
        <x:v>2</x:v>
      </x:c>
      <x:c r="AG327" s="104" t="n">
        <x:v>1850000</x:v>
      </x:c>
      <x:c r="AH327" s="104" t="n">
        <x:v>220000</x:v>
      </x:c>
      <x:c r="AI327" s="79" t="str">
        <x:v>دسته از «نیاز به بررسی» به «نوشیدنی‌ها» اصلاح شد</x:v>
      </x:c>
    </x:row>
    <x:row r="328">
      <x:c r="A328" s="23" t="s">
        <x:v>406</x:v>
      </x:c>
      <x:c r="B328" s="24" t="s">
        <x:v>407</x:v>
      </x:c>
      <x:c r="C328" s="25" t="s">
        <x:v>16</x:v>
      </x:c>
      <x:c r="D328" s="26" t="s">
        <x:v>407</x:v>
      </x:c>
      <x:c r="E328" s="24"/>
      <x:c r="F328" s="25"/>
      <x:c r="G328" s="26"/>
      <x:c r="H328" s="25" t="str">
        <x:f t="shared" si="5"/>
        <x:v>فعال</x:v>
      </x:c>
      <x:c r="Y328" t="str">
        <x:f>IF(AND(LEN($K$2)&gt;=3,ISNUMBER(SEARCH($K$2,$A328))),MAX($Y$3:Y327)+1,"")</x:f>
      </x:c>
      <x:c r="Z328" s="79" t="str">
        <x:v>نوشیدنی‌ها</x:v>
      </x:c>
      <x:c r="AA328" s="79" t="str">
        <x:v>6a3782ffdf5573f4e676e24b</x:v>
      </x:c>
      <x:c r="AB328" s="79" t="str">
        <x:v>syrup</x:v>
      </x:c>
      <x:c r="AC328" s="79" t="str">
        <x:v>EDIBLE</x:v>
      </x:c>
      <x:c r="AD328" s="79" t="str">
        <x:v>بله</x:v>
      </x:c>
      <x:c r="AE328" s="79" t="str">
        <x:v>خیر</x:v>
      </x:c>
      <x:c r="AF328" s="79" t="n">
        <x:v>1</x:v>
      </x:c>
      <x:c r="AG328" s="104" t="n">
        <x:v>4900000</x:v>
      </x:c>
      <x:c r="AH328" s="104"/>
      <x:c r="AI328" s="79" t="str">
        <x:v>دسته از «نیاز به بررسی» به «نوشیدنی‌ها» اصلاح شد</x:v>
      </x:c>
    </x:row>
    <x:row r="329">
      <x:c r="A329" s="23" t="s">
        <x:v>408</x:v>
      </x:c>
      <x:c r="B329" s="24" t="s">
        <x:v>270</x:v>
      </x:c>
      <x:c r="C329" s="25" t="s">
        <x:v>16</x:v>
      </x:c>
      <x:c r="D329" s="26" t="s">
        <x:v>270</x:v>
      </x:c>
      <x:c r="E329" s="24"/>
      <x:c r="F329" s="25"/>
      <x:c r="G329" s="26"/>
      <x:c r="H329" s="25" t="str">
        <x:f t="shared" si="5"/>
        <x:v>فعال</x:v>
      </x:c>
      <x:c r="Y329" t="str">
        <x:f>IF(AND(LEN($K$2)&gt;=3,ISNUMBER(SEARCH($K$2,$A329))),MAX($Y$3:Y328)+1,"")</x:f>
      </x:c>
      <x:c r="Z329" s="79" t="str">
        <x:v>قنادی و شیرینی</x:v>
      </x:c>
      <x:c r="AA329" s="79" t="str">
        <x:v>6a3a00000000000000000003</x:v>
      </x:c>
      <x:c r="AB329" s="79" t="str">
        <x:v>confectionery</x:v>
      </x:c>
      <x:c r="AC329" s="79" t="str">
        <x:v>EDIBLE</x:v>
      </x:c>
      <x:c r="AD329" s="79" t="str">
        <x:v>بله</x:v>
      </x:c>
      <x:c r="AE329" s="79" t="str">
        <x:v>خیر</x:v>
      </x:c>
      <x:c r="AF329" s="79" t="n">
        <x:v>1</x:v>
      </x:c>
      <x:c r="AG329" s="104" t="n">
        <x:v>3000000</x:v>
      </x:c>
      <x:c r="AH329" s="104"/>
      <x:c r="AI329" s="79"/>
    </x:row>
    <x:row r="330">
      <x:c r="A330" s="23" t="s">
        <x:v>409</x:v>
      </x:c>
      <x:c r="B330" s="24">
        <x:v>50</x:v>
      </x:c>
      <x:c r="C330" s="25" t="s">
        <x:v>410</x:v>
      </x:c>
      <x:c r="D330" s="26">
        <x:v>50</x:v>
      </x:c>
      <x:c r="E330" s="24"/>
      <x:c r="F330" s="25"/>
      <x:c r="G330" s="26"/>
      <x:c r="H330" s="25" t="str">
        <x:f t="shared" si="5"/>
        <x:v>فعال</x:v>
      </x:c>
      <x:c r="Y330" t="str">
        <x:f>IF(AND(LEN($K$2)&gt;=3,ISNUMBER(SEARCH($K$2,$A330))),MAX($Y$3:Y329)+1,"")</x:f>
      </x:c>
      <x:c r="Z330" s="79" t="str">
        <x:v>عدم ایمپورت</x:v>
      </x:c>
      <x:c r="AA330" s="79"/>
      <x:c r="AB330" s="79" t="str">
        <x:v>SKIP</x:v>
      </x:c>
      <x:c r="AC330" s="79" t="str">
        <x:v>NON_PRODUCT</x:v>
      </x:c>
      <x:c r="AD330" s="79" t="str">
        <x:v>خیر</x:v>
      </x:c>
      <x:c r="AE330" s="79" t="str">
        <x:v>خیر</x:v>
      </x:c>
      <x:c r="AF330" s="79" t="n">
        <x:v>1</x:v>
      </x:c>
      <x:c r="AG330" s="104" t="n">
        <x:v>50000</x:v>
      </x:c>
      <x:c r="AH330" s="104"/>
      <x:c r="AI330" s="79" t="str">
        <x:v>SKIP_NON_PRODUCT</x:v>
      </x:c>
    </x:row>
    <x:row r="331">
      <x:c r="A331" s="23" t="s">
        <x:v>411</x:v>
      </x:c>
      <x:c r="B331" s="24">
        <x:v>900</x:v>
      </x:c>
      <x:c r="C331" s="25" t="s">
        <x:v>16</x:v>
      </x:c>
      <x:c r="D331" s="26">
        <x:v>900</x:v>
      </x:c>
      <x:c r="E331" s="24"/>
      <x:c r="F331" s="25"/>
      <x:c r="G331" s="26"/>
      <x:c r="H331" s="25" t="str">
        <x:f t="shared" si="5"/>
        <x:v>فعال</x:v>
      </x:c>
      <x:c r="Y331" t="str">
        <x:f>IF(AND(LEN($K$2)&gt;=3,ISNUMBER(SEARCH($K$2,$A331))),MAX($Y$3:Y330)+1,"")</x:f>
      </x:c>
      <x:c r="Z331" s="79" t="str">
        <x:v>قنادی و شیرینی</x:v>
      </x:c>
      <x:c r="AA331" s="79" t="str">
        <x:v>6a3a00000000000000000003</x:v>
      </x:c>
      <x:c r="AB331" s="79" t="str">
        <x:v>confectionery</x:v>
      </x:c>
      <x:c r="AC331" s="79" t="str">
        <x:v>EDIBLE</x:v>
      </x:c>
      <x:c r="AD331" s="79" t="str">
        <x:v>بله</x:v>
      </x:c>
      <x:c r="AE331" s="79" t="str">
        <x:v>خیر</x:v>
      </x:c>
      <x:c r="AF331" s="79" t="n">
        <x:v>1</x:v>
      </x:c>
      <x:c r="AG331" s="104" t="n">
        <x:v>900000</x:v>
      </x:c>
      <x:c r="AH331" s="104"/>
      <x:c r="AI331" s="79"/>
    </x:row>
    <x:row r="332">
      <x:c r="A332" s="23" t="s">
        <x:v>412</x:v>
      </x:c>
      <x:c r="B332" s="24" t="s">
        <x:v>23</x:v>
      </x:c>
      <x:c r="C332" s="25" t="s">
        <x:v>16</x:v>
      </x:c>
      <x:c r="D332" s="26" t="s">
        <x:v>23</x:v>
      </x:c>
      <x:c r="E332" s="24"/>
      <x:c r="F332" s="25"/>
      <x:c r="G332" s="26"/>
      <x:c r="H332" s="25" t="str">
        <x:f t="shared" si="5"/>
        <x:v>فعال</x:v>
      </x:c>
      <x:c r="Y332" t="str">
        <x:f>IF(AND(LEN($K$2)&gt;=3,ISNUMBER(SEARCH($K$2,$A332))),MAX($Y$3:Y331)+1,"")</x:f>
      </x:c>
      <x:c r="Z332" s="79" t="str">
        <x:v>خشکبار و آجیل</x:v>
      </x:c>
      <x:c r="AA332" s="79" t="str">
        <x:v>6a37810ddf5573f4e676e201</x:v>
      </x:c>
      <x:c r="AB332" s="79" t="str">
        <x:v>dried-fruits-nuts</x:v>
      </x:c>
      <x:c r="AC332" s="79" t="str">
        <x:v>EDIBLE</x:v>
      </x:c>
      <x:c r="AD332" s="79" t="str">
        <x:v>بله</x:v>
      </x:c>
      <x:c r="AE332" s="79" t="str">
        <x:v>خیر</x:v>
      </x:c>
      <x:c r="AF332" s="79" t="n">
        <x:v>1</x:v>
      </x:c>
      <x:c r="AG332" s="104" t="n">
        <x:v>1100000</x:v>
      </x:c>
      <x:c r="AH332" s="104"/>
      <x:c r="AI332" s="79"/>
    </x:row>
    <x:row r="333">
      <x:c r="A333" s="23" t="s">
        <x:v>413</x:v>
      </x:c>
      <x:c r="B333" s="24">
        <x:v>900</x:v>
      </x:c>
      <x:c r="C333" s="25" t="s">
        <x:v>16</x:v>
      </x:c>
      <x:c r="D333" s="26">
        <x:v>900</x:v>
      </x:c>
      <x:c r="E333" s="24"/>
      <x:c r="F333" s="25"/>
      <x:c r="G333" s="26"/>
      <x:c r="H333" s="25" t="str">
        <x:f t="shared" si="5"/>
        <x:v>فعال</x:v>
      </x:c>
      <x:c r="Y333" t="str">
        <x:f>IF(AND(LEN($K$2)&gt;=3,ISNUMBER(SEARCH($K$2,$A333))),MAX($Y$3:Y332)+1,"")</x:f>
      </x:c>
      <x:c r="Z333" s="79" t="str">
        <x:v>خشکبار و آجیل</x:v>
      </x:c>
      <x:c r="AA333" s="79" t="str">
        <x:v>6a37810ddf5573f4e676e201</x:v>
      </x:c>
      <x:c r="AB333" s="79" t="str">
        <x:v>dried-fruits-nuts</x:v>
      </x:c>
      <x:c r="AC333" s="79" t="str">
        <x:v>EDIBLE</x:v>
      </x:c>
      <x:c r="AD333" s="79" t="str">
        <x:v>بله</x:v>
      </x:c>
      <x:c r="AE333" s="79" t="str">
        <x:v>خیر</x:v>
      </x:c>
      <x:c r="AF333" s="79" t="n">
        <x:v>1</x:v>
      </x:c>
      <x:c r="AG333" s="104" t="n">
        <x:v>900000</x:v>
      </x:c>
      <x:c r="AH333" s="104"/>
      <x:c r="AI333" s="79"/>
    </x:row>
    <x:row r="334">
      <x:c r="A334" s="23" t="s">
        <x:v>414</x:v>
      </x:c>
      <x:c r="B334" s="24">
        <x:v>400</x:v>
      </x:c>
      <x:c r="C334" s="25" t="s">
        <x:v>415</x:v>
      </x:c>
      <x:c r="D334" s="26">
        <x:v>400</x:v>
      </x:c>
      <x:c r="E334" s="24" t="s">
        <x:v>183</x:v>
      </x:c>
      <x:c r="F334" s="25" t="s">
        <x:v>16</x:v>
      </x:c>
      <x:c r="G334" s="26" t="s">
        <x:v>183</x:v>
      </x:c>
      <x:c r="H334" s="25" t="str">
        <x:f t="shared" si="5"/>
        <x:v>فعال</x:v>
      </x:c>
      <x:c r="Y334" t="str">
        <x:f>IF(AND(LEN($K$2)&gt;=3,ISNUMBER(SEARCH($K$2,$A334))),MAX($Y$3:Y333)+1,"")</x:f>
      </x:c>
      <x:c r="Z334" s="79" t="str">
        <x:v>خشکبار و آجیل</x:v>
      </x:c>
      <x:c r="AA334" s="79" t="str">
        <x:v>6a37810ddf5573f4e676e201</x:v>
      </x:c>
      <x:c r="AB334" s="79" t="str">
        <x:v>dried-fruits-nuts</x:v>
      </x:c>
      <x:c r="AC334" s="79" t="str">
        <x:v>EDIBLE</x:v>
      </x:c>
      <x:c r="AD334" s="79" t="str">
        <x:v>بله</x:v>
      </x:c>
      <x:c r="AE334" s="79" t="str">
        <x:v>بله</x:v>
      </x:c>
      <x:c r="AF334" s="79" t="n">
        <x:v>2</x:v>
      </x:c>
      <x:c r="AG334" s="104" t="n">
        <x:v>400000</x:v>
      </x:c>
      <x:c r="AH334" s="104" t="n">
        <x:v>2250000</x:v>
      </x:c>
      <x:c r="AI334" s="79"/>
    </x:row>
    <x:row r="335">
      <x:c r="A335" s="23" t="s">
        <x:v>416</x:v>
      </x:c>
      <x:c r="B335" s="24">
        <x:v>690</x:v>
      </x:c>
      <x:c r="C335" s="25" t="s">
        <x:v>16</x:v>
      </x:c>
      <x:c r="D335" s="26">
        <x:v>690</x:v>
      </x:c>
      <x:c r="E335" s="24"/>
      <x:c r="F335" s="25"/>
      <x:c r="G335" s="26"/>
      <x:c r="H335" s="25" t="str">
        <x:f t="shared" si="5"/>
        <x:v>فعال</x:v>
      </x:c>
      <x:c r="Y335" t="str">
        <x:f>IF(AND(LEN($K$2)&gt;=3,ISNUMBER(SEARCH($K$2,$A335))),MAX($Y$3:Y334)+1,"")</x:f>
      </x:c>
      <x:c r="Z335" s="79" t="str">
        <x:v>خشکبار و آجیل</x:v>
      </x:c>
      <x:c r="AA335" s="79" t="str">
        <x:v>6a37810ddf5573f4e676e201</x:v>
      </x:c>
      <x:c r="AB335" s="79" t="str">
        <x:v>dried-fruits-nuts</x:v>
      </x:c>
      <x:c r="AC335" s="79" t="str">
        <x:v>EDIBLE</x:v>
      </x:c>
      <x:c r="AD335" s="79" t="str">
        <x:v>بله</x:v>
      </x:c>
      <x:c r="AE335" s="79" t="str">
        <x:v>خیر</x:v>
      </x:c>
      <x:c r="AF335" s="79" t="n">
        <x:v>1</x:v>
      </x:c>
      <x:c r="AG335" s="104" t="n">
        <x:v>690000</x:v>
      </x:c>
      <x:c r="AH335" s="104"/>
      <x:c r="AI335" s="79" t="str">
        <x:v>MERGED</x:v>
      </x:c>
    </x:row>
    <x:row r="336">
      <x:c r="A336" s="23" t="s">
        <x:v>417</x:v>
      </x:c>
      <x:c r="B336" s="24">
        <x:v>900</x:v>
      </x:c>
      <x:c r="C336" s="25" t="s">
        <x:v>16</x:v>
      </x:c>
      <x:c r="D336" s="26">
        <x:v>900</x:v>
      </x:c>
      <x:c r="E336" s="24"/>
      <x:c r="F336" s="25"/>
      <x:c r="G336" s="26"/>
      <x:c r="H336" s="25" t="str">
        <x:f t="shared" si="5"/>
        <x:v>فعال</x:v>
      </x:c>
      <x:c r="Y336" t="str">
        <x:f>IF(AND(LEN($K$2)&gt;=3,ISNUMBER(SEARCH($K$2,$A336))),MAX($Y$3:Y335)+1,"")</x:f>
      </x:c>
      <x:c r="Z336" s="79" t="str">
        <x:v>خشکبار و آجیل</x:v>
      </x:c>
      <x:c r="AA336" s="79" t="str">
        <x:v>6a37810ddf5573f4e676e201</x:v>
      </x:c>
      <x:c r="AB336" s="79" t="str">
        <x:v>dried-fruits-nuts</x:v>
      </x:c>
      <x:c r="AC336" s="79" t="str">
        <x:v>EDIBLE</x:v>
      </x:c>
      <x:c r="AD336" s="79" t="str">
        <x:v>بله</x:v>
      </x:c>
      <x:c r="AE336" s="79" t="str">
        <x:v>خیر</x:v>
      </x:c>
      <x:c r="AF336" s="79" t="n">
        <x:v>1</x:v>
      </x:c>
      <x:c r="AG336" s="104" t="n">
        <x:v>900000</x:v>
      </x:c>
      <x:c r="AH336" s="104"/>
      <x:c r="AI336" s="79" t="str">
        <x:v>MERGED</x:v>
      </x:c>
    </x:row>
    <x:row r="337">
      <x:c r="A337" s="23" t="s">
        <x:v>418</x:v>
      </x:c>
      <x:c r="B337" s="24" t="s">
        <x:v>54</x:v>
      </x:c>
      <x:c r="C337" s="25" t="s">
        <x:v>16</x:v>
      </x:c>
      <x:c r="D337" s="26" t="s">
        <x:v>54</x:v>
      </x:c>
      <x:c r="E337" s="24"/>
      <x:c r="F337" s="25"/>
      <x:c r="G337" s="26"/>
      <x:c r="H337" s="25" t="str">
        <x:f t="shared" si="5"/>
        <x:v>نیاز به استعلام</x:v>
      </x:c>
      <x:c r="Y337" t="str">
        <x:f>IF(AND(LEN($K$2)&gt;=3,ISNUMBER(SEARCH($K$2,$A337))),MAX($Y$3:Y336)+1,"")</x:f>
      </x:c>
      <x:c r="Z337" s="79" t="str">
        <x:v>خشکبار و آجیل</x:v>
      </x:c>
      <x:c r="AA337" s="79" t="str">
        <x:v>6a37810ddf5573f4e676e201</x:v>
      </x:c>
      <x:c r="AB337" s="79" t="str">
        <x:v>dried-fruits-nuts</x:v>
      </x:c>
      <x:c r="AC337" s="79" t="str">
        <x:v>EDIBLE</x:v>
      </x:c>
      <x:c r="AD337" s="79" t="str">
        <x:v>بله</x:v>
      </x:c>
      <x:c r="AE337" s="79" t="str">
        <x:v>خیر</x:v>
      </x:c>
      <x:c r="AF337" s="79" t="n">
        <x:v>1</x:v>
      </x:c>
      <x:c r="AG337" s="104"/>
      <x:c r="AH337" s="104"/>
      <x:c r="AI337" s="79" t="str">
        <x:v>MISSING_PRICE_REVIEW</x:v>
      </x:c>
    </x:row>
    <x:row r="338">
      <x:c r="A338" s="23" t="s">
        <x:v>419</x:v>
      </x:c>
      <x:c r="B338" s="24">
        <x:v>810</x:v>
      </x:c>
      <x:c r="C338" s="25" t="s">
        <x:v>415</x:v>
      </x:c>
      <x:c r="D338" s="26">
        <x:v>810</x:v>
      </x:c>
      <x:c r="E338" s="24">
        <x:v>4500</x:v>
      </x:c>
      <x:c r="F338" s="25" t="s">
        <x:v>16</x:v>
      </x:c>
      <x:c r="G338" s="26">
        <x:v>4500</x:v>
      </x:c>
      <x:c r="H338" s="25" t="str">
        <x:f t="shared" si="5"/>
        <x:v>فعال</x:v>
      </x:c>
      <x:c r="Y338" t="str">
        <x:f>IF(AND(LEN($K$2)&gt;=3,ISNUMBER(SEARCH($K$2,$A338))),MAX($Y$3:Y337)+1,"")</x:f>
      </x:c>
      <x:c r="Z338" s="79" t="str">
        <x:v>خشکبار و آجیل</x:v>
      </x:c>
      <x:c r="AA338" s="79" t="str">
        <x:v>6a37810ddf5573f4e676e201</x:v>
      </x:c>
      <x:c r="AB338" s="79" t="str">
        <x:v>dried-fruits-nuts</x:v>
      </x:c>
      <x:c r="AC338" s="79" t="str">
        <x:v>EDIBLE</x:v>
      </x:c>
      <x:c r="AD338" s="79" t="str">
        <x:v>بله</x:v>
      </x:c>
      <x:c r="AE338" s="79" t="str">
        <x:v>بله</x:v>
      </x:c>
      <x:c r="AF338" s="79" t="n">
        <x:v>2</x:v>
      </x:c>
      <x:c r="AG338" s="104" t="n">
        <x:v>810000</x:v>
      </x:c>
      <x:c r="AH338" s="104" t="n">
        <x:v>4500000</x:v>
      </x:c>
      <x:c r="AI338" s="79"/>
    </x:row>
    <x:row r="339">
      <x:c r="A339" s="23" t="s">
        <x:v>420</x:v>
      </x:c>
      <x:c r="B339" s="24">
        <x:v>500</x:v>
      </x:c>
      <x:c r="C339" s="25" t="s">
        <x:v>421</x:v>
      </x:c>
      <x:c r="D339" s="26">
        <x:v>500</x:v>
      </x:c>
      <x:c r="E339" s="24"/>
      <x:c r="F339" s="25"/>
      <x:c r="G339" s="26"/>
      <x:c r="H339" s="25" t="str">
        <x:f t="shared" si="5"/>
        <x:v>فعال</x:v>
      </x:c>
      <x:c r="Y339" t="str">
        <x:f>IF(AND(LEN($K$2)&gt;=3,ISNUMBER(SEARCH($K$2,$A339))),MAX($Y$3:Y338)+1,"")</x:f>
      </x:c>
      <x:c r="Z339" s="79" t="str">
        <x:v>خشکبار و آجیل</x:v>
      </x:c>
      <x:c r="AA339" s="79" t="str">
        <x:v>6a37810ddf5573f4e676e201</x:v>
      </x:c>
      <x:c r="AB339" s="79" t="str">
        <x:v>dried-fruits-nuts</x:v>
      </x:c>
      <x:c r="AC339" s="79" t="str">
        <x:v>EDIBLE</x:v>
      </x:c>
      <x:c r="AD339" s="79" t="str">
        <x:v>بله</x:v>
      </x:c>
      <x:c r="AE339" s="79" t="str">
        <x:v>خیر</x:v>
      </x:c>
      <x:c r="AF339" s="79" t="n">
        <x:v>1</x:v>
      </x:c>
      <x:c r="AG339" s="104" t="n">
        <x:v>500000</x:v>
      </x:c>
      <x:c r="AH339" s="104"/>
      <x:c r="AI339" s="79" t="str">
        <x:v>دسته از «نیاز به بررسی» به «خشکبار و آجیل» اصلاح شد</x:v>
      </x:c>
    </x:row>
    <x:row r="340">
      <x:c r="A340" s="23" t="s">
        <x:v>422</x:v>
      </x:c>
      <x:c r="B340" s="24">
        <x:v>500</x:v>
      </x:c>
      <x:c r="C340" s="25" t="s">
        <x:v>421</x:v>
      </x:c>
      <x:c r="D340" s="26">
        <x:v>500</x:v>
      </x:c>
      <x:c r="E340" s="24"/>
      <x:c r="F340" s="25"/>
      <x:c r="G340" s="26"/>
      <x:c r="H340" s="25" t="str">
        <x:f t="shared" si="5"/>
        <x:v>فعال</x:v>
      </x:c>
      <x:c r="Y340" t="str">
        <x:f>IF(AND(LEN($K$2)&gt;=3,ISNUMBER(SEARCH($K$2,$A340))),MAX($Y$3:Y339)+1,"")</x:f>
      </x:c>
      <x:c r="Z340" s="79" t="str">
        <x:v>خشکبار و آجیل</x:v>
      </x:c>
      <x:c r="AA340" s="79" t="str">
        <x:v>6a37810ddf5573f4e676e201</x:v>
      </x:c>
      <x:c r="AB340" s="79" t="str">
        <x:v>dried-fruits-nuts</x:v>
      </x:c>
      <x:c r="AC340" s="79" t="str">
        <x:v>EDIBLE</x:v>
      </x:c>
      <x:c r="AD340" s="79" t="str">
        <x:v>بله</x:v>
      </x:c>
      <x:c r="AE340" s="79" t="str">
        <x:v>خیر</x:v>
      </x:c>
      <x:c r="AF340" s="79" t="n">
        <x:v>1</x:v>
      </x:c>
      <x:c r="AG340" s="104" t="n">
        <x:v>500000</x:v>
      </x:c>
      <x:c r="AH340" s="104"/>
      <x:c r="AI340" s="79"/>
    </x:row>
    <x:row r="341">
      <x:c r="A341" s="23" t="s">
        <x:v>423</x:v>
      </x:c>
      <x:c r="B341" s="24" t="s">
        <x:v>54</x:v>
      </x:c>
      <x:c r="C341" s="25" t="s">
        <x:v>16</x:v>
      </x:c>
      <x:c r="D341" s="26" t="s">
        <x:v>54</x:v>
      </x:c>
      <x:c r="E341" s="24"/>
      <x:c r="F341" s="25"/>
      <x:c r="G341" s="26"/>
      <x:c r="H341" s="25" t="str">
        <x:f t="shared" si="5"/>
        <x:v>نیاز به استعلام</x:v>
      </x:c>
      <x:c r="Y341" t="str">
        <x:f>IF(AND(LEN($K$2)&gt;=3,ISNUMBER(SEARCH($K$2,$A341))),MAX($Y$3:Y340)+1,"")</x:f>
      </x:c>
      <x:c r="Z341" s="79" t="str">
        <x:v>خشکبار و آجیل</x:v>
      </x:c>
      <x:c r="AA341" s="79" t="str">
        <x:v>6a37810ddf5573f4e676e201</x:v>
      </x:c>
      <x:c r="AB341" s="79" t="str">
        <x:v>dried-fruits-nuts</x:v>
      </x:c>
      <x:c r="AC341" s="79" t="str">
        <x:v>EDIBLE</x:v>
      </x:c>
      <x:c r="AD341" s="79" t="str">
        <x:v>بله</x:v>
      </x:c>
      <x:c r="AE341" s="79" t="str">
        <x:v>خیر</x:v>
      </x:c>
      <x:c r="AF341" s="79" t="n">
        <x:v>1</x:v>
      </x:c>
      <x:c r="AG341" s="104"/>
      <x:c r="AH341" s="104"/>
      <x:c r="AI341" s="79" t="str">
        <x:v>MISSING_PRICE_REVIEW</x:v>
      </x:c>
    </x:row>
    <x:row r="342">
      <x:c r="A342" s="23" t="s">
        <x:v>424</x:v>
      </x:c>
      <x:c r="B342" s="24">
        <x:v>350</x:v>
      </x:c>
      <x:c r="C342" s="25" t="s">
        <x:v>421</x:v>
      </x:c>
      <x:c r="D342" s="26">
        <x:v>350</x:v>
      </x:c>
      <x:c r="E342" s="24">
        <x:v>460</x:v>
      </x:c>
      <x:c r="F342" s="25" t="s">
        <x:v>425</x:v>
      </x:c>
      <x:c r="G342" s="26">
        <x:v>460</x:v>
      </x:c>
      <x:c r="H342" s="25" t="str">
        <x:f t="shared" si="5"/>
        <x:v>فعال</x:v>
      </x:c>
      <x:c r="Y342" t="str">
        <x:f>IF(AND(LEN($K$2)&gt;=3,ISNUMBER(SEARCH($K$2,$A342))),MAX($Y$3:Y341)+1,"")</x:f>
      </x:c>
      <x:c r="Z342" s="79" t="str">
        <x:v>خشکبار و آجیل</x:v>
      </x:c>
      <x:c r="AA342" s="79" t="str">
        <x:v>6a37810ddf5573f4e676e201</x:v>
      </x:c>
      <x:c r="AB342" s="79" t="str">
        <x:v>dried-fruits-nuts</x:v>
      </x:c>
      <x:c r="AC342" s="79" t="str">
        <x:v>EDIBLE</x:v>
      </x:c>
      <x:c r="AD342" s="79" t="str">
        <x:v>بله</x:v>
      </x:c>
      <x:c r="AE342" s="79" t="str">
        <x:v>بله</x:v>
      </x:c>
      <x:c r="AF342" s="79" t="n">
        <x:v>2</x:v>
      </x:c>
      <x:c r="AG342" s="104" t="n">
        <x:v>350000</x:v>
      </x:c>
      <x:c r="AH342" s="104" t="n">
        <x:v>460000</x:v>
      </x:c>
      <x:c r="AI342" s="79" t="str">
        <x:v>دسته از «نیاز به بررسی» به «خشکبار و آجیل» اصلاح شد</x:v>
      </x:c>
    </x:row>
    <x:row r="343">
      <x:c r="A343" s="23" t="s">
        <x:v>426</x:v>
      </x:c>
      <x:c r="B343" s="24">
        <x:v>800</x:v>
      </x:c>
      <x:c r="C343" s="25" t="s">
        <x:v>16</x:v>
      </x:c>
      <x:c r="D343" s="26">
        <x:v>800</x:v>
      </x:c>
      <x:c r="E343" s="24"/>
      <x:c r="F343" s="25"/>
      <x:c r="G343" s="26"/>
      <x:c r="H343" s="25" t="str">
        <x:f t="shared" si="5"/>
        <x:v>فعال</x:v>
      </x:c>
      <x:c r="Y343" t="str">
        <x:f>IF(AND(LEN($K$2)&gt;=3,ISNUMBER(SEARCH($K$2,$A343))),MAX($Y$3:Y342)+1,"")</x:f>
      </x:c>
      <x:c r="Z343" s="79" t="str">
        <x:v>خشکبار و آجیل</x:v>
      </x:c>
      <x:c r="AA343" s="79" t="str">
        <x:v>6a37810ddf5573f4e676e201</x:v>
      </x:c>
      <x:c r="AB343" s="79" t="str">
        <x:v>dried-fruits-nuts</x:v>
      </x:c>
      <x:c r="AC343" s="79" t="str">
        <x:v>EDIBLE</x:v>
      </x:c>
      <x:c r="AD343" s="79" t="str">
        <x:v>بله</x:v>
      </x:c>
      <x:c r="AE343" s="79" t="str">
        <x:v>خیر</x:v>
      </x:c>
      <x:c r="AF343" s="79" t="n">
        <x:v>1</x:v>
      </x:c>
      <x:c r="AG343" s="104" t="n">
        <x:v>800000</x:v>
      </x:c>
      <x:c r="AH343" s="104"/>
      <x:c r="AI343" s="79"/>
    </x:row>
    <x:row r="344">
      <x:c r="A344" s="23" t="s">
        <x:v>427</x:v>
      </x:c>
      <x:c r="B344" s="24">
        <x:v>700</x:v>
      </x:c>
      <x:c r="C344" s="25" t="s">
        <x:v>16</x:v>
      </x:c>
      <x:c r="D344" s="26">
        <x:v>700</x:v>
      </x:c>
      <x:c r="E344" s="24"/>
      <x:c r="F344" s="25"/>
      <x:c r="G344" s="26"/>
      <x:c r="H344" s="25" t="str">
        <x:f t="shared" si="5"/>
        <x:v>فعال</x:v>
      </x:c>
      <x:c r="Y344" t="str">
        <x:f>IF(AND(LEN($K$2)&gt;=3,ISNUMBER(SEARCH($K$2,$A344))),MAX($Y$3:Y343)+1,"")</x:f>
      </x:c>
      <x:c r="Z344" s="79" t="str">
        <x:v>خشکبار و آجیل</x:v>
      </x:c>
      <x:c r="AA344" s="79" t="str">
        <x:v>6a37810ddf5573f4e676e201</x:v>
      </x:c>
      <x:c r="AB344" s="79" t="str">
        <x:v>dried-fruits-nuts</x:v>
      </x:c>
      <x:c r="AC344" s="79" t="str">
        <x:v>EDIBLE</x:v>
      </x:c>
      <x:c r="AD344" s="79" t="str">
        <x:v>بله</x:v>
      </x:c>
      <x:c r="AE344" s="79" t="str">
        <x:v>خیر</x:v>
      </x:c>
      <x:c r="AF344" s="79" t="n">
        <x:v>1</x:v>
      </x:c>
      <x:c r="AG344" s="104" t="n">
        <x:v>700000</x:v>
      </x:c>
      <x:c r="AH344" s="104"/>
      <x:c r="AI344" s="79"/>
    </x:row>
    <x:row r="345">
      <x:c r="A345" s="23" t="s">
        <x:v>428</x:v>
      </x:c>
      <x:c r="B345" s="24">
        <x:v>350</x:v>
      </x:c>
      <x:c r="C345" s="25" t="s">
        <x:v>16</x:v>
      </x:c>
      <x:c r="D345" s="26">
        <x:v>350</x:v>
      </x:c>
      <x:c r="E345" s="24"/>
      <x:c r="F345" s="25"/>
      <x:c r="G345" s="26"/>
      <x:c r="H345" s="25" t="str">
        <x:f t="shared" si="5"/>
        <x:v>فعال</x:v>
      </x:c>
      <x:c r="Y345" t="str">
        <x:f>IF(AND(LEN($K$2)&gt;=3,ISNUMBER(SEARCH($K$2,$A345))),MAX($Y$3:Y344)+1,"")</x:f>
      </x:c>
      <x:c r="Z345" s="79" t="str">
        <x:v>قنادی و شیرینی</x:v>
      </x:c>
      <x:c r="AA345" s="79" t="str">
        <x:v>6a3a00000000000000000003</x:v>
      </x:c>
      <x:c r="AB345" s="79" t="str">
        <x:v>confectionery</x:v>
      </x:c>
      <x:c r="AC345" s="79" t="str">
        <x:v>EDIBLE</x:v>
      </x:c>
      <x:c r="AD345" s="79" t="str">
        <x:v>بله</x:v>
      </x:c>
      <x:c r="AE345" s="79" t="str">
        <x:v>خیر</x:v>
      </x:c>
      <x:c r="AF345" s="79" t="n">
        <x:v>1</x:v>
      </x:c>
      <x:c r="AG345" s="104" t="n">
        <x:v>350000</x:v>
      </x:c>
      <x:c r="AH345" s="104"/>
      <x:c r="AI345" s="79"/>
    </x:row>
    <x:row r="346">
      <x:c r="A346" s="23" t="s">
        <x:v>429</x:v>
      </x:c>
      <x:c r="B346" s="24">
        <x:v>500</x:v>
      </x:c>
      <x:c r="C346" s="25" t="s">
        <x:v>16</x:v>
      </x:c>
      <x:c r="D346" s="26">
        <x:v>500</x:v>
      </x:c>
      <x:c r="E346" s="24"/>
      <x:c r="F346" s="25"/>
      <x:c r="G346" s="26"/>
      <x:c r="H346" s="25" t="str">
        <x:f t="shared" si="5"/>
        <x:v>فعال</x:v>
      </x:c>
      <x:c r="Y346" t="str">
        <x:f>IF(AND(LEN($K$2)&gt;=3,ISNUMBER(SEARCH($K$2,$A346))),MAX($Y$3:Y345)+1,"")</x:f>
      </x:c>
      <x:c r="Z346" s="79" t="str">
        <x:v>قنادی و شیرینی</x:v>
      </x:c>
      <x:c r="AA346" s="79" t="str">
        <x:v>6a3a00000000000000000003</x:v>
      </x:c>
      <x:c r="AB346" s="79" t="str">
        <x:v>confectionery</x:v>
      </x:c>
      <x:c r="AC346" s="79" t="str">
        <x:v>EDIBLE</x:v>
      </x:c>
      <x:c r="AD346" s="79" t="str">
        <x:v>بله</x:v>
      </x:c>
      <x:c r="AE346" s="79" t="str">
        <x:v>خیر</x:v>
      </x:c>
      <x:c r="AF346" s="79" t="n">
        <x:v>1</x:v>
      </x:c>
      <x:c r="AG346" s="104" t="n">
        <x:v>500000</x:v>
      </x:c>
      <x:c r="AH346" s="104"/>
      <x:c r="AI346" s="79"/>
    </x:row>
    <x:row r="347">
      <x:c r="A347" s="23" t="s">
        <x:v>430</x:v>
      </x:c>
      <x:c r="B347" s="24">
        <x:v>25</x:v>
      </x:c>
      <x:c r="C347" s="25" t="s">
        <x:v>431</x:v>
      </x:c>
      <x:c r="D347" s="26">
        <x:v>25</x:v>
      </x:c>
      <x:c r="E347" s="24"/>
      <x:c r="F347" s="25"/>
      <x:c r="G347" s="26"/>
      <x:c r="H347" s="25" t="str">
        <x:f t="shared" si="5"/>
        <x:v>فعال</x:v>
      </x:c>
      <x:c r="Y347" t="str">
        <x:f>IF(AND(LEN($K$2)&gt;=3,ISNUMBER(SEARCH($K$2,$A347))),MAX($Y$3:Y346)+1,"")</x:f>
      </x:c>
      <x:c r="Z347" s="79" t="str">
        <x:v>قنادی و شیرینی</x:v>
      </x:c>
      <x:c r="AA347" s="79" t="str">
        <x:v>6a3a00000000000000000003</x:v>
      </x:c>
      <x:c r="AB347" s="79" t="str">
        <x:v>confectionery</x:v>
      </x:c>
      <x:c r="AC347" s="79" t="str">
        <x:v>EDIBLE</x:v>
      </x:c>
      <x:c r="AD347" s="79" t="str">
        <x:v>بله</x:v>
      </x:c>
      <x:c r="AE347" s="79" t="str">
        <x:v>خیر</x:v>
      </x:c>
      <x:c r="AF347" s="79" t="n">
        <x:v>1</x:v>
      </x:c>
      <x:c r="AG347" s="104" t="n">
        <x:v>25000</x:v>
      </x:c>
      <x:c r="AH347" s="104"/>
      <x:c r="AI347" s="79" t="str">
        <x:v>دسته از «نیاز به بررسی» به «قنادی و شیرینی» اصلاح شد</x:v>
      </x:c>
    </x:row>
    <x:row r="348">
      <x:c r="A348" s="23" t="s">
        <x:v>432</x:v>
      </x:c>
      <x:c r="B348" s="24" t="s">
        <x:v>54</x:v>
      </x:c>
      <x:c r="C348" s="25" t="s">
        <x:v>16</x:v>
      </x:c>
      <x:c r="D348" s="26" t="s">
        <x:v>54</x:v>
      </x:c>
      <x:c r="E348" s="24"/>
      <x:c r="F348" s="25"/>
      <x:c r="G348" s="26"/>
      <x:c r="H348" s="25" t="str">
        <x:f t="shared" si="5"/>
        <x:v>نیاز به استعلام</x:v>
      </x:c>
      <x:c r="Y348" t="str">
        <x:f>IF(AND(LEN($K$2)&gt;=3,ISNUMBER(SEARCH($K$2,$A348))),MAX($Y$3:Y347)+1,"")</x:f>
      </x:c>
      <x:c r="Z348" s="79" t="str">
        <x:v>خشکبار و آجیل</x:v>
      </x:c>
      <x:c r="AA348" s="79" t="str">
        <x:v>6a37810ddf5573f4e676e201</x:v>
      </x:c>
      <x:c r="AB348" s="79" t="str">
        <x:v>dried-fruits-nuts</x:v>
      </x:c>
      <x:c r="AC348" s="79" t="str">
        <x:v>EDIBLE</x:v>
      </x:c>
      <x:c r="AD348" s="79" t="str">
        <x:v>بله</x:v>
      </x:c>
      <x:c r="AE348" s="79" t="str">
        <x:v>خیر</x:v>
      </x:c>
      <x:c r="AF348" s="79" t="n">
        <x:v>1</x:v>
      </x:c>
      <x:c r="AG348" s="104"/>
      <x:c r="AH348" s="104"/>
      <x:c r="AI348" s="79" t="str">
        <x:v>MERGED + MISSING_PRICE_REVIEW</x:v>
      </x:c>
    </x:row>
    <x:row r="349">
      <x:c r="A349" s="23" t="s">
        <x:v>433</x:v>
      </x:c>
      <x:c r="B349" s="24" t="s">
        <x:v>54</x:v>
      </x:c>
      <x:c r="C349" s="25" t="s">
        <x:v>16</x:v>
      </x:c>
      <x:c r="D349" s="26" t="s">
        <x:v>54</x:v>
      </x:c>
      <x:c r="E349" s="24"/>
      <x:c r="F349" s="25"/>
      <x:c r="G349" s="26"/>
      <x:c r="H349" s="25" t="str">
        <x:f t="shared" si="5"/>
        <x:v>نیاز به استعلام</x:v>
      </x:c>
      <x:c r="Y349" t="str">
        <x:f>IF(AND(LEN($K$2)&gt;=3,ISNUMBER(SEARCH($K$2,$A349))),MAX($Y$3:Y348)+1,"")</x:f>
      </x:c>
      <x:c r="Z349" s="79" t="str">
        <x:v>خشکبار و آجیل</x:v>
      </x:c>
      <x:c r="AA349" s="79" t="str">
        <x:v>6a37810ddf5573f4e676e201</x:v>
      </x:c>
      <x:c r="AB349" s="79" t="str">
        <x:v>dried-fruits-nuts</x:v>
      </x:c>
      <x:c r="AC349" s="79" t="str">
        <x:v>EDIBLE</x:v>
      </x:c>
      <x:c r="AD349" s="79" t="str">
        <x:v>بله</x:v>
      </x:c>
      <x:c r="AE349" s="79" t="str">
        <x:v>خیر</x:v>
      </x:c>
      <x:c r="AF349" s="79" t="n">
        <x:v>1</x:v>
      </x:c>
      <x:c r="AG349" s="104"/>
      <x:c r="AH349" s="104"/>
      <x:c r="AI349" s="79" t="str">
        <x:v>MERGED + MISSING_PRICE_REVIEW</x:v>
      </x:c>
    </x:row>
    <x:row r="350">
      <x:c r="A350" s="23" t="s">
        <x:v>434</x:v>
      </x:c>
      <x:c r="B350" s="24">
        <x:v>700</x:v>
      </x:c>
      <x:c r="C350" s="25" t="s">
        <x:v>16</x:v>
      </x:c>
      <x:c r="D350" s="26">
        <x:v>700</x:v>
      </x:c>
      <x:c r="E350" s="24"/>
      <x:c r="F350" s="25"/>
      <x:c r="G350" s="26"/>
      <x:c r="H350" s="25" t="str">
        <x:f t="shared" si="5"/>
        <x:v>فعال</x:v>
      </x:c>
      <x:c r="Y350" t="str">
        <x:f>IF(AND(LEN($K$2)&gt;=3,ISNUMBER(SEARCH($K$2,$A350))),MAX($Y$3:Y349)+1,"")</x:f>
      </x:c>
      <x:c r="Z350" s="79" t="str">
        <x:v>خشکبار و آجیل</x:v>
      </x:c>
      <x:c r="AA350" s="79" t="str">
        <x:v>6a37810ddf5573f4e676e201</x:v>
      </x:c>
      <x:c r="AB350" s="79" t="str">
        <x:v>dried-fruits-nuts</x:v>
      </x:c>
      <x:c r="AC350" s="79" t="str">
        <x:v>EDIBLE</x:v>
      </x:c>
      <x:c r="AD350" s="79" t="str">
        <x:v>بله</x:v>
      </x:c>
      <x:c r="AE350" s="79" t="str">
        <x:v>خیر</x:v>
      </x:c>
      <x:c r="AF350" s="79" t="n">
        <x:v>1</x:v>
      </x:c>
      <x:c r="AG350" s="104" t="n">
        <x:v>700000</x:v>
      </x:c>
      <x:c r="AH350" s="104"/>
      <x:c r="AI350" s="79" t="str">
        <x:v>MERGED</x:v>
      </x:c>
    </x:row>
    <x:row r="351">
      <x:c r="A351" s="23" t="s">
        <x:v>435</x:v>
      </x:c>
      <x:c r="B351" s="24">
        <x:v>600</x:v>
      </x:c>
      <x:c r="C351" s="25" t="s">
        <x:v>16</x:v>
      </x:c>
      <x:c r="D351" s="26">
        <x:v>600</x:v>
      </x:c>
      <x:c r="E351" s="24"/>
      <x:c r="F351" s="25"/>
      <x:c r="G351" s="26"/>
      <x:c r="H351" s="25" t="str">
        <x:f t="shared" si="5"/>
        <x:v>فعال</x:v>
      </x:c>
      <x:c r="Y351" t="str">
        <x:f>IF(AND(LEN($K$2)&gt;=3,ISNUMBER(SEARCH($K$2,$A351))),MAX($Y$3:Y350)+1,"")</x:f>
      </x:c>
      <x:c r="Z351" s="79" t="str">
        <x:v>خشکبار و آجیل</x:v>
      </x:c>
      <x:c r="AA351" s="79" t="str">
        <x:v>6a37810ddf5573f4e676e201</x:v>
      </x:c>
      <x:c r="AB351" s="79" t="str">
        <x:v>dried-fruits-nuts</x:v>
      </x:c>
      <x:c r="AC351" s="79" t="str">
        <x:v>EDIBLE</x:v>
      </x:c>
      <x:c r="AD351" s="79" t="str">
        <x:v>بله</x:v>
      </x:c>
      <x:c r="AE351" s="79" t="str">
        <x:v>خیر</x:v>
      </x:c>
      <x:c r="AF351" s="79" t="n">
        <x:v>1</x:v>
      </x:c>
      <x:c r="AG351" s="104" t="n">
        <x:v>600000</x:v>
      </x:c>
      <x:c r="AH351" s="104"/>
      <x:c r="AI351" s="79" t="str">
        <x:v>MERGED</x:v>
      </x:c>
    </x:row>
    <x:row r="352">
      <x:c r="A352" s="23" t="s">
        <x:v>436</x:v>
      </x:c>
      <x:c r="B352" s="24">
        <x:v>680</x:v>
      </x:c>
      <x:c r="C352" s="25" t="s">
        <x:v>16</x:v>
      </x:c>
      <x:c r="D352" s="26">
        <x:v>680</x:v>
      </x:c>
      <x:c r="E352" s="24"/>
      <x:c r="F352" s="25"/>
      <x:c r="G352" s="26"/>
      <x:c r="H352" s="25" t="str">
        <x:f t="shared" si="5"/>
        <x:v>فعال</x:v>
      </x:c>
      <x:c r="Y352" t="str">
        <x:f>IF(AND(LEN($K$2)&gt;=3,ISNUMBER(SEARCH($K$2,$A352))),MAX($Y$3:Y351)+1,"")</x:f>
      </x:c>
      <x:c r="Z352" s="79" t="str">
        <x:v>خشکبار و آجیل</x:v>
      </x:c>
      <x:c r="AA352" s="79" t="str">
        <x:v>6a37810ddf5573f4e676e201</x:v>
      </x:c>
      <x:c r="AB352" s="79" t="str">
        <x:v>dried-fruits-nuts</x:v>
      </x:c>
      <x:c r="AC352" s="79" t="str">
        <x:v>EDIBLE</x:v>
      </x:c>
      <x:c r="AD352" s="79" t="str">
        <x:v>بله</x:v>
      </x:c>
      <x:c r="AE352" s="79" t="str">
        <x:v>خیر</x:v>
      </x:c>
      <x:c r="AF352" s="79" t="n">
        <x:v>1</x:v>
      </x:c>
      <x:c r="AG352" s="104" t="n">
        <x:v>680000</x:v>
      </x:c>
      <x:c r="AH352" s="104"/>
      <x:c r="AI352" s="79" t="str">
        <x:v>MERGED</x:v>
      </x:c>
    </x:row>
    <x:row r="353">
      <x:c r="A353" s="23" t="s">
        <x:v>437</x:v>
      </x:c>
      <x:c r="B353" s="24" t="s">
        <x:v>438</x:v>
      </x:c>
      <x:c r="C353" s="25" t="s">
        <x:v>16</x:v>
      </x:c>
      <x:c r="D353" s="26" t="s">
        <x:v>438</x:v>
      </x:c>
      <x:c r="E353" s="24"/>
      <x:c r="F353" s="25"/>
      <x:c r="G353" s="26"/>
      <x:c r="H353" s="25" t="str">
        <x:f t="shared" si="5"/>
        <x:v>فعال</x:v>
      </x:c>
      <x:c r="Y353" t="str">
        <x:f>IF(AND(LEN($K$2)&gt;=3,ISNUMBER(SEARCH($K$2,$A353))),MAX($Y$3:Y352)+1,"")</x:f>
      </x:c>
      <x:c r="Z353" s="79" t="str">
        <x:v>گیاهان دارویی</x:v>
      </x:c>
      <x:c r="AA353" s="79" t="str">
        <x:v>6a3782d7df5573f4e676e243</x:v>
      </x:c>
      <x:c r="AB353" s="79" t="str">
        <x:v>medicinal-plants</x:v>
      </x:c>
      <x:c r="AC353" s="79" t="str">
        <x:v>EDIBLE</x:v>
      </x:c>
      <x:c r="AD353" s="79" t="str">
        <x:v>بله</x:v>
      </x:c>
      <x:c r="AE353" s="79" t="str">
        <x:v>خیر</x:v>
      </x:c>
      <x:c r="AF353" s="79" t="n">
        <x:v>1</x:v>
      </x:c>
      <x:c r="AG353" s="104" t="n">
        <x:v>4400000</x:v>
      </x:c>
      <x:c r="AH353" s="104"/>
      <x:c r="AI353" s="79" t="str">
        <x:v>دسته از «نیاز به بررسی» به «گیاهان دارویی» اصلاح شد</x:v>
      </x:c>
    </x:row>
    <x:row r="354">
      <x:c r="A354" s="23" t="s">
        <x:v>439</x:v>
      </x:c>
      <x:c r="B354" s="24">
        <x:v>600</x:v>
      </x:c>
      <x:c r="C354" s="25" t="s">
        <x:v>16</x:v>
      </x:c>
      <x:c r="D354" s="26">
        <x:v>600</x:v>
      </x:c>
      <x:c r="E354" s="24"/>
      <x:c r="F354" s="25"/>
      <x:c r="G354" s="26"/>
      <x:c r="H354" s="25" t="str">
        <x:f t="shared" si="5"/>
        <x:v>فعال</x:v>
      </x:c>
      <x:c r="Y354" t="str">
        <x:f>IF(AND(LEN($K$2)&gt;=3,ISNUMBER(SEARCH($K$2,$A354))),MAX($Y$3:Y353)+1,"")</x:f>
      </x:c>
      <x:c r="Z354" s="79" t="str">
        <x:v>حبوبات و غلات</x:v>
      </x:c>
      <x:c r="AA354" s="79" t="str">
        <x:v>6a3a00000000000000000002</x:v>
      </x:c>
      <x:c r="AB354" s="79" t="str">
        <x:v>legumes-grains</x:v>
      </x:c>
      <x:c r="AC354" s="79" t="str">
        <x:v>EDIBLE</x:v>
      </x:c>
      <x:c r="AD354" s="79" t="str">
        <x:v>بله</x:v>
      </x:c>
      <x:c r="AE354" s="79" t="str">
        <x:v>خیر</x:v>
      </x:c>
      <x:c r="AF354" s="79" t="n">
        <x:v>1</x:v>
      </x:c>
      <x:c r="AG354" s="104" t="n">
        <x:v>600000</x:v>
      </x:c>
      <x:c r="AH354" s="104"/>
      <x:c r="AI354" s="79"/>
    </x:row>
    <x:row r="355">
      <x:c r="A355" s="23" t="s">
        <x:v>440</x:v>
      </x:c>
      <x:c r="B355" s="24" t="s">
        <x:v>115</x:v>
      </x:c>
      <x:c r="C355" s="25" t="s">
        <x:v>16</x:v>
      </x:c>
      <x:c r="D355" s="26" t="s">
        <x:v>115</x:v>
      </x:c>
      <x:c r="E355" s="24"/>
      <x:c r="F355" s="25"/>
      <x:c r="G355" s="26"/>
      <x:c r="H355" s="25" t="str">
        <x:f t="shared" si="5"/>
        <x:v>فعال</x:v>
      </x:c>
      <x:c r="Y355" t="str">
        <x:f>IF(AND(LEN($K$2)&gt;=3,ISNUMBER(SEARCH($K$2,$A355))),MAX($Y$3:Y354)+1,"")</x:f>
      </x:c>
      <x:c r="Z355" s="79" t="str">
        <x:v>گیاهان دارویی</x:v>
      </x:c>
      <x:c r="AA355" s="79" t="str">
        <x:v>6a3782d7df5573f4e676e243</x:v>
      </x:c>
      <x:c r="AB355" s="79" t="str">
        <x:v>medicinal-plants</x:v>
      </x:c>
      <x:c r="AC355" s="79" t="str">
        <x:v>EDIBLE</x:v>
      </x:c>
      <x:c r="AD355" s="79" t="str">
        <x:v>بله</x:v>
      </x:c>
      <x:c r="AE355" s="79" t="str">
        <x:v>خیر</x:v>
      </x:c>
      <x:c r="AF355" s="79" t="n">
        <x:v>1</x:v>
      </x:c>
      <x:c r="AG355" s="104" t="n">
        <x:v>1200000</x:v>
      </x:c>
      <x:c r="AH355" s="104"/>
      <x:c r="AI355" s="79" t="str">
        <x:v>دسته از «نیاز به بررسی» به «گیاهان دارویی» اصلاح شد</x:v>
      </x:c>
    </x:row>
    <x:row r="356">
      <x:c r="A356" s="23" t="s">
        <x:v>441</x:v>
      </x:c>
      <x:c r="B356" s="24">
        <x:v>450</x:v>
      </x:c>
      <x:c r="C356" s="25" t="s">
        <x:v>16</x:v>
      </x:c>
      <x:c r="D356" s="26">
        <x:v>450</x:v>
      </x:c>
      <x:c r="E356" s="24"/>
      <x:c r="F356" s="25"/>
      <x:c r="G356" s="26"/>
      <x:c r="H356" s="25" t="str">
        <x:f t="shared" si="5"/>
        <x:v>فعال</x:v>
      </x:c>
      <x:c r="Y356" t="str">
        <x:f>IF(AND(LEN($K$2)&gt;=3,ISNUMBER(SEARCH($K$2,$A356))),MAX($Y$3:Y355)+1,"")</x:f>
      </x:c>
      <x:c r="Z356" s="79" t="str">
        <x:v>ادویه</x:v>
      </x:c>
      <x:c r="AA356" s="79" t="str">
        <x:v>6a3781e4df5573f4e676e226</x:v>
      </x:c>
      <x:c r="AB356" s="79" t="str">
        <x:v>spice</x:v>
      </x:c>
      <x:c r="AC356" s="79" t="str">
        <x:v>EDIBLE</x:v>
      </x:c>
      <x:c r="AD356" s="79" t="str">
        <x:v>بله</x:v>
      </x:c>
      <x:c r="AE356" s="79" t="str">
        <x:v>خیر</x:v>
      </x:c>
      <x:c r="AF356" s="79" t="n">
        <x:v>1</x:v>
      </x:c>
      <x:c r="AG356" s="104" t="n">
        <x:v>450000</x:v>
      </x:c>
      <x:c r="AH356" s="104"/>
      <x:c r="AI356" s="79" t="str">
        <x:v>دسته از «نیاز به بررسی» به «ادویه» اصلاح شد</x:v>
      </x:c>
    </x:row>
    <x:row r="357">
      <x:c r="A357" s="23" t="s">
        <x:v>442</x:v>
      </x:c>
      <x:c r="B357" s="24" t="s">
        <x:v>23</x:v>
      </x:c>
      <x:c r="C357" s="25" t="s">
        <x:v>16</x:v>
      </x:c>
      <x:c r="D357" s="26" t="s">
        <x:v>23</x:v>
      </x:c>
      <x:c r="E357" s="24"/>
      <x:c r="F357" s="25"/>
      <x:c r="G357" s="26"/>
      <x:c r="H357" s="25" t="str">
        <x:f t="shared" si="5"/>
        <x:v>فعال</x:v>
      </x:c>
      <x:c r="Y357" t="str">
        <x:f>IF(AND(LEN($K$2)&gt;=3,ISNUMBER(SEARCH($K$2,$A357))),MAX($Y$3:Y356)+1,"")</x:f>
      </x:c>
      <x:c r="Z357" s="79" t="str">
        <x:v>گیاهان دارویی</x:v>
      </x:c>
      <x:c r="AA357" s="79" t="str">
        <x:v>6a3782d7df5573f4e676e243</x:v>
      </x:c>
      <x:c r="AB357" s="79" t="str">
        <x:v>medicinal-plants</x:v>
      </x:c>
      <x:c r="AC357" s="79" t="str">
        <x:v>EDIBLE</x:v>
      </x:c>
      <x:c r="AD357" s="79" t="str">
        <x:v>بله</x:v>
      </x:c>
      <x:c r="AE357" s="79" t="str">
        <x:v>خیر</x:v>
      </x:c>
      <x:c r="AF357" s="79" t="n">
        <x:v>1</x:v>
      </x:c>
      <x:c r="AG357" s="104" t="n">
        <x:v>1100000</x:v>
      </x:c>
      <x:c r="AH357" s="104"/>
      <x:c r="AI357" s="79"/>
    </x:row>
    <x:row r="358">
      <x:c r="A358" s="23" t="s">
        <x:v>443</x:v>
      </x:c>
      <x:c r="B358" s="24" t="s">
        <x:v>64</x:v>
      </x:c>
      <x:c r="C358" s="25" t="s">
        <x:v>16</x:v>
      </x:c>
      <x:c r="D358" s="26" t="s">
        <x:v>64</x:v>
      </x:c>
      <x:c r="E358" s="24"/>
      <x:c r="F358" s="25"/>
      <x:c r="G358" s="26"/>
      <x:c r="H358" s="25" t="str">
        <x:f t="shared" si="5"/>
        <x:v>فعال</x:v>
      </x:c>
      <x:c r="Y358" t="str">
        <x:f>IF(AND(LEN($K$2)&gt;=3,ISNUMBER(SEARCH($K$2,$A358))),MAX($Y$3:Y357)+1,"")</x:f>
      </x:c>
      <x:c r="Z358" s="79" t="str">
        <x:v>گیاهان دارویی</x:v>
      </x:c>
      <x:c r="AA358" s="79" t="str">
        <x:v>6a3782d7df5573f4e676e243</x:v>
      </x:c>
      <x:c r="AB358" s="79" t="str">
        <x:v>medicinal-plants</x:v>
      </x:c>
      <x:c r="AC358" s="79" t="str">
        <x:v>EDIBLE</x:v>
      </x:c>
      <x:c r="AD358" s="79" t="str">
        <x:v>بله</x:v>
      </x:c>
      <x:c r="AE358" s="79" t="str">
        <x:v>خیر</x:v>
      </x:c>
      <x:c r="AF358" s="79" t="n">
        <x:v>1</x:v>
      </x:c>
      <x:c r="AG358" s="104" t="n">
        <x:v>4500000</x:v>
      </x:c>
      <x:c r="AH358" s="104"/>
      <x:c r="AI358" s="79" t="str">
        <x:v>MERGED</x:v>
      </x:c>
    </x:row>
    <x:row r="359">
      <x:c r="A359" s="23" t="s">
        <x:v>444</x:v>
      </x:c>
      <x:c r="B359" s="24" t="s">
        <x:v>407</x:v>
      </x:c>
      <x:c r="C359" s="25" t="s">
        <x:v>16</x:v>
      </x:c>
      <x:c r="D359" s="26" t="s">
        <x:v>407</x:v>
      </x:c>
      <x:c r="E359" s="24"/>
      <x:c r="F359" s="25"/>
      <x:c r="G359" s="26"/>
      <x:c r="H359" s="25" t="str">
        <x:f t="shared" si="5"/>
        <x:v>فعال</x:v>
      </x:c>
      <x:c r="Y359" t="str">
        <x:f>IF(AND(LEN($K$2)&gt;=3,ISNUMBER(SEARCH($K$2,$A359))),MAX($Y$3:Y358)+1,"")</x:f>
      </x:c>
      <x:c r="Z359" s="79" t="str">
        <x:v>گیاهان دارویی</x:v>
      </x:c>
      <x:c r="AA359" s="79" t="str">
        <x:v>6a3782d7df5573f4e676e243</x:v>
      </x:c>
      <x:c r="AB359" s="79" t="str">
        <x:v>medicinal-plants</x:v>
      </x:c>
      <x:c r="AC359" s="79" t="str">
        <x:v>EDIBLE</x:v>
      </x:c>
      <x:c r="AD359" s="79" t="str">
        <x:v>بله</x:v>
      </x:c>
      <x:c r="AE359" s="79" t="str">
        <x:v>خیر</x:v>
      </x:c>
      <x:c r="AF359" s="79" t="n">
        <x:v>1</x:v>
      </x:c>
      <x:c r="AG359" s="104" t="n">
        <x:v>4900000</x:v>
      </x:c>
      <x:c r="AH359" s="104"/>
      <x:c r="AI359" s="79" t="str">
        <x:v>MERGED</x:v>
      </x:c>
    </x:row>
    <x:row r="360">
      <x:c r="A360" s="23" t="s">
        <x:v>445</x:v>
      </x:c>
      <x:c r="B360" s="24">
        <x:v>4100</x:v>
      </x:c>
      <x:c r="C360" s="25" t="s">
        <x:v>16</x:v>
      </x:c>
      <x:c r="D360" s="26">
        <x:v>4100</x:v>
      </x:c>
      <x:c r="E360" s="24"/>
      <x:c r="F360" s="25"/>
      <x:c r="G360" s="26"/>
      <x:c r="H360" s="25" t="str">
        <x:f t="shared" si="5"/>
        <x:v>فعال</x:v>
      </x:c>
      <x:c r="Y360" t="n">
        <x:f>IF(AND(LEN($K$2)&gt;=3,ISNUMBER(SEARCH($K$2,$A360))),MAX($Y$3:Y359)+1,"")</x:f>
        <x:v>2</x:v>
      </x:c>
      <x:c r="Z360" s="79" t="str">
        <x:v>گیاهان دارویی</x:v>
      </x:c>
      <x:c r="AA360" s="79" t="str">
        <x:v>6a3782d7df5573f4e676e243</x:v>
      </x:c>
      <x:c r="AB360" s="79" t="str">
        <x:v>medicinal-plants</x:v>
      </x:c>
      <x:c r="AC360" s="79" t="str">
        <x:v>EDIBLE</x:v>
      </x:c>
      <x:c r="AD360" s="79" t="str">
        <x:v>بله</x:v>
      </x:c>
      <x:c r="AE360" s="79" t="str">
        <x:v>خیر</x:v>
      </x:c>
      <x:c r="AF360" s="79" t="n">
        <x:v>1</x:v>
      </x:c>
      <x:c r="AG360" s="104" t="n">
        <x:v>4100000</x:v>
      </x:c>
      <x:c r="AH360" s="104"/>
      <x:c r="AI360" s="79"/>
    </x:row>
    <x:row r="361">
      <x:c r="A361" s="23" t="s">
        <x:v>446</x:v>
      </x:c>
      <x:c r="B361" s="24">
        <x:v>450</x:v>
      </x:c>
      <x:c r="C361" s="25" t="s">
        <x:v>16</x:v>
      </x:c>
      <x:c r="D361" s="26">
        <x:v>450</x:v>
      </x:c>
      <x:c r="E361" s="24"/>
      <x:c r="F361" s="25"/>
      <x:c r="G361" s="26"/>
      <x:c r="H361" s="25" t="str">
        <x:f t="shared" si="5"/>
        <x:v>فعال</x:v>
      </x:c>
      <x:c r="Y361" t="str">
        <x:f>IF(AND(LEN($K$2)&gt;=3,ISNUMBER(SEARCH($K$2,$A361))),MAX($Y$3:Y360)+1,"")</x:f>
      </x:c>
      <x:c r="Z361" s="79" t="str">
        <x:v>ادویه</x:v>
      </x:c>
      <x:c r="AA361" s="79" t="str">
        <x:v>6a3781e4df5573f4e676e226</x:v>
      </x:c>
      <x:c r="AB361" s="79" t="str">
        <x:v>spice</x:v>
      </x:c>
      <x:c r="AC361" s="79" t="str">
        <x:v>EDIBLE</x:v>
      </x:c>
      <x:c r="AD361" s="79" t="str">
        <x:v>بله</x:v>
      </x:c>
      <x:c r="AE361" s="79" t="str">
        <x:v>خیر</x:v>
      </x:c>
      <x:c r="AF361" s="79" t="n">
        <x:v>1</x:v>
      </x:c>
      <x:c r="AG361" s="104" t="n">
        <x:v>450000</x:v>
      </x:c>
      <x:c r="AH361" s="104"/>
      <x:c r="AI361" s="79"/>
    </x:row>
    <x:row r="362">
      <x:c r="A362" s="23" t="s">
        <x:v>447</x:v>
      </x:c>
      <x:c r="B362" s="24" t="s">
        <x:v>448</x:v>
      </x:c>
      <x:c r="C362" s="25" t="s">
        <x:v>16</x:v>
      </x:c>
      <x:c r="D362" s="26" t="s">
        <x:v>448</x:v>
      </x:c>
      <x:c r="E362" s="24"/>
      <x:c r="F362" s="25"/>
      <x:c r="G362" s="26"/>
      <x:c r="H362" s="25" t="str">
        <x:f t="shared" si="5"/>
        <x:v>فعال</x:v>
      </x:c>
      <x:c r="Y362" t="str">
        <x:f>IF(AND(LEN($K$2)&gt;=3,ISNUMBER(SEARCH($K$2,$A362))),MAX($Y$3:Y361)+1,"")</x:f>
      </x:c>
      <x:c r="Z362" s="79" t="str">
        <x:v>گیاهان دارویی</x:v>
      </x:c>
      <x:c r="AA362" s="79" t="str">
        <x:v>6a3782d7df5573f4e676e243</x:v>
      </x:c>
      <x:c r="AB362" s="79" t="str">
        <x:v>medicinal-plants</x:v>
      </x:c>
      <x:c r="AC362" s="79" t="str">
        <x:v>EDIBLE</x:v>
      </x:c>
      <x:c r="AD362" s="79" t="str">
        <x:v>بله</x:v>
      </x:c>
      <x:c r="AE362" s="79" t="str">
        <x:v>خیر</x:v>
      </x:c>
      <x:c r="AF362" s="79" t="n">
        <x:v>1</x:v>
      </x:c>
      <x:c r="AG362" s="104" t="n">
        <x:v>3200000</x:v>
      </x:c>
      <x:c r="AH362" s="104"/>
      <x:c r="AI362" s="79" t="str">
        <x:v>دسته از «نیاز به بررسی» به «گیاهان دارویی» اصلاح شد</x:v>
      </x:c>
    </x:row>
    <x:row r="363">
      <x:c r="A363" s="23" t="s">
        <x:v>449</x:v>
      </x:c>
      <x:c r="B363" s="24">
        <x:v>120</x:v>
      </x:c>
      <x:c r="C363" s="25" t="s">
        <x:v>16</x:v>
      </x:c>
      <x:c r="D363" s="26">
        <x:v>120</x:v>
      </x:c>
      <x:c r="E363" s="24"/>
      <x:c r="F363" s="25"/>
      <x:c r="G363" s="26"/>
      <x:c r="H363" s="25" t="str">
        <x:f t="shared" si="5"/>
        <x:v>فعال</x:v>
      </x:c>
      <x:c r="Y363" t="str">
        <x:f>IF(AND(LEN($K$2)&gt;=3,ISNUMBER(SEARCH($K$2,$A363))),MAX($Y$3:Y362)+1,"")</x:f>
      </x:c>
      <x:c r="Z363" s="79" t="str">
        <x:v>حبوبات و غلات</x:v>
      </x:c>
      <x:c r="AA363" s="79" t="str">
        <x:v>6a3a00000000000000000002</x:v>
      </x:c>
      <x:c r="AB363" s="79" t="str">
        <x:v>legumes-grains</x:v>
      </x:c>
      <x:c r="AC363" s="79" t="str">
        <x:v>EDIBLE</x:v>
      </x:c>
      <x:c r="AD363" s="79" t="str">
        <x:v>بله</x:v>
      </x:c>
      <x:c r="AE363" s="79" t="str">
        <x:v>خیر</x:v>
      </x:c>
      <x:c r="AF363" s="79" t="n">
        <x:v>1</x:v>
      </x:c>
      <x:c r="AG363" s="104" t="n">
        <x:v>120000</x:v>
      </x:c>
      <x:c r="AH363" s="104"/>
      <x:c r="AI363" s="79"/>
    </x:row>
    <x:row r="364">
      <x:c r="A364" s="23" t="s">
        <x:v>450</x:v>
      </x:c>
      <x:c r="B364" s="24">
        <x:v>790</x:v>
      </x:c>
      <x:c r="C364" s="25" t="s">
        <x:v>16</x:v>
      </x:c>
      <x:c r="D364" s="26">
        <x:v>790</x:v>
      </x:c>
      <x:c r="E364" s="24"/>
      <x:c r="F364" s="25"/>
      <x:c r="G364" s="26"/>
      <x:c r="H364" s="25" t="str">
        <x:f t="shared" si="5"/>
        <x:v>فعال</x:v>
      </x:c>
      <x:c r="Y364" t="str">
        <x:f>IF(AND(LEN($K$2)&gt;=3,ISNUMBER(SEARCH($K$2,$A364))),MAX($Y$3:Y363)+1,"")</x:f>
      </x:c>
      <x:c r="Z364" s="79" t="str">
        <x:v>ادویه</x:v>
      </x:c>
      <x:c r="AA364" s="79" t="str">
        <x:v>6a3781e4df5573f4e676e226</x:v>
      </x:c>
      <x:c r="AB364" s="79" t="str">
        <x:v>spice</x:v>
      </x:c>
      <x:c r="AC364" s="79" t="str">
        <x:v>EDIBLE</x:v>
      </x:c>
      <x:c r="AD364" s="79" t="str">
        <x:v>بله</x:v>
      </x:c>
      <x:c r="AE364" s="79" t="str">
        <x:v>خیر</x:v>
      </x:c>
      <x:c r="AF364" s="79" t="n">
        <x:v>1</x:v>
      </x:c>
      <x:c r="AG364" s="104" t="n">
        <x:v>790000</x:v>
      </x:c>
      <x:c r="AH364" s="104"/>
      <x:c r="AI364" s="79"/>
    </x:row>
    <x:row r="365">
      <x:c r="A365" s="23" t="s">
        <x:v>451</x:v>
      </x:c>
      <x:c r="B365" s="24" t="s">
        <x:v>54</x:v>
      </x:c>
      <x:c r="C365" s="25" t="s">
        <x:v>16</x:v>
      </x:c>
      <x:c r="D365" s="26" t="s">
        <x:v>54</x:v>
      </x:c>
      <x:c r="E365" s="24"/>
      <x:c r="F365" s="25"/>
      <x:c r="G365" s="26"/>
      <x:c r="H365" s="25" t="str">
        <x:f t="shared" si="5"/>
        <x:v>نیاز به استعلام</x:v>
      </x:c>
      <x:c r="Y365" t="str">
        <x:f>IF(AND(LEN($K$2)&gt;=3,ISNUMBER(SEARCH($K$2,$A365))),MAX($Y$3:Y364)+1,"")</x:f>
      </x:c>
      <x:c r="Z365" s="79" t="str">
        <x:v>نوشیدنی‌ها</x:v>
      </x:c>
      <x:c r="AA365" s="79" t="str">
        <x:v>6a3782ffdf5573f4e676e24b</x:v>
      </x:c>
      <x:c r="AB365" s="79" t="str">
        <x:v>syrup</x:v>
      </x:c>
      <x:c r="AC365" s="79" t="str">
        <x:v>EDIBLE</x:v>
      </x:c>
      <x:c r="AD365" s="79" t="str">
        <x:v>بله</x:v>
      </x:c>
      <x:c r="AE365" s="79" t="str">
        <x:v>خیر</x:v>
      </x:c>
      <x:c r="AF365" s="79" t="n">
        <x:v>1</x:v>
      </x:c>
      <x:c r="AG365" s="104"/>
      <x:c r="AH365" s="104"/>
      <x:c r="AI365" s="79" t="str">
        <x:v>MISSING_PRICE_REVIEW</x:v>
      </x:c>
    </x:row>
    <x:row r="366">
      <x:c r="A366" s="23" t="s">
        <x:v>452</x:v>
      </x:c>
      <x:c r="B366" s="24" t="s">
        <x:v>54</x:v>
      </x:c>
      <x:c r="C366" s="25" t="s">
        <x:v>16</x:v>
      </x:c>
      <x:c r="D366" s="26" t="s">
        <x:v>54</x:v>
      </x:c>
      <x:c r="E366" s="24"/>
      <x:c r="F366" s="25"/>
      <x:c r="G366" s="26"/>
      <x:c r="H366" s="25" t="str">
        <x:f t="shared" si="5"/>
        <x:v>نیاز به استعلام</x:v>
      </x:c>
      <x:c r="Y366" t="str">
        <x:f>IF(AND(LEN($K$2)&gt;=3,ISNUMBER(SEARCH($K$2,$A366))),MAX($Y$3:Y365)+1,"")</x:f>
      </x:c>
      <x:c r="Z366" s="79" t="str">
        <x:v>خشکبار و آجیل</x:v>
      </x:c>
      <x:c r="AA366" s="79" t="str">
        <x:v>6a37810ddf5573f4e676e201</x:v>
      </x:c>
      <x:c r="AB366" s="79" t="str">
        <x:v>dried-fruits-nuts</x:v>
      </x:c>
      <x:c r="AC366" s="79" t="str">
        <x:v>EDIBLE</x:v>
      </x:c>
      <x:c r="AD366" s="79" t="str">
        <x:v>بله</x:v>
      </x:c>
      <x:c r="AE366" s="79" t="str">
        <x:v>خیر</x:v>
      </x:c>
      <x:c r="AF366" s="79" t="n">
        <x:v>1</x:v>
      </x:c>
      <x:c r="AG366" s="104"/>
      <x:c r="AH366" s="104"/>
      <x:c r="AI366" s="79" t="str">
        <x:v>MISSING_PRICE_REVIEW</x:v>
      </x:c>
    </x:row>
    <x:row r="367">
      <x:c r="A367" s="23" t="s">
        <x:v>453</x:v>
      </x:c>
      <x:c r="B367" s="24">
        <x:v>900</x:v>
      </x:c>
      <x:c r="C367" s="25" t="s">
        <x:v>16</x:v>
      </x:c>
      <x:c r="D367" s="26">
        <x:v>900</x:v>
      </x:c>
      <x:c r="E367" s="24"/>
      <x:c r="F367" s="25"/>
      <x:c r="G367" s="26"/>
      <x:c r="H367" s="25" t="str">
        <x:f t="shared" si="5"/>
        <x:v>فعال</x:v>
      </x:c>
      <x:c r="Y367" t="str">
        <x:f>IF(AND(LEN($K$2)&gt;=3,ISNUMBER(SEARCH($K$2,$A367))),MAX($Y$3:Y366)+1,"")</x:f>
      </x:c>
      <x:c r="Z367" s="79" t="str">
        <x:v>ادویه</x:v>
      </x:c>
      <x:c r="AA367" s="79" t="str">
        <x:v>6a3781e4df5573f4e676e226</x:v>
      </x:c>
      <x:c r="AB367" s="79" t="str">
        <x:v>spice</x:v>
      </x:c>
      <x:c r="AC367" s="79" t="str">
        <x:v>EDIBLE</x:v>
      </x:c>
      <x:c r="AD367" s="79" t="str">
        <x:v>بله</x:v>
      </x:c>
      <x:c r="AE367" s="79" t="str">
        <x:v>خیر</x:v>
      </x:c>
      <x:c r="AF367" s="79" t="n">
        <x:v>1</x:v>
      </x:c>
      <x:c r="AG367" s="104" t="n">
        <x:v>900000</x:v>
      </x:c>
      <x:c r="AH367" s="104"/>
      <x:c r="AI367" s="79" t="str">
        <x:v>دسته از «نیاز به بررسی» به «ادویه» اصلاح شد</x:v>
      </x:c>
    </x:row>
    <x:row r="368">
      <x:c r="A368" s="23" t="s">
        <x:v>454</x:v>
      </x:c>
      <x:c r="B368" s="24" t="s">
        <x:v>248</x:v>
      </x:c>
      <x:c r="C368" s="25" t="s">
        <x:v>16</x:v>
      </x:c>
      <x:c r="D368" s="26" t="s">
        <x:v>248</x:v>
      </x:c>
      <x:c r="E368" s="24"/>
      <x:c r="F368" s="25"/>
      <x:c r="G368" s="26"/>
      <x:c r="H368" s="25" t="str">
        <x:f t="shared" si="5"/>
        <x:v>فعال</x:v>
      </x:c>
      <x:c r="Y368" t="str">
        <x:f>IF(AND(LEN($K$2)&gt;=3,ISNUMBER(SEARCH($K$2,$A368))),MAX($Y$3:Y367)+1,"")</x:f>
      </x:c>
      <x:c r="Z368" s="79" t="str">
        <x:v>ادویه</x:v>
      </x:c>
      <x:c r="AA368" s="79" t="str">
        <x:v>6a3781e4df5573f4e676e226</x:v>
      </x:c>
      <x:c r="AB368" s="79" t="str">
        <x:v>spice</x:v>
      </x:c>
      <x:c r="AC368" s="79" t="str">
        <x:v>EDIBLE</x:v>
      </x:c>
      <x:c r="AD368" s="79" t="str">
        <x:v>بله</x:v>
      </x:c>
      <x:c r="AE368" s="79" t="str">
        <x:v>خیر</x:v>
      </x:c>
      <x:c r="AF368" s="79" t="n">
        <x:v>1</x:v>
      </x:c>
      <x:c r="AG368" s="104" t="n">
        <x:v>2200000</x:v>
      </x:c>
      <x:c r="AH368" s="104"/>
      <x:c r="AI368" s="79" t="str">
        <x:v>دسته از «نیاز به بررسی» به «ادویه» اصلاح شد</x:v>
      </x:c>
    </x:row>
    <x:row r="369">
      <x:c r="A369" s="23" t="s">
        <x:v>455</x:v>
      </x:c>
      <x:c r="B369" s="24">
        <x:v>850</x:v>
      </x:c>
      <x:c r="C369" s="25" t="s">
        <x:v>16</x:v>
      </x:c>
      <x:c r="D369" s="26">
        <x:v>850</x:v>
      </x:c>
      <x:c r="E369" s="24"/>
      <x:c r="F369" s="25"/>
      <x:c r="G369" s="26"/>
      <x:c r="H369" s="25" t="str">
        <x:f t="shared" si="5"/>
        <x:v>فعال</x:v>
      </x:c>
      <x:c r="Y369" t="str">
        <x:f>IF(AND(LEN($K$2)&gt;=3,ISNUMBER(SEARCH($K$2,$A369))),MAX($Y$3:Y368)+1,"")</x:f>
      </x:c>
      <x:c r="Z369" s="79" t="str">
        <x:v>گیاهان دارویی</x:v>
      </x:c>
      <x:c r="AA369" s="79" t="str">
        <x:v>6a3782d7df5573f4e676e243</x:v>
      </x:c>
      <x:c r="AB369" s="79" t="str">
        <x:v>medicinal-plants</x:v>
      </x:c>
      <x:c r="AC369" s="79" t="str">
        <x:v>EDIBLE</x:v>
      </x:c>
      <x:c r="AD369" s="79" t="str">
        <x:v>بله</x:v>
      </x:c>
      <x:c r="AE369" s="79" t="str">
        <x:v>خیر</x:v>
      </x:c>
      <x:c r="AF369" s="79" t="n">
        <x:v>1</x:v>
      </x:c>
      <x:c r="AG369" s="104" t="n">
        <x:v>850000</x:v>
      </x:c>
      <x:c r="AH369" s="104"/>
      <x:c r="AI369" s="79"/>
    </x:row>
    <x:row r="370">
      <x:c r="A370" s="23" t="s">
        <x:v>456</x:v>
      </x:c>
      <x:c r="B370" s="24" t="s">
        <x:v>54</x:v>
      </x:c>
      <x:c r="C370" s="25" t="s">
        <x:v>16</x:v>
      </x:c>
      <x:c r="D370" s="26" t="s">
        <x:v>54</x:v>
      </x:c>
      <x:c r="E370" s="24"/>
      <x:c r="F370" s="25"/>
      <x:c r="G370" s="26"/>
      <x:c r="H370" s="25" t="str">
        <x:f t="shared" si="5"/>
        <x:v>نیاز به استعلام</x:v>
      </x:c>
      <x:c r="Y370" t="str">
        <x:f>IF(AND(LEN($K$2)&gt;=3,ISNUMBER(SEARCH($K$2,$A370))),MAX($Y$3:Y369)+1,"")</x:f>
      </x:c>
      <x:c r="Z370" s="79" t="str">
        <x:v>گیاهان دارویی</x:v>
      </x:c>
      <x:c r="AA370" s="79" t="str">
        <x:v>6a3782d7df5573f4e676e243</x:v>
      </x:c>
      <x:c r="AB370" s="79" t="str">
        <x:v>medicinal-plants</x:v>
      </x:c>
      <x:c r="AC370" s="79" t="str">
        <x:v>REVIEW</x:v>
      </x:c>
      <x:c r="AD370" s="79" t="str">
        <x:v>نیاز به بررسی</x:v>
      </x:c>
      <x:c r="AE370" s="79" t="str">
        <x:v>خیر</x:v>
      </x:c>
      <x:c r="AF370" s="79" t="n">
        <x:v>1</x:v>
      </x:c>
      <x:c r="AG370" s="104"/>
      <x:c r="AH370" s="104"/>
      <x:c r="AI370" s="79" t="str">
        <x:v>MISSING_PRICE_REVIEW</x:v>
      </x:c>
    </x:row>
    <x:row r="371">
      <x:c r="A371" s="23" t="s">
        <x:v>457</x:v>
      </x:c>
      <x:c r="B371" s="24" t="s">
        <x:v>218</x:v>
      </x:c>
      <x:c r="C371" s="25" t="s">
        <x:v>16</x:v>
      </x:c>
      <x:c r="D371" s="26" t="s">
        <x:v>218</x:v>
      </x:c>
      <x:c r="E371" s="24"/>
      <x:c r="F371" s="25"/>
      <x:c r="G371" s="26"/>
      <x:c r="H371" s="25" t="str">
        <x:f t="shared" si="5"/>
        <x:v>فعال</x:v>
      </x:c>
      <x:c r="Y371" t="str">
        <x:f>IF(AND(LEN($K$2)&gt;=3,ISNUMBER(SEARCH($K$2,$A371))),MAX($Y$3:Y370)+1,"")</x:f>
      </x:c>
      <x:c r="Z371" s="79" t="str">
        <x:v>ادویه</x:v>
      </x:c>
      <x:c r="AA371" s="79" t="str">
        <x:v>6a3781e4df5573f4e676e226</x:v>
      </x:c>
      <x:c r="AB371" s="79" t="str">
        <x:v>spice</x:v>
      </x:c>
      <x:c r="AC371" s="79" t="str">
        <x:v>EDIBLE</x:v>
      </x:c>
      <x:c r="AD371" s="79" t="str">
        <x:v>بله</x:v>
      </x:c>
      <x:c r="AE371" s="79" t="str">
        <x:v>خیر</x:v>
      </x:c>
      <x:c r="AF371" s="79" t="n">
        <x:v>1</x:v>
      </x:c>
      <x:c r="AG371" s="104" t="n">
        <x:v>3500000</x:v>
      </x:c>
      <x:c r="AH371" s="104"/>
      <x:c r="AI371" s="79"/>
    </x:row>
    <x:row r="372">
      <x:c r="A372" s="23" t="s">
        <x:v>458</x:v>
      </x:c>
      <x:c r="B372" s="24" t="s">
        <x:v>459</x:v>
      </x:c>
      <x:c r="C372" s="25" t="s">
        <x:v>16</x:v>
      </x:c>
      <x:c r="D372" s="26" t="s">
        <x:v>459</x:v>
      </x:c>
      <x:c r="E372" s="24"/>
      <x:c r="F372" s="25"/>
      <x:c r="G372" s="26"/>
      <x:c r="H372" s="25" t="str">
        <x:f t="shared" si="5"/>
        <x:v>فعال</x:v>
      </x:c>
      <x:c r="Y372" t="str">
        <x:f>IF(AND(LEN($K$2)&gt;=3,ISNUMBER(SEARCH($K$2,$A372))),MAX($Y$3:Y371)+1,"")</x:f>
      </x:c>
      <x:c r="Z372" s="79" t="str">
        <x:v>ادویه</x:v>
      </x:c>
      <x:c r="AA372" s="79" t="str">
        <x:v>6a3781e4df5573f4e676e226</x:v>
      </x:c>
      <x:c r="AB372" s="79" t="str">
        <x:v>spice</x:v>
      </x:c>
      <x:c r="AC372" s="79" t="str">
        <x:v>EDIBLE</x:v>
      </x:c>
      <x:c r="AD372" s="79" t="str">
        <x:v>بله</x:v>
      </x:c>
      <x:c r="AE372" s="79" t="str">
        <x:v>خیر</x:v>
      </x:c>
      <x:c r="AF372" s="79" t="n">
        <x:v>1</x:v>
      </x:c>
      <x:c r="AG372" s="104" t="n">
        <x:v>3300000</x:v>
      </x:c>
      <x:c r="AH372" s="104"/>
      <x:c r="AI372" s="79"/>
    </x:row>
    <x:row r="373">
      <x:c r="A373" s="23" t="s">
        <x:v>460</x:v>
      </x:c>
      <x:c r="B373" s="24" t="s">
        <x:v>461</x:v>
      </x:c>
      <x:c r="C373" s="25" t="s">
        <x:v>16</x:v>
      </x:c>
      <x:c r="D373" s="26" t="s">
        <x:v>461</x:v>
      </x:c>
      <x:c r="E373" s="24"/>
      <x:c r="F373" s="25"/>
      <x:c r="G373" s="26"/>
      <x:c r="H373" s="25" t="str">
        <x:f t="shared" si="5"/>
        <x:v>فعال</x:v>
      </x:c>
      <x:c r="Y373" t="str">
        <x:f>IF(AND(LEN($K$2)&gt;=3,ISNUMBER(SEARCH($K$2,$A373))),MAX($Y$3:Y372)+1,"")</x:f>
      </x:c>
      <x:c r="Z373" s="79" t="str">
        <x:v>خشکبار و آجیل</x:v>
      </x:c>
      <x:c r="AA373" s="79" t="str">
        <x:v>6a37810ddf5573f4e676e201</x:v>
      </x:c>
      <x:c r="AB373" s="79" t="str">
        <x:v>dried-fruits-nuts</x:v>
      </x:c>
      <x:c r="AC373" s="79" t="str">
        <x:v>EDIBLE</x:v>
      </x:c>
      <x:c r="AD373" s="79" t="str">
        <x:v>بله</x:v>
      </x:c>
      <x:c r="AE373" s="79" t="str">
        <x:v>خیر</x:v>
      </x:c>
      <x:c r="AF373" s="79" t="n">
        <x:v>1</x:v>
      </x:c>
      <x:c r="AG373" s="104" t="n">
        <x:v>1750000</x:v>
      </x:c>
      <x:c r="AH373" s="104"/>
      <x:c r="AI373" s="79" t="str">
        <x:v>دسته از «نیاز به بررسی» به «خشکبار و آجیل» اصلاح شد</x:v>
      </x:c>
    </x:row>
    <x:row r="374">
      <x:c r="A374" s="23" t="s">
        <x:v>462</x:v>
      </x:c>
      <x:c r="B374" s="24">
        <x:v>270</x:v>
      </x:c>
      <x:c r="C374" s="25" t="s">
        <x:v>16</x:v>
      </x:c>
      <x:c r="D374" s="26">
        <x:v>270</x:v>
      </x:c>
      <x:c r="E374" s="24"/>
      <x:c r="F374" s="25"/>
      <x:c r="G374" s="26"/>
      <x:c r="H374" s="25" t="str">
        <x:f t="shared" si="5"/>
        <x:v>فعال</x:v>
      </x:c>
      <x:c r="Y374" t="str">
        <x:f>IF(AND(LEN($K$2)&gt;=3,ISNUMBER(SEARCH($K$2,$A374))),MAX($Y$3:Y373)+1,"")</x:f>
      </x:c>
      <x:c r="Z374" s="79" t="str">
        <x:v>آرد و قنادی</x:v>
      </x:c>
      <x:c r="AA374" s="79" t="str">
        <x:v>6a3a00000000000000000004</x:v>
      </x:c>
      <x:c r="AB374" s="79" t="str">
        <x:v>flour-confectionery</x:v>
      </x:c>
      <x:c r="AC374" s="79" t="str">
        <x:v>EDIBLE</x:v>
      </x:c>
      <x:c r="AD374" s="79" t="str">
        <x:v>بله</x:v>
      </x:c>
      <x:c r="AE374" s="79" t="str">
        <x:v>خیر</x:v>
      </x:c>
      <x:c r="AF374" s="79" t="n">
        <x:v>1</x:v>
      </x:c>
      <x:c r="AG374" s="104" t="n">
        <x:v>270000</x:v>
      </x:c>
      <x:c r="AH374" s="104"/>
      <x:c r="AI374" s="79"/>
    </x:row>
    <x:row r="375">
      <x:c r="A375" s="23" t="s">
        <x:v>463</x:v>
      </x:c>
      <x:c r="B375" s="24">
        <x:v>250</x:v>
      </x:c>
      <x:c r="C375" s="25" t="s">
        <x:v>16</x:v>
      </x:c>
      <x:c r="D375" s="26">
        <x:v>250</x:v>
      </x:c>
      <x:c r="E375" s="24"/>
      <x:c r="F375" s="25"/>
      <x:c r="G375" s="26"/>
      <x:c r="H375" s="25" t="str">
        <x:f t="shared" si="5"/>
        <x:v>فعال</x:v>
      </x:c>
      <x:c r="Y375" t="str">
        <x:f>IF(AND(LEN($K$2)&gt;=3,ISNUMBER(SEARCH($K$2,$A375))),MAX($Y$3:Y374)+1,"")</x:f>
      </x:c>
      <x:c r="Z375" s="79" t="str">
        <x:v>آرد و قنادی</x:v>
      </x:c>
      <x:c r="AA375" s="79" t="str">
        <x:v>6a3a00000000000000000004</x:v>
      </x:c>
      <x:c r="AB375" s="79" t="str">
        <x:v>flour-confectionery</x:v>
      </x:c>
      <x:c r="AC375" s="79" t="str">
        <x:v>EDIBLE</x:v>
      </x:c>
      <x:c r="AD375" s="79" t="str">
        <x:v>بله</x:v>
      </x:c>
      <x:c r="AE375" s="79" t="str">
        <x:v>خیر</x:v>
      </x:c>
      <x:c r="AF375" s="79" t="n">
        <x:v>1</x:v>
      </x:c>
      <x:c r="AG375" s="104" t="n">
        <x:v>250000</x:v>
      </x:c>
      <x:c r="AH375" s="104"/>
      <x:c r="AI375" s="79"/>
    </x:row>
    <x:row r="376">
      <x:c r="A376" s="23" t="s">
        <x:v>464</x:v>
      </x:c>
      <x:c r="B376" s="24">
        <x:v>750</x:v>
      </x:c>
      <x:c r="C376" s="25" t="s">
        <x:v>16</x:v>
      </x:c>
      <x:c r="D376" s="26">
        <x:v>750</x:v>
      </x:c>
      <x:c r="E376" s="24"/>
      <x:c r="F376" s="25"/>
      <x:c r="G376" s="26"/>
      <x:c r="H376" s="25" t="str">
        <x:f t="shared" si="5"/>
        <x:v>فعال</x:v>
      </x:c>
      <x:c r="Y376" t="str">
        <x:f>IF(AND(LEN($K$2)&gt;=3,ISNUMBER(SEARCH($K$2,$A376))),MAX($Y$3:Y375)+1,"")</x:f>
      </x:c>
      <x:c r="Z376" s="79" t="str">
        <x:v>گیاهان دارویی</x:v>
      </x:c>
      <x:c r="AA376" s="79" t="str">
        <x:v>6a3782d7df5573f4e676e243</x:v>
      </x:c>
      <x:c r="AB376" s="79" t="str">
        <x:v>medicinal-plants</x:v>
      </x:c>
      <x:c r="AC376" s="79" t="str">
        <x:v>EDIBLE</x:v>
      </x:c>
      <x:c r="AD376" s="79" t="str">
        <x:v>بله</x:v>
      </x:c>
      <x:c r="AE376" s="79" t="str">
        <x:v>خیر</x:v>
      </x:c>
      <x:c r="AF376" s="79" t="n">
        <x:v>1</x:v>
      </x:c>
      <x:c r="AG376" s="104" t="n">
        <x:v>750000</x:v>
      </x:c>
      <x:c r="AH376" s="104"/>
      <x:c r="AI376" s="79"/>
    </x:row>
    <x:row r="377">
      <x:c r="A377" s="23" t="s">
        <x:v>465</x:v>
      </x:c>
      <x:c r="B377" s="24">
        <x:v>120</x:v>
      </x:c>
      <x:c r="C377" s="25" t="s">
        <x:v>404</x:v>
      </x:c>
      <x:c r="D377" s="26">
        <x:v>120</x:v>
      </x:c>
      <x:c r="E377" s="24"/>
      <x:c r="F377" s="25"/>
      <x:c r="G377" s="26"/>
      <x:c r="H377" s="25" t="str">
        <x:f t="shared" si="5"/>
        <x:v>فعال</x:v>
      </x:c>
      <x:c r="Y377" t="str">
        <x:f>IF(AND(LEN($K$2)&gt;=3,ISNUMBER(SEARCH($K$2,$A377))),MAX($Y$3:Y376)+1,"")</x:f>
      </x:c>
      <x:c r="Z377" s="79" t="str">
        <x:v>ادویه</x:v>
      </x:c>
      <x:c r="AA377" s="79" t="str">
        <x:v>6a3781e4df5573f4e676e226</x:v>
      </x:c>
      <x:c r="AB377" s="79" t="str">
        <x:v>spice</x:v>
      </x:c>
      <x:c r="AC377" s="79" t="str">
        <x:v>EDIBLE</x:v>
      </x:c>
      <x:c r="AD377" s="79" t="str">
        <x:v>بله</x:v>
      </x:c>
      <x:c r="AE377" s="79" t="str">
        <x:v>خیر</x:v>
      </x:c>
      <x:c r="AF377" s="79" t="n">
        <x:v>1</x:v>
      </x:c>
      <x:c r="AG377" s="104" t="n">
        <x:v>120000</x:v>
      </x:c>
      <x:c r="AH377" s="104"/>
      <x:c r="AI377" s="79"/>
    </x:row>
    <x:row r="378">
      <x:c r="A378" s="23" t="s">
        <x:v>466</x:v>
      </x:c>
      <x:c r="B378" s="24">
        <x:v>220</x:v>
      </x:c>
      <x:c r="C378" s="25" t="s">
        <x:v>16</x:v>
      </x:c>
      <x:c r="D378" s="26">
        <x:v>220</x:v>
      </x:c>
      <x:c r="E378" s="24"/>
      <x:c r="F378" s="25"/>
      <x:c r="G378" s="26"/>
      <x:c r="H378" s="25" t="str">
        <x:f t="shared" si="5"/>
        <x:v>فعال</x:v>
      </x:c>
      <x:c r="Y378" t="str">
        <x:f>IF(AND(LEN($K$2)&gt;=3,ISNUMBER(SEARCH($K$2,$A378))),MAX($Y$3:Y377)+1,"")</x:f>
      </x:c>
      <x:c r="Z378" s="79" t="str">
        <x:v>ادویه</x:v>
      </x:c>
      <x:c r="AA378" s="79" t="str">
        <x:v>6a3781e4df5573f4e676e226</x:v>
      </x:c>
      <x:c r="AB378" s="79" t="str">
        <x:v>spice</x:v>
      </x:c>
      <x:c r="AC378" s="79" t="str">
        <x:v>EDIBLE</x:v>
      </x:c>
      <x:c r="AD378" s="79" t="str">
        <x:v>بله</x:v>
      </x:c>
      <x:c r="AE378" s="79" t="str">
        <x:v>خیر</x:v>
      </x:c>
      <x:c r="AF378" s="79" t="n">
        <x:v>1</x:v>
      </x:c>
      <x:c r="AG378" s="104" t="n">
        <x:v>220000</x:v>
      </x:c>
      <x:c r="AH378" s="104"/>
      <x:c r="AI378" s="79"/>
    </x:row>
    <x:row r="379">
      <x:c r="A379" s="23" t="s">
        <x:v>467</x:v>
      </x:c>
      <x:c r="B379" s="24">
        <x:v>100</x:v>
      </x:c>
      <x:c r="C379" s="25" t="s">
        <x:v>404</x:v>
      </x:c>
      <x:c r="D379" s="26">
        <x:v>100</x:v>
      </x:c>
      <x:c r="E379" s="24"/>
      <x:c r="F379" s="25"/>
      <x:c r="G379" s="26"/>
      <x:c r="H379" s="25" t="str">
        <x:f t="shared" si="5"/>
        <x:v>فعال</x:v>
      </x:c>
      <x:c r="Y379" t="str">
        <x:f>IF(AND(LEN($K$2)&gt;=3,ISNUMBER(SEARCH($K$2,$A379))),MAX($Y$3:Y378)+1,"")</x:f>
      </x:c>
      <x:c r="Z379" s="79" t="str">
        <x:v>ادویه</x:v>
      </x:c>
      <x:c r="AA379" s="79" t="str">
        <x:v>6a3781e4df5573f4e676e226</x:v>
      </x:c>
      <x:c r="AB379" s="79" t="str">
        <x:v>spice</x:v>
      </x:c>
      <x:c r="AC379" s="79" t="str">
        <x:v>EDIBLE</x:v>
      </x:c>
      <x:c r="AD379" s="79" t="str">
        <x:v>بله</x:v>
      </x:c>
      <x:c r="AE379" s="79" t="str">
        <x:v>خیر</x:v>
      </x:c>
      <x:c r="AF379" s="79" t="n">
        <x:v>1</x:v>
      </x:c>
      <x:c r="AG379" s="104" t="n">
        <x:v>100000</x:v>
      </x:c>
      <x:c r="AH379" s="104"/>
      <x:c r="AI379" s="79"/>
    </x:row>
    <x:row r="380">
      <x:c r="A380" s="23" t="s">
        <x:v>468</x:v>
      </x:c>
      <x:c r="B380" s="24">
        <x:v>150</x:v>
      </x:c>
      <x:c r="C380" s="25" t="s">
        <x:v>16</x:v>
      </x:c>
      <x:c r="D380" s="26">
        <x:v>150</x:v>
      </x:c>
      <x:c r="E380" s="24"/>
      <x:c r="F380" s="25"/>
      <x:c r="G380" s="26"/>
      <x:c r="H380" s="25" t="str">
        <x:f t="shared" si="5"/>
        <x:v>فعال</x:v>
      </x:c>
      <x:c r="Y380" t="str">
        <x:f>IF(AND(LEN($K$2)&gt;=3,ISNUMBER(SEARCH($K$2,$A380))),MAX($Y$3:Y379)+1,"")</x:f>
      </x:c>
      <x:c r="Z380" s="79" t="str">
        <x:v>ادویه</x:v>
      </x:c>
      <x:c r="AA380" s="79" t="str">
        <x:v>6a3781e4df5573f4e676e226</x:v>
      </x:c>
      <x:c r="AB380" s="79" t="str">
        <x:v>spice</x:v>
      </x:c>
      <x:c r="AC380" s="79" t="str">
        <x:v>EDIBLE</x:v>
      </x:c>
      <x:c r="AD380" s="79" t="str">
        <x:v>بله</x:v>
      </x:c>
      <x:c r="AE380" s="79" t="str">
        <x:v>خیر</x:v>
      </x:c>
      <x:c r="AF380" s="79" t="n">
        <x:v>1</x:v>
      </x:c>
      <x:c r="AG380" s="104" t="n">
        <x:v>150000</x:v>
      </x:c>
      <x:c r="AH380" s="104"/>
      <x:c r="AI380" s="79" t="str">
        <x:v>MERGED</x:v>
      </x:c>
    </x:row>
    <x:row r="381">
      <x:c r="A381" s="23" t="s">
        <x:v>469</x:v>
      </x:c>
      <x:c r="B381" s="24">
        <x:v>120</x:v>
      </x:c>
      <x:c r="C381" s="25" t="s">
        <x:v>16</x:v>
      </x:c>
      <x:c r="D381" s="26">
        <x:v>120</x:v>
      </x:c>
      <x:c r="E381" s="24"/>
      <x:c r="F381" s="25"/>
      <x:c r="G381" s="26"/>
      <x:c r="H381" s="25" t="str">
        <x:f t="shared" si="5"/>
        <x:v>فعال</x:v>
      </x:c>
      <x:c r="Y381" t="str">
        <x:f>IF(AND(LEN($K$2)&gt;=3,ISNUMBER(SEARCH($K$2,$A381))),MAX($Y$3:Y380)+1,"")</x:f>
      </x:c>
      <x:c r="Z381" s="79" t="str">
        <x:v>ادویه</x:v>
      </x:c>
      <x:c r="AA381" s="79" t="str">
        <x:v>6a3781e4df5573f4e676e226</x:v>
      </x:c>
      <x:c r="AB381" s="79" t="str">
        <x:v>spice</x:v>
      </x:c>
      <x:c r="AC381" s="79" t="str">
        <x:v>EDIBLE</x:v>
      </x:c>
      <x:c r="AD381" s="79" t="str">
        <x:v>بله</x:v>
      </x:c>
      <x:c r="AE381" s="79" t="str">
        <x:v>خیر</x:v>
      </x:c>
      <x:c r="AF381" s="79" t="n">
        <x:v>1</x:v>
      </x:c>
      <x:c r="AG381" s="104" t="n">
        <x:v>120000</x:v>
      </x:c>
      <x:c r="AH381" s="104"/>
      <x:c r="AI381" s="79" t="str">
        <x:v>MERGED</x:v>
      </x:c>
    </x:row>
    <x:row r="382">
      <x:c r="A382" s="23" t="s">
        <x:v>470</x:v>
      </x:c>
      <x:c r="B382" s="24">
        <x:v>150</x:v>
      </x:c>
      <x:c r="C382" s="25" t="s">
        <x:v>16</x:v>
      </x:c>
      <x:c r="D382" s="26">
        <x:v>150</x:v>
      </x:c>
      <x:c r="E382" s="24"/>
      <x:c r="F382" s="25"/>
      <x:c r="G382" s="26"/>
      <x:c r="H382" s="25" t="str">
        <x:f t="shared" si="5"/>
        <x:v>فعال</x:v>
      </x:c>
      <x:c r="Y382" t="str">
        <x:f>IF(AND(LEN($K$2)&gt;=3,ISNUMBER(SEARCH($K$2,$A382))),MAX($Y$3:Y381)+1,"")</x:f>
      </x:c>
      <x:c r="Z382" s="79" t="str">
        <x:v>ادویه</x:v>
      </x:c>
      <x:c r="AA382" s="79" t="str">
        <x:v>6a3781e4df5573f4e676e226</x:v>
      </x:c>
      <x:c r="AB382" s="79" t="str">
        <x:v>spice</x:v>
      </x:c>
      <x:c r="AC382" s="79" t="str">
        <x:v>EDIBLE</x:v>
      </x:c>
      <x:c r="AD382" s="79" t="str">
        <x:v>بله</x:v>
      </x:c>
      <x:c r="AE382" s="79" t="str">
        <x:v>خیر</x:v>
      </x:c>
      <x:c r="AF382" s="79" t="n">
        <x:v>1</x:v>
      </x:c>
      <x:c r="AG382" s="104" t="n">
        <x:v>150000</x:v>
      </x:c>
      <x:c r="AH382" s="104"/>
      <x:c r="AI382" s="79"/>
    </x:row>
    <x:row r="383">
      <x:c r="A383" s="23" t="s">
        <x:v>471</x:v>
      </x:c>
      <x:c r="B383" s="24">
        <x:v>50</x:v>
      </x:c>
      <x:c r="C383" s="25" t="s">
        <x:v>16</x:v>
      </x:c>
      <x:c r="D383" s="26">
        <x:v>50</x:v>
      </x:c>
      <x:c r="E383" s="24"/>
      <x:c r="F383" s="25"/>
      <x:c r="G383" s="26"/>
      <x:c r="H383" s="25" t="str">
        <x:f t="shared" si="5"/>
        <x:v>فعال</x:v>
      </x:c>
      <x:c r="Y383" t="str">
        <x:f>IF(AND(LEN($K$2)&gt;=3,ISNUMBER(SEARCH($K$2,$A383))),MAX($Y$3:Y382)+1,"")</x:f>
      </x:c>
      <x:c r="Z383" s="79" t="str">
        <x:v>ادویه</x:v>
      </x:c>
      <x:c r="AA383" s="79" t="str">
        <x:v>6a3781e4df5573f4e676e226</x:v>
      </x:c>
      <x:c r="AB383" s="79" t="str">
        <x:v>spice</x:v>
      </x:c>
      <x:c r="AC383" s="79" t="str">
        <x:v>EDIBLE</x:v>
      </x:c>
      <x:c r="AD383" s="79" t="str">
        <x:v>بله</x:v>
      </x:c>
      <x:c r="AE383" s="79" t="str">
        <x:v>خیر</x:v>
      </x:c>
      <x:c r="AF383" s="79" t="n">
        <x:v>1</x:v>
      </x:c>
      <x:c r="AG383" s="104" t="n">
        <x:v>50000</x:v>
      </x:c>
      <x:c r="AH383" s="104"/>
      <x:c r="AI383" s="79"/>
    </x:row>
    <x:row r="384">
      <x:c r="A384" s="23" t="s">
        <x:v>472</x:v>
      </x:c>
      <x:c r="B384" s="24" t="s">
        <x:v>54</x:v>
      </x:c>
      <x:c r="C384" s="25" t="s">
        <x:v>16</x:v>
      </x:c>
      <x:c r="D384" s="26" t="s">
        <x:v>54</x:v>
      </x:c>
      <x:c r="E384" s="24"/>
      <x:c r="F384" s="25"/>
      <x:c r="G384" s="26"/>
      <x:c r="H384" s="25" t="str">
        <x:f t="shared" si="5"/>
        <x:v>نیاز به استعلام</x:v>
      </x:c>
      <x:c r="Y384" t="str">
        <x:f>IF(AND(LEN($K$2)&gt;=3,ISNUMBER(SEARCH($K$2,$A384))),MAX($Y$3:Y383)+1,"")</x:f>
      </x:c>
      <x:c r="Z384" s="79" t="str">
        <x:v>قنادی و شیرینی</x:v>
      </x:c>
      <x:c r="AA384" s="79" t="str">
        <x:v>6a3a00000000000000000003</x:v>
      </x:c>
      <x:c r="AB384" s="79" t="str">
        <x:v>confectionery</x:v>
      </x:c>
      <x:c r="AC384" s="79" t="str">
        <x:v>EDIBLE</x:v>
      </x:c>
      <x:c r="AD384" s="79" t="str">
        <x:v>بله</x:v>
      </x:c>
      <x:c r="AE384" s="79" t="str">
        <x:v>خیر</x:v>
      </x:c>
      <x:c r="AF384" s="79" t="n">
        <x:v>1</x:v>
      </x:c>
      <x:c r="AG384" s="104"/>
      <x:c r="AH384" s="104"/>
      <x:c r="AI384" s="79" t="str">
        <x:v>MERGED + MISSING_PRICE_REVIEW</x:v>
      </x:c>
    </x:row>
    <x:row r="385">
      <x:c r="A385" s="23" t="s">
        <x:v>473</x:v>
      </x:c>
      <x:c r="B385" s="24" t="s">
        <x:v>80</x:v>
      </x:c>
      <x:c r="C385" s="25" t="s">
        <x:v>62</x:v>
      </x:c>
      <x:c r="D385" s="26" t="s">
        <x:v>80</x:v>
      </x:c>
      <x:c r="E385" s="24">
        <x:v>260</x:v>
      </x:c>
      <x:c r="F385" s="25" t="s">
        <x:v>474</x:v>
      </x:c>
      <x:c r="G385" s="26">
        <x:v>260</x:v>
      </x:c>
      <x:c r="H385" s="25" t="str">
        <x:f t="shared" si="5"/>
        <x:v>فعال</x:v>
      </x:c>
      <x:c r="Y385" t="str">
        <x:f>IF(AND(LEN($K$2)&gt;=3,ISNUMBER(SEARCH($K$2,$A385))),MAX($Y$3:Y384)+1,"")</x:f>
      </x:c>
      <x:c r="Z385" s="79" t="str">
        <x:v>قنادی و شیرینی</x:v>
      </x:c>
      <x:c r="AA385" s="79" t="str">
        <x:v>6a3a00000000000000000003</x:v>
      </x:c>
      <x:c r="AB385" s="79" t="str">
        <x:v>confectionery</x:v>
      </x:c>
      <x:c r="AC385" s="79" t="str">
        <x:v>EDIBLE</x:v>
      </x:c>
      <x:c r="AD385" s="79" t="str">
        <x:v>بله</x:v>
      </x:c>
      <x:c r="AE385" s="79" t="str">
        <x:v>بله</x:v>
      </x:c>
      <x:c r="AF385" s="79" t="n">
        <x:v>2</x:v>
      </x:c>
      <x:c r="AG385" s="104" t="n">
        <x:v>1500000</x:v>
      </x:c>
      <x:c r="AH385" s="104" t="n">
        <x:v>260000</x:v>
      </x:c>
      <x:c r="AI385" s="79" t="str">
        <x:v>MERGED</x:v>
      </x:c>
    </x:row>
    <x:row r="386">
      <x:c r="A386" s="23" t="s">
        <x:v>475</x:v>
      </x:c>
      <x:c r="B386" s="24">
        <x:v>110</x:v>
      </x:c>
      <x:c r="C386" s="25" t="s">
        <x:v>265</x:v>
      </x:c>
      <x:c r="D386" s="26">
        <x:v>110</x:v>
      </x:c>
      <x:c r="E386" s="24"/>
      <x:c r="F386" s="25"/>
      <x:c r="G386" s="26"/>
      <x:c r="H386" s="25" t="str">
        <x:f t="shared" si="5"/>
        <x:v>فعال</x:v>
      </x:c>
      <x:c r="Y386" t="str">
        <x:f>IF(AND(LEN($K$2)&gt;=3,ISNUMBER(SEARCH($K$2,$A386))),MAX($Y$3:Y385)+1,"")</x:f>
      </x:c>
      <x:c r="Z386" s="79" t="str">
        <x:v>گیاهان دارویی</x:v>
      </x:c>
      <x:c r="AA386" s="79" t="str">
        <x:v>6a3782d7df5573f4e676e243</x:v>
      </x:c>
      <x:c r="AB386" s="79" t="str">
        <x:v>medicinal-plants</x:v>
      </x:c>
      <x:c r="AC386" s="79" t="str">
        <x:v>TOPICAL</x:v>
      </x:c>
      <x:c r="AD386" s="79" t="str">
        <x:v>خیر</x:v>
      </x:c>
      <x:c r="AE386" s="79" t="str">
        <x:v>خیر</x:v>
      </x:c>
      <x:c r="AF386" s="79" t="n">
        <x:v>1</x:v>
      </x:c>
      <x:c r="AG386" s="104" t="n">
        <x:v>110000</x:v>
      </x:c>
      <x:c r="AH386" s="104"/>
      <x:c r="AI386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87">
      <x:c r="A387" s="23" t="s">
        <x:v>476</x:v>
      </x:c>
      <x:c r="B387" s="24" t="s">
        <x:v>218</x:v>
      </x:c>
      <x:c r="C387" s="25" t="s">
        <x:v>16</x:v>
      </x:c>
      <x:c r="D387" s="26" t="s">
        <x:v>218</x:v>
      </x:c>
      <x:c r="E387" s="24"/>
      <x:c r="F387" s="25"/>
      <x:c r="G387" s="26"/>
      <x:c r="H387" s="25" t="str">
        <x:f t="shared" si="5"/>
        <x:v>فعال</x:v>
      </x:c>
      <x:c r="Y387" t="str">
        <x:f>IF(AND(LEN($K$2)&gt;=3,ISNUMBER(SEARCH($K$2,$A387))),MAX($Y$3:Y386)+1,"")</x:f>
      </x:c>
      <x:c r="Z387" s="79" t="str">
        <x:v>ادویه</x:v>
      </x:c>
      <x:c r="AA387" s="79" t="str">
        <x:v>6a3781e4df5573f4e676e226</x:v>
      </x:c>
      <x:c r="AB387" s="79" t="str">
        <x:v>spice</x:v>
      </x:c>
      <x:c r="AC387" s="79" t="str">
        <x:v>EDIBLE</x:v>
      </x:c>
      <x:c r="AD387" s="79" t="str">
        <x:v>بله</x:v>
      </x:c>
      <x:c r="AE387" s="79" t="str">
        <x:v>خیر</x:v>
      </x:c>
      <x:c r="AF387" s="79" t="n">
        <x:v>1</x:v>
      </x:c>
      <x:c r="AG387" s="104" t="n">
        <x:v>3500000</x:v>
      </x:c>
      <x:c r="AH387" s="104"/>
      <x:c r="AI387" s="79"/>
    </x:row>
    <x:row r="388">
      <x:c r="A388" s="23" t="s">
        <x:v>477</x:v>
      </x:c>
      <x:c r="B388" s="24" t="s">
        <x:v>478</x:v>
      </x:c>
      <x:c r="C388" s="25" t="s">
        <x:v>16</x:v>
      </x:c>
      <x:c r="D388" s="26" t="s">
        <x:v>478</x:v>
      </x:c>
      <x:c r="E388" s="24"/>
      <x:c r="F388" s="25"/>
      <x:c r="G388" s="26"/>
      <x:c r="H388" s="25" t="str">
        <x:f t="shared" si="5"/>
        <x:v>فعال</x:v>
      </x:c>
      <x:c r="Y388" t="str">
        <x:f>IF(AND(LEN($K$2)&gt;=3,ISNUMBER(SEARCH($K$2,$A388))),MAX($Y$3:Y387)+1,"")</x:f>
      </x:c>
      <x:c r="Z388" s="79" t="str">
        <x:v>ادویه</x:v>
      </x:c>
      <x:c r="AA388" s="79" t="str">
        <x:v>6a3781e4df5573f4e676e226</x:v>
      </x:c>
      <x:c r="AB388" s="79" t="str">
        <x:v>spice</x:v>
      </x:c>
      <x:c r="AC388" s="79" t="str">
        <x:v>EDIBLE</x:v>
      </x:c>
      <x:c r="AD388" s="79" t="str">
        <x:v>بله</x:v>
      </x:c>
      <x:c r="AE388" s="79" t="str">
        <x:v>خیر</x:v>
      </x:c>
      <x:c r="AF388" s="79" t="n">
        <x:v>1</x:v>
      </x:c>
      <x:c r="AG388" s="104" t="n">
        <x:v>12500000</x:v>
      </x:c>
      <x:c r="AH388" s="104"/>
      <x:c r="AI388" s="79"/>
    </x:row>
    <x:row r="389">
      <x:c r="A389" s="23" t="s">
        <x:v>479</x:v>
      </x:c>
      <x:c r="B389" s="24" t="s">
        <x:v>478</x:v>
      </x:c>
      <x:c r="C389" s="25" t="s">
        <x:v>16</x:v>
      </x:c>
      <x:c r="D389" s="26" t="s">
        <x:v>478</x:v>
      </x:c>
      <x:c r="E389" s="24"/>
      <x:c r="F389" s="25"/>
      <x:c r="G389" s="26"/>
      <x:c r="H389" s="25" t="str">
        <x:f t="shared" si="5"/>
        <x:v>فعال</x:v>
      </x:c>
      <x:c r="Y389" t="str">
        <x:f>IF(AND(LEN($K$2)&gt;=3,ISNUMBER(SEARCH($K$2,$A389))),MAX($Y$3:Y388)+1,"")</x:f>
      </x:c>
      <x:c r="Z389" s="79" t="str">
        <x:v>ادویه</x:v>
      </x:c>
      <x:c r="AA389" s="79" t="str">
        <x:v>6a3781e4df5573f4e676e226</x:v>
      </x:c>
      <x:c r="AB389" s="79" t="str">
        <x:v>spice</x:v>
      </x:c>
      <x:c r="AC389" s="79" t="str">
        <x:v>EDIBLE</x:v>
      </x:c>
      <x:c r="AD389" s="79" t="str">
        <x:v>بله</x:v>
      </x:c>
      <x:c r="AE389" s="79" t="str">
        <x:v>خیر</x:v>
      </x:c>
      <x:c r="AF389" s="79" t="n">
        <x:v>1</x:v>
      </x:c>
      <x:c r="AG389" s="104" t="n">
        <x:v>12500000</x:v>
      </x:c>
      <x:c r="AH389" s="104"/>
      <x:c r="AI389" s="79"/>
    </x:row>
    <x:row r="390">
      <x:c r="A390" s="23" t="s">
        <x:v>480</x:v>
      </x:c>
      <x:c r="B390" s="24" t="s">
        <x:v>80</x:v>
      </x:c>
      <x:c r="C390" s="25" t="s">
        <x:v>16</x:v>
      </x:c>
      <x:c r="D390" s="26" t="s">
        <x:v>80</x:v>
      </x:c>
      <x:c r="E390" s="24"/>
      <x:c r="F390" s="25"/>
      <x:c r="G390" s="26"/>
      <x:c r="H390" s="25" t="str">
        <x:f t="shared" si="5"/>
        <x:v>فعال</x:v>
      </x:c>
      <x:c r="Y390" t="str">
        <x:f>IF(AND(LEN($K$2)&gt;=3,ISNUMBER(SEARCH($K$2,$A390))),MAX($Y$3:Y389)+1,"")</x:f>
      </x:c>
      <x:c r="Z390" s="79" t="str">
        <x:v>ادویه</x:v>
      </x:c>
      <x:c r="AA390" s="79" t="str">
        <x:v>6a3781e4df5573f4e676e226</x:v>
      </x:c>
      <x:c r="AB390" s="79" t="str">
        <x:v>spice</x:v>
      </x:c>
      <x:c r="AC390" s="79" t="str">
        <x:v>EDIBLE</x:v>
      </x:c>
      <x:c r="AD390" s="79" t="str">
        <x:v>بله</x:v>
      </x:c>
      <x:c r="AE390" s="79" t="str">
        <x:v>خیر</x:v>
      </x:c>
      <x:c r="AF390" s="79" t="n">
        <x:v>1</x:v>
      </x:c>
      <x:c r="AG390" s="104" t="n">
        <x:v>1500000</x:v>
      </x:c>
      <x:c r="AH390" s="104"/>
      <x:c r="AI390" s="79"/>
    </x:row>
    <x:row r="391">
      <x:c r="A391" s="27" t="s">
        <x:v>481</x:v>
      </x:c>
      <x:c r="B391" s="28">
        <x:v>800</x:v>
      </x:c>
      <x:c r="C391" s="29" t="s">
        <x:v>16</x:v>
      </x:c>
      <x:c r="D391" s="30">
        <x:v>800</x:v>
      </x:c>
      <x:c r="E391" s="28"/>
      <x:c r="F391" s="29"/>
      <x:c r="G391" s="30"/>
      <x:c r="H391" s="29" t="str">
        <x:f t="shared" si="5"/>
        <x:v>فعال</x:v>
      </x:c>
      <x:c r="Y391" t="str">
        <x:f>IF(AND(LEN($K$2)&gt;=3,ISNUMBER(SEARCH($K$2,$A391))),MAX($Y$3:Y390)+1,"")</x:f>
      </x:c>
      <x:c r="Z391" s="79" t="str">
        <x:v>قنادی و شیرینی</x:v>
      </x:c>
      <x:c r="AA391" s="79" t="str">
        <x:v>6a3a00000000000000000003</x:v>
      </x:c>
      <x:c r="AB391" s="79" t="str">
        <x:v>confectionery</x:v>
      </x:c>
      <x:c r="AC391" s="79" t="str">
        <x:v>EDIBLE</x:v>
      </x:c>
      <x:c r="AD391" s="79" t="str">
        <x:v>بله</x:v>
      </x:c>
      <x:c r="AE391" s="79" t="str">
        <x:v>خیر</x:v>
      </x:c>
      <x:c r="AF391" s="79" t="n">
        <x:v>1</x:v>
      </x:c>
      <x:c r="AG391" s="104" t="n">
        <x:v>800000</x:v>
      </x:c>
      <x:c r="AH391" s="104"/>
      <x:c r="AI391" s="79"/>
    </x:row>
  </x:sheetData>
  <x:mergeCells>
    <x:mergeCell ref="J26:P26"/>
    <x:mergeCell ref="A1:H1"/>
    <x:mergeCell ref="A2:H2"/>
    <x:mergeCell ref="J1:P1"/>
    <x:mergeCell ref="K2:P2"/>
    <x:mergeCell ref="J3:P3"/>
  </x:mergeCells>
  <x:conditionalFormatting sqref="H4:H391">
    <x:cfRule type="expression" dxfId="1" priority="1">
      <x:formula>$H4="نیاز به استعلام"</x:formula>
    </x:cfRule>
    <x:cfRule type="expression" dxfId="0" priority="2">
      <x:formula>$H4="فعال"</x:formula>
    </x:cfRule>
  </x:conditionalFormatting>
  <x:conditionalFormatting sqref="AA4:AA391">
    <x:cfRule type="expression" dxfId="11" priority="3">
      <x:formula>AA4=""</x:formula>
    </x:cfRule>
  </x:conditionalFormatting>
  <x:conditionalFormatting sqref="AI4:AI391">
    <x:cfRule type="expression" dxfId="12" priority="4">
      <x:formula>AI4&lt;&gt;""</x:formula>
    </x:cfRule>
  </x:conditionalFormatting>
  <x:dataValidations count="3">
    <x:dataValidation type="list" sqref="Z4:Z391">
      <x:formula1>category_map!$A$2:$A$10</x:formula1>
    </x:dataValidation>
    <x:dataValidation type="list" sqref="AC4:AC391">
      <x:formula1>"EDIBLE,TOPICAL,NON_EDIBLE,REVIEW"</x:formula1>
    </x:dataValidation>
    <x:dataValidation type="list" sqref="AE4:AE391">
      <x:formula1>"بله,خیر"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f74df43f46444c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1.380000114440918" hidden="0" customWidth="1"/>
    <x:col min="2" max="2" width="24.8799991607666" hidden="0" customWidth="1"/>
    <x:col min="3" max="3" width="30.3799991607666" hidden="0" customWidth="1"/>
    <x:col min="4" max="4" width="14.75" hidden="0" customWidth="1"/>
    <x:col min="5" max="5" width="10.75" hidden="0" customWidth="1"/>
    <x:col min="6" max="6" width="7.25" hidden="0" customWidth="1"/>
    <x:col min="8" max="8" width="12.75" hidden="0" customWidth="1"/>
    <x:col min="9" max="9" width="11.25" hidden="0" customWidth="1"/>
    <x:col min="10" max="10" width="12" hidden="0" customWidth="1"/>
    <x:col min="11" max="11" width="9.25" hidden="0" customWidth="1"/>
    <x:col min="12" max="12" width="2" customWidth="1"/>
    <x:col min="13" max="13" width="36.380001068115234" hidden="0" customWidth="1"/>
    <x:col min="14" max="14" width="10.75" hidden="0" customWidth="1"/>
    <x:col min="15" max="15" width="11.380000114440918" hidden="0" customWidth="1"/>
    <x:col min="16" max="16" width="8.25" hidden="0" customWidth="1"/>
    <x:col min="18" max="18" width="7.5" hidden="0" customWidth="1"/>
    <x:col min="19" max="19" width="9.5" hidden="0" customWidth="1"/>
    <x:col min="27" max="27" width="1.5" hidden="0" customWidth="1"/>
    <x:col min="28" max="28" width="22.75" hidden="0" customWidth="1"/>
    <x:col min="29" max="29" width="25.1299991607666" hidden="0" customWidth="1"/>
    <x:col min="30" max="30" width="14.880000114440918" hidden="0" customWidth="1"/>
    <x:col min="31" max="31" width="8.630000114440918" hidden="0" customWidth="1"/>
    <x:col min="32" max="32" width="10.880000114440918" hidden="0" customWidth="1"/>
    <x:col min="33" max="33" width="9.130000114440918" hidden="0" customWidth="1"/>
    <x:col min="34" max="34" width="9.380000114440918" hidden="0" customWidth="1"/>
    <x:col min="35" max="35" width="21.25" hidden="0" customWidth="1"/>
    <x:col min="36" max="36" width="16.1299991607666" hidden="0" customWidth="1"/>
    <x:col min="37" max="37" width="114.25" hidden="0" customWidth="1"/>
    <x:col min="7" max="7" width="12" hidden="0" customWidth="1"/>
    <x:col min="17" max="17" width="10.25" hidden="0" customWidth="1"/>
  </x:cols>
  <x:sheetData>
    <x:row r="1" ht="16.799999237060547">
      <x:c r="A1" s="98" t="s">
        <x:v>482</x:v>
      </x:c>
      <x:c r="B1" s="98" t="s">
        <x:v>5</x:v>
      </x:c>
      <x:c r="C1" s="98" t="s">
        <x:v>483</x:v>
      </x:c>
      <x:c r="D1" s="98" t="s">
        <x:v>484</x:v>
      </x:c>
      <x:c r="E1" s="98" t="s">
        <x:v>485</x:v>
      </x:c>
      <x:c r="F1" s="98" t="s">
        <x:v>486</x:v>
      </x:c>
      <x:c r="G1" s="98" t="s">
        <x:v>487</x:v>
      </x:c>
      <x:c r="H1" s="98" t="s">
        <x:v>488</x:v>
      </x:c>
      <x:c r="I1" s="98" t="s">
        <x:v>12</x:v>
      </x:c>
      <x:c r="J1" s="98" t="s">
        <x:v>489</x:v>
      </x:c>
      <x:c r="K1" s="98" t="s">
        <x:v>490</x:v>
      </x:c>
      <x:c r="L1" s="98"/>
      <x:c r="M1" s="109" t="s">
        <x:v>491</x:v>
      </x:c>
      <x:c r="N1" s="109"/>
      <x:c r="O1" s="109"/>
      <x:c r="P1" s="109"/>
      <x:c r="Q1" s="109"/>
      <x:c r="R1" s="109"/>
      <x:c r="S1" s="109"/>
      <x:c r="T1" s="98"/>
      <x:c r="U1" s="98"/>
      <x:c r="V1" s="98"/>
      <x:c r="W1" s="98"/>
      <x:c r="X1" s="98"/>
      <x:c r="Y1" s="98"/>
      <x:c r="Z1" s="98"/>
      <x:c r="AA1" s="98">
        <x:v>0</x:v>
      </x:c>
      <x:c r="AB1" s="98" t="str">
        <x:v>category_id</x:v>
      </x:c>
      <x:c r="AC1" s="98" t="str">
        <x:v>دسته‌بندی فارسی استاندارد</x:v>
      </x:c>
      <x:c r="AD1" s="98" t="str">
        <x:v>category_slug</x:v>
      </x:c>
      <x:c r="AE1" s="98" t="str">
        <x:v>usageType</x:v>
      </x:c>
      <x:c r="AF1" s="98" t="str">
        <x:v>خوراکی؟</x:v>
      </x:c>
      <x:c r="AG1" s="98" t="str">
        <x:v>چند وزنه؟</x:v>
      </x:c>
      <x:c r="AH1" s="98" t="str">
        <x:v>تعداد تنوع</x:v>
      </x:c>
      <x:c r="AI1" s="98" t="str">
        <x:v>گروه محصول</x:v>
      </x:c>
      <x:c r="AJ1" s="98" t="str">
        <x:v>دسته فعلی سایت</x:v>
      </x:c>
      <x:c r="AK1" s="98" t="str">
        <x:v>نیاز به بررسی</x:v>
      </x:c>
    </x:row>
    <x:row r="2">
      <x:c r="A2" s="79" t="s">
        <x:v>492</x:v>
      </x:c>
      <x:c r="B2" s="79" t="s">
        <x:v>58</x:v>
      </x:c>
      <x:c r="C2" s="79" t="s">
        <x:v>493</x:v>
      </x:c>
      <x:c r="D2" s="79" t="s">
        <x:v>494</x:v>
      </x:c>
      <x:c r="E2" s="79" t="s">
        <x:v>16</x:v>
      </x:c>
      <x:c r="F2" s="79" t="s">
        <x:v>16</x:v>
      </x:c>
      <x:c r="G2" s="79" t="n">
        <x:f>IF(RIGHT($A2,2)="-2",INDEX('قیمت ها'!$E:$E,$J2+2),INDEX('قیمت ها'!$B:$B,$J2+2))</x:f>
        <x:v>295</x:v>
      </x:c>
      <x:c r="H2" s="110" t="n">
        <x:f t="shared" ref="H2:H65" si="0">IF(OR($G2="",$G2="؟"),"",IF(ISNUMBER($G2),$G2*1000,IFERROR((VALUE(LEFT($G2,FIND("/",$G2)-1))*1000+VALUE(MID($G2,FIND("/",$G2)+1,99)))*1000,VALUE($G2)*1000)))</x:f>
        <x:v>295000</x:v>
      </x:c>
      <x:c r="I2" s="79" t="str">
        <x:f t="shared" ref="I2:I65" si="1">IF(OR($G2="",$G2="؟"),"نیاز به استعلام","فعال")</x:f>
        <x:v>فعال</x:v>
      </x:c>
      <x:c r="J2" s="79">
        <x:v>35</x:v>
      </x:c>
      <x:c r="K2" s="79" t="s">
        <x:v>492</x:v>
      </x:c>
      <x:c r="L2" s="79"/>
      <x:c r="M2" s="79" t="s">
        <x:v>3</x:v>
      </x:c>
      <x:c r="N2" s="94" t="s">
        <x:v>4</x:v>
      </x:c>
      <x:c r="O2" s="94"/>
      <x:c r="P2" s="94"/>
      <x:c r="Q2" s="94"/>
      <x:c r="R2" s="94"/>
      <x:c r="S2" s="94"/>
      <x:c r="T2" s="79"/>
      <x:c r="U2" s="79"/>
      <x:c r="V2" s="79"/>
      <x:c r="W2" s="79"/>
      <x:c r="X2" s="79"/>
      <x:c r="Y2" s="79"/>
      <x:c r="Z2" s="79"/>
      <x:c r="AA2" s="79" t="str">
        <x:f>IF(AND(LEN($N$2)&gt;=3,ISNUMBER(SEARCH($N$2,$B2))),MAX($AA$1:AA1)+1,"")</x:f>
      </x:c>
      <x:c r="AB2" s="79" t="str">
        <x:v>6a3782ffdf5573f4e676e24b</x:v>
      </x:c>
      <x:c r="AC2" s="79" t="str">
        <x:v>نوشیدنی‌ها</x:v>
      </x:c>
      <x:c r="AD2" s="79" t="str">
        <x:v>syrup</x:v>
      </x:c>
      <x:c r="AE2" s="79" t="str">
        <x:v>EDIBLE</x:v>
      </x:c>
      <x:c r="AF2" s="79" t="str">
        <x:v>بله</x:v>
      </x:c>
      <x:c r="AG2" s="79" t="str">
        <x:v>خیر</x:v>
      </x:c>
      <x:c r="AH2" s="79" t="n">
        <x:v>1</x:v>
      </x:c>
      <x:c r="AI2" s="79" t="str">
        <x:v>آب زرشک</x:v>
      </x:c>
      <x:c r="AJ2" s="79" t="str">
        <x:v>آرد و قنادی</x:v>
      </x:c>
      <x:c r="AK2" s="79" t="str">
        <x:v>MISSING_PRICE_REVIEW</x:v>
      </x:c>
    </x:row>
    <x:row r="3">
      <x:c r="A3" s="79" t="s">
        <x:v>495</x:v>
      </x:c>
      <x:c r="B3" s="79" t="s">
        <x:v>59</x:v>
      </x:c>
      <x:c r="C3" s="79" t="s">
        <x:v>496</x:v>
      </x:c>
      <x:c r="D3" s="79" t="s">
        <x:v>494</x:v>
      </x:c>
      <x:c r="E3" s="79" t="s">
        <x:v>16</x:v>
      </x:c>
      <x:c r="F3" s="79" t="s">
        <x:v>16</x:v>
      </x:c>
      <x:c r="G3" s="79" t="n">
        <x:f>IF(RIGHT($A3,2)="-2",INDEX('قیمت ها'!$E:$E,$J3+2),INDEX('قیمت ها'!$B:$B,$J3+2))</x:f>
        <x:v>270</x:v>
      </x:c>
      <x:c r="H3" s="110">
        <x:f t="shared" si="0"/>
        <x:v>270000</x:v>
      </x:c>
      <x:c r="I3" s="79" t="str">
        <x:f t="shared" si="1"/>
        <x:v>فعال</x:v>
      </x:c>
      <x:c r="J3" s="79">
        <x:v>36</x:v>
      </x:c>
      <x:c r="K3" s="79" t="s">
        <x:v>495</x:v>
      </x:c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  <x:c r="AA3" s="79" t="str">
        <x:f>IF(AND(LEN($N$2)&gt;=3,ISNUMBER(SEARCH($N$2,$B3))),MAX($AA$1:AA2)+1,"")</x:f>
      </x:c>
      <x:c r="AB3" s="79" t="str">
        <x:v>6a3782ffdf5573f4e676e24b</x:v>
      </x:c>
      <x:c r="AC3" s="79" t="str">
        <x:v>نوشیدنی‌ها</x:v>
      </x:c>
      <x:c r="AD3" s="79" t="str">
        <x:v>syrup</x:v>
      </x:c>
      <x:c r="AE3" s="79" t="str">
        <x:v>EDIBLE</x:v>
      </x:c>
      <x:c r="AF3" s="79" t="str">
        <x:v>بله</x:v>
      </x:c>
      <x:c r="AG3" s="79" t="str">
        <x:v>بله</x:v>
      </x:c>
      <x:c r="AH3" s="79" t="n">
        <x:v>2</x:v>
      </x:c>
      <x:c r="AI3" s="79" t="str">
        <x:v>آبغوره</x:v>
      </x:c>
      <x:c r="AJ3" s="79" t="str">
        <x:v>آرد و قنادی</x:v>
      </x:c>
      <x:c r="AK3" s="79"/>
    </x:row>
    <x:row r="4">
      <x:c r="A4" s="79" t="s">
        <x:v>497</x:v>
      </x:c>
      <x:c r="B4" s="79" t="s">
        <x:v>60</x:v>
      </x:c>
      <x:c r="C4" s="79" t="s">
        <x:v>498</x:v>
      </x:c>
      <x:c r="D4" s="79" t="s">
        <x:v>494</x:v>
      </x:c>
      <x:c r="E4" s="79" t="s">
        <x:v>16</x:v>
      </x:c>
      <x:c r="F4" s="79" t="s">
        <x:v>16</x:v>
      </x:c>
      <x:c r="G4" s="79" t="n">
        <x:f>IF(RIGHT($A4,2)="-2",INDEX('قیمت ها'!$E:$E,$J4+2),INDEX('قیمت ها'!$B:$B,$J4+2))</x:f>
        <x:v>390</x:v>
      </x:c>
      <x:c r="H4" s="110">
        <x:f t="shared" si="0"/>
        <x:v>390000</x:v>
      </x:c>
      <x:c r="I4" s="79" t="str">
        <x:f t="shared" si="1"/>
        <x:v>فعال</x:v>
      </x:c>
      <x:c r="J4" s="79">
        <x:v>37</x:v>
      </x:c>
      <x:c r="K4" s="79" t="s">
        <x:v>497</x:v>
      </x:c>
      <x:c r="L4" s="79"/>
      <x:c r="M4" s="111" t="s">
        <x:v>482</x:v>
      </x:c>
      <x:c r="N4" s="111" t="s">
        <x:v>5</x:v>
      </x:c>
      <x:c r="O4" s="111" t="s">
        <x:v>483</x:v>
      </x:c>
      <x:c r="P4" s="111" t="s">
        <x:v>485</x:v>
      </x:c>
      <x:c r="Q4" s="111" t="s">
        <x:v>488</x:v>
      </x:c>
      <x:c r="R4" s="111" t="s">
        <x:v>12</x:v>
      </x:c>
      <x:c r="S4" s="111" t="s">
        <x:v>489</x:v>
      </x:c>
      <x:c r="T4" s="79"/>
      <x:c r="U4" s="79"/>
      <x:c r="V4" s="79"/>
      <x:c r="W4" s="79"/>
      <x:c r="X4" s="79"/>
      <x:c r="Y4" s="79"/>
      <x:c r="Z4" s="79"/>
      <x:c r="AA4" s="79" t="str">
        <x:f>IF(AND(LEN($N$2)&gt;=3,ISNUMBER(SEARCH($N$2,$B4))),MAX($AA$1:AA3)+1,"")</x:f>
      </x:c>
      <x:c r="AB4" s="79" t="str">
        <x:v>6a3a00000000000000000004</x:v>
      </x:c>
      <x:c r="AC4" s="79" t="str">
        <x:v>آرد و قنادی</x:v>
      </x:c>
      <x:c r="AD4" s="79" t="str">
        <x:v>flour-confectionery</x:v>
      </x:c>
      <x:c r="AE4" s="79" t="str">
        <x:v>EDIBLE</x:v>
      </x:c>
      <x:c r="AF4" s="79" t="str">
        <x:v>بله</x:v>
      </x:c>
      <x:c r="AG4" s="79" t="str">
        <x:v>خیر</x:v>
      </x:c>
      <x:c r="AH4" s="79" t="n">
        <x:v>1</x:v>
      </x:c>
      <x:c r="AI4" s="79" t="str">
        <x:v>آرد برنج</x:v>
      </x:c>
      <x:c r="AJ4" s="79" t="str">
        <x:v>آرد و قنادی</x:v>
      </x:c>
      <x:c r="AK4" s="79"/>
    </x:row>
    <x:row r="5">
      <x:c r="A5" s="79" t="s">
        <x:v>499</x:v>
      </x:c>
      <x:c r="B5" s="79" t="s">
        <x:v>81</x:v>
      </x:c>
      <x:c r="C5" s="79" t="s">
        <x:v>500</x:v>
      </x:c>
      <x:c r="D5" s="79" t="s">
        <x:v>494</x:v>
      </x:c>
      <x:c r="E5" s="79" t="s">
        <x:v>16</x:v>
      </x:c>
      <x:c r="F5" s="79" t="s">
        <x:v>16</x:v>
      </x:c>
      <x:c r="G5" s="79" t="n">
        <x:f>IF(RIGHT($A5,2)="-2",INDEX('قیمت ها'!$E:$E,$J5+2),INDEX('قیمت ها'!$B:$B,$J5+2))</x:f>
        <x:v>610</x:v>
      </x:c>
      <x:c r="H5" s="110">
        <x:f t="shared" si="0"/>
        <x:v>610000</x:v>
      </x:c>
      <x:c r="I5" s="79" t="str">
        <x:f t="shared" si="1"/>
        <x:v>فعال</x:v>
      </x:c>
      <x:c r="J5" s="79">
        <x:v>50</x:v>
      </x:c>
      <x:c r="K5" s="79" t="s">
        <x:v>499</x:v>
      </x:c>
      <x:c r="L5" s="79"/>
      <x:c r="M5" s="79" t="str">
        <x:f>IFERROR(INDEX($A$2:$A$422,MATCH(ROWS($M$5:M5),$AA$2:$AA$422,0)),"")</x:f>
        <x:v>NS-0357-1</x:v>
      </x:c>
      <x:c r="N5" s="79" t="str">
        <x:f>IF($M5="","",INDEX($B$2:$B$422,MATCH(ROWS($M$5:M5),$AA$2:$AA$422,0)))</x:f>
        <x:v>گل گاوزبان</x:v>
      </x:c>
      <x:c r="O5" s="79" t="str">
        <x:f>IF($M5="","",INDEX($C$2:$C$422,MATCH(ROWS($M$5:M5),$AA$2:$AA$422,0)))</x:f>
        <x:v>borage_flower</x:v>
      </x:c>
      <x:c r="P5" s="79" t="str">
        <x:f>IF($M5="","",INDEX($E$2:$E$422,MATCH(ROWS($M$5:M5),$AA$2:$AA$422,0)))</x:f>
        <x:v>کیلو</x:v>
      </x:c>
      <x:c r="Q5" s="110" t="n">
        <x:f>IF($M5="","",INDEX($H$2:$H$422,MATCH(ROWS($M$5:M5),$AA$2:$AA$422,0)))</x:f>
        <x:v>4100000</x:v>
      </x:c>
      <x:c r="R5" s="79" t="str">
        <x:f>IF($M5="","",INDEX($I$2:$I$422,MATCH(ROWS($M$5:M5),$AA$2:$AA$422,0)))</x:f>
        <x:v>فعال</x:v>
      </x:c>
      <x:c r="S5" s="79" t="n">
        <x:f>IF($M5="","",INDEX($J$2:$J$422,MATCH(ROWS($M$5:M5),$AA$2:$AA$422,0)))</x:f>
        <x:v>358</x:v>
      </x:c>
      <x:c r="T5" s="79"/>
      <x:c r="U5" s="79"/>
      <x:c r="V5" s="79"/>
      <x:c r="W5" s="79"/>
      <x:c r="X5" s="79"/>
      <x:c r="Y5" s="79"/>
      <x:c r="Z5" s="79"/>
      <x:c r="AA5" s="79" t="str">
        <x:f>IF(AND(LEN($N$2)&gt;=3,ISNUMBER(SEARCH($N$2,$B5))),MAX($AA$1:AA4)+1,"")</x:f>
      </x:c>
      <x:c r="AB5" s="79" t="str">
        <x:v>6a3782d7df5573f4e676e243</x:v>
      </x:c>
      <x:c r="AC5" s="79" t="str">
        <x:v>گیاهان دارویی</x:v>
      </x:c>
      <x:c r="AD5" s="79" t="str">
        <x:v>medicinal-plants</x:v>
      </x:c>
      <x:c r="AE5" s="79" t="str">
        <x:v>EDIBLE</x:v>
      </x:c>
      <x:c r="AF5" s="79" t="str">
        <x:v>بله</x:v>
      </x:c>
      <x:c r="AG5" s="79" t="str">
        <x:v>خیر</x:v>
      </x:c>
      <x:c r="AH5" s="79" t="n">
        <x:v>1</x:v>
      </x:c>
      <x:c r="AI5" s="79" t="str">
        <x:v>بامیه پودر</x:v>
      </x:c>
      <x:c r="AJ5" s="79" t="str">
        <x:v>آرد و قنادی</x:v>
      </x:c>
      <x:c r="AK5" s="79" t="str">
        <x:v>دسته از «نیاز به بررسی» به «گیاهان دارویی» اصلاح شد</x:v>
      </x:c>
    </x:row>
    <x:row r="6">
      <x:c r="A6" s="79" t="s">
        <x:v>501</x:v>
      </x:c>
      <x:c r="B6" s="79" t="s">
        <x:v>462</x:v>
      </x:c>
      <x:c r="C6" s="79" t="s">
        <x:v>502</x:v>
      </x:c>
      <x:c r="D6" s="79" t="s">
        <x:v>494</x:v>
      </x:c>
      <x:c r="E6" s="79" t="s">
        <x:v>16</x:v>
      </x:c>
      <x:c r="F6" s="79" t="s">
        <x:v>16</x:v>
      </x:c>
      <x:c r="G6" s="79" t="n">
        <x:f>IF(RIGHT($A6,2)="-2",INDEX('قیمت ها'!$E:$E,$J6+2),INDEX('قیمت ها'!$B:$B,$J6+2))</x:f>
        <x:v>270</x:v>
      </x:c>
      <x:c r="H6" s="110">
        <x:f t="shared" si="0"/>
        <x:v>270000</x:v>
      </x:c>
      <x:c r="I6" s="79" t="str">
        <x:f t="shared" si="1"/>
        <x:v>فعال</x:v>
      </x:c>
      <x:c r="J6" s="79">
        <x:v>372</x:v>
      </x:c>
      <x:c r="K6" s="79" t="s">
        <x:v>501</x:v>
      </x:c>
      <x:c r="L6" s="79"/>
      <x:c r="M6" s="79" t="str">
        <x:f>IFERROR(INDEX($A$2:$A$422,MATCH(ROWS($M$5:M6),$AA$2:$AA$422,0)),"")</x:f>
      </x:c>
      <x:c r="N6" s="79" t="str">
        <x:f>IF($M6="","",INDEX($B$2:$B$422,MATCH(ROWS($M$5:M6),$AA$2:$AA$422,0)))</x:f>
      </x:c>
      <x:c r="O6" s="79" t="str">
        <x:f>IF($M6="","",INDEX($C$2:$C$422,MATCH(ROWS($M$5:M6),$AA$2:$AA$422,0)))</x:f>
      </x:c>
      <x:c r="P6" s="79" t="str">
        <x:f>IF($M6="","",INDEX($E$2:$E$422,MATCH(ROWS($M$5:M6),$AA$2:$AA$422,0)))</x:f>
      </x:c>
      <x:c r="Q6" s="110" t="str">
        <x:f>IF($M6="","",INDEX($H$2:$H$422,MATCH(ROWS($M$5:M6),$AA$2:$AA$422,0)))</x:f>
      </x:c>
      <x:c r="R6" s="79" t="str">
        <x:f>IF($M6="","",INDEX($I$2:$I$422,MATCH(ROWS($M$5:M6),$AA$2:$AA$422,0)))</x:f>
      </x:c>
      <x:c r="S6" s="79" t="str">
        <x:f>IF($M6="","",INDEX($J$2:$J$422,MATCH(ROWS($M$5:M6),$AA$2:$AA$422,0)))</x:f>
      </x:c>
      <x:c r="T6" s="79"/>
      <x:c r="U6" s="79"/>
      <x:c r="V6" s="79"/>
      <x:c r="W6" s="79"/>
      <x:c r="X6" s="79"/>
      <x:c r="Y6" s="79"/>
      <x:c r="Z6" s="79"/>
      <x:c r="AA6" s="79" t="str">
        <x:f>IF(AND(LEN($N$2)&gt;=3,ISNUMBER(SEARCH($N$2,$B6))),MAX($AA$1:AA5)+1,"")</x:f>
      </x:c>
      <x:c r="AB6" s="79" t="str">
        <x:v>6a3781e4df5573f4e676e226</x:v>
      </x:c>
      <x:c r="AC6" s="79" t="str">
        <x:v>ادویه</x:v>
      </x:c>
      <x:c r="AD6" s="79" t="str">
        <x:v>spice</x:v>
      </x:c>
      <x:c r="AE6" s="79" t="str">
        <x:v>EDIBLE</x:v>
      </x:c>
      <x:c r="AF6" s="79" t="str">
        <x:v>بله</x:v>
      </x:c>
      <x:c r="AG6" s="79" t="str">
        <x:v>خیر</x:v>
      </x:c>
      <x:c r="AH6" s="79" t="n">
        <x:v>1</x:v>
      </x:c>
      <x:c r="AI6" s="79" t="str">
        <x:v>میخک</x:v>
      </x:c>
      <x:c r="AJ6" s="79" t="str">
        <x:v>آرد و قنادی</x:v>
      </x:c>
      <x:c r="AK6" s="79"/>
    </x:row>
    <x:row r="7">
      <x:c r="A7" s="79" t="s">
        <x:v>503</x:v>
      </x:c>
      <x:c r="B7" s="79" t="s">
        <x:v>463</x:v>
      </x:c>
      <x:c r="C7" s="79" t="s">
        <x:v>504</x:v>
      </x:c>
      <x:c r="D7" s="79" t="s">
        <x:v>494</x:v>
      </x:c>
      <x:c r="E7" s="79" t="s">
        <x:v>16</x:v>
      </x:c>
      <x:c r="F7" s="79" t="s">
        <x:v>16</x:v>
      </x:c>
      <x:c r="G7" s="79" t="n">
        <x:f>IF(RIGHT($A7,2)="-2",INDEX('قیمت ها'!$E:$E,$J7+2),INDEX('قیمت ها'!$B:$B,$J7+2))</x:f>
        <x:v>250</x:v>
      </x:c>
      <x:c r="H7" s="110">
        <x:f t="shared" si="0"/>
        <x:v>250000</x:v>
      </x:c>
      <x:c r="I7" s="79" t="str">
        <x:f t="shared" si="1"/>
        <x:v>فعال</x:v>
      </x:c>
      <x:c r="J7" s="79">
        <x:v>373</x:v>
      </x:c>
      <x:c r="K7" s="79" t="s">
        <x:v>503</x:v>
      </x:c>
      <x:c r="L7" s="79"/>
      <x:c r="M7" s="79" t="str">
        <x:f>IFERROR(INDEX($A$2:$A$422,MATCH(ROWS($M$5:M7),$AA$2:$AA$422,0)),"")</x:f>
      </x:c>
      <x:c r="N7" s="79" t="str">
        <x:f>IF($M7="","",INDEX($B$2:$B$422,MATCH(ROWS($M$5:M7),$AA$2:$AA$422,0)))</x:f>
      </x:c>
      <x:c r="O7" s="79" t="str">
        <x:f>IF($M7="","",INDEX($C$2:$C$422,MATCH(ROWS($M$5:M7),$AA$2:$AA$422,0)))</x:f>
      </x:c>
      <x:c r="P7" s="79" t="str">
        <x:f>IF($M7="","",INDEX($E$2:$E$422,MATCH(ROWS($M$5:M7),$AA$2:$AA$422,0)))</x:f>
      </x:c>
      <x:c r="Q7" s="110" t="str">
        <x:f>IF($M7="","",INDEX($H$2:$H$422,MATCH(ROWS($M$5:M7),$AA$2:$AA$422,0)))</x:f>
      </x:c>
      <x:c r="R7" s="79" t="str">
        <x:f>IF($M7="","",INDEX($I$2:$I$422,MATCH(ROWS($M$5:M7),$AA$2:$AA$422,0)))</x:f>
      </x:c>
      <x:c r="S7" s="79" t="str">
        <x:f>IF($M7="","",INDEX($J$2:$J$422,MATCH(ROWS($M$5:M7),$AA$2:$AA$422,0)))</x:f>
      </x:c>
      <x:c r="T7" s="79"/>
      <x:c r="U7" s="79"/>
      <x:c r="V7" s="79"/>
      <x:c r="W7" s="79"/>
      <x:c r="X7" s="79"/>
      <x:c r="Y7" s="79"/>
      <x:c r="Z7" s="79"/>
      <x:c r="AA7" s="79" t="str">
        <x:f>IF(AND(LEN($N$2)&gt;=3,ISNUMBER(SEARCH($N$2,$B7))),MAX($AA$1:AA6)+1,"")</x:f>
      </x:c>
      <x:c r="AB7" s="79" t="str">
        <x:v>6a37810ddf5573f4e676e201</x:v>
      </x:c>
      <x:c r="AC7" s="79" t="str">
        <x:v>خشکبار و آجیل</x:v>
      </x:c>
      <x:c r="AD7" s="79" t="str">
        <x:v>dried-fruits-nuts</x:v>
      </x:c>
      <x:c r="AE7" s="79" t="str">
        <x:v>EDIBLE</x:v>
      </x:c>
      <x:c r="AF7" s="79" t="str">
        <x:v>بله</x:v>
      </x:c>
      <x:c r="AG7" s="79" t="str">
        <x:v>خیر</x:v>
      </x:c>
      <x:c r="AH7" s="79" t="n">
        <x:v>1</x:v>
      </x:c>
      <x:c r="AI7" s="79" t="str">
        <x:v>نارگیل سریلانکا چرب</x:v>
      </x:c>
      <x:c r="AJ7" s="79" t="str">
        <x:v>آرد و قنادی</x:v>
      </x:c>
      <x:c r="AK7" s="79" t="str">
        <x:v>دسته از «نیاز به بررسی» به «خشکبار و آجیل» اصلاح شد</x:v>
      </x:c>
    </x:row>
    <x:row r="8">
      <x:c r="A8" s="79" t="s">
        <x:v>505</x:v>
      </x:c>
      <x:c r="B8" s="79" t="s">
        <x:v>262</x:v>
      </x:c>
      <x:c r="C8" s="79" t="s">
        <x:v>506</x:v>
      </x:c>
      <x:c r="D8" s="79" t="s">
        <x:v>494</x:v>
      </x:c>
      <x:c r="E8" s="79" t="s">
        <x:v>16</x:v>
      </x:c>
      <x:c r="F8" s="79" t="s">
        <x:v>16</x:v>
      </x:c>
      <x:c r="G8" s="79" t="n">
        <x:f>IF(RIGHT($A8,2)="-2",INDEX('قیمت ها'!$E:$E,$J8+2),INDEX('قیمت ها'!$B:$B,$J8+2))</x:f>
        <x:v>910</x:v>
      </x:c>
      <x:c r="H8" s="110">
        <x:f t="shared" si="0"/>
        <x:v>910000</x:v>
      </x:c>
      <x:c r="I8" s="79" t="str">
        <x:f t="shared" si="1"/>
        <x:v>فعال</x:v>
      </x:c>
      <x:c r="J8" s="79">
        <x:v>202</x:v>
      </x:c>
      <x:c r="K8" s="79" t="s">
        <x:v>505</x:v>
      </x:c>
      <x:c r="L8" s="79"/>
      <x:c r="M8" s="79" t="str">
        <x:f>IFERROR(INDEX($A$2:$A$422,MATCH(ROWS($M$5:M8),$AA$2:$AA$422,0)),"")</x:f>
      </x:c>
      <x:c r="N8" s="79" t="str">
        <x:f>IF($M8="","",INDEX($B$2:$B$422,MATCH(ROWS($M$5:M8),$AA$2:$AA$422,0)))</x:f>
      </x:c>
      <x:c r="O8" s="79" t="str">
        <x:f>IF($M8="","",INDEX($C$2:$C$422,MATCH(ROWS($M$5:M8),$AA$2:$AA$422,0)))</x:f>
      </x:c>
      <x:c r="P8" s="79" t="str">
        <x:f>IF($M8="","",INDEX($E$2:$E$422,MATCH(ROWS($M$5:M8),$AA$2:$AA$422,0)))</x:f>
      </x:c>
      <x:c r="Q8" s="110" t="str">
        <x:f>IF($M8="","",INDEX($H$2:$H$422,MATCH(ROWS($M$5:M8),$AA$2:$AA$422,0)))</x:f>
      </x:c>
      <x:c r="R8" s="79" t="str">
        <x:f>IF($M8="","",INDEX($I$2:$I$422,MATCH(ROWS($M$5:M8),$AA$2:$AA$422,0)))</x:f>
      </x:c>
      <x:c r="S8" s="79" t="str">
        <x:f>IF($M8="","",INDEX($J$2:$J$422,MATCH(ROWS($M$5:M8),$AA$2:$AA$422,0)))</x:f>
      </x:c>
      <x:c r="T8" s="79"/>
      <x:c r="U8" s="79"/>
      <x:c r="V8" s="79"/>
      <x:c r="W8" s="79"/>
      <x:c r="X8" s="79"/>
      <x:c r="Y8" s="79"/>
      <x:c r="Z8" s="79"/>
      <x:c r="AA8" s="79" t="str">
        <x:f>IF(AND(LEN($N$2)&gt;=3,ISNUMBER(SEARCH($N$2,$B8))),MAX($AA$1:AA7)+1,"")</x:f>
      </x:c>
      <x:c r="AB8" s="79" t="str">
        <x:v>6a3781e4df5573f4e676e226</x:v>
      </x:c>
      <x:c r="AC8" s="79" t="str">
        <x:v>ادویه</x:v>
      </x:c>
      <x:c r="AD8" s="79" t="str">
        <x:v>spice</x:v>
      </x:c>
      <x:c r="AE8" s="79" t="str">
        <x:v>EDIBLE</x:v>
      </x:c>
      <x:c r="AF8" s="79" t="str">
        <x:v>بله</x:v>
      </x:c>
      <x:c r="AG8" s="79" t="str">
        <x:v>خیر</x:v>
      </x:c>
      <x:c r="AH8" s="79" t="n">
        <x:v>1</x:v>
      </x:c>
      <x:c r="AI8" s="79" t="str">
        <x:v>زیره سبز</x:v>
      </x:c>
      <x:c r="AJ8" s="79" t="str">
        <x:v>آرد و قنادی</x:v>
      </x:c>
      <x:c r="AK8" s="79"/>
    </x:row>
    <x:row r="9">
      <x:c r="A9" s="79" t="s">
        <x:v>507</x:v>
      </x:c>
      <x:c r="B9" s="79" t="s">
        <x:v>20</x:v>
      </x:c>
      <x:c r="C9" s="79" t="s">
        <x:v>508</x:v>
      </x:c>
      <x:c r="D9" s="79" t="s">
        <x:v>509</x:v>
      </x:c>
      <x:c r="E9" s="79" t="s">
        <x:v>16</x:v>
      </x:c>
      <x:c r="F9" s="79" t="s">
        <x:v>16</x:v>
      </x:c>
      <x:c r="G9" s="79" t="n">
        <x:f>IF(RIGHT($A9,2)="-2",INDEX('قیمت ها'!$E:$E,$J9+2),INDEX('قیمت ها'!$B:$B,$J9+2))</x:f>
        <x:v>600</x:v>
      </x:c>
      <x:c r="H9" s="110">
        <x:f t="shared" si="0"/>
        <x:v>600000</x:v>
      </x:c>
      <x:c r="I9" s="79" t="str">
        <x:f t="shared" si="1"/>
        <x:v>فعال</x:v>
      </x:c>
      <x:c r="J9" s="79">
        <x:v>4</x:v>
      </x:c>
      <x:c r="K9" s="79" t="s">
        <x:v>507</x:v>
      </x:c>
      <x:c r="L9" s="79"/>
      <x:c r="M9" s="79" t="str">
        <x:f>IFERROR(INDEX($A$2:$A$422,MATCH(ROWS($M$5:M9),$AA$2:$AA$422,0)),"")</x:f>
      </x:c>
      <x:c r="N9" s="79" t="str">
        <x:f>IF($M9="","",INDEX($B$2:$B$422,MATCH(ROWS($M$5:M9),$AA$2:$AA$422,0)))</x:f>
      </x:c>
      <x:c r="O9" s="79" t="str">
        <x:f>IF($M9="","",INDEX($C$2:$C$422,MATCH(ROWS($M$5:M9),$AA$2:$AA$422,0)))</x:f>
      </x:c>
      <x:c r="P9" s="79" t="str">
        <x:f>IF($M9="","",INDEX($E$2:$E$422,MATCH(ROWS($M$5:M9),$AA$2:$AA$422,0)))</x:f>
      </x:c>
      <x:c r="Q9" s="110" t="str">
        <x:f>IF($M9="","",INDEX($H$2:$H$422,MATCH(ROWS($M$5:M9),$AA$2:$AA$422,0)))</x:f>
      </x:c>
      <x:c r="R9" s="79" t="str">
        <x:f>IF($M9="","",INDEX($I$2:$I$422,MATCH(ROWS($M$5:M9),$AA$2:$AA$422,0)))</x:f>
      </x:c>
      <x:c r="S9" s="79" t="str">
        <x:f>IF($M9="","",INDEX($J$2:$J$422,MATCH(ROWS($M$5:M9),$AA$2:$AA$422,0)))</x:f>
      </x:c>
      <x:c r="T9" s="79"/>
      <x:c r="U9" s="79"/>
      <x:c r="V9" s="79"/>
      <x:c r="W9" s="79"/>
      <x:c r="X9" s="79"/>
      <x:c r="Y9" s="79"/>
      <x:c r="Z9" s="79"/>
      <x:c r="AA9" s="79" t="str">
        <x:f>IF(AND(LEN($N$2)&gt;=3,ISNUMBER(SEARCH($N$2,$B9))),MAX($AA$1:AA8)+1,"")</x:f>
      </x:c>
      <x:c r="AB9" s="79" t="str">
        <x:v>6a3781e4df5573f4e676e226</x:v>
      </x:c>
      <x:c r="AC9" s="79" t="str">
        <x:v>ادویه</x:v>
      </x:c>
      <x:c r="AD9" s="79" t="str">
        <x:v>spice</x:v>
      </x:c>
      <x:c r="AE9" s="79" t="str">
        <x:v>EDIBLE</x:v>
      </x:c>
      <x:c r="AF9" s="79" t="str">
        <x:v>بله</x:v>
      </x:c>
      <x:c r="AG9" s="79" t="str">
        <x:v>خیر</x:v>
      </x:c>
      <x:c r="AH9" s="79" t="n">
        <x:v>1</x:v>
      </x:c>
      <x:c r="AI9" s="79" t="str">
        <x:v>ادویه استیک</x:v>
      </x:c>
      <x:c r="AJ9" s="79" t="str">
        <x:v>ادویه و چاشنی</x:v>
      </x:c>
      <x:c r="AK9" s="79"/>
    </x:row>
    <x:row r="10">
      <x:c r="A10" s="79" t="s">
        <x:v>510</x:v>
      </x:c>
      <x:c r="B10" s="79" t="s">
        <x:v>14</x:v>
      </x:c>
      <x:c r="C10" s="79" t="s">
        <x:v>511</x:v>
      </x:c>
      <x:c r="D10" s="79" t="s">
        <x:v>509</x:v>
      </x:c>
      <x:c r="E10" s="79" t="s">
        <x:v>16</x:v>
      </x:c>
      <x:c r="F10" s="79" t="s">
        <x:v>16</x:v>
      </x:c>
      <x:c r="G10" s="79" t="str">
        <x:f>IF(RIGHT($A10,2)="-2",INDEX('قیمت ها'!$E:$E,$J10+2),INDEX('قیمت ها'!$B:$B,$J10+2))</x:f>
        <x:v>1/150</x:v>
      </x:c>
      <x:c r="H10" s="110">
        <x:f t="shared" si="0"/>
        <x:v>1150000</x:v>
      </x:c>
      <x:c r="I10" s="79" t="str">
        <x:f t="shared" si="1"/>
        <x:v>فعال</x:v>
      </x:c>
      <x:c r="J10" s="79">
        <x:v>2</x:v>
      </x:c>
      <x:c r="K10" s="79" t="s">
        <x:v>510</x:v>
      </x:c>
      <x:c r="L10" s="79"/>
      <x:c r="M10" s="79" t="str">
        <x:f>IFERROR(INDEX($A$2:$A$422,MATCH(ROWS($M$5:M10),$AA$2:$AA$422,0)),"")</x:f>
      </x:c>
      <x:c r="N10" s="79" t="str">
        <x:f>IF($M10="","",INDEX($B$2:$B$422,MATCH(ROWS($M$5:M10),$AA$2:$AA$422,0)))</x:f>
      </x:c>
      <x:c r="O10" s="79" t="str">
        <x:f>IF($M10="","",INDEX($C$2:$C$422,MATCH(ROWS($M$5:M10),$AA$2:$AA$422,0)))</x:f>
      </x:c>
      <x:c r="P10" s="79" t="str">
        <x:f>IF($M10="","",INDEX($E$2:$E$422,MATCH(ROWS($M$5:M10),$AA$2:$AA$422,0)))</x:f>
      </x:c>
      <x:c r="Q10" s="110" t="str">
        <x:f>IF($M10="","",INDEX($H$2:$H$422,MATCH(ROWS($M$5:M10),$AA$2:$AA$422,0)))</x:f>
      </x:c>
      <x:c r="R10" s="79" t="str">
        <x:f>IF($M10="","",INDEX($I$2:$I$422,MATCH(ROWS($M$5:M10),$AA$2:$AA$422,0)))</x:f>
      </x:c>
      <x:c r="S10" s="79" t="str">
        <x:f>IF($M10="","",INDEX($J$2:$J$422,MATCH(ROWS($M$5:M10),$AA$2:$AA$422,0)))</x:f>
      </x:c>
      <x:c r="T10" s="79"/>
      <x:c r="U10" s="79"/>
      <x:c r="V10" s="79"/>
      <x:c r="W10" s="79"/>
      <x:c r="X10" s="79"/>
      <x:c r="Y10" s="79"/>
      <x:c r="Z10" s="79"/>
      <x:c r="AA10" s="79" t="str">
        <x:f>IF(AND(LEN($N$2)&gt;=3,ISNUMBER(SEARCH($N$2,$B10))),MAX($AA$1:AA9)+1,"")</x:f>
      </x:c>
      <x:c r="AB10" s="79"/>
      <x:c r="AC10" s="79"/>
      <x:c r="AD10" s="79"/>
      <x:c r="AE10" s="79"/>
      <x:c r="AF10" s="79"/>
      <x:c r="AG10" s="79"/>
      <x:c r="AH10" s="79"/>
      <x:c r="AI10" s="79"/>
      <x:c r="AJ10" s="79"/>
      <x:c r="AK10" s="79"/>
    </x:row>
    <x:row r="11">
      <x:c r="A11" s="79" t="s">
        <x:v>512</x:v>
      </x:c>
      <x:c r="B11" s="79" t="s">
        <x:v>19</x:v>
      </x:c>
      <x:c r="C11" s="79" t="s">
        <x:v>513</x:v>
      </x:c>
      <x:c r="D11" s="79" t="s">
        <x:v>509</x:v>
      </x:c>
      <x:c r="E11" s="79" t="s">
        <x:v>16</x:v>
      </x:c>
      <x:c r="F11" s="79" t="s">
        <x:v>16</x:v>
      </x:c>
      <x:c r="G11" s="79" t="n">
        <x:f>IF(RIGHT($A11,2)="-2",INDEX('قیمت ها'!$E:$E,$J11+2),INDEX('قیمت ها'!$B:$B,$J11+2))</x:f>
        <x:v>800</x:v>
      </x:c>
      <x:c r="H11" s="110">
        <x:f t="shared" si="0"/>
        <x:v>800000</x:v>
      </x:c>
      <x:c r="I11" s="79" t="str">
        <x:f t="shared" si="1"/>
        <x:v>فعال</x:v>
      </x:c>
      <x:c r="J11" s="79">
        <x:v>3</x:v>
      </x:c>
      <x:c r="K11" s="79" t="s">
        <x:v>512</x:v>
      </x:c>
      <x:c r="L11" s="79"/>
      <x:c r="M11" s="79" t="str">
        <x:f>IFERROR(INDEX($A$2:$A$422,MATCH(ROWS($M$5:M11),$AA$2:$AA$422,0)),"")</x:f>
      </x:c>
      <x:c r="N11" s="79" t="str">
        <x:f>IF($M11="","",INDEX($B$2:$B$422,MATCH(ROWS($M$5:M11),$AA$2:$AA$422,0)))</x:f>
      </x:c>
      <x:c r="O11" s="79" t="str">
        <x:f>IF($M11="","",INDEX($C$2:$C$422,MATCH(ROWS($M$5:M11),$AA$2:$AA$422,0)))</x:f>
      </x:c>
      <x:c r="P11" s="79" t="str">
        <x:f>IF($M11="","",INDEX($E$2:$E$422,MATCH(ROWS($M$5:M11),$AA$2:$AA$422,0)))</x:f>
      </x:c>
      <x:c r="Q11" s="110" t="str">
        <x:f>IF($M11="","",INDEX($H$2:$H$422,MATCH(ROWS($M$5:M11),$AA$2:$AA$422,0)))</x:f>
      </x:c>
      <x:c r="R11" s="79" t="str">
        <x:f>IF($M11="","",INDEX($I$2:$I$422,MATCH(ROWS($M$5:M11),$AA$2:$AA$422,0)))</x:f>
      </x:c>
      <x:c r="S11" s="79" t="str">
        <x:f>IF($M11="","",INDEX($J$2:$J$422,MATCH(ROWS($M$5:M11),$AA$2:$AA$422,0)))</x:f>
      </x:c>
      <x:c r="T11" s="79"/>
      <x:c r="U11" s="79"/>
      <x:c r="V11" s="79"/>
      <x:c r="W11" s="79"/>
      <x:c r="X11" s="79"/>
      <x:c r="Y11" s="79"/>
      <x:c r="Z11" s="79"/>
      <x:c r="AA11" s="79" t="str">
        <x:f>IF(AND(LEN($N$2)&gt;=3,ISNUMBER(SEARCH($N$2,$B11))),MAX($AA$1:AA10)+1,"")</x:f>
      </x:c>
      <x:c r="AB11" s="79"/>
      <x:c r="AC11" s="79"/>
      <x:c r="AD11" s="79"/>
      <x:c r="AE11" s="79"/>
      <x:c r="AF11" s="79"/>
      <x:c r="AG11" s="79"/>
      <x:c r="AH11" s="79"/>
      <x:c r="AI11" s="79"/>
      <x:c r="AJ11" s="79"/>
      <x:c r="AK11" s="79"/>
    </x:row>
    <x:row r="12">
      <x:c r="A12" s="79" t="s">
        <x:v>514</x:v>
      </x:c>
      <x:c r="B12" s="79" t="s">
        <x:v>25</x:v>
      </x:c>
      <x:c r="C12" s="79" t="s">
        <x:v>515</x:v>
      </x:c>
      <x:c r="D12" s="79" t="s">
        <x:v>509</x:v>
      </x:c>
      <x:c r="E12" s="79" t="s">
        <x:v>16</x:v>
      </x:c>
      <x:c r="F12" s="79" t="s">
        <x:v>16</x:v>
      </x:c>
      <x:c r="G12" s="79" t="n">
        <x:f>IF(RIGHT($A12,2)="-2",INDEX('قیمت ها'!$E:$E,$J12+2),INDEX('قیمت ها'!$B:$B,$J12+2))</x:f>
        <x:v>850</x:v>
      </x:c>
      <x:c r="H12" s="110">
        <x:f t="shared" si="0"/>
        <x:v>850000</x:v>
      </x:c>
      <x:c r="I12" s="79" t="str">
        <x:f t="shared" si="1"/>
        <x:v>فعال</x:v>
      </x:c>
      <x:c r="J12" s="79">
        <x:v>8</x:v>
      </x:c>
      <x:c r="K12" s="79" t="s">
        <x:v>514</x:v>
      </x:c>
      <x:c r="L12" s="79"/>
      <x:c r="M12" s="79" t="str">
        <x:f>IFERROR(INDEX($A$2:$A$422,MATCH(ROWS($M$5:M12),$AA$2:$AA$422,0)),"")</x:f>
      </x:c>
      <x:c r="N12" s="79" t="str">
        <x:f>IF($M12="","",INDEX($B$2:$B$422,MATCH(ROWS($M$5:M12),$AA$2:$AA$422,0)))</x:f>
      </x:c>
      <x:c r="O12" s="79" t="str">
        <x:f>IF($M12="","",INDEX($C$2:$C$422,MATCH(ROWS($M$5:M12),$AA$2:$AA$422,0)))</x:f>
      </x:c>
      <x:c r="P12" s="79" t="str">
        <x:f>IF($M12="","",INDEX($E$2:$E$422,MATCH(ROWS($M$5:M12),$AA$2:$AA$422,0)))</x:f>
      </x:c>
      <x:c r="Q12" s="110" t="str">
        <x:f>IF($M12="","",INDEX($H$2:$H$422,MATCH(ROWS($M$5:M12),$AA$2:$AA$422,0)))</x:f>
      </x:c>
      <x:c r="R12" s="79" t="str">
        <x:f>IF($M12="","",INDEX($I$2:$I$422,MATCH(ROWS($M$5:M12),$AA$2:$AA$422,0)))</x:f>
      </x:c>
      <x:c r="S12" s="79" t="str">
        <x:f>IF($M12="","",INDEX($J$2:$J$422,MATCH(ROWS($M$5:M12),$AA$2:$AA$422,0)))</x:f>
      </x:c>
      <x:c r="T12" s="79"/>
      <x:c r="U12" s="79"/>
      <x:c r="V12" s="79"/>
      <x:c r="W12" s="79"/>
      <x:c r="X12" s="79"/>
      <x:c r="Y12" s="79"/>
      <x:c r="Z12" s="79"/>
      <x:c r="AA12" s="79" t="str">
        <x:f>IF(AND(LEN($N$2)&gt;=3,ISNUMBER(SEARCH($N$2,$B12))),MAX($AA$1:AA11)+1,"")</x:f>
      </x:c>
      <x:c r="AB12" s="79" t="str">
        <x:v>6a3781e4df5573f4e676e226</x:v>
      </x:c>
      <x:c r="AC12" s="79" t="str">
        <x:v>ادویه</x:v>
      </x:c>
      <x:c r="AD12" s="79" t="str">
        <x:v>spice</x:v>
      </x:c>
      <x:c r="AE12" s="79" t="str">
        <x:v>EDIBLE</x:v>
      </x:c>
      <x:c r="AF12" s="79" t="str">
        <x:v>بله</x:v>
      </x:c>
      <x:c r="AG12" s="79" t="str">
        <x:v>خیر</x:v>
      </x:c>
      <x:c r="AH12" s="79" t="n">
        <x:v>1</x:v>
      </x:c>
      <x:c r="AI12" s="79" t="str">
        <x:v>ادویه پنیر فرانسه</x:v>
      </x:c>
      <x:c r="AJ12" s="79" t="str">
        <x:v>ادویه و چاشنی</x:v>
      </x:c>
      <x:c r="AK12" s="79"/>
    </x:row>
    <x:row r="13">
      <x:c r="A13" s="79" t="s">
        <x:v>516</x:v>
      </x:c>
      <x:c r="B13" s="79" t="s">
        <x:v>26</x:v>
      </x:c>
      <x:c r="C13" s="79" t="s">
        <x:v>517</x:v>
      </x:c>
      <x:c r="D13" s="79" t="s">
        <x:v>509</x:v>
      </x:c>
      <x:c r="E13" s="79" t="s">
        <x:v>16</x:v>
      </x:c>
      <x:c r="F13" s="79" t="s">
        <x:v>16</x:v>
      </x:c>
      <x:c r="G13" s="79" t="n">
        <x:f>IF(RIGHT($A13,2)="-2",INDEX('قیمت ها'!$E:$E,$J13+2),INDEX('قیمت ها'!$B:$B,$J13+2))</x:f>
        <x:v>750</x:v>
      </x:c>
      <x:c r="H13" s="110">
        <x:f t="shared" si="0"/>
        <x:v>750000</x:v>
      </x:c>
      <x:c r="I13" s="79" t="str">
        <x:f t="shared" si="1"/>
        <x:v>فعال</x:v>
      </x:c>
      <x:c r="J13" s="79">
        <x:v>9</x:v>
      </x:c>
      <x:c r="K13" s="79" t="s">
        <x:v>516</x:v>
      </x:c>
      <x:c r="L13" s="79"/>
      <x:c r="M13" s="79" t="str">
        <x:f>IFERROR(INDEX($A$2:$A$422,MATCH(ROWS($M$5:M13),$AA$2:$AA$422,0)),"")</x:f>
      </x:c>
      <x:c r="N13" s="79" t="str">
        <x:f>IF($M13="","",INDEX($B$2:$B$422,MATCH(ROWS($M$5:M13),$AA$2:$AA$422,0)))</x:f>
      </x:c>
      <x:c r="O13" s="79" t="str">
        <x:f>IF($M13="","",INDEX($C$2:$C$422,MATCH(ROWS($M$5:M13),$AA$2:$AA$422,0)))</x:f>
      </x:c>
      <x:c r="P13" s="79" t="str">
        <x:f>IF($M13="","",INDEX($E$2:$E$422,MATCH(ROWS($M$5:M13),$AA$2:$AA$422,0)))</x:f>
      </x:c>
      <x:c r="Q13" s="110" t="str">
        <x:f>IF($M13="","",INDEX($H$2:$H$422,MATCH(ROWS($M$5:M13),$AA$2:$AA$422,0)))</x:f>
      </x:c>
      <x:c r="R13" s="79" t="str">
        <x:f>IF($M13="","",INDEX($I$2:$I$422,MATCH(ROWS($M$5:M13),$AA$2:$AA$422,0)))</x:f>
      </x:c>
      <x:c r="S13" s="79" t="str">
        <x:f>IF($M13="","",INDEX($J$2:$J$422,MATCH(ROWS($M$5:M13),$AA$2:$AA$422,0)))</x:f>
      </x:c>
      <x:c r="T13" s="79"/>
      <x:c r="U13" s="79"/>
      <x:c r="V13" s="79"/>
      <x:c r="W13" s="79"/>
      <x:c r="X13" s="79"/>
      <x:c r="Y13" s="79"/>
      <x:c r="Z13" s="79"/>
      <x:c r="AA13" s="79" t="str">
        <x:f>IF(AND(LEN($N$2)&gt;=3,ISNUMBER(SEARCH($N$2,$B13))),MAX($AA$1:AA12)+1,"")</x:f>
      </x:c>
      <x:c r="AB13" s="79" t="str">
        <x:v>6a3781e4df5573f4e676e226</x:v>
      </x:c>
      <x:c r="AC13" s="79" t="str">
        <x:v>ادویه</x:v>
      </x:c>
      <x:c r="AD13" s="79" t="str">
        <x:v>spice</x:v>
      </x:c>
      <x:c r="AE13" s="79" t="str">
        <x:v>EDIBLE</x:v>
      </x:c>
      <x:c r="AF13" s="79" t="str">
        <x:v>بله</x:v>
      </x:c>
      <x:c r="AG13" s="79" t="str">
        <x:v>خیر</x:v>
      </x:c>
      <x:c r="AH13" s="79" t="n">
        <x:v>1</x:v>
      </x:c>
      <x:c r="AI13" s="79" t="str">
        <x:v>ادویه پیاز و سبزیجات</x:v>
      </x:c>
      <x:c r="AJ13" s="79" t="str">
        <x:v>ادویه و چاشنی</x:v>
      </x:c>
      <x:c r="AK13" s="79"/>
    </x:row>
    <x:row r="14">
      <x:c r="A14" s="79" t="s">
        <x:v>518</x:v>
      </x:c>
      <x:c r="B14" s="79" t="s">
        <x:v>28</x:v>
      </x:c>
      <x:c r="C14" s="79" t="s">
        <x:v>519</x:v>
      </x:c>
      <x:c r="D14" s="79" t="s">
        <x:v>509</x:v>
      </x:c>
      <x:c r="E14" s="79" t="s">
        <x:v>16</x:v>
      </x:c>
      <x:c r="F14" s="79" t="s">
        <x:v>16</x:v>
      </x:c>
      <x:c r="G14" s="79" t="str">
        <x:f>IF(RIGHT($A14,2)="-2",INDEX('قیمت ها'!$E:$E,$J14+2),INDEX('قیمت ها'!$B:$B,$J14+2))</x:f>
        <x:v>1/100</x:v>
      </x:c>
      <x:c r="H14" s="110">
        <x:f t="shared" si="0"/>
        <x:v>1100000</x:v>
      </x:c>
      <x:c r="I14" s="79" t="str">
        <x:f t="shared" si="1"/>
        <x:v>فعال</x:v>
      </x:c>
      <x:c r="J14" s="79">
        <x:v>11</x:v>
      </x:c>
      <x:c r="K14" s="79" t="s">
        <x:v>518</x:v>
      </x:c>
      <x:c r="L14" s="79"/>
      <x:c r="M14" s="79" t="str">
        <x:f>IFERROR(INDEX($A$2:$A$422,MATCH(ROWS($M$5:M14),$AA$2:$AA$422,0)),"")</x:f>
      </x:c>
      <x:c r="N14" s="79" t="str">
        <x:f>IF($M14="","",INDEX($B$2:$B$422,MATCH(ROWS($M$5:M14),$AA$2:$AA$422,0)))</x:f>
      </x:c>
      <x:c r="O14" s="79" t="str">
        <x:f>IF($M14="","",INDEX($C$2:$C$422,MATCH(ROWS($M$5:M14),$AA$2:$AA$422,0)))</x:f>
      </x:c>
      <x:c r="P14" s="79" t="str">
        <x:f>IF($M14="","",INDEX($E$2:$E$422,MATCH(ROWS($M$5:M14),$AA$2:$AA$422,0)))</x:f>
      </x:c>
      <x:c r="Q14" s="110" t="str">
        <x:f>IF($M14="","",INDEX($H$2:$H$422,MATCH(ROWS($M$5:M14),$AA$2:$AA$422,0)))</x:f>
      </x:c>
      <x:c r="R14" s="79" t="str">
        <x:f>IF($M14="","",INDEX($I$2:$I$422,MATCH(ROWS($M$5:M14),$AA$2:$AA$422,0)))</x:f>
      </x:c>
      <x:c r="S14" s="79" t="str">
        <x:f>IF($M14="","",INDEX($J$2:$J$422,MATCH(ROWS($M$5:M14),$AA$2:$AA$422,0)))</x:f>
      </x:c>
      <x:c r="T14" s="79"/>
      <x:c r="U14" s="79"/>
      <x:c r="V14" s="79"/>
      <x:c r="W14" s="79"/>
      <x:c r="X14" s="79"/>
      <x:c r="Y14" s="79"/>
      <x:c r="Z14" s="79"/>
      <x:c r="AA14" s="79" t="str">
        <x:f>IF(AND(LEN($N$2)&gt;=3,ISNUMBER(SEARCH($N$2,$B14))),MAX($AA$1:AA13)+1,"")</x:f>
      </x:c>
      <x:c r="AB14" s="79" t="str">
        <x:v>6a3781e4df5573f4e676e226</x:v>
      </x:c>
      <x:c r="AC14" s="79" t="str">
        <x:v>ادویه</x:v>
      </x:c>
      <x:c r="AD14" s="79" t="str">
        <x:v>spice</x:v>
      </x:c>
      <x:c r="AE14" s="79" t="str">
        <x:v>EDIBLE</x:v>
      </x:c>
      <x:c r="AF14" s="79" t="str">
        <x:v>بله</x:v>
      </x:c>
      <x:c r="AG14" s="79" t="str">
        <x:v>خیر</x:v>
      </x:c>
      <x:c r="AH14" s="79" t="n">
        <x:v>1</x:v>
      </x:c>
      <x:c r="AI14" s="79" t="str">
        <x:v>ادویه تند</x:v>
      </x:c>
      <x:c r="AJ14" s="79" t="str">
        <x:v>ادویه و چاشنی</x:v>
      </x:c>
      <x:c r="AK14" s="79"/>
    </x:row>
    <x:row r="15">
      <x:c r="A15" s="79" t="s">
        <x:v>520</x:v>
      </x:c>
      <x:c r="B15" s="79" t="s">
        <x:v>29</x:v>
      </x:c>
      <x:c r="C15" s="79" t="s">
        <x:v>521</x:v>
      </x:c>
      <x:c r="D15" s="79" t="s">
        <x:v>509</x:v>
      </x:c>
      <x:c r="E15" s="79" t="s">
        <x:v>16</x:v>
      </x:c>
      <x:c r="F15" s="79" t="s">
        <x:v>16</x:v>
      </x:c>
      <x:c r="G15" s="79" t="n">
        <x:f>IF(RIGHT($A15,2)="-2",INDEX('قیمت ها'!$E:$E,$J15+2),INDEX('قیمت ها'!$B:$B,$J15+2))</x:f>
        <x:v>800</x:v>
      </x:c>
      <x:c r="H15" s="110">
        <x:f t="shared" si="0"/>
        <x:v>800000</x:v>
      </x:c>
      <x:c r="I15" s="79" t="str">
        <x:f t="shared" si="1"/>
        <x:v>فعال</x:v>
      </x:c>
      <x:c r="J15" s="79">
        <x:v>12</x:v>
      </x:c>
      <x:c r="K15" s="79" t="s">
        <x:v>520</x:v>
      </x:c>
      <x:c r="L15" s="79"/>
      <x:c r="M15" s="79" t="str">
        <x:f>IFERROR(INDEX($A$2:$A$422,MATCH(ROWS($M$5:M15),$AA$2:$AA$422,0)),"")</x:f>
      </x:c>
      <x:c r="N15" s="79" t="str">
        <x:f>IF($M15="","",INDEX($B$2:$B$422,MATCH(ROWS($M$5:M15),$AA$2:$AA$422,0)))</x:f>
      </x:c>
      <x:c r="O15" s="79" t="str">
        <x:f>IF($M15="","",INDEX($C$2:$C$422,MATCH(ROWS($M$5:M15),$AA$2:$AA$422,0)))</x:f>
      </x:c>
      <x:c r="P15" s="79" t="str">
        <x:f>IF($M15="","",INDEX($E$2:$E$422,MATCH(ROWS($M$5:M15),$AA$2:$AA$422,0)))</x:f>
      </x:c>
      <x:c r="Q15" s="110" t="str">
        <x:f>IF($M15="","",INDEX($H$2:$H$422,MATCH(ROWS($M$5:M15),$AA$2:$AA$422,0)))</x:f>
      </x:c>
      <x:c r="R15" s="79" t="str">
        <x:f>IF($M15="","",INDEX($I$2:$I$422,MATCH(ROWS($M$5:M15),$AA$2:$AA$422,0)))</x:f>
      </x:c>
      <x:c r="S15" s="79" t="str">
        <x:f>IF($M15="","",INDEX($J$2:$J$422,MATCH(ROWS($M$5:M15),$AA$2:$AA$422,0)))</x:f>
      </x:c>
      <x:c r="T15" s="79"/>
      <x:c r="U15" s="79"/>
      <x:c r="V15" s="79"/>
      <x:c r="W15" s="79"/>
      <x:c r="X15" s="79"/>
      <x:c r="Y15" s="79"/>
      <x:c r="Z15" s="79"/>
      <x:c r="AA15" s="79" t="str">
        <x:f>IF(AND(LEN($N$2)&gt;=3,ISNUMBER(SEARCH($N$2,$B15))),MAX($AA$1:AA14)+1,"")</x:f>
      </x:c>
      <x:c r="AB15" s="79" t="str">
        <x:v>6a3781e4df5573f4e676e226</x:v>
      </x:c>
      <x:c r="AC15" s="79" t="str">
        <x:v>ادویه</x:v>
      </x:c>
      <x:c r="AD15" s="79" t="str">
        <x:v>spice</x:v>
      </x:c>
      <x:c r="AE15" s="79" t="str">
        <x:v>EDIBLE</x:v>
      </x:c>
      <x:c r="AF15" s="79" t="str">
        <x:v>بله</x:v>
      </x:c>
      <x:c r="AG15" s="79" t="str">
        <x:v>خیر</x:v>
      </x:c>
      <x:c r="AH15" s="79" t="n">
        <x:v>1</x:v>
      </x:c>
      <x:c r="AI15" s="79" t="str">
        <x:v>ادویه چدار</x:v>
      </x:c>
      <x:c r="AJ15" s="79" t="str">
        <x:v>ادویه و چاشنی</x:v>
      </x:c>
      <x:c r="AK15" s="79"/>
    </x:row>
    <x:row r="16">
      <x:c r="A16" s="79" t="s">
        <x:v>522</x:v>
      </x:c>
      <x:c r="B16" s="79" t="s">
        <x:v>30</x:v>
      </x:c>
      <x:c r="C16" s="79" t="s">
        <x:v>523</x:v>
      </x:c>
      <x:c r="D16" s="79" t="s">
        <x:v>509</x:v>
      </x:c>
      <x:c r="E16" s="79" t="s">
        <x:v>16</x:v>
      </x:c>
      <x:c r="F16" s="79" t="s">
        <x:v>16</x:v>
      </x:c>
      <x:c r="G16" s="79" t="n">
        <x:f>IF(RIGHT($A16,2)="-2",INDEX('قیمت ها'!$E:$E,$J16+2),INDEX('قیمت ها'!$B:$B,$J16+2))</x:f>
        <x:v>850</x:v>
      </x:c>
      <x:c r="H16" s="110">
        <x:f t="shared" si="0"/>
        <x:v>850000</x:v>
      </x:c>
      <x:c r="I16" s="79" t="str">
        <x:f t="shared" si="1"/>
        <x:v>فعال</x:v>
      </x:c>
      <x:c r="J16" s="79">
        <x:v>13</x:v>
      </x:c>
      <x:c r="K16" s="79" t="s">
        <x:v>522</x:v>
      </x:c>
      <x:c r="L16" s="79"/>
      <x:c r="M16" s="79" t="str">
        <x:f>IFERROR(INDEX($A$2:$A$422,MATCH(ROWS($M$5:M16),$AA$2:$AA$422,0)),"")</x:f>
      </x:c>
      <x:c r="N16" s="79" t="str">
        <x:f>IF($M16="","",INDEX($B$2:$B$422,MATCH(ROWS($M$5:M16),$AA$2:$AA$422,0)))</x:f>
      </x:c>
      <x:c r="O16" s="79" t="str">
        <x:f>IF($M16="","",INDEX($C$2:$C$422,MATCH(ROWS($M$5:M16),$AA$2:$AA$422,0)))</x:f>
      </x:c>
      <x:c r="P16" s="79" t="str">
        <x:f>IF($M16="","",INDEX($E$2:$E$422,MATCH(ROWS($M$5:M16),$AA$2:$AA$422,0)))</x:f>
      </x:c>
      <x:c r="Q16" s="110" t="str">
        <x:f>IF($M16="","",INDEX($H$2:$H$422,MATCH(ROWS($M$5:M16),$AA$2:$AA$422,0)))</x:f>
      </x:c>
      <x:c r="R16" s="79" t="str">
        <x:f>IF($M16="","",INDEX($I$2:$I$422,MATCH(ROWS($M$5:M16),$AA$2:$AA$422,0)))</x:f>
      </x:c>
      <x:c r="S16" s="79" t="str">
        <x:f>IF($M16="","",INDEX($J$2:$J$422,MATCH(ROWS($M$5:M16),$AA$2:$AA$422,0)))</x:f>
      </x:c>
      <x:c r="T16" s="79"/>
      <x:c r="U16" s="79"/>
      <x:c r="V16" s="79"/>
      <x:c r="W16" s="79"/>
      <x:c r="X16" s="79"/>
      <x:c r="Y16" s="79"/>
      <x:c r="Z16" s="79"/>
      <x:c r="AA16" s="79" t="str">
        <x:f>IF(AND(LEN($N$2)&gt;=3,ISNUMBER(SEARCH($N$2,$B16))),MAX($AA$1:AA15)+1,"")</x:f>
      </x:c>
      <x:c r="AB16" s="79" t="str">
        <x:v>6a3781e4df5573f4e676e226</x:v>
      </x:c>
      <x:c r="AC16" s="79" t="str">
        <x:v>ادویه</x:v>
      </x:c>
      <x:c r="AD16" s="79" t="str">
        <x:v>spice</x:v>
      </x:c>
      <x:c r="AE16" s="79" t="str">
        <x:v>EDIBLE</x:v>
      </x:c>
      <x:c r="AF16" s="79" t="str">
        <x:v>بله</x:v>
      </x:c>
      <x:c r="AG16" s="79" t="str">
        <x:v>خیر</x:v>
      </x:c>
      <x:c r="AH16" s="79" t="n">
        <x:v>1</x:v>
      </x:c>
      <x:c r="AI16" s="79" t="str">
        <x:v>ادویه دود</x:v>
      </x:c>
      <x:c r="AJ16" s="79" t="str">
        <x:v>ادویه و چاشنی</x:v>
      </x:c>
      <x:c r="AK16" s="79"/>
    </x:row>
    <x:row r="17">
      <x:c r="A17" s="79" t="s">
        <x:v>524</x:v>
      </x:c>
      <x:c r="B17" s="79" t="s">
        <x:v>31</x:v>
      </x:c>
      <x:c r="C17" s="79" t="s">
        <x:v>525</x:v>
      </x:c>
      <x:c r="D17" s="79" t="s">
        <x:v>509</x:v>
      </x:c>
      <x:c r="E17" s="79" t="s">
        <x:v>16</x:v>
      </x:c>
      <x:c r="F17" s="79" t="s">
        <x:v>16</x:v>
      </x:c>
      <x:c r="G17" s="79" t="str">
        <x:f>IF(RIGHT($A17,2)="-2",INDEX('قیمت ها'!$E:$E,$J17+2),INDEX('قیمت ها'!$B:$B,$J17+2))</x:f>
        <x:v>1/100</x:v>
      </x:c>
      <x:c r="H17" s="110">
        <x:f t="shared" si="0"/>
        <x:v>1100000</x:v>
      </x:c>
      <x:c r="I17" s="79" t="str">
        <x:f t="shared" si="1"/>
        <x:v>فعال</x:v>
      </x:c>
      <x:c r="J17" s="79">
        <x:v>14</x:v>
      </x:c>
      <x:c r="K17" s="79" t="s">
        <x:v>524</x:v>
      </x:c>
      <x:c r="L17" s="79"/>
      <x:c r="M17" s="79" t="str">
        <x:f>IFERROR(INDEX($A$2:$A$422,MATCH(ROWS($M$5:M17),$AA$2:$AA$422,0)),"")</x:f>
      </x:c>
      <x:c r="N17" s="79" t="str">
        <x:f>IF($M17="","",INDEX($B$2:$B$422,MATCH(ROWS($M$5:M17),$AA$2:$AA$422,0)))</x:f>
      </x:c>
      <x:c r="O17" s="79" t="str">
        <x:f>IF($M17="","",INDEX($C$2:$C$422,MATCH(ROWS($M$5:M17),$AA$2:$AA$422,0)))</x:f>
      </x:c>
      <x:c r="P17" s="79" t="str">
        <x:f>IF($M17="","",INDEX($E$2:$E$422,MATCH(ROWS($M$5:M17),$AA$2:$AA$422,0)))</x:f>
      </x:c>
      <x:c r="Q17" s="110" t="str">
        <x:f>IF($M17="","",INDEX($H$2:$H$422,MATCH(ROWS($M$5:M17),$AA$2:$AA$422,0)))</x:f>
      </x:c>
      <x:c r="R17" s="79" t="str">
        <x:f>IF($M17="","",INDEX($I$2:$I$422,MATCH(ROWS($M$5:M17),$AA$2:$AA$422,0)))</x:f>
      </x:c>
      <x:c r="S17" s="79" t="str">
        <x:f>IF($M17="","",INDEX($J$2:$J$422,MATCH(ROWS($M$5:M17),$AA$2:$AA$422,0)))</x:f>
      </x:c>
      <x:c r="T17" s="79"/>
      <x:c r="U17" s="79"/>
      <x:c r="V17" s="79"/>
      <x:c r="W17" s="79"/>
      <x:c r="X17" s="79"/>
      <x:c r="Y17" s="79"/>
      <x:c r="Z17" s="79"/>
      <x:c r="AA17" s="79" t="str">
        <x:f>IF(AND(LEN($N$2)&gt;=3,ISNUMBER(SEARCH($N$2,$B17))),MAX($AA$1:AA16)+1,"")</x:f>
      </x:c>
      <x:c r="AB17" s="79" t="str">
        <x:v>6a3781e4df5573f4e676e226</x:v>
      </x:c>
      <x:c r="AC17" s="79" t="str">
        <x:v>ادویه</x:v>
      </x:c>
      <x:c r="AD17" s="79" t="str">
        <x:v>spice</x:v>
      </x:c>
      <x:c r="AE17" s="79" t="str">
        <x:v>EDIBLE</x:v>
      </x:c>
      <x:c r="AF17" s="79" t="str">
        <x:v>بله</x:v>
      </x:c>
      <x:c r="AG17" s="79" t="str">
        <x:v>خیر</x:v>
      </x:c>
      <x:c r="AH17" s="79" t="n">
        <x:v>1</x:v>
      </x:c>
      <x:c r="AI17" s="79" t="str">
        <x:v>ادویه سالاد ایتالیایی</x:v>
      </x:c>
      <x:c r="AJ17" s="79" t="str">
        <x:v>ادویه و چاشنی</x:v>
      </x:c>
      <x:c r="AK17" s="79"/>
    </x:row>
    <x:row r="18">
      <x:c r="A18" s="79" t="s">
        <x:v>526</x:v>
      </x:c>
      <x:c r="B18" s="79" t="s">
        <x:v>32</x:v>
      </x:c>
      <x:c r="C18" s="79" t="s">
        <x:v>527</x:v>
      </x:c>
      <x:c r="D18" s="79" t="s">
        <x:v>509</x:v>
      </x:c>
      <x:c r="E18" s="79" t="s">
        <x:v>16</x:v>
      </x:c>
      <x:c r="F18" s="79" t="s">
        <x:v>16</x:v>
      </x:c>
      <x:c r="G18" s="79" t="n">
        <x:f>IF(RIGHT($A18,2)="-2",INDEX('قیمت ها'!$E:$E,$J18+2),INDEX('قیمت ها'!$B:$B,$J18+2))</x:f>
        <x:v>800</x:v>
      </x:c>
      <x:c r="H18" s="110">
        <x:f t="shared" si="0"/>
        <x:v>800000</x:v>
      </x:c>
      <x:c r="I18" s="79" t="str">
        <x:f t="shared" si="1"/>
        <x:v>فعال</x:v>
      </x:c>
      <x:c r="J18" s="79">
        <x:v>15</x:v>
      </x:c>
      <x:c r="K18" s="79" t="s">
        <x:v>526</x:v>
      </x:c>
      <x:c r="L18" s="79"/>
      <x:c r="M18" s="79" t="str">
        <x:f>IFERROR(INDEX($A$2:$A$422,MATCH(ROWS($M$5:M18),$AA$2:$AA$422,0)),"")</x:f>
      </x:c>
      <x:c r="N18" s="79" t="str">
        <x:f>IF($M18="","",INDEX($B$2:$B$422,MATCH(ROWS($M$5:M18),$AA$2:$AA$422,0)))</x:f>
      </x:c>
      <x:c r="O18" s="79" t="str">
        <x:f>IF($M18="","",INDEX($C$2:$C$422,MATCH(ROWS($M$5:M18),$AA$2:$AA$422,0)))</x:f>
      </x:c>
      <x:c r="P18" s="79" t="str">
        <x:f>IF($M18="","",INDEX($E$2:$E$422,MATCH(ROWS($M$5:M18),$AA$2:$AA$422,0)))</x:f>
      </x:c>
      <x:c r="Q18" s="110" t="str">
        <x:f>IF($M18="","",INDEX($H$2:$H$422,MATCH(ROWS($M$5:M18),$AA$2:$AA$422,0)))</x:f>
      </x:c>
      <x:c r="R18" s="79" t="str">
        <x:f>IF($M18="","",INDEX($I$2:$I$422,MATCH(ROWS($M$5:M18),$AA$2:$AA$422,0)))</x:f>
      </x:c>
      <x:c r="S18" s="79" t="str">
        <x:f>IF($M18="","",INDEX($J$2:$J$422,MATCH(ROWS($M$5:M18),$AA$2:$AA$422,0)))</x:f>
      </x:c>
      <x:c r="T18" s="79"/>
      <x:c r="U18" s="79"/>
      <x:c r="V18" s="79"/>
      <x:c r="W18" s="79"/>
      <x:c r="X18" s="79"/>
      <x:c r="Y18" s="79"/>
      <x:c r="Z18" s="79"/>
      <x:c r="AA18" s="79" t="str">
        <x:f>IF(AND(LEN($N$2)&gt;=3,ISNUMBER(SEARCH($N$2,$B18))),MAX($AA$1:AA17)+1,"")</x:f>
      </x:c>
      <x:c r="AB18" s="79" t="str">
        <x:v>6a3781e4df5573f4e676e226</x:v>
      </x:c>
      <x:c r="AC18" s="79" t="str">
        <x:v>ادویه</x:v>
      </x:c>
      <x:c r="AD18" s="79" t="str">
        <x:v>spice</x:v>
      </x:c>
      <x:c r="AE18" s="79" t="str">
        <x:v>EDIBLE</x:v>
      </x:c>
      <x:c r="AF18" s="79" t="str">
        <x:v>بله</x:v>
      </x:c>
      <x:c r="AG18" s="79" t="str">
        <x:v>خیر</x:v>
      </x:c>
      <x:c r="AH18" s="79" t="n">
        <x:v>1</x:v>
      </x:c>
      <x:c r="AI18" s="79" t="str">
        <x:v>ادویه سس سزار</x:v>
      </x:c>
      <x:c r="AJ18" s="79" t="str">
        <x:v>ادویه و چاشنی</x:v>
      </x:c>
      <x:c r="AK18" s="79"/>
    </x:row>
    <x:row r="19">
      <x:c r="A19" s="79" t="s">
        <x:v>528</x:v>
      </x:c>
      <x:c r="B19" s="79" t="s">
        <x:v>33</x:v>
      </x:c>
      <x:c r="C19" s="79" t="s">
        <x:v>529</x:v>
      </x:c>
      <x:c r="D19" s="79" t="s">
        <x:v>509</x:v>
      </x:c>
      <x:c r="E19" s="79" t="s">
        <x:v>16</x:v>
      </x:c>
      <x:c r="F19" s="79" t="s">
        <x:v>16</x:v>
      </x:c>
      <x:c r="G19" s="79" t="n">
        <x:f>IF(RIGHT($A19,2)="-2",INDEX('قیمت ها'!$E:$E,$J19+2),INDEX('قیمت ها'!$B:$B,$J19+2))</x:f>
        <x:v>190</x:v>
      </x:c>
      <x:c r="H19" s="110">
        <x:f t="shared" si="0"/>
        <x:v>190000</x:v>
      </x:c>
      <x:c r="I19" s="79" t="str">
        <x:f t="shared" si="1"/>
        <x:v>فعال</x:v>
      </x:c>
      <x:c r="J19" s="79">
        <x:v>16</x:v>
      </x:c>
      <x:c r="K19" s="79" t="s">
        <x:v>528</x:v>
      </x:c>
      <x:c r="L19" s="79"/>
      <x:c r="M19" s="79" t="str">
        <x:f>IFERROR(INDEX($A$2:$A$422,MATCH(ROWS($M$5:M19),$AA$2:$AA$422,0)),"")</x:f>
      </x:c>
      <x:c r="N19" s="79" t="str">
        <x:f>IF($M19="","",INDEX($B$2:$B$422,MATCH(ROWS($M$5:M19),$AA$2:$AA$422,0)))</x:f>
      </x:c>
      <x:c r="O19" s="79" t="str">
        <x:f>IF($M19="","",INDEX($C$2:$C$422,MATCH(ROWS($M$5:M19),$AA$2:$AA$422,0)))</x:f>
      </x:c>
      <x:c r="P19" s="79" t="str">
        <x:f>IF($M19="","",INDEX($E$2:$E$422,MATCH(ROWS($M$5:M19),$AA$2:$AA$422,0)))</x:f>
      </x:c>
      <x:c r="Q19" s="110" t="str">
        <x:f>IF($M19="","",INDEX($H$2:$H$422,MATCH(ROWS($M$5:M19),$AA$2:$AA$422,0)))</x:f>
      </x:c>
      <x:c r="R19" s="79" t="str">
        <x:f>IF($M19="","",INDEX($I$2:$I$422,MATCH(ROWS($M$5:M19),$AA$2:$AA$422,0)))</x:f>
      </x:c>
      <x:c r="S19" s="79" t="str">
        <x:f>IF($M19="","",INDEX($J$2:$J$422,MATCH(ROWS($M$5:M19),$AA$2:$AA$422,0)))</x:f>
      </x:c>
      <x:c r="T19" s="79"/>
      <x:c r="U19" s="79"/>
      <x:c r="V19" s="79"/>
      <x:c r="W19" s="79"/>
      <x:c r="X19" s="79"/>
      <x:c r="Y19" s="79"/>
      <x:c r="Z19" s="79"/>
      <x:c r="AA19" s="79" t="str">
        <x:f>IF(AND(LEN($N$2)&gt;=3,ISNUMBER(SEARCH($N$2,$B19))),MAX($AA$1:AA18)+1,"")</x:f>
      </x:c>
      <x:c r="AB19" s="79" t="str">
        <x:v>6a3781e4df5573f4e676e226</x:v>
      </x:c>
      <x:c r="AC19" s="79" t="str">
        <x:v>ادویه</x:v>
      </x:c>
      <x:c r="AD19" s="79" t="str">
        <x:v>spice</x:v>
      </x:c>
      <x:c r="AE19" s="79" t="str">
        <x:v>EDIBLE</x:v>
      </x:c>
      <x:c r="AF19" s="79" t="str">
        <x:v>بله</x:v>
      </x:c>
      <x:c r="AG19" s="79" t="str">
        <x:v>خیر</x:v>
      </x:c>
      <x:c r="AH19" s="79" t="n">
        <x:v>1</x:v>
      </x:c>
      <x:c r="AI19" s="79" t="str">
        <x:v>ادویه سیب پنیری</x:v>
      </x:c>
      <x:c r="AJ19" s="79" t="str">
        <x:v>ادویه و چاشنی</x:v>
      </x:c>
      <x:c r="AK19" s="79"/>
    </x:row>
    <x:row r="20">
      <x:c r="A20" s="79" t="s">
        <x:v>530</x:v>
      </x:c>
      <x:c r="B20" s="79" t="s">
        <x:v>34</x:v>
      </x:c>
      <x:c r="C20" s="79" t="s">
        <x:v>531</x:v>
      </x:c>
      <x:c r="D20" s="79" t="s">
        <x:v>509</x:v>
      </x:c>
      <x:c r="E20" s="79" t="s">
        <x:v>16</x:v>
      </x:c>
      <x:c r="F20" s="79" t="s">
        <x:v>16</x:v>
      </x:c>
      <x:c r="G20" s="79" t="n">
        <x:f>IF(RIGHT($A20,2)="-2",INDEX('قیمت ها'!$E:$E,$J20+2),INDEX('قیمت ها'!$B:$B,$J20+2))</x:f>
        <x:v>850</x:v>
      </x:c>
      <x:c r="H20" s="110">
        <x:f t="shared" si="0"/>
        <x:v>850000</x:v>
      </x:c>
      <x:c r="I20" s="79" t="str">
        <x:f t="shared" si="1"/>
        <x:v>فعال</x:v>
      </x:c>
      <x:c r="J20" s="79">
        <x:v>17</x:v>
      </x:c>
      <x:c r="K20" s="79" t="s">
        <x:v>530</x:v>
      </x:c>
      <x:c r="L20" s="79"/>
      <x:c r="M20" s="79" t="str">
        <x:f>IFERROR(INDEX($A$2:$A$422,MATCH(ROWS($M$5:M20),$AA$2:$AA$422,0)),"")</x:f>
      </x:c>
      <x:c r="N20" s="79" t="str">
        <x:f>IF($M20="","",INDEX($B$2:$B$422,MATCH(ROWS($M$5:M20),$AA$2:$AA$422,0)))</x:f>
      </x:c>
      <x:c r="O20" s="79" t="str">
        <x:f>IF($M20="","",INDEX($C$2:$C$422,MATCH(ROWS($M$5:M20),$AA$2:$AA$422,0)))</x:f>
      </x:c>
      <x:c r="P20" s="79" t="str">
        <x:f>IF($M20="","",INDEX($E$2:$E$422,MATCH(ROWS($M$5:M20),$AA$2:$AA$422,0)))</x:f>
      </x:c>
      <x:c r="Q20" s="110" t="str">
        <x:f>IF($M20="","",INDEX($H$2:$H$422,MATCH(ROWS($M$5:M20),$AA$2:$AA$422,0)))</x:f>
      </x:c>
      <x:c r="R20" s="79" t="str">
        <x:f>IF($M20="","",INDEX($I$2:$I$422,MATCH(ROWS($M$5:M20),$AA$2:$AA$422,0)))</x:f>
      </x:c>
      <x:c r="S20" s="79" t="str">
        <x:f>IF($M20="","",INDEX($J$2:$J$422,MATCH(ROWS($M$5:M20),$AA$2:$AA$422,0)))</x:f>
      </x:c>
      <x:c r="T20" s="79"/>
      <x:c r="U20" s="79"/>
      <x:c r="V20" s="79"/>
      <x:c r="W20" s="79"/>
      <x:c r="X20" s="79"/>
      <x:c r="Y20" s="79"/>
      <x:c r="Z20" s="79"/>
      <x:c r="AA20" s="79" t="str">
        <x:f>IF(AND(LEN($N$2)&gt;=3,ISNUMBER(SEARCH($N$2,$B20))),MAX($AA$1:AA19)+1,"")</x:f>
      </x:c>
      <x:c r="AB20" s="79" t="str">
        <x:v>6a3781e4df5573f4e676e226</x:v>
      </x:c>
      <x:c r="AC20" s="79" t="str">
        <x:v>ادویه</x:v>
      </x:c>
      <x:c r="AD20" s="79" t="str">
        <x:v>spice</x:v>
      </x:c>
      <x:c r="AE20" s="79" t="str">
        <x:v>EDIBLE</x:v>
      </x:c>
      <x:c r="AF20" s="79" t="str">
        <x:v>بله</x:v>
      </x:c>
      <x:c r="AG20" s="79" t="str">
        <x:v>خیر</x:v>
      </x:c>
      <x:c r="AH20" s="79" t="n">
        <x:v>1</x:v>
      </x:c>
      <x:c r="AI20" s="79" t="str">
        <x:v>ادویه سیر و کره</x:v>
      </x:c>
      <x:c r="AJ20" s="79" t="str">
        <x:v>ادویه و چاشنی</x:v>
      </x:c>
      <x:c r="AK20" s="79"/>
    </x:row>
    <x:row r="21">
      <x:c r="A21" s="79" t="s">
        <x:v>532</x:v>
      </x:c>
      <x:c r="B21" s="79" t="s">
        <x:v>35</x:v>
      </x:c>
      <x:c r="C21" s="79" t="s">
        <x:v>533</x:v>
      </x:c>
      <x:c r="D21" s="79" t="s">
        <x:v>509</x:v>
      </x:c>
      <x:c r="E21" s="79" t="s">
        <x:v>16</x:v>
      </x:c>
      <x:c r="F21" s="79" t="s">
        <x:v>16</x:v>
      </x:c>
      <x:c r="G21" s="79" t="n">
        <x:f>IF(RIGHT($A21,2)="-2",INDEX('قیمت ها'!$E:$E,$J21+2),INDEX('قیمت ها'!$B:$B,$J21+2))</x:f>
        <x:v>950</x:v>
      </x:c>
      <x:c r="H21" s="110">
        <x:f t="shared" si="0"/>
        <x:v>950000</x:v>
      </x:c>
      <x:c r="I21" s="79" t="str">
        <x:f t="shared" si="1"/>
        <x:v>فعال</x:v>
      </x:c>
      <x:c r="J21" s="79">
        <x:v>18</x:v>
      </x:c>
      <x:c r="K21" s="79" t="s">
        <x:v>532</x:v>
      </x:c>
      <x:c r="L21" s="79"/>
      <x:c r="M21" s="79" t="str">
        <x:f>IFERROR(INDEX($A$2:$A$422,MATCH(ROWS($M$5:M21),$AA$2:$AA$422,0)),"")</x:f>
      </x:c>
      <x:c r="N21" s="79" t="str">
        <x:f>IF($M21="","",INDEX($B$2:$B$422,MATCH(ROWS($M$5:M21),$AA$2:$AA$422,0)))</x:f>
      </x:c>
      <x:c r="O21" s="79" t="str">
        <x:f>IF($M21="","",INDEX($C$2:$C$422,MATCH(ROWS($M$5:M21),$AA$2:$AA$422,0)))</x:f>
      </x:c>
      <x:c r="P21" s="79" t="str">
        <x:f>IF($M21="","",INDEX($E$2:$E$422,MATCH(ROWS($M$5:M21),$AA$2:$AA$422,0)))</x:f>
      </x:c>
      <x:c r="Q21" s="110" t="str">
        <x:f>IF($M21="","",INDEX($H$2:$H$422,MATCH(ROWS($M$5:M21),$AA$2:$AA$422,0)))</x:f>
      </x:c>
      <x:c r="R21" s="79" t="str">
        <x:f>IF($M21="","",INDEX($I$2:$I$422,MATCH(ROWS($M$5:M21),$AA$2:$AA$422,0)))</x:f>
      </x:c>
      <x:c r="S21" s="79" t="str">
        <x:f>IF($M21="","",INDEX($J$2:$J$422,MATCH(ROWS($M$5:M21),$AA$2:$AA$422,0)))</x:f>
      </x:c>
      <x:c r="T21" s="79"/>
      <x:c r="U21" s="79"/>
      <x:c r="V21" s="79"/>
      <x:c r="W21" s="79"/>
      <x:c r="X21" s="79"/>
      <x:c r="Y21" s="79"/>
      <x:c r="Z21" s="79"/>
      <x:c r="AA21" s="79" t="str">
        <x:f>IF(AND(LEN($N$2)&gt;=3,ISNUMBER(SEARCH($N$2,$B21))),MAX($AA$1:AA20)+1,"")</x:f>
      </x:c>
      <x:c r="AB21" s="79" t="str">
        <x:v>6a3781e4df5573f4e676e226</x:v>
      </x:c>
      <x:c r="AC21" s="79" t="str">
        <x:v>ادویه</x:v>
      </x:c>
      <x:c r="AD21" s="79" t="str">
        <x:v>spice</x:v>
      </x:c>
      <x:c r="AE21" s="79" t="str">
        <x:v>EDIBLE</x:v>
      </x:c>
      <x:c r="AF21" s="79" t="str">
        <x:v>بله</x:v>
      </x:c>
      <x:c r="AG21" s="79" t="str">
        <x:v>خیر</x:v>
      </x:c>
      <x:c r="AH21" s="79" t="n">
        <x:v>1</x:v>
      </x:c>
      <x:c r="AI21" s="79" t="str">
        <x:v>ادویه عربی</x:v>
      </x:c>
      <x:c r="AJ21" s="79" t="str">
        <x:v>ادویه و چاشنی</x:v>
      </x:c>
      <x:c r="AK21" s="79"/>
    </x:row>
    <x:row r="22">
      <x:c r="A22" s="79" t="s">
        <x:v>534</x:v>
      </x:c>
      <x:c r="B22" s="79" t="s">
        <x:v>39</x:v>
      </x:c>
      <x:c r="C22" s="79" t="s">
        <x:v>535</x:v>
      </x:c>
      <x:c r="D22" s="79" t="s">
        <x:v>509</x:v>
      </x:c>
      <x:c r="E22" s="79" t="s">
        <x:v>16</x:v>
      </x:c>
      <x:c r="F22" s="79" t="s">
        <x:v>16</x:v>
      </x:c>
      <x:c r="G22" s="79" t="n">
        <x:f>IF(RIGHT($A22,2)="-2",INDEX('قیمت ها'!$E:$E,$J22+2),INDEX('قیمت ها'!$B:$B,$J22+2))</x:f>
        <x:v>800</x:v>
      </x:c>
      <x:c r="H22" s="110">
        <x:f t="shared" si="0"/>
        <x:v>800000</x:v>
      </x:c>
      <x:c r="I22" s="79" t="str">
        <x:f t="shared" si="1"/>
        <x:v>فعال</x:v>
      </x:c>
      <x:c r="J22" s="79">
        <x:v>22</x:v>
      </x:c>
      <x:c r="K22" s="79" t="s">
        <x:v>534</x:v>
      </x:c>
      <x:c r="L22" s="79"/>
      <x:c r="M22" s="79" t="str">
        <x:f>IFERROR(INDEX($A$2:$A$422,MATCH(ROWS($M$5:M22),$AA$2:$AA$422,0)),"")</x:f>
      </x:c>
      <x:c r="N22" s="79" t="str">
        <x:f>IF($M22="","",INDEX($B$2:$B$422,MATCH(ROWS($M$5:M22),$AA$2:$AA$422,0)))</x:f>
      </x:c>
      <x:c r="O22" s="79" t="str">
        <x:f>IF($M22="","",INDEX($C$2:$C$422,MATCH(ROWS($M$5:M22),$AA$2:$AA$422,0)))</x:f>
      </x:c>
      <x:c r="P22" s="79" t="str">
        <x:f>IF($M22="","",INDEX($E$2:$E$422,MATCH(ROWS($M$5:M22),$AA$2:$AA$422,0)))</x:f>
      </x:c>
      <x:c r="Q22" s="110" t="str">
        <x:f>IF($M22="","",INDEX($H$2:$H$422,MATCH(ROWS($M$5:M22),$AA$2:$AA$422,0)))</x:f>
      </x:c>
      <x:c r="R22" s="79" t="str">
        <x:f>IF($M22="","",INDEX($I$2:$I$422,MATCH(ROWS($M$5:M22),$AA$2:$AA$422,0)))</x:f>
      </x:c>
      <x:c r="S22" s="79" t="str">
        <x:f>IF($M22="","",INDEX($J$2:$J$422,MATCH(ROWS($M$5:M22),$AA$2:$AA$422,0)))</x:f>
      </x:c>
      <x:c r="T22" s="79"/>
      <x:c r="U22" s="79"/>
      <x:c r="V22" s="79"/>
      <x:c r="W22" s="79"/>
      <x:c r="X22" s="79"/>
      <x:c r="Y22" s="79"/>
      <x:c r="Z22" s="79"/>
      <x:c r="AA22" s="79" t="str">
        <x:f>IF(AND(LEN($N$2)&gt;=3,ISNUMBER(SEARCH($N$2,$B22))),MAX($AA$1:AA21)+1,"")</x:f>
      </x:c>
      <x:c r="AB22" s="79" t="str">
        <x:v>6a3781e4df5573f4e676e226</x:v>
      </x:c>
      <x:c r="AC22" s="79" t="str">
        <x:v>ادویه</x:v>
      </x:c>
      <x:c r="AD22" s="79" t="str">
        <x:v>spice</x:v>
      </x:c>
      <x:c r="AE22" s="79" t="str">
        <x:v>EDIBLE</x:v>
      </x:c>
      <x:c r="AF22" s="79" t="str">
        <x:v>بله</x:v>
      </x:c>
      <x:c r="AG22" s="79" t="str">
        <x:v>خیر</x:v>
      </x:c>
      <x:c r="AH22" s="79" t="n">
        <x:v>1</x:v>
      </x:c>
      <x:c r="AI22" s="79" t="str">
        <x:v>ادویه کاری</x:v>
      </x:c>
      <x:c r="AJ22" s="79" t="str">
        <x:v>ادویه و چاشنی</x:v>
      </x:c>
      <x:c r="AK22" s="79"/>
    </x:row>
    <x:row r="23">
      <x:c r="A23" s="79" t="s">
        <x:v>536</x:v>
      </x:c>
      <x:c r="B23" s="79" t="s">
        <x:v>40</x:v>
      </x:c>
      <x:c r="C23" s="79" t="s">
        <x:v>537</x:v>
      </x:c>
      <x:c r="D23" s="79" t="s">
        <x:v>509</x:v>
      </x:c>
      <x:c r="E23" s="79" t="s">
        <x:v>16</x:v>
      </x:c>
      <x:c r="F23" s="79" t="s">
        <x:v>16</x:v>
      </x:c>
      <x:c r="G23" s="79" t="n">
        <x:f>IF(RIGHT($A23,2)="-2",INDEX('قیمت ها'!$E:$E,$J23+2),INDEX('قیمت ها'!$B:$B,$J23+2))</x:f>
        <x:v>900</x:v>
      </x:c>
      <x:c r="H23" s="110">
        <x:f t="shared" si="0"/>
        <x:v>900000</x:v>
      </x:c>
      <x:c r="I23" s="79" t="str">
        <x:f t="shared" si="1"/>
        <x:v>فعال</x:v>
      </x:c>
      <x:c r="J23" s="79">
        <x:v>23</x:v>
      </x:c>
      <x:c r="K23" s="79" t="s">
        <x:v>536</x:v>
      </x:c>
      <x:c r="L23" s="79"/>
      <x:c r="M23" s="79" t="str">
        <x:f>IFERROR(INDEX($A$2:$A$422,MATCH(ROWS($M$5:M23),$AA$2:$AA$422,0)),"")</x:f>
      </x:c>
      <x:c r="N23" s="79" t="str">
        <x:f>IF($M23="","",INDEX($B$2:$B$422,MATCH(ROWS($M$5:M23),$AA$2:$AA$422,0)))</x:f>
      </x:c>
      <x:c r="O23" s="79" t="str">
        <x:f>IF($M23="","",INDEX($C$2:$C$422,MATCH(ROWS($M$5:M23),$AA$2:$AA$422,0)))</x:f>
      </x:c>
      <x:c r="P23" s="79" t="str">
        <x:f>IF($M23="","",INDEX($E$2:$E$422,MATCH(ROWS($M$5:M23),$AA$2:$AA$422,0)))</x:f>
      </x:c>
      <x:c r="Q23" s="110" t="str">
        <x:f>IF($M23="","",INDEX($H$2:$H$422,MATCH(ROWS($M$5:M23),$AA$2:$AA$422,0)))</x:f>
      </x:c>
      <x:c r="R23" s="79" t="str">
        <x:f>IF($M23="","",INDEX($I$2:$I$422,MATCH(ROWS($M$5:M23),$AA$2:$AA$422,0)))</x:f>
      </x:c>
      <x:c r="S23" s="79" t="str">
        <x:f>IF($M23="","",INDEX($J$2:$J$422,MATCH(ROWS($M$5:M23),$AA$2:$AA$422,0)))</x:f>
      </x:c>
      <x:c r="T23" s="79"/>
      <x:c r="U23" s="79"/>
      <x:c r="V23" s="79"/>
      <x:c r="W23" s="79"/>
      <x:c r="X23" s="79"/>
      <x:c r="Y23" s="79"/>
      <x:c r="Z23" s="79"/>
      <x:c r="AA23" s="79" t="str">
        <x:f>IF(AND(LEN($N$2)&gt;=3,ISNUMBER(SEARCH($N$2,$B23))),MAX($AA$1:AA22)+1,"")</x:f>
      </x:c>
      <x:c r="AB23" s="79" t="str">
        <x:v>6a3781e4df5573f4e676e226</x:v>
      </x:c>
      <x:c r="AC23" s="79" t="str">
        <x:v>ادویه</x:v>
      </x:c>
      <x:c r="AD23" s="79" t="str">
        <x:v>spice</x:v>
      </x:c>
      <x:c r="AE23" s="79" t="str">
        <x:v>EDIBLE</x:v>
      </x:c>
      <x:c r="AF23" s="79" t="str">
        <x:v>بله</x:v>
      </x:c>
      <x:c r="AG23" s="79" t="str">
        <x:v>خیر</x:v>
      </x:c>
      <x:c r="AH23" s="79" t="n">
        <x:v>1</x:v>
      </x:c>
      <x:c r="AI23" s="79" t="str">
        <x:v>ادویه کره</x:v>
      </x:c>
      <x:c r="AJ23" s="79" t="str">
        <x:v>ادویه و چاشنی</x:v>
      </x:c>
      <x:c r="AK23" s="79"/>
    </x:row>
    <x:row r="24">
      <x:c r="A24" s="79" t="s">
        <x:v>538</x:v>
      </x:c>
      <x:c r="B24" s="79" t="s">
        <x:v>41</x:v>
      </x:c>
      <x:c r="C24" s="79" t="s">
        <x:v>539</x:v>
      </x:c>
      <x:c r="D24" s="79" t="s">
        <x:v>509</x:v>
      </x:c>
      <x:c r="E24" s="79" t="s">
        <x:v>16</x:v>
      </x:c>
      <x:c r="F24" s="79" t="s">
        <x:v>16</x:v>
      </x:c>
      <x:c r="G24" s="79" t="n">
        <x:f>IF(RIGHT($A24,2)="-2",INDEX('قیمت ها'!$E:$E,$J24+2),INDEX('قیمت ها'!$B:$B,$J24+2))</x:f>
        <x:v>950</x:v>
      </x:c>
      <x:c r="H24" s="110">
        <x:f t="shared" si="0"/>
        <x:v>950000</x:v>
      </x:c>
      <x:c r="I24" s="79" t="str">
        <x:f t="shared" si="1"/>
        <x:v>فعال</x:v>
      </x:c>
      <x:c r="J24" s="79">
        <x:v>24</x:v>
      </x:c>
      <x:c r="K24" s="79" t="s">
        <x:v>538</x:v>
      </x:c>
      <x:c r="L24" s="79"/>
      <x:c r="M24" s="79" t="str">
        <x:f>IFERROR(INDEX($A$2:$A$422,MATCH(ROWS($M$5:M24),$AA$2:$AA$422,0)),"")</x:f>
      </x:c>
      <x:c r="N24" s="79" t="str">
        <x:f>IF($M24="","",INDEX($B$2:$B$422,MATCH(ROWS($M$5:M24),$AA$2:$AA$422,0)))</x:f>
      </x:c>
      <x:c r="O24" s="79" t="str">
        <x:f>IF($M24="","",INDEX($C$2:$C$422,MATCH(ROWS($M$5:M24),$AA$2:$AA$422,0)))</x:f>
      </x:c>
      <x:c r="P24" s="79" t="str">
        <x:f>IF($M24="","",INDEX($E$2:$E$422,MATCH(ROWS($M$5:M24),$AA$2:$AA$422,0)))</x:f>
      </x:c>
      <x:c r="Q24" s="110" t="str">
        <x:f>IF($M24="","",INDEX($H$2:$H$422,MATCH(ROWS($M$5:M24),$AA$2:$AA$422,0)))</x:f>
      </x:c>
      <x:c r="R24" s="79" t="str">
        <x:f>IF($M24="","",INDEX($I$2:$I$422,MATCH(ROWS($M$5:M24),$AA$2:$AA$422,0)))</x:f>
      </x:c>
      <x:c r="S24" s="79" t="str">
        <x:f>IF($M24="","",INDEX($J$2:$J$422,MATCH(ROWS($M$5:M24),$AA$2:$AA$422,0)))</x:f>
      </x:c>
      <x:c r="T24" s="79"/>
      <x:c r="U24" s="79"/>
      <x:c r="V24" s="79"/>
      <x:c r="W24" s="79"/>
      <x:c r="X24" s="79"/>
      <x:c r="Y24" s="79"/>
      <x:c r="Z24" s="79"/>
      <x:c r="AA24" s="79" t="str">
        <x:f>IF(AND(LEN($N$2)&gt;=3,ISNUMBER(SEARCH($N$2,$B24))),MAX($AA$1:AA23)+1,"")</x:f>
      </x:c>
      <x:c r="AB24" s="79" t="str">
        <x:v>6a3781e4df5573f4e676e226</x:v>
      </x:c>
      <x:c r="AC24" s="79" t="str">
        <x:v>ادویه</x:v>
      </x:c>
      <x:c r="AD24" s="79" t="str">
        <x:v>spice</x:v>
      </x:c>
      <x:c r="AE24" s="79" t="str">
        <x:v>EDIBLE</x:v>
      </x:c>
      <x:c r="AF24" s="79" t="str">
        <x:v>بله</x:v>
      </x:c>
      <x:c r="AG24" s="79" t="str">
        <x:v>خیر</x:v>
      </x:c>
      <x:c r="AH24" s="79" t="n">
        <x:v>1</x:v>
      </x:c>
      <x:c r="AI24" s="79" t="str">
        <x:v>ادویه لیمو فلفلی</x:v>
      </x:c>
      <x:c r="AJ24" s="79" t="str">
        <x:v>ادویه و چاشنی</x:v>
      </x:c>
      <x:c r="AK24" s="79"/>
    </x:row>
    <x:row r="25">
      <x:c r="A25" s="79" t="s">
        <x:v>540</x:v>
      </x:c>
      <x:c r="B25" s="79" t="s">
        <x:v>21</x:v>
      </x:c>
      <x:c r="C25" s="79" t="s">
        <x:v>541</x:v>
      </x:c>
      <x:c r="D25" s="79" t="s">
        <x:v>509</x:v>
      </x:c>
      <x:c r="E25" s="79" t="s">
        <x:v>16</x:v>
      </x:c>
      <x:c r="F25" s="79" t="s">
        <x:v>16</x:v>
      </x:c>
      <x:c r="G25" s="79" t="n">
        <x:f>IF(RIGHT($A25,2)="-2",INDEX('قیمت ها'!$E:$E,$J25+2),INDEX('قیمت ها'!$B:$B,$J25+2))</x:f>
        <x:v>700</x:v>
      </x:c>
      <x:c r="H25" s="110">
        <x:f t="shared" si="0"/>
        <x:v>700000</x:v>
      </x:c>
      <x:c r="I25" s="79" t="str">
        <x:f t="shared" si="1"/>
        <x:v>فعال</x:v>
      </x:c>
      <x:c r="J25" s="79">
        <x:v>5</x:v>
      </x:c>
      <x:c r="K25" s="79" t="s">
        <x:v>540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  <x:c r="AA25" s="79" t="str">
        <x:f>IF(AND(LEN($N$2)&gt;=3,ISNUMBER(SEARCH($N$2,$B25))),MAX($AA$1:AA24)+1,"")</x:f>
      </x:c>
      <x:c r="AB25" s="79" t="str">
        <x:v>6a3781e4df5573f4e676e226</x:v>
      </x:c>
      <x:c r="AC25" s="79" t="str">
        <x:v>ادویه</x:v>
      </x:c>
      <x:c r="AD25" s="79" t="str">
        <x:v>spice</x:v>
      </x:c>
      <x:c r="AE25" s="79" t="str">
        <x:v>EDIBLE</x:v>
      </x:c>
      <x:c r="AF25" s="79" t="str">
        <x:v>بله</x:v>
      </x:c>
      <x:c r="AG25" s="79" t="str">
        <x:v>خیر</x:v>
      </x:c>
      <x:c r="AH25" s="79" t="n">
        <x:v>1</x:v>
      </x:c>
      <x:c r="AI25" s="79" t="str">
        <x:v>ادویه الویه</x:v>
      </x:c>
      <x:c r="AJ25" s="79" t="str">
        <x:v>ادویه و چاشنی</x:v>
      </x:c>
      <x:c r="AK25" s="79"/>
    </x:row>
    <x:row r="26">
      <x:c r="A26" s="79" t="s">
        <x:v>542</x:v>
      </x:c>
      <x:c r="B26" s="79" t="s">
        <x:v>22</x:v>
      </x:c>
      <x:c r="C26" s="79" t="s">
        <x:v>543</x:v>
      </x:c>
      <x:c r="D26" s="79" t="s">
        <x:v>509</x:v>
      </x:c>
      <x:c r="E26" s="79" t="s">
        <x:v>16</x:v>
      </x:c>
      <x:c r="F26" s="79" t="s">
        <x:v>16</x:v>
      </x:c>
      <x:c r="G26" s="79" t="str">
        <x:f>IF(RIGHT($A26,2)="-2",INDEX('قیمت ها'!$E:$E,$J26+2),INDEX('قیمت ها'!$B:$B,$J26+2))</x:f>
        <x:v>1/100</x:v>
      </x:c>
      <x:c r="H26" s="110">
        <x:f t="shared" si="0"/>
        <x:v>1100000</x:v>
      </x:c>
      <x:c r="I26" s="79" t="str">
        <x:f t="shared" si="1"/>
        <x:v>فعال</x:v>
      </x:c>
      <x:c r="J26" s="79">
        <x:v>6</x:v>
      </x:c>
      <x:c r="K26" s="79" t="s">
        <x:v>542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 t="str">
        <x:f>IF(AND(LEN($N$2)&gt;=3,ISNUMBER(SEARCH($N$2,$B26))),MAX($AA$1:AA25)+1,"")</x:f>
      </x:c>
      <x:c r="AB26" s="79" t="str">
        <x:v>6a3781e4df5573f4e676e226</x:v>
      </x:c>
      <x:c r="AC26" s="79" t="str">
        <x:v>ادویه</x:v>
      </x:c>
      <x:c r="AD26" s="79" t="str">
        <x:v>spice</x:v>
      </x:c>
      <x:c r="AE26" s="79" t="str">
        <x:v>EDIBLE</x:v>
      </x:c>
      <x:c r="AF26" s="79" t="str">
        <x:v>بله</x:v>
      </x:c>
      <x:c r="AG26" s="79" t="str">
        <x:v>خیر</x:v>
      </x:c>
      <x:c r="AH26" s="79" t="n">
        <x:v>1</x:v>
      </x:c>
      <x:c r="AI26" s="79" t="str">
        <x:v>ادویه آبگوشتی</x:v>
      </x:c>
      <x:c r="AJ26" s="79" t="str">
        <x:v>ادویه و چاشنی</x:v>
      </x:c>
      <x:c r="AK26" s="79"/>
    </x:row>
    <x:row r="27">
      <x:c r="A27" s="79" t="s">
        <x:v>544</x:v>
      </x:c>
      <x:c r="B27" s="79" t="s">
        <x:v>24</x:v>
      </x:c>
      <x:c r="C27" s="79" t="s">
        <x:v>545</x:v>
      </x:c>
      <x:c r="D27" s="79" t="s">
        <x:v>509</x:v>
      </x:c>
      <x:c r="E27" s="79" t="s">
        <x:v>16</x:v>
      </x:c>
      <x:c r="F27" s="79" t="s">
        <x:v>16</x:v>
      </x:c>
      <x:c r="G27" s="79" t="n">
        <x:f>IF(RIGHT($A27,2)="-2",INDEX('قیمت ها'!$E:$E,$J27+2),INDEX('قیمت ها'!$B:$B,$J27+2))</x:f>
        <x:v>800</x:v>
      </x:c>
      <x:c r="H27" s="110">
        <x:f t="shared" si="0"/>
        <x:v>800000</x:v>
      </x:c>
      <x:c r="I27" s="79" t="str">
        <x:f t="shared" si="1"/>
        <x:v>فعال</x:v>
      </x:c>
      <x:c r="J27" s="79">
        <x:v>7</x:v>
      </x:c>
      <x:c r="K27" s="79" t="s">
        <x:v>544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  <x:c r="AA27" s="79" t="str">
        <x:f>IF(AND(LEN($N$2)&gt;=3,ISNUMBER(SEARCH($N$2,$B27))),MAX($AA$1:AA26)+1,"")</x:f>
      </x:c>
      <x:c r="AB27" s="79" t="str">
        <x:v>6a3781e4df5573f4e676e226</x:v>
      </x:c>
      <x:c r="AC27" s="79" t="str">
        <x:v>ادویه</x:v>
      </x:c>
      <x:c r="AD27" s="79" t="str">
        <x:v>spice</x:v>
      </x:c>
      <x:c r="AE27" s="79" t="str">
        <x:v>EDIBLE</x:v>
      </x:c>
      <x:c r="AF27" s="79" t="str">
        <x:v>بله</x:v>
      </x:c>
      <x:c r="AG27" s="79" t="str">
        <x:v>خیر</x:v>
      </x:c>
      <x:c r="AH27" s="79" t="n">
        <x:v>1</x:v>
      </x:c>
      <x:c r="AI27" s="79" t="str">
        <x:v>ادویه پلویی</x:v>
      </x:c>
      <x:c r="AJ27" s="79" t="str">
        <x:v>ادویه و چاشنی</x:v>
      </x:c>
      <x:c r="AK27" s="79"/>
    </x:row>
    <x:row r="28">
      <x:c r="A28" s="79" t="s">
        <x:v>546</x:v>
      </x:c>
      <x:c r="B28" s="79" t="s">
        <x:v>27</x:v>
      </x:c>
      <x:c r="C28" s="79" t="s">
        <x:v>547</x:v>
      </x:c>
      <x:c r="D28" s="79" t="s">
        <x:v>509</x:v>
      </x:c>
      <x:c r="E28" s="79" t="s">
        <x:v>16</x:v>
      </x:c>
      <x:c r="F28" s="79" t="s">
        <x:v>16</x:v>
      </x:c>
      <x:c r="G28" s="79" t="n">
        <x:f>IF(RIGHT($A28,2)="-2",INDEX('قیمت ها'!$E:$E,$J28+2),INDEX('قیمت ها'!$B:$B,$J28+2))</x:f>
        <x:v>800</x:v>
      </x:c>
      <x:c r="H28" s="110">
        <x:f t="shared" si="0"/>
        <x:v>800000</x:v>
      </x:c>
      <x:c r="I28" s="79" t="str">
        <x:f t="shared" si="1"/>
        <x:v>فعال</x:v>
      </x:c>
      <x:c r="J28" s="79">
        <x:v>10</x:v>
      </x:c>
      <x:c r="K28" s="79" t="s">
        <x:v>546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 t="str">
        <x:f>IF(AND(LEN($N$2)&gt;=3,ISNUMBER(SEARCH($N$2,$B28))),MAX($AA$1:AA27)+1,"")</x:f>
      </x:c>
      <x:c r="AB28" s="79" t="str">
        <x:v>6a3781e4df5573f4e676e226</x:v>
      </x:c>
      <x:c r="AC28" s="79" t="str">
        <x:v>ادویه</x:v>
      </x:c>
      <x:c r="AD28" s="79" t="str">
        <x:v>spice</x:v>
      </x:c>
      <x:c r="AE28" s="79" t="str">
        <x:v>EDIBLE</x:v>
      </x:c>
      <x:c r="AF28" s="79" t="str">
        <x:v>بله</x:v>
      </x:c>
      <x:c r="AG28" s="79" t="str">
        <x:v>خیر</x:v>
      </x:c>
      <x:c r="AH28" s="79" t="n">
        <x:v>1</x:v>
      </x:c>
      <x:c r="AI28" s="79" t="str">
        <x:v>ادویه ترشی</x:v>
      </x:c>
      <x:c r="AJ28" s="79" t="str">
        <x:v>ادویه و چاشنی</x:v>
      </x:c>
      <x:c r="AK28" s="79"/>
    </x:row>
    <x:row r="29">
      <x:c r="A29" s="79" t="s">
        <x:v>548</x:v>
      </x:c>
      <x:c r="B29" s="79" t="s">
        <x:v>37</x:v>
      </x:c>
      <x:c r="C29" s="79" t="s">
        <x:v>549</x:v>
      </x:c>
      <x:c r="D29" s="79" t="s">
        <x:v>509</x:v>
      </x:c>
      <x:c r="E29" s="79" t="s">
        <x:v>16</x:v>
      </x:c>
      <x:c r="F29" s="79" t="s">
        <x:v>16</x:v>
      </x:c>
      <x:c r="G29" s="79" t="n">
        <x:f>IF(RIGHT($A29,2)="-2",INDEX('قیمت ها'!$E:$E,$J29+2),INDEX('قیمت ها'!$B:$B,$J29+2))</x:f>
        <x:v>850</x:v>
      </x:c>
      <x:c r="H29" s="110">
        <x:f t="shared" si="0"/>
        <x:v>850000</x:v>
      </x:c>
      <x:c r="I29" s="79" t="str">
        <x:f t="shared" si="1"/>
        <x:v>فعال</x:v>
      </x:c>
      <x:c r="J29" s="79">
        <x:v>20</x:v>
      </x:c>
      <x:c r="K29" s="79" t="s">
        <x:v>548</x:v>
      </x:c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  <x:c r="AA29" s="79" t="str">
        <x:f>IF(AND(LEN($N$2)&gt;=3,ISNUMBER(SEARCH($N$2,$B29))),MAX($AA$1:AA28)+1,"")</x:f>
      </x:c>
      <x:c r="AB29" s="79" t="str">
        <x:v>6a3781e4df5573f4e676e226</x:v>
      </x:c>
      <x:c r="AC29" s="79" t="str">
        <x:v>ادویه</x:v>
      </x:c>
      <x:c r="AD29" s="79" t="str">
        <x:v>spice</x:v>
      </x:c>
      <x:c r="AE29" s="79" t="str">
        <x:v>EDIBLE</x:v>
      </x:c>
      <x:c r="AF29" s="79" t="str">
        <x:v>بله</x:v>
      </x:c>
      <x:c r="AG29" s="79" t="str">
        <x:v>خیر</x:v>
      </x:c>
      <x:c r="AH29" s="79" t="n">
        <x:v>1</x:v>
      </x:c>
      <x:c r="AI29" s="79" t="str">
        <x:v>ادویه قرمه سبزی</x:v>
      </x:c>
      <x:c r="AJ29" s="79" t="str">
        <x:v>ادویه و چاشنی</x:v>
      </x:c>
      <x:c r="AK29" s="79"/>
    </x:row>
    <x:row r="30">
      <x:c r="A30" s="79" t="s">
        <x:v>550</x:v>
      </x:c>
      <x:c r="B30" s="79" t="s">
        <x:v>36</x:v>
      </x:c>
      <x:c r="C30" s="79" t="s">
        <x:v>551</x:v>
      </x:c>
      <x:c r="D30" s="79" t="s">
        <x:v>509</x:v>
      </x:c>
      <x:c r="E30" s="79" t="s">
        <x:v>16</x:v>
      </x:c>
      <x:c r="F30" s="79" t="s">
        <x:v>16</x:v>
      </x:c>
      <x:c r="G30" s="79" t="n">
        <x:f>IF(RIGHT($A30,2)="-2",INDEX('قیمت ها'!$E:$E,$J30+2),INDEX('قیمت ها'!$B:$B,$J30+2))</x:f>
        <x:v>700</x:v>
      </x:c>
      <x:c r="H30" s="110">
        <x:f t="shared" si="0"/>
        <x:v>700000</x:v>
      </x:c>
      <x:c r="I30" s="79" t="str">
        <x:f t="shared" si="1"/>
        <x:v>فعال</x:v>
      </x:c>
      <x:c r="J30" s="79">
        <x:v>19</x:v>
      </x:c>
      <x:c r="K30" s="79" t="s">
        <x:v>550</x:v>
      </x:c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 t="str">
        <x:f>IF(AND(LEN($N$2)&gt;=3,ISNUMBER(SEARCH($N$2,$B30))),MAX($AA$1:AA29)+1,"")</x:f>
      </x:c>
      <x:c r="AB30" s="79" t="str">
        <x:v>6a3781e4df5573f4e676e226</x:v>
      </x:c>
      <x:c r="AC30" s="79" t="str">
        <x:v>ادویه</x:v>
      </x:c>
      <x:c r="AD30" s="79" t="str">
        <x:v>spice</x:v>
      </x:c>
      <x:c r="AE30" s="79" t="str">
        <x:v>EDIBLE</x:v>
      </x:c>
      <x:c r="AF30" s="79" t="str">
        <x:v>بله</x:v>
      </x:c>
      <x:c r="AG30" s="79" t="str">
        <x:v>خیر</x:v>
      </x:c>
      <x:c r="AH30" s="79" t="n">
        <x:v>1</x:v>
      </x:c>
      <x:c r="AI30" s="79" t="str">
        <x:v>ادویه فلافل</x:v>
      </x:c>
      <x:c r="AJ30" s="79" t="str">
        <x:v>ادویه و چاشنی</x:v>
      </x:c>
      <x:c r="AK30" s="79"/>
    </x:row>
    <x:row r="31">
      <x:c r="A31" s="79" t="s">
        <x:v>552</x:v>
      </x:c>
      <x:c r="B31" s="79" t="s">
        <x:v>38</x:v>
      </x:c>
      <x:c r="C31" s="79" t="s">
        <x:v>553</x:v>
      </x:c>
      <x:c r="D31" s="79" t="s">
        <x:v>509</x:v>
      </x:c>
      <x:c r="E31" s="79" t="s">
        <x:v>16</x:v>
      </x:c>
      <x:c r="F31" s="79" t="s">
        <x:v>16</x:v>
      </x:c>
      <x:c r="G31" s="79" t="str">
        <x:f>IF(RIGHT($A31,2)="-2",INDEX('قیمت ها'!$E:$E,$J31+2),INDEX('قیمت ها'!$B:$B,$J31+2))</x:f>
        <x:v>1/100</x:v>
      </x:c>
      <x:c r="H31" s="110">
        <x:f t="shared" si="0"/>
        <x:v>1100000</x:v>
      </x:c>
      <x:c r="I31" s="79" t="str">
        <x:f t="shared" si="1"/>
        <x:v>فعال</x:v>
      </x:c>
      <x:c r="J31" s="79">
        <x:v>21</x:v>
      </x:c>
      <x:c r="K31" s="79" t="s">
        <x:v>552</x:v>
      </x:c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  <x:c r="AA31" s="79" t="str">
        <x:f>IF(AND(LEN($N$2)&gt;=3,ISNUMBER(SEARCH($N$2,$B31))),MAX($AA$1:AA30)+1,"")</x:f>
      </x:c>
      <x:c r="AB31" s="79" t="str">
        <x:v>6a3781e4df5573f4e676e226</x:v>
      </x:c>
      <x:c r="AC31" s="79" t="str">
        <x:v>ادویه</x:v>
      </x:c>
      <x:c r="AD31" s="79" t="str">
        <x:v>spice</x:v>
      </x:c>
      <x:c r="AE31" s="79" t="str">
        <x:v>EDIBLE</x:v>
      </x:c>
      <x:c r="AF31" s="79" t="str">
        <x:v>بله</x:v>
      </x:c>
      <x:c r="AG31" s="79" t="str">
        <x:v>خیر</x:v>
      </x:c>
      <x:c r="AH31" s="79" t="n">
        <x:v>1</x:v>
      </x:c>
      <x:c r="AI31" s="79" t="str">
        <x:v>ادویه کاچی</x:v>
      </x:c>
      <x:c r="AJ31" s="79" t="str">
        <x:v>ادویه و چاشنی</x:v>
      </x:c>
      <x:c r="AK31" s="79"/>
    </x:row>
    <x:row r="32">
      <x:c r="A32" s="79" t="s">
        <x:v>554</x:v>
      </x:c>
      <x:c r="B32" s="79" t="s">
        <x:v>161</x:v>
      </x:c>
      <x:c r="C32" s="79" t="s">
        <x:v>555</x:v>
      </x:c>
      <x:c r="D32" s="79" t="s">
        <x:v>509</x:v>
      </x:c>
      <x:c r="E32" s="79" t="s">
        <x:v>16</x:v>
      </x:c>
      <x:c r="F32" s="79" t="s">
        <x:v>16</x:v>
      </x:c>
      <x:c r="G32" s="79" t="str">
        <x:f>IF(RIGHT($A32,2)="-2",INDEX('قیمت ها'!$E:$E,$J32+2),INDEX('قیمت ها'!$B:$B,$J32+2))</x:f>
        <x:v>؟</x:v>
      </x:c>
      <x:c r="H32" s="110" t="str">
        <x:f t="shared" si="0"/>
      </x:c>
      <x:c r="I32" s="79" t="str">
        <x:f t="shared" si="1"/>
        <x:v>نیاز به استعلام</x:v>
      </x:c>
      <x:c r="J32" s="79">
        <x:v>113</x:v>
      </x:c>
      <x:c r="K32" s="79" t="s">
        <x:v>554</x:v>
      </x:c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 t="str">
        <x:f>IF(AND(LEN($N$2)&gt;=3,ISNUMBER(SEARCH($N$2,$B32))),MAX($AA$1:AA31)+1,"")</x:f>
      </x:c>
      <x:c r="AB32" s="79" t="str">
        <x:v>6a3a00000000000000000004</x:v>
      </x:c>
      <x:c r="AC32" s="79" t="str">
        <x:v>آرد و قنادی</x:v>
      </x:c>
      <x:c r="AD32" s="79" t="str">
        <x:v>flour-confectionery</x:v>
      </x:c>
      <x:c r="AE32" s="79" t="str">
        <x:v>EDIBLE</x:v>
      </x:c>
      <x:c r="AF32" s="79" t="str">
        <x:v>بله</x:v>
      </x:c>
      <x:c r="AG32" s="79" t="str">
        <x:v>خیر</x:v>
      </x:c>
      <x:c r="AH32" s="79" t="n">
        <x:v>1</x:v>
      </x:c>
      <x:c r="AI32" s="79" t="str">
        <x:v>خمیر مایه فریمان</x:v>
      </x:c>
      <x:c r="AJ32" s="79" t="str">
        <x:v>ادویه و چاشنی</x:v>
      </x:c>
      <x:c r="AK32" s="79" t="str">
        <x:v>دسته از «نیاز به بررسی» به «آرد و قنادی» اصلاح شد</x:v>
      </x:c>
    </x:row>
    <x:row r="33">
      <x:c r="A33" s="79" t="s">
        <x:v>556</x:v>
      </x:c>
      <x:c r="B33" s="79" t="s">
        <x:v>159</x:v>
      </x:c>
      <x:c r="C33" s="79" t="s">
        <x:v>557</x:v>
      </x:c>
      <x:c r="D33" s="79" t="s">
        <x:v>509</x:v>
      </x:c>
      <x:c r="E33" s="79" t="s">
        <x:v>16</x:v>
      </x:c>
      <x:c r="F33" s="79" t="s">
        <x:v>16</x:v>
      </x:c>
      <x:c r="G33" s="79" t="str">
        <x:f>IF(RIGHT($A33,2)="-2",INDEX('قیمت ها'!$E:$E,$J33+2),INDEX('قیمت ها'!$B:$B,$J33+2))</x:f>
        <x:v>1/900</x:v>
      </x:c>
      <x:c r="H33" s="110">
        <x:f t="shared" si="0"/>
        <x:v>1900000</x:v>
      </x:c>
      <x:c r="I33" s="79" t="str">
        <x:f t="shared" si="1"/>
        <x:v>فعال</x:v>
      </x:c>
      <x:c r="J33" s="79">
        <x:v>112</x:v>
      </x:c>
      <x:c r="K33" s="79" t="s">
        <x:v>556</x:v>
      </x:c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  <x:c r="AA33" s="79" t="str">
        <x:f>IF(AND(LEN($N$2)&gt;=3,ISNUMBER(SEARCH($N$2,$B33))),MAX($AA$1:AA32)+1,"")</x:f>
      </x:c>
      <x:c r="AB33" s="79" t="str">
        <x:v>6a3782d7df5573f4e676e243</x:v>
      </x:c>
      <x:c r="AC33" s="79" t="str">
        <x:v>گیاهان دارویی</x:v>
      </x:c>
      <x:c r="AD33" s="79" t="str">
        <x:v>medicinal-plants</x:v>
      </x:c>
      <x:c r="AE33" s="79" t="str">
        <x:v>EDIBLE</x:v>
      </x:c>
      <x:c r="AF33" s="79" t="str">
        <x:v>بله</x:v>
      </x:c>
      <x:c r="AG33" s="79" t="str">
        <x:v>خیر</x:v>
      </x:c>
      <x:c r="AH33" s="79" t="n">
        <x:v>1</x:v>
      </x:c>
      <x:c r="AI33" s="79" t="str">
        <x:v>خرفه</x:v>
      </x:c>
      <x:c r="AJ33" s="79" t="str">
        <x:v>ادویه و چاشنی</x:v>
      </x:c>
      <x:c r="AK33" s="79" t="str">
        <x:v>دسته از «نیاز به بررسی» به «گیاهان دارویی» اصلاح شد</x:v>
      </x:c>
    </x:row>
    <x:row r="34">
      <x:c r="A34" s="79" t="s">
        <x:v>558</x:v>
      </x:c>
      <x:c r="B34" s="79" t="s">
        <x:v>162</x:v>
      </x:c>
      <x:c r="C34" s="79" t="s">
        <x:v>559</x:v>
      </x:c>
      <x:c r="D34" s="79" t="s">
        <x:v>509</x:v>
      </x:c>
      <x:c r="E34" s="79" t="s">
        <x:v>16</x:v>
      </x:c>
      <x:c r="F34" s="79" t="s">
        <x:v>16</x:v>
      </x:c>
      <x:c r="G34" s="79" t="n">
        <x:f>IF(RIGHT($A34,2)="-2",INDEX('قیمت ها'!$E:$E,$J34+2),INDEX('قیمت ها'!$B:$B,$J34+2))</x:f>
        <x:v>850</x:v>
      </x:c>
      <x:c r="H34" s="110">
        <x:f t="shared" si="0"/>
        <x:v>850000</x:v>
      </x:c>
      <x:c r="I34" s="79" t="str">
        <x:f t="shared" si="1"/>
        <x:v>فعال</x:v>
      </x:c>
      <x:c r="J34" s="79">
        <x:v>114</x:v>
      </x:c>
      <x:c r="K34" s="79" t="s">
        <x:v>558</x:v>
      </x:c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  <x:c r="AA34" s="79" t="str">
        <x:f>IF(AND(LEN($N$2)&gt;=3,ISNUMBER(SEARCH($N$2,$B34))),MAX($AA$1:AA33)+1,"")</x:f>
      </x:c>
      <x:c r="AB34" s="79" t="str">
        <x:v>6a3781e4df5573f4e676e226</x:v>
      </x:c>
      <x:c r="AC34" s="79" t="str">
        <x:v>ادویه</x:v>
      </x:c>
      <x:c r="AD34" s="79" t="str">
        <x:v>spice</x:v>
      </x:c>
      <x:c r="AE34" s="79" t="str">
        <x:v>EDIBLE</x:v>
      </x:c>
      <x:c r="AF34" s="79" t="str">
        <x:v>بله</x:v>
      </x:c>
      <x:c r="AG34" s="79" t="str">
        <x:v>خیر</x:v>
      </x:c>
      <x:c r="AH34" s="79" t="n">
        <x:v>1</x:v>
      </x:c>
      <x:c r="AI34" s="79" t="str">
        <x:v>دارچین سیگاری</x:v>
      </x:c>
      <x:c r="AJ34" s="79" t="str">
        <x:v>ادویه و چاشنی</x:v>
      </x:c>
      <x:c r="AK34" s="79"/>
    </x:row>
    <x:row r="35">
      <x:c r="A35" s="79" t="s">
        <x:v>560</x:v>
      </x:c>
      <x:c r="B35" s="79" t="s">
        <x:v>166</x:v>
      </x:c>
      <x:c r="C35" s="79" t="s">
        <x:v>561</x:v>
      </x:c>
      <x:c r="D35" s="79" t="s">
        <x:v>509</x:v>
      </x:c>
      <x:c r="E35" s="79" t="s">
        <x:v>16</x:v>
      </x:c>
      <x:c r="F35" s="79" t="s">
        <x:v>16</x:v>
      </x:c>
      <x:c r="G35" s="79" t="n">
        <x:f>IF(RIGHT($A35,2)="-2",INDEX('قیمت ها'!$E:$E,$J35+2),INDEX('قیمت ها'!$B:$B,$J35+2))</x:f>
        <x:v>740</x:v>
      </x:c>
      <x:c r="H35" s="110">
        <x:f t="shared" si="0"/>
        <x:v>740000</x:v>
      </x:c>
      <x:c r="I35" s="79" t="str">
        <x:f t="shared" si="1"/>
        <x:v>فعال</x:v>
      </x:c>
      <x:c r="J35" s="79">
        <x:v>118</x:v>
      </x:c>
      <x:c r="K35" s="79" t="s">
        <x:v>560</x:v>
      </x:c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  <x:c r="AA35" s="79" t="str">
        <x:f>IF(AND(LEN($N$2)&gt;=3,ISNUMBER(SEARCH($N$2,$B35))),MAX($AA$1:AA34)+1,"")</x:f>
      </x:c>
      <x:c r="AB35" s="79" t="str">
        <x:v>6a30f5728337d8d2af170bb3</x:v>
      </x:c>
      <x:c r="AC35" s="79" t="str">
        <x:v>چای</x:v>
      </x:c>
      <x:c r="AD35" s="79" t="str">
        <x:v>tea</x:v>
      </x:c>
      <x:c r="AE35" s="79" t="str">
        <x:v>EDIBLE</x:v>
      </x:c>
      <x:c r="AF35" s="79" t="str">
        <x:v>بله</x:v>
      </x:c>
      <x:c r="AG35" s="79" t="str">
        <x:v>خیر</x:v>
      </x:c>
      <x:c r="AH35" s="79" t="n">
        <x:v>1</x:v>
      </x:c>
      <x:c r="AI35" s="79" t="str">
        <x:v>دمنوش آویشن</x:v>
      </x:c>
      <x:c r="AJ35" s="79" t="str">
        <x:v>ادویه و چاشنی</x:v>
      </x:c>
      <x:c r="AK35" s="79"/>
    </x:row>
    <x:row r="36">
      <x:c r="A36" s="79" t="s">
        <x:v>562</x:v>
      </x:c>
      <x:c r="B36" s="79" t="s">
        <x:v>253</x:v>
      </x:c>
      <x:c r="C36" s="79" t="s">
        <x:v>563</x:v>
      </x:c>
      <x:c r="D36" s="79" t="s">
        <x:v>509</x:v>
      </x:c>
      <x:c r="E36" s="79" t="s">
        <x:v>16</x:v>
      </x:c>
      <x:c r="F36" s="79" t="s">
        <x:v>16</x:v>
      </x:c>
      <x:c r="G36" s="79" t="str">
        <x:f>IF(RIGHT($A36,2)="-2",INDEX('قیمت ها'!$E:$E,$J36+2),INDEX('قیمت ها'!$B:$B,$J36+2))</x:f>
        <x:v>؟</x:v>
      </x:c>
      <x:c r="H36" s="110" t="str">
        <x:f t="shared" si="0"/>
      </x:c>
      <x:c r="I36" s="79" t="str">
        <x:f t="shared" si="1"/>
        <x:v>نیاز به استعلام</x:v>
      </x:c>
      <x:c r="J36" s="79">
        <x:v>194</x:v>
      </x:c>
      <x:c r="K36" s="79" t="s">
        <x:v>562</x:v>
      </x:c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 t="str">
        <x:f>IF(AND(LEN($N$2)&gt;=3,ISNUMBER(SEARCH($N$2,$B36))),MAX($AA$1:AA35)+1,"")</x:f>
      </x:c>
      <x:c r="AB36" s="79" t="str">
        <x:v>6a3782d7df5573f4e676e243</x:v>
      </x:c>
      <x:c r="AC36" s="79" t="str">
        <x:v>گیاهان دارویی</x:v>
      </x:c>
      <x:c r="AD36" s="79" t="str">
        <x:v>medicinal-plants</x:v>
      </x:c>
      <x:c r="AE36" s="79" t="str">
        <x:v>TOPICAL</x:v>
      </x:c>
      <x:c r="AF36" s="79" t="str">
        <x:v>خیر</x:v>
      </x:c>
      <x:c r="AG36" s="79" t="str">
        <x:v>خیر</x:v>
      </x:c>
      <x:c r="AH36" s="79" t="n">
        <x:v>1</x:v>
      </x:c>
      <x:c r="AI36" s="79" t="str">
        <x:v>زاج</x:v>
      </x:c>
      <x:c r="AJ36" s="79" t="str">
        <x:v>ادویه و چاشنی</x:v>
      </x:c>
      <x:c r="AK36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7">
      <x:c r="A37" s="79" t="s">
        <x:v>564</x:v>
      </x:c>
      <x:c r="B37" s="79" t="s">
        <x:v>252</x:v>
      </x:c>
      <x:c r="C37" s="79" t="s">
        <x:v>565</x:v>
      </x:c>
      <x:c r="D37" s="79" t="s">
        <x:v>509</x:v>
      </x:c>
      <x:c r="E37" s="79" t="s">
        <x:v>16</x:v>
      </x:c>
      <x:c r="F37" s="79" t="s">
        <x:v>16</x:v>
      </x:c>
      <x:c r="G37" s="79" t="n">
        <x:f>IF(RIGHT($A37,2)="-2",INDEX('قیمت ها'!$E:$E,$J37+2),INDEX('قیمت ها'!$B:$B,$J37+2))</x:f>
        <x:v>880</x:v>
      </x:c>
      <x:c r="H37" s="110">
        <x:f t="shared" si="0"/>
        <x:v>880000</x:v>
      </x:c>
      <x:c r="I37" s="79" t="str">
        <x:f t="shared" si="1"/>
        <x:v>فعال</x:v>
      </x:c>
      <x:c r="J37" s="79">
        <x:v>193</x:v>
      </x:c>
      <x:c r="K37" s="79" t="s">
        <x:v>564</x:v>
      </x:c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  <x:c r="AA37" s="79" t="str">
        <x:f>IF(AND(LEN($N$2)&gt;=3,ISNUMBER(SEARCH($N$2,$B37))),MAX($AA$1:AA36)+1,"")</x:f>
      </x:c>
      <x:c r="AB37" s="79" t="str">
        <x:v>6a2d446d45c164ce6f28ae30</x:v>
      </x:c>
      <x:c r="AC37" s="79" t="str">
        <x:v>روغن</x:v>
      </x:c>
      <x:c r="AD37" s="79" t="str">
        <x:v>oil</x:v>
      </x:c>
      <x:c r="AE37" s="79" t="str">
        <x:v>EDIBLE</x:v>
      </x:c>
      <x:c r="AF37" s="79" t="str">
        <x:v>بله</x:v>
      </x:c>
      <x:c r="AG37" s="79" t="str">
        <x:v>بله</x:v>
      </x:c>
      <x:c r="AH37" s="79" t="n">
        <x:v>2</x:v>
      </x:c>
      <x:c r="AI37" s="79" t="str">
        <x:v>روغن هسته نارنج</x:v>
      </x:c>
      <x:c r="AJ37" s="79" t="str">
        <x:v>ادویه و چاشنی</x:v>
      </x:c>
      <x:c r="AK37" s="79" t="str">
        <x:v>MISSING_PRICE_REVIEW</x:v>
      </x:c>
    </x:row>
    <x:row r="38">
      <x:c r="A38" s="79" t="s">
        <x:v>566</x:v>
      </x:c>
      <x:c r="B38" s="79" t="s">
        <x:v>256</x:v>
      </x:c>
      <x:c r="C38" s="79" t="s">
        <x:v>567</x:v>
      </x:c>
      <x:c r="D38" s="79" t="s">
        <x:v>509</x:v>
      </x:c>
      <x:c r="E38" s="79" t="s">
        <x:v>16</x:v>
      </x:c>
      <x:c r="F38" s="79" t="s">
        <x:v>16</x:v>
      </x:c>
      <x:c r="G38" s="79" t="str">
        <x:f>IF(RIGHT($A38,2)="-2",INDEX('قیمت ها'!$E:$E,$J38+2),INDEX('قیمت ها'!$B:$B,$J38+2))</x:f>
        <x:v>؟</x:v>
      </x:c>
      <x:c r="H38" s="110" t="str">
        <x:f t="shared" si="0"/>
      </x:c>
      <x:c r="I38" s="79" t="str">
        <x:f t="shared" si="1"/>
        <x:v>نیاز به استعلام</x:v>
      </x:c>
      <x:c r="J38" s="79">
        <x:v>197</x:v>
      </x:c>
      <x:c r="K38" s="79" t="s">
        <x:v>566</x:v>
      </x:c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 t="str">
        <x:f>IF(AND(LEN($N$2)&gt;=3,ISNUMBER(SEARCH($N$2,$B38))),MAX($AA$1:AA37)+1,"")</x:f>
      </x:c>
      <x:c r="AB38" s="79" t="str">
        <x:v>6a37810ddf5573f4e676e201</x:v>
      </x:c>
      <x:c r="AC38" s="79" t="str">
        <x:v>خشکبار و آجیل</x:v>
      </x:c>
      <x:c r="AD38" s="79" t="str">
        <x:v>dried-fruits-nuts</x:v>
      </x:c>
      <x:c r="AE38" s="79" t="str">
        <x:v>EDIBLE</x:v>
      </x:c>
      <x:c r="AF38" s="79" t="str">
        <x:v>بله</x:v>
      </x:c>
      <x:c r="AG38" s="79" t="str">
        <x:v>خیر</x:v>
      </x:c>
      <x:c r="AH38" s="79" t="n">
        <x:v>1</x:v>
      </x:c>
      <x:c r="AI38" s="79" t="str">
        <x:v>زرشک</x:v>
      </x:c>
      <x:c r="AJ38" s="79" t="str">
        <x:v>ادویه و چاشنی</x:v>
      </x:c>
      <x:c r="AK38" s="79" t="str">
        <x:v>MERGED + MISSING_PRICE_REVIEW</x:v>
      </x:c>
    </x:row>
    <x:row r="39">
      <x:c r="A39" s="79" t="s">
        <x:v>568</x:v>
      </x:c>
      <x:c r="B39" s="79" t="s">
        <x:v>257</x:v>
      </x:c>
      <x:c r="C39" s="79" t="s">
        <x:v>569</x:v>
      </x:c>
      <x:c r="D39" s="79" t="s">
        <x:v>509</x:v>
      </x:c>
      <x:c r="E39" s="79" t="s">
        <x:v>16</x:v>
      </x:c>
      <x:c r="F39" s="79" t="s">
        <x:v>16</x:v>
      </x:c>
      <x:c r="G39" s="79" t="str">
        <x:f>IF(RIGHT($A39,2)="-2",INDEX('قیمت ها'!$E:$E,$J39+2),INDEX('قیمت ها'!$B:$B,$J39+2))</x:f>
        <x:v>1/200</x:v>
      </x:c>
      <x:c r="H39" s="110">
        <x:f t="shared" si="0"/>
        <x:v>1200000</x:v>
      </x:c>
      <x:c r="I39" s="79" t="str">
        <x:f t="shared" si="1"/>
        <x:v>فعال</x:v>
      </x:c>
      <x:c r="J39" s="79">
        <x:v>198</x:v>
      </x:c>
      <x:c r="K39" s="79" t="s">
        <x:v>568</x:v>
      </x:c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  <x:c r="AA39" s="79" t="str">
        <x:f>IF(AND(LEN($N$2)&gt;=3,ISNUMBER(SEARCH($N$2,$B39))),MAX($AA$1:AA38)+1,"")</x:f>
      </x:c>
      <x:c r="AB39" s="79" t="str">
        <x:v>6a37810ddf5573f4e676e201</x:v>
      </x:c>
      <x:c r="AC39" s="79" t="str">
        <x:v>خشکبار و آجیل</x:v>
      </x:c>
      <x:c r="AD39" s="79" t="str">
        <x:v>dried-fruits-nuts</x:v>
      </x:c>
      <x:c r="AE39" s="79" t="str">
        <x:v>EDIBLE</x:v>
      </x:c>
      <x:c r="AF39" s="79" t="str">
        <x:v>بله</x:v>
      </x:c>
      <x:c r="AG39" s="79" t="str">
        <x:v>خیر</x:v>
      </x:c>
      <x:c r="AH39" s="79" t="n">
        <x:v>1</x:v>
      </x:c>
      <x:c r="AI39" s="79" t="str">
        <x:v>زرشک</x:v>
      </x:c>
      <x:c r="AJ39" s="79" t="str">
        <x:v>ادویه و چاشنی</x:v>
      </x:c>
      <x:c r="AK39" s="79" t="str">
        <x:v>MERGED + MISSING_PRICE_REVIEW</x:v>
      </x:c>
    </x:row>
    <x:row r="40">
      <x:c r="A40" s="79" t="s">
        <x:v>570</x:v>
      </x:c>
      <x:c r="B40" s="79" t="s">
        <x:v>259</x:v>
      </x:c>
      <x:c r="C40" s="79" t="s">
        <x:v>571</x:v>
      </x:c>
      <x:c r="D40" s="79" t="s">
        <x:v>509</x:v>
      </x:c>
      <x:c r="E40" s="79" t="s">
        <x:v>16</x:v>
      </x:c>
      <x:c r="F40" s="79" t="s">
        <x:v>16</x:v>
      </x:c>
      <x:c r="G40" s="79" t="str">
        <x:f>IF(RIGHT($A40,2)="-2",INDEX('قیمت ها'!$E:$E,$J40+2),INDEX('قیمت ها'!$B:$B,$J40+2))</x:f>
        <x:v>1/340</x:v>
      </x:c>
      <x:c r="H40" s="110">
        <x:f t="shared" si="0"/>
        <x:v>1340000</x:v>
      </x:c>
      <x:c r="I40" s="79" t="str">
        <x:f t="shared" si="1"/>
        <x:v>فعال</x:v>
      </x:c>
      <x:c r="J40" s="79">
        <x:v>200</x:v>
      </x:c>
      <x:c r="K40" s="79" t="s">
        <x:v>570</x:v>
      </x:c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  <x:c r="AA40" s="79" t="str">
        <x:f>IF(AND(LEN($N$2)&gt;=3,ISNUMBER(SEARCH($N$2,$B40))),MAX($AA$1:AA39)+1,"")</x:f>
      </x:c>
      <x:c r="AB40" s="79" t="str">
        <x:v>6a3781e4df5573f4e676e226</x:v>
      </x:c>
      <x:c r="AC40" s="79" t="str">
        <x:v>ادویه</x:v>
      </x:c>
      <x:c r="AD40" s="79" t="str">
        <x:v>spice</x:v>
      </x:c>
      <x:c r="AE40" s="79" t="str">
        <x:v>EDIBLE</x:v>
      </x:c>
      <x:c r="AF40" s="79" t="str">
        <x:v>بله</x:v>
      </x:c>
      <x:c r="AG40" s="79" t="str">
        <x:v>خیر</x:v>
      </x:c>
      <x:c r="AH40" s="79" t="n">
        <x:v>1</x:v>
      </x:c>
      <x:c r="AI40" s="79" t="str">
        <x:v>زنجبیل چینی</x:v>
      </x:c>
      <x:c r="AJ40" s="79" t="str">
        <x:v>ادویه و چاشنی</x:v>
      </x:c>
      <x:c r="AK40" s="79"/>
    </x:row>
    <x:row r="41">
      <x:c r="A41" s="79" t="s">
        <x:v>572</x:v>
      </x:c>
      <x:c r="B41" s="79" t="s">
        <x:v>261</x:v>
      </x:c>
      <x:c r="C41" s="79" t="s">
        <x:v>573</x:v>
      </x:c>
      <x:c r="D41" s="79" t="s">
        <x:v>509</x:v>
      </x:c>
      <x:c r="E41" s="79" t="s">
        <x:v>16</x:v>
      </x:c>
      <x:c r="F41" s="79" t="s">
        <x:v>16</x:v>
      </x:c>
      <x:c r="G41" s="79" t="str">
        <x:f>IF(RIGHT($A41,2)="-2",INDEX('قیمت ها'!$E:$E,$J41+2),INDEX('قیمت ها'!$B:$B,$J41+2))</x:f>
        <x:v>2/950</x:v>
      </x:c>
      <x:c r="H41" s="110">
        <x:f t="shared" si="0"/>
        <x:v>2950000</x:v>
      </x:c>
      <x:c r="I41" s="79" t="str">
        <x:f t="shared" si="1"/>
        <x:v>فعال</x:v>
      </x:c>
      <x:c r="J41" s="79">
        <x:v>201</x:v>
      </x:c>
      <x:c r="K41" s="79" t="s">
        <x:v>572</x:v>
      </x:c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  <x:c r="AA41" s="79" t="str">
        <x:f>IF(AND(LEN($N$2)&gt;=3,ISNUMBER(SEARCH($N$2,$B41))),MAX($AA$1:AA40)+1,"")</x:f>
      </x:c>
      <x:c r="AB41" s="79" t="str">
        <x:v>6a3781e4df5573f4e676e226</x:v>
      </x:c>
      <x:c r="AC41" s="79" t="str">
        <x:v>ادویه</x:v>
      </x:c>
      <x:c r="AD41" s="79" t="str">
        <x:v>spice</x:v>
      </x:c>
      <x:c r="AE41" s="79" t="str">
        <x:v>EDIBLE</x:v>
      </x:c>
      <x:c r="AF41" s="79" t="str">
        <x:v>بله</x:v>
      </x:c>
      <x:c r="AG41" s="79" t="str">
        <x:v>خیر</x:v>
      </x:c>
      <x:c r="AH41" s="79" t="n">
        <x:v>1</x:v>
      </x:c>
      <x:c r="AI41" s="79" t="str">
        <x:v>زنیان</x:v>
      </x:c>
      <x:c r="AJ41" s="79" t="str">
        <x:v>ادویه و چاشنی</x:v>
      </x:c>
      <x:c r="AK41" s="79"/>
    </x:row>
    <x:row r="42">
      <x:c r="A42" s="79" t="s">
        <x:v>574</x:v>
      </x:c>
      <x:c r="B42" s="79" t="s">
        <x:v>269</x:v>
      </x:c>
      <x:c r="C42" s="79" t="s">
        <x:v>575</x:v>
      </x:c>
      <x:c r="D42" s="79" t="s">
        <x:v>509</x:v>
      </x:c>
      <x:c r="E42" s="79" t="s">
        <x:v>16</x:v>
      </x:c>
      <x:c r="F42" s="79" t="s">
        <x:v>16</x:v>
      </x:c>
      <x:c r="G42" s="79" t="str">
        <x:f>IF(RIGHT($A42,2)="-2",INDEX('قیمت ها'!$E:$E,$J42+2),INDEX('قیمت ها'!$B:$B,$J42+2))</x:f>
        <x:v>3/000</x:v>
      </x:c>
      <x:c r="H42" s="110">
        <x:f t="shared" si="0"/>
        <x:v>3000000</x:v>
      </x:c>
      <x:c r="I42" s="79" t="str">
        <x:f t="shared" si="1"/>
        <x:v>فعال</x:v>
      </x:c>
      <x:c r="J42" s="79">
        <x:v>207</x:v>
      </x:c>
      <x:c r="K42" s="79" t="s">
        <x:v>574</x:v>
      </x:c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 t="str">
        <x:f>IF(AND(LEN($N$2)&gt;=3,ISNUMBER(SEARCH($N$2,$B42))),MAX($AA$1:AA41)+1,"")</x:f>
      </x:c>
      <x:c r="AB42" s="79" t="str">
        <x:v>6a3782ffdf5573f4e676e24b</x:v>
      </x:c>
      <x:c r="AC42" s="79" t="str">
        <x:v>نوشیدنی‌ها</x:v>
      </x:c>
      <x:c r="AD42" s="79" t="str">
        <x:v>syrup</x:v>
      </x:c>
      <x:c r="AE42" s="79" t="str">
        <x:v>EDIBLE</x:v>
      </x:c>
      <x:c r="AF42" s="79" t="str">
        <x:v>بله</x:v>
      </x:c>
      <x:c r="AG42" s="79" t="str">
        <x:v>بله</x:v>
      </x:c>
      <x:c r="AH42" s="79" t="n">
        <x:v>2</x:v>
      </x:c>
      <x:c r="AI42" s="79" t="str">
        <x:v>سرکه سیب</x:v>
      </x:c>
      <x:c r="AJ42" s="79" t="str">
        <x:v>ادویه و چاشنی</x:v>
      </x:c>
      <x:c r="AK42" s="79"/>
    </x:row>
    <x:row r="43">
      <x:c r="A43" s="79" t="s">
        <x:v>576</x:v>
      </x:c>
      <x:c r="B43" s="79" t="s">
        <x:v>271</x:v>
      </x:c>
      <x:c r="C43" s="79" t="s">
        <x:v>577</x:v>
      </x:c>
      <x:c r="D43" s="79" t="s">
        <x:v>509</x:v>
      </x:c>
      <x:c r="E43" s="79" t="s">
        <x:v>16</x:v>
      </x:c>
      <x:c r="F43" s="79" t="s">
        <x:v>16</x:v>
      </x:c>
      <x:c r="G43" s="79" t="str">
        <x:f>IF(RIGHT($A43,2)="-2",INDEX('قیمت ها'!$E:$E,$J43+2),INDEX('قیمت ها'!$B:$B,$J43+2))</x:f>
        <x:v>2/600</x:v>
      </x:c>
      <x:c r="H43" s="110">
        <x:f t="shared" si="0"/>
        <x:v>2600000</x:v>
      </x:c>
      <x:c r="I43" s="79" t="str">
        <x:f t="shared" si="1"/>
        <x:v>فعال</x:v>
      </x:c>
      <x:c r="J43" s="79">
        <x:v>208</x:v>
      </x:c>
      <x:c r="K43" s="79" t="s">
        <x:v>576</x:v>
      </x:c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  <x:c r="AA43" s="79" t="str">
        <x:f>IF(AND(LEN($N$2)&gt;=3,ISNUMBER(SEARCH($N$2,$B43))),MAX($AA$1:AA42)+1,"")</x:f>
      </x:c>
      <x:c r="AB43" s="79" t="str">
        <x:v>6a3782d7df5573f4e676e243</x:v>
      </x:c>
      <x:c r="AC43" s="79" t="str">
        <x:v>گیاهان دارویی</x:v>
      </x:c>
      <x:c r="AD43" s="79" t="str">
        <x:v>medicinal-plants</x:v>
      </x:c>
      <x:c r="AE43" s="79" t="str">
        <x:v>TOPICAL</x:v>
      </x:c>
      <x:c r="AF43" s="79" t="str">
        <x:v>خیر</x:v>
      </x:c>
      <x:c r="AG43" s="79" t="str">
        <x:v>خیر</x:v>
      </x:c>
      <x:c r="AH43" s="79" t="n">
        <x:v>1</x:v>
      </x:c>
      <x:c r="AI43" s="79" t="str">
        <x:v>سرمه</x:v>
      </x:c>
      <x:c r="AJ43" s="79" t="str">
        <x:v>ادویه و چاشنی</x:v>
      </x:c>
      <x:c r="AK4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44">
      <x:c r="A44" s="79" t="s">
        <x:v>578</x:v>
      </x:c>
      <x:c r="B44" s="79" t="s">
        <x:v>272</x:v>
      </x:c>
      <x:c r="C44" s="79" t="s">
        <x:v>579</x:v>
      </x:c>
      <x:c r="D44" s="79" t="s">
        <x:v>509</x:v>
      </x:c>
      <x:c r="E44" s="79" t="s">
        <x:v>16</x:v>
      </x:c>
      <x:c r="F44" s="79" t="s">
        <x:v>16</x:v>
      </x:c>
      <x:c r="G44" s="79" t="str">
        <x:f>IF(RIGHT($A44,2)="-2",INDEX('قیمت ها'!$E:$E,$J44+2),INDEX('قیمت ها'!$B:$B,$J44+2))</x:f>
        <x:v>2/600</x:v>
      </x:c>
      <x:c r="H44" s="110">
        <x:f t="shared" si="0"/>
        <x:v>2600000</x:v>
      </x:c>
      <x:c r="I44" s="79" t="str">
        <x:f t="shared" si="1"/>
        <x:v>فعال</x:v>
      </x:c>
      <x:c r="J44" s="79">
        <x:v>209</x:v>
      </x:c>
      <x:c r="K44" s="79" t="s">
        <x:v>578</x:v>
      </x:c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 t="str">
        <x:f>IF(AND(LEN($N$2)&gt;=3,ISNUMBER(SEARCH($N$2,$B44))),MAX($AA$1:AA43)+1,"")</x:f>
      </x:c>
      <x:c r="AB44" s="79" t="str">
        <x:v>6a3a00000000000000000003</x:v>
      </x:c>
      <x:c r="AC44" s="79" t="str">
        <x:v>قنادی و شیرینی</x:v>
      </x:c>
      <x:c r="AD44" s="79" t="str">
        <x:v>confectionery</x:v>
      </x:c>
      <x:c r="AE44" s="79" t="str">
        <x:v>EDIBLE</x:v>
      </x:c>
      <x:c r="AF44" s="79" t="str">
        <x:v>بله</x:v>
      </x:c>
      <x:c r="AG44" s="79" t="str">
        <x:v>خیر</x:v>
      </x:c>
      <x:c r="AH44" s="79" t="n">
        <x:v>1</x:v>
      </x:c>
      <x:c r="AI44" s="79" t="str">
        <x:v>سفیده تخم مرغ</x:v>
      </x:c>
      <x:c r="AJ44" s="79" t="str">
        <x:v>ادویه و چاشنی</x:v>
      </x:c>
      <x:c r="AK44" s="79" t="str">
        <x:v>دسته از «ادویه» به «قنادی و شیرینی» اصلاح شد</x:v>
      </x:c>
    </x:row>
    <x:row r="45">
      <x:c r="A45" s="79" t="s">
        <x:v>580</x:v>
      </x:c>
      <x:c r="B45" s="79" t="s">
        <x:v>273</x:v>
      </x:c>
      <x:c r="C45" s="79" t="s">
        <x:v>581</x:v>
      </x:c>
      <x:c r="D45" s="79" t="s">
        <x:v>509</x:v>
      </x:c>
      <x:c r="E45" s="79" t="s">
        <x:v>16</x:v>
      </x:c>
      <x:c r="F45" s="79" t="s">
        <x:v>16</x:v>
      </x:c>
      <x:c r="G45" s="79" t="n">
        <x:f>IF(RIGHT($A45,2)="-2",INDEX('قیمت ها'!$E:$E,$J45+2),INDEX('قیمت ها'!$B:$B,$J45+2))</x:f>
        <x:v>400</x:v>
      </x:c>
      <x:c r="H45" s="110">
        <x:f t="shared" si="0"/>
        <x:v>400000</x:v>
      </x:c>
      <x:c r="I45" s="79" t="str">
        <x:f t="shared" si="1"/>
        <x:v>فعال</x:v>
      </x:c>
      <x:c r="J45" s="79">
        <x:v>210</x:v>
      </x:c>
      <x:c r="K45" s="79" t="s">
        <x:v>580</x:v>
      </x:c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  <x:c r="AA45" s="79" t="str">
        <x:f>IF(AND(LEN($N$2)&gt;=3,ISNUMBER(SEARCH($N$2,$B45))),MAX($AA$1:AA44)+1,"")</x:f>
      </x:c>
      <x:c r="AB45" s="79" t="str">
        <x:v>6a3781e4df5573f4e676e226</x:v>
      </x:c>
      <x:c r="AC45" s="79" t="str">
        <x:v>ادویه</x:v>
      </x:c>
      <x:c r="AD45" s="79" t="str">
        <x:v>spice</x:v>
      </x:c>
      <x:c r="AE45" s="79" t="str">
        <x:v>EDIBLE</x:v>
      </x:c>
      <x:c r="AF45" s="79" t="str">
        <x:v>بله</x:v>
      </x:c>
      <x:c r="AG45" s="79" t="str">
        <x:v>خیر</x:v>
      </x:c>
      <x:c r="AH45" s="79" t="n">
        <x:v>1</x:v>
      </x:c>
      <x:c r="AI45" s="79" t="str">
        <x:v>سماق قرمز پودر</x:v>
      </x:c>
      <x:c r="AJ45" s="79" t="str">
        <x:v>ادویه و چاشنی</x:v>
      </x:c>
      <x:c r="AK45" s="79"/>
    </x:row>
    <x:row r="46">
      <x:c r="A46" s="79" t="s">
        <x:v>582</x:v>
      </x:c>
      <x:c r="B46" s="79" t="s">
        <x:v>284</x:v>
      </x:c>
      <x:c r="C46" s="79" t="s">
        <x:v>583</x:v>
      </x:c>
      <x:c r="D46" s="79" t="s">
        <x:v>509</x:v>
      </x:c>
      <x:c r="E46" s="79" t="s">
        <x:v>16</x:v>
      </x:c>
      <x:c r="F46" s="79" t="s">
        <x:v>16</x:v>
      </x:c>
      <x:c r="G46" s="79" t="n">
        <x:f>IF(RIGHT($A46,2)="-2",INDEX('قیمت ها'!$E:$E,$J46+2),INDEX('قیمت ها'!$B:$B,$J46+2))</x:f>
        <x:v>800</x:v>
      </x:c>
      <x:c r="H46" s="110">
        <x:f t="shared" si="0"/>
        <x:v>800000</x:v>
      </x:c>
      <x:c r="I46" s="79" t="str">
        <x:f t="shared" si="1"/>
        <x:v>فعال</x:v>
      </x:c>
      <x:c r="J46" s="79">
        <x:v>221</x:v>
      </x:c>
      <x:c r="K46" s="79" t="s">
        <x:v>582</x:v>
      </x:c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 t="str">
        <x:f>IF(AND(LEN($N$2)&gt;=3,ISNUMBER(SEARCH($N$2,$B46))),MAX($AA$1:AA45)+1,"")</x:f>
      </x:c>
      <x:c r="AB46" s="79" t="str">
        <x:v>6a3a00000000000000000002</x:v>
      </x:c>
      <x:c r="AC46" s="79" t="str">
        <x:v>حبوبات و غلات</x:v>
      </x:c>
      <x:c r="AD46" s="79" t="str">
        <x:v>legumes-grains</x:v>
      </x:c>
      <x:c r="AE46" s="79" t="str">
        <x:v>EDIBLE</x:v>
      </x:c>
      <x:c r="AF46" s="79" t="str">
        <x:v>بله</x:v>
      </x:c>
      <x:c r="AG46" s="79" t="str">
        <x:v>خیر</x:v>
      </x:c>
      <x:c r="AH46" s="79" t="n">
        <x:v>1</x:v>
      </x:c>
      <x:c r="AI46" s="79" t="str">
        <x:v>سویق جوانه ماش</x:v>
      </x:c>
      <x:c r="AJ46" s="79" t="str">
        <x:v>ادویه و چاشنی</x:v>
      </x:c>
      <x:c r="AK46" s="79"/>
    </x:row>
    <x:row r="47">
      <x:c r="A47" s="79" t="s">
        <x:v>584</x:v>
      </x:c>
      <x:c r="B47" s="79" t="s">
        <x:v>285</x:v>
      </x:c>
      <x:c r="C47" s="79" t="s">
        <x:v>585</x:v>
      </x:c>
      <x:c r="D47" s="79" t="s">
        <x:v>509</x:v>
      </x:c>
      <x:c r="E47" s="79" t="s">
        <x:v>16</x:v>
      </x:c>
      <x:c r="F47" s="79" t="s">
        <x:v>16</x:v>
      </x:c>
      <x:c r="G47" s="79" t="str">
        <x:f>IF(RIGHT($A47,2)="-2",INDEX('قیمت ها'!$E:$E,$J47+2),INDEX('قیمت ها'!$B:$B,$J47+2))</x:f>
        <x:v>1/100</x:v>
      </x:c>
      <x:c r="H47" s="110">
        <x:f t="shared" si="0"/>
        <x:v>1100000</x:v>
      </x:c>
      <x:c r="I47" s="79" t="str">
        <x:f t="shared" si="1"/>
        <x:v>فعال</x:v>
      </x:c>
      <x:c r="J47" s="79">
        <x:v>222</x:v>
      </x:c>
      <x:c r="K47" s="79" t="s">
        <x:v>584</x:v>
      </x:c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  <x:c r="AA47" s="79" t="str">
        <x:f>IF(AND(LEN($N$2)&gt;=3,ISNUMBER(SEARCH($N$2,$B47))),MAX($AA$1:AA46)+1,"")</x:f>
      </x:c>
      <x:c r="AB47" s="79" t="str">
        <x:v>6a3782d7df5573f4e676e243</x:v>
      </x:c>
      <x:c r="AC47" s="79" t="str">
        <x:v>گیاهان دارویی</x:v>
      </x:c>
      <x:c r="AD47" s="79" t="str">
        <x:v>medicinal-plants</x:v>
      </x:c>
      <x:c r="AE47" s="79" t="str">
        <x:v>EDIBLE</x:v>
      </x:c>
      <x:c r="AF47" s="79" t="str">
        <x:v>بله</x:v>
      </x:c>
      <x:c r="AG47" s="79" t="str">
        <x:v>خیر</x:v>
      </x:c>
      <x:c r="AH47" s="79" t="n">
        <x:v>1</x:v>
      </x:c>
      <x:c r="AI47" s="79" t="str">
        <x:v>سیاهدانه</x:v>
      </x:c>
      <x:c r="AJ47" s="79" t="str">
        <x:v>ادویه و چاشنی</x:v>
      </x:c>
      <x:c r="AK47" s="79" t="str">
        <x:v>دسته از «نیاز به بررسی» به «گیاهان دارویی» اصلاح شد</x:v>
      </x:c>
    </x:row>
    <x:row r="48">
      <x:c r="A48" s="79" t="s">
        <x:v>586</x:v>
      </x:c>
      <x:c r="B48" s="79" t="s">
        <x:v>286</x:v>
      </x:c>
      <x:c r="C48" s="79" t="s">
        <x:v>587</x:v>
      </x:c>
      <x:c r="D48" s="79" t="s">
        <x:v>509</x:v>
      </x:c>
      <x:c r="E48" s="79" t="s">
        <x:v>16</x:v>
      </x:c>
      <x:c r="F48" s="79" t="s">
        <x:v>16</x:v>
      </x:c>
      <x:c r="G48" s="79" t="str">
        <x:f>IF(RIGHT($A48,2)="-2",INDEX('قیمت ها'!$E:$E,$J48+2),INDEX('قیمت ها'!$B:$B,$J48+2))</x:f>
        <x:v>؟</x:v>
      </x:c>
      <x:c r="H48" s="110" t="str">
        <x:f t="shared" si="0"/>
      </x:c>
      <x:c r="I48" s="79" t="str">
        <x:f t="shared" si="1"/>
        <x:v>نیاز به استعلام</x:v>
      </x:c>
      <x:c r="J48" s="79">
        <x:v>223</x:v>
      </x:c>
      <x:c r="K48" s="79" t="s">
        <x:v>586</x:v>
      </x:c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 t="str">
        <x:f>IF(AND(LEN($N$2)&gt;=3,ISNUMBER(SEARCH($N$2,$B48))),MAX($AA$1:AA47)+1,"")</x:f>
      </x:c>
      <x:c r="AB48" s="79" t="str">
        <x:v>6a3781e4df5573f4e676e226</x:v>
      </x:c>
      <x:c r="AC48" s="79" t="str">
        <x:v>ادویه</x:v>
      </x:c>
      <x:c r="AD48" s="79" t="str">
        <x:v>spice</x:v>
      </x:c>
      <x:c r="AE48" s="79" t="str">
        <x:v>EDIBLE</x:v>
      </x:c>
      <x:c r="AF48" s="79" t="str">
        <x:v>بله</x:v>
      </x:c>
      <x:c r="AG48" s="79" t="str">
        <x:v>خیر</x:v>
      </x:c>
      <x:c r="AH48" s="79" t="n">
        <x:v>1</x:v>
      </x:c>
      <x:c r="AI48" s="79" t="str">
        <x:v>سیر سیاه</x:v>
      </x:c>
      <x:c r="AJ48" s="79" t="str">
        <x:v>ادویه و چاشنی</x:v>
      </x:c>
      <x:c r="AK48" s="79"/>
    </x:row>
    <x:row r="49">
      <x:c r="A49" s="79" t="s">
        <x:v>588</x:v>
      </x:c>
      <x:c r="B49" s="79" t="s">
        <x:v>321</x:v>
      </x:c>
      <x:c r="C49" s="79" t="s">
        <x:v>589</x:v>
      </x:c>
      <x:c r="D49" s="79" t="s">
        <x:v>509</x:v>
      </x:c>
      <x:c r="E49" s="79" t="s">
        <x:v>16</x:v>
      </x:c>
      <x:c r="F49" s="79" t="s">
        <x:v>16</x:v>
      </x:c>
      <x:c r="G49" s="79" t="n">
        <x:f>IF(RIGHT($A49,2)="-2",INDEX('قیمت ها'!$E:$E,$J49+2),INDEX('قیمت ها'!$B:$B,$J49+2))</x:f>
        <x:v>120</x:v>
      </x:c>
      <x:c r="H49" s="110">
        <x:f t="shared" si="0"/>
        <x:v>120000</x:v>
      </x:c>
      <x:c r="I49" s="79" t="str">
        <x:f t="shared" si="1"/>
        <x:v>فعال</x:v>
      </x:c>
      <x:c r="J49" s="79">
        <x:v>256</x:v>
      </x:c>
      <x:c r="K49" s="79" t="s">
        <x:v>588</x:v>
      </x:c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  <x:c r="AA49" s="79" t="str">
        <x:f>IF(AND(LEN($N$2)&gt;=3,ISNUMBER(SEARCH($N$2,$B49))),MAX($AA$1:AA48)+1,"")</x:f>
      </x:c>
      <x:c r="AB49" s="79" t="str">
        <x:v>6a3782d7df5573f4e676e243</x:v>
      </x:c>
      <x:c r="AC49" s="79" t="str">
        <x:v>گیاهان دارویی</x:v>
      </x:c>
      <x:c r="AD49" s="79" t="str">
        <x:v>medicinal-plants</x:v>
      </x:c>
      <x:c r="AE49" s="79" t="str">
        <x:v>TOPICAL</x:v>
      </x:c>
      <x:c r="AF49" s="79" t="str">
        <x:v>خیر</x:v>
      </x:c>
      <x:c r="AG49" s="79" t="str">
        <x:v>خیر</x:v>
      </x:c>
      <x:c r="AH49" s="79" t="n">
        <x:v>1</x:v>
      </x:c>
      <x:c r="AI49" s="79" t="str">
        <x:v>صابون ذغال اکتیو</x:v>
      </x:c>
      <x:c r="AJ49" s="79" t="str">
        <x:v>ادویه و چاشنی</x:v>
      </x:c>
      <x:c r="AK4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50">
      <x:c r="A50" s="79" t="s">
        <x:v>590</x:v>
      </x:c>
      <x:c r="B50" s="79" t="s">
        <x:v>395</x:v>
      </x:c>
      <x:c r="C50" s="79" t="s">
        <x:v>591</x:v>
      </x:c>
      <x:c r="D50" s="79" t="s">
        <x:v>509</x:v>
      </x:c>
      <x:c r="E50" s="79" t="s">
        <x:v>16</x:v>
      </x:c>
      <x:c r="F50" s="79" t="s">
        <x:v>16</x:v>
      </x:c>
      <x:c r="G50" s="79" t="n">
        <x:f>IF(RIGHT($A50,2)="-2",INDEX('قیمت ها'!$E:$E,$J50+2),INDEX('قیمت ها'!$B:$B,$J50+2))</x:f>
        <x:v>850</x:v>
      </x:c>
      <x:c r="H50" s="110">
        <x:f t="shared" si="0"/>
        <x:v>850000</x:v>
      </x:c>
      <x:c r="I50" s="79" t="str">
        <x:f t="shared" si="1"/>
        <x:v>فعال</x:v>
      </x:c>
      <x:c r="J50" s="79">
        <x:v>317</x:v>
      </x:c>
      <x:c r="K50" s="79" t="s">
        <x:v>590</x:v>
      </x:c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 t="str">
        <x:f>IF(AND(LEN($N$2)&gt;=3,ISNUMBER(SEARCH($N$2,$B50))),MAX($AA$1:AA49)+1,"")</x:f>
      </x:c>
      <x:c r="AB50" s="79" t="str">
        <x:v>6a3782d7df5573f4e676e243</x:v>
      </x:c>
      <x:c r="AC50" s="79" t="str">
        <x:v>گیاهان دارویی</x:v>
      </x:c>
      <x:c r="AD50" s="79" t="str">
        <x:v>medicinal-plants</x:v>
      </x:c>
      <x:c r="AE50" s="79" t="str">
        <x:v>NON_EDIBLE</x:v>
      </x:c>
      <x:c r="AF50" s="79" t="str">
        <x:v>خیر</x:v>
      </x:c>
      <x:c r="AG50" s="79" t="str">
        <x:v>خیر</x:v>
      </x:c>
      <x:c r="AH50" s="79" t="n">
        <x:v>1</x:v>
      </x:c>
      <x:c r="AI50" s="79" t="str">
        <x:v>عود</x:v>
      </x:c>
      <x:c r="AJ50" s="79" t="str">
        <x:v>ادویه و چاشنی</x:v>
      </x:c>
      <x:c r="AK50" s="79" t="str">
        <x:v>دسته قبلاً خالی/نیازمند بررسی بود؛ بر اساس ماهیت موضعی/غیرخوراکی به گیاهان دارویی منتقل شد | غیرخوراکی</x:v>
      </x:c>
    </x:row>
    <x:row r="51">
      <x:c r="A51" s="79" t="s">
        <x:v>592</x:v>
      </x:c>
      <x:c r="B51" s="79" t="s">
        <x:v>396</x:v>
      </x:c>
      <x:c r="C51" s="79" t="s">
        <x:v>593</x:v>
      </x:c>
      <x:c r="D51" s="79" t="s">
        <x:v>509</x:v>
      </x:c>
      <x:c r="E51" s="79" t="s">
        <x:v>16</x:v>
      </x:c>
      <x:c r="F51" s="79" t="s">
        <x:v>16</x:v>
      </x:c>
      <x:c r="G51" s="79" t="str">
        <x:f>IF(RIGHT($A51,2)="-2",INDEX('قیمت ها'!$E:$E,$J51+2),INDEX('قیمت ها'!$B:$B,$J51+2))</x:f>
        <x:v>2/300</x:v>
      </x:c>
      <x:c r="H51" s="110">
        <x:f t="shared" si="0"/>
        <x:v>2300000</x:v>
      </x:c>
      <x:c r="I51" s="79" t="str">
        <x:f t="shared" si="1"/>
        <x:v>فعال</x:v>
      </x:c>
      <x:c r="J51" s="79">
        <x:v>318</x:v>
      </x:c>
      <x:c r="K51" s="79" t="s">
        <x:v>592</x:v>
      </x:c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  <x:c r="AA51" s="79" t="str">
        <x:f>IF(AND(LEN($N$2)&gt;=3,ISNUMBER(SEARCH($N$2,$B51))),MAX($AA$1:AA50)+1,"")</x:f>
      </x:c>
      <x:c r="AB51" s="79" t="str">
        <x:v>6a3781e4df5573f4e676e226</x:v>
      </x:c>
      <x:c r="AC51" s="79" t="str">
        <x:v>ادویه</x:v>
      </x:c>
      <x:c r="AD51" s="79" t="str">
        <x:v>spice</x:v>
      </x:c>
      <x:c r="AE51" s="79" t="str">
        <x:v>EDIBLE</x:v>
      </x:c>
      <x:c r="AF51" s="79" t="str">
        <x:v>بله</x:v>
      </x:c>
      <x:c r="AG51" s="79" t="str">
        <x:v>خیر</x:v>
      </x:c>
      <x:c r="AH51" s="79" t="n">
        <x:v>1</x:v>
      </x:c>
      <x:c r="AI51" s="79" t="str">
        <x:v>غوره پودر</x:v>
      </x:c>
      <x:c r="AJ51" s="79" t="str">
        <x:v>ادویه و چاشنی</x:v>
      </x:c>
      <x:c r="AK51" s="79" t="str">
        <x:v>MISSING_PRICE_REVIEW</x:v>
      </x:c>
    </x:row>
    <x:row r="52">
      <x:c r="A52" s="79" t="s">
        <x:v>594</x:v>
      </x:c>
      <x:c r="B52" s="79" t="s">
        <x:v>398</x:v>
      </x:c>
      <x:c r="C52" s="79" t="s">
        <x:v>595</x:v>
      </x:c>
      <x:c r="D52" s="79" t="s">
        <x:v>509</x:v>
      </x:c>
      <x:c r="E52" s="79" t="s">
        <x:v>16</x:v>
      </x:c>
      <x:c r="F52" s="79" t="s">
        <x:v>16</x:v>
      </x:c>
      <x:c r="G52" s="79" t="n">
        <x:f>IF(RIGHT($A52,2)="-2",INDEX('قیمت ها'!$E:$E,$J52+2),INDEX('قیمت ها'!$B:$B,$J52+2))</x:f>
        <x:v>600</x:v>
      </x:c>
      <x:c r="H52" s="110">
        <x:f t="shared" si="0"/>
        <x:v>600000</x:v>
      </x:c>
      <x:c r="I52" s="79" t="str">
        <x:f t="shared" si="1"/>
        <x:v>فعال</x:v>
      </x:c>
      <x:c r="J52" s="79">
        <x:v>319</x:v>
      </x:c>
      <x:c r="K52" s="79" t="s">
        <x:v>594</x:v>
      </x:c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  <x:c r="AA52" s="79" t="str">
        <x:f>IF(AND(LEN($N$2)&gt;=3,ISNUMBER(SEARCH($N$2,$B52))),MAX($AA$1:AA51)+1,"")</x:f>
      </x:c>
      <x:c r="AB52" s="79" t="str">
        <x:v>6a3781e4df5573f4e676e226</x:v>
      </x:c>
      <x:c r="AC52" s="79" t="str">
        <x:v>ادویه</x:v>
      </x:c>
      <x:c r="AD52" s="79" t="str">
        <x:v>spice</x:v>
      </x:c>
      <x:c r="AE52" s="79" t="str">
        <x:v>EDIBLE</x:v>
      </x:c>
      <x:c r="AF52" s="79" t="str">
        <x:v>بله</x:v>
      </x:c>
      <x:c r="AG52" s="79" t="str">
        <x:v>خیر</x:v>
      </x:c>
      <x:c r="AH52" s="79" t="n">
        <x:v>1</x:v>
      </x:c>
      <x:c r="AI52" s="79" t="str">
        <x:v>فلفل ترکی</x:v>
      </x:c>
      <x:c r="AJ52" s="79" t="str">
        <x:v>ادویه و چاشنی</x:v>
      </x:c>
      <x:c r="AK52" s="79"/>
    </x:row>
    <x:row r="53">
      <x:c r="A53" s="79" t="s">
        <x:v>596</x:v>
      </x:c>
      <x:c r="B53" s="79" t="s">
        <x:v>399</x:v>
      </x:c>
      <x:c r="C53" s="79" t="s">
        <x:v>597</x:v>
      </x:c>
      <x:c r="D53" s="79" t="s">
        <x:v>509</x:v>
      </x:c>
      <x:c r="E53" s="79" t="s">
        <x:v>16</x:v>
      </x:c>
      <x:c r="F53" s="79" t="s">
        <x:v>16</x:v>
      </x:c>
      <x:c r="G53" s="79" t="n">
        <x:f>IF(RIGHT($A53,2)="-2",INDEX('قیمت ها'!$E:$E,$J53+2),INDEX('قیمت ها'!$B:$B,$J53+2))</x:f>
        <x:v>700</x:v>
      </x:c>
      <x:c r="H53" s="110">
        <x:f t="shared" si="0"/>
        <x:v>700000</x:v>
      </x:c>
      <x:c r="I53" s="79" t="str">
        <x:f t="shared" si="1"/>
        <x:v>فعال</x:v>
      </x:c>
      <x:c r="J53" s="79">
        <x:v>320</x:v>
      </x:c>
      <x:c r="K53" s="79" t="s">
        <x:v>596</x:v>
      </x:c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  <x:c r="AA53" s="79" t="str">
        <x:f>IF(AND(LEN($N$2)&gt;=3,ISNUMBER(SEARCH($N$2,$B53))),MAX($AA$1:AA52)+1,"")</x:f>
      </x:c>
      <x:c r="AB53" s="79" t="str">
        <x:v>6a3781e4df5573f4e676e226</x:v>
      </x:c>
      <x:c r="AC53" s="79" t="str">
        <x:v>ادویه</x:v>
      </x:c>
      <x:c r="AD53" s="79" t="str">
        <x:v>spice</x:v>
      </x:c>
      <x:c r="AE53" s="79" t="str">
        <x:v>EDIBLE</x:v>
      </x:c>
      <x:c r="AF53" s="79" t="str">
        <x:v>بله</x:v>
      </x:c>
      <x:c r="AG53" s="79" t="str">
        <x:v>خیر</x:v>
      </x:c>
      <x:c r="AH53" s="79" t="n">
        <x:v>1</x:v>
      </x:c>
      <x:c r="AI53" s="79" t="str">
        <x:v>فلفل سیاه</x:v>
      </x:c>
      <x:c r="AJ53" s="79" t="str">
        <x:v>ادویه و چاشنی</x:v>
      </x:c>
      <x:c r="AK53" s="79"/>
    </x:row>
    <x:row r="54">
      <x:c r="A54" s="79" t="s">
        <x:v>598</x:v>
      </x:c>
      <x:c r="B54" s="79" t="s">
        <x:v>400</x:v>
      </x:c>
      <x:c r="C54" s="79" t="s">
        <x:v>599</x:v>
      </x:c>
      <x:c r="D54" s="79" t="s">
        <x:v>509</x:v>
      </x:c>
      <x:c r="E54" s="79" t="s">
        <x:v>16</x:v>
      </x:c>
      <x:c r="F54" s="79" t="s">
        <x:v>16</x:v>
      </x:c>
      <x:c r="G54" s="79" t="n">
        <x:f>IF(RIGHT($A54,2)="-2",INDEX('قیمت ها'!$E:$E,$J54+2),INDEX('قیمت ها'!$B:$B,$J54+2))</x:f>
        <x:v>900</x:v>
      </x:c>
      <x:c r="H54" s="110">
        <x:f t="shared" si="0"/>
        <x:v>900000</x:v>
      </x:c>
      <x:c r="I54" s="79" t="str">
        <x:f t="shared" si="1"/>
        <x:v>فعال</x:v>
      </x:c>
      <x:c r="J54" s="79">
        <x:v>321</x:v>
      </x:c>
      <x:c r="K54" s="79" t="s">
        <x:v>598</x:v>
      </x:c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  <x:c r="AA54" s="79" t="str">
        <x:f>IF(AND(LEN($N$2)&gt;=3,ISNUMBER(SEARCH($N$2,$B54))),MAX($AA$1:AA53)+1,"")</x:f>
      </x:c>
      <x:c r="AB54" s="79" t="str">
        <x:v>6a3781e4df5573f4e676e226</x:v>
      </x:c>
      <x:c r="AC54" s="79" t="str">
        <x:v>ادویه</x:v>
      </x:c>
      <x:c r="AD54" s="79" t="str">
        <x:v>spice</x:v>
      </x:c>
      <x:c r="AE54" s="79" t="str">
        <x:v>EDIBLE</x:v>
      </x:c>
      <x:c r="AF54" s="79" t="str">
        <x:v>بله</x:v>
      </x:c>
      <x:c r="AG54" s="79" t="str">
        <x:v>خیر</x:v>
      </x:c>
      <x:c r="AH54" s="79" t="n">
        <x:v>1</x:v>
      </x:c>
      <x:c r="AI54" s="79" t="str">
        <x:v>فلفل قرمز ایرانی</x:v>
      </x:c>
      <x:c r="AJ54" s="79" t="str">
        <x:v>ادویه و چاشنی</x:v>
      </x:c>
      <x:c r="AK54" s="79"/>
    </x:row>
    <x:row r="55">
      <x:c r="A55" s="79" t="s">
        <x:v>600</x:v>
      </x:c>
      <x:c r="B55" s="79" t="s">
        <x:v>457</x:v>
      </x:c>
      <x:c r="C55" s="79" t="s">
        <x:v>601</x:v>
      </x:c>
      <x:c r="D55" s="79" t="s">
        <x:v>509</x:v>
      </x:c>
      <x:c r="E55" s="79" t="s">
        <x:v>16</x:v>
      </x:c>
      <x:c r="F55" s="79" t="s">
        <x:v>16</x:v>
      </x:c>
      <x:c r="G55" s="79" t="str">
        <x:f>IF(RIGHT($A55,2)="-2",INDEX('قیمت ها'!$E:$E,$J55+2),INDEX('قیمت ها'!$B:$B,$J55+2))</x:f>
        <x:v>3/500</x:v>
      </x:c>
      <x:c r="H55" s="110">
        <x:f t="shared" si="0"/>
        <x:v>3500000</x:v>
      </x:c>
      <x:c r="I55" s="79" t="str">
        <x:f t="shared" si="1"/>
        <x:v>فعال</x:v>
      </x:c>
      <x:c r="J55" s="79">
        <x:v>369</x:v>
      </x:c>
      <x:c r="K55" s="79" t="s">
        <x:v>600</x:v>
      </x:c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  <x:c r="AA55" s="79" t="str">
        <x:f>IF(AND(LEN($N$2)&gt;=3,ISNUMBER(SEARCH($N$2,$B55))),MAX($AA$1:AA54)+1,"")</x:f>
      </x:c>
      <x:c r="AB55" s="79" t="str">
        <x:v>6a3782d7df5573f4e676e243</x:v>
      </x:c>
      <x:c r="AC55" s="79" t="str">
        <x:v>گیاهان دارویی</x:v>
      </x:c>
      <x:c r="AD55" s="79" t="str">
        <x:v>medicinal-plants</x:v>
      </x:c>
      <x:c r="AE55" s="79" t="str">
        <x:v>EDIBLE</x:v>
      </x:c>
      <x:c r="AF55" s="79" t="str">
        <x:v>بله</x:v>
      </x:c>
      <x:c r="AG55" s="79" t="str">
        <x:v>خیر</x:v>
      </x:c>
      <x:c r="AH55" s="79" t="n">
        <x:v>1</x:v>
      </x:c>
      <x:c r="AI55" s="79" t="str">
        <x:v>مرزه</x:v>
      </x:c>
      <x:c r="AJ55" s="79" t="str">
        <x:v>ادویه و چاشنی</x:v>
      </x:c>
      <x:c r="AK55" s="79"/>
    </x:row>
    <x:row r="56">
      <x:c r="A56" s="79" t="s">
        <x:v>602</x:v>
      </x:c>
      <x:c r="B56" s="79" t="s">
        <x:v>458</x:v>
      </x:c>
      <x:c r="C56" s="79" t="s">
        <x:v>603</x:v>
      </x:c>
      <x:c r="D56" s="79" t="s">
        <x:v>509</x:v>
      </x:c>
      <x:c r="E56" s="79" t="s">
        <x:v>16</x:v>
      </x:c>
      <x:c r="F56" s="79" t="s">
        <x:v>16</x:v>
      </x:c>
      <x:c r="G56" s="79" t="str">
        <x:f>IF(RIGHT($A56,2)="-2",INDEX('قیمت ها'!$E:$E,$J56+2),INDEX('قیمت ها'!$B:$B,$J56+2))</x:f>
        <x:v>3/300</x:v>
      </x:c>
      <x:c r="H56" s="110">
        <x:f t="shared" si="0"/>
        <x:v>3300000</x:v>
      </x:c>
      <x:c r="I56" s="79" t="str">
        <x:f t="shared" si="1"/>
        <x:v>فعال</x:v>
      </x:c>
      <x:c r="J56" s="79">
        <x:v>370</x:v>
      </x:c>
      <x:c r="K56" s="79" t="s">
        <x:v>602</x:v>
      </x:c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  <x:c r="AA56" s="79" t="str">
        <x:f>IF(AND(LEN($N$2)&gt;=3,ISNUMBER(SEARCH($N$2,$B56))),MAX($AA$1:AA55)+1,"")</x:f>
      </x:c>
      <x:c r="AB56" s="79" t="str">
        <x:v>6a3782d7df5573f4e676e243</x:v>
      </x:c>
      <x:c r="AC56" s="79" t="str">
        <x:v>گیاهان دارویی</x:v>
      </x:c>
      <x:c r="AD56" s="79" t="str">
        <x:v>medicinal-plants</x:v>
      </x:c>
      <x:c r="AE56" s="79" t="str">
        <x:v>REVIEW</x:v>
      </x:c>
      <x:c r="AF56" s="79" t="str">
        <x:v>نیاز به بررسی</x:v>
      </x:c>
      <x:c r="AG56" s="79" t="str">
        <x:v>خیر</x:v>
      </x:c>
      <x:c r="AH56" s="79" t="n">
        <x:v>1</x:v>
      </x:c>
      <x:c r="AI56" s="79" t="str">
        <x:v>مصفی خون</x:v>
      </x:c>
      <x:c r="AJ56" s="79" t="str">
        <x:v>ادویه و چاشنی</x:v>
      </x:c>
      <x:c r="AK56" s="79" t="str">
        <x:v>MISSING_PRICE_REVIEW</x:v>
      </x:c>
    </x:row>
    <x:row r="57">
      <x:c r="A57" s="79" t="s">
        <x:v>604</x:v>
      </x:c>
      <x:c r="B57" s="79" t="s">
        <x:v>465</x:v>
      </x:c>
      <x:c r="C57" s="79" t="s">
        <x:v>605</x:v>
      </x:c>
      <x:c r="D57" s="79" t="s">
        <x:v>509</x:v>
      </x:c>
      <x:c r="E57" s="79" t="s">
        <x:v>404</x:v>
      </x:c>
      <x:c r="F57" s="79" t="s">
        <x:v>16</x:v>
      </x:c>
      <x:c r="G57" s="79" t="n">
        <x:f>IF(RIGHT($A57,2)="-2",INDEX('قیمت ها'!$E:$E,$J57+2),INDEX('قیمت ها'!$B:$B,$J57+2))</x:f>
        <x:v>120</x:v>
      </x:c>
      <x:c r="H57" s="110">
        <x:f t="shared" si="0"/>
        <x:v>120000</x:v>
      </x:c>
      <x:c r="I57" s="79" t="str">
        <x:f t="shared" si="1"/>
        <x:v>فعال</x:v>
      </x:c>
      <x:c r="J57" s="79">
        <x:v>375</x:v>
      </x:c>
      <x:c r="K57" s="79" t="s">
        <x:v>604</x:v>
      </x:c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  <x:c r="AA57" s="79" t="str">
        <x:f>IF(AND(LEN($N$2)&gt;=3,ISNUMBER(SEARCH($N$2,$B57))),MAX($AA$1:AA56)+1,"")</x:f>
      </x:c>
      <x:c r="AB57" s="79" t="str">
        <x:v>6a3a00000000000000000004</x:v>
      </x:c>
      <x:c r="AC57" s="79" t="str">
        <x:v>آرد و قنادی</x:v>
      </x:c>
      <x:c r="AD57" s="79" t="str">
        <x:v>flour-confectionery</x:v>
      </x:c>
      <x:c r="AE57" s="79" t="str">
        <x:v>EDIBLE</x:v>
      </x:c>
      <x:c r="AF57" s="79" t="str">
        <x:v>بله</x:v>
      </x:c>
      <x:c r="AG57" s="79" t="str">
        <x:v>خیر</x:v>
      </x:c>
      <x:c r="AH57" s="79" t="n">
        <x:v>1</x:v>
      </x:c>
      <x:c r="AI57" s="79" t="str">
        <x:v>نشاسته گندم گل</x:v>
      </x:c>
      <x:c r="AJ57" s="79" t="str">
        <x:v>ادویه و چاشنی</x:v>
      </x:c>
      <x:c r="AK57" s="79"/>
    </x:row>
    <x:row r="58">
      <x:c r="A58" s="79" t="s">
        <x:v>606</x:v>
      </x:c>
      <x:c r="B58" s="79" t="s">
        <x:v>466</x:v>
      </x:c>
      <x:c r="C58" s="79" t="s">
        <x:v>607</x:v>
      </x:c>
      <x:c r="D58" s="79" t="s">
        <x:v>509</x:v>
      </x:c>
      <x:c r="E58" s="79" t="s">
        <x:v>16</x:v>
      </x:c>
      <x:c r="F58" s="79" t="s">
        <x:v>16</x:v>
      </x:c>
      <x:c r="G58" s="79" t="n">
        <x:f>IF(RIGHT($A58,2)="-2",INDEX('قیمت ها'!$E:$E,$J58+2),INDEX('قیمت ها'!$B:$B,$J58+2))</x:f>
        <x:v>220</x:v>
      </x:c>
      <x:c r="H58" s="110">
        <x:f t="shared" si="0"/>
        <x:v>220000</x:v>
      </x:c>
      <x:c r="I58" s="79" t="str">
        <x:f t="shared" si="1"/>
        <x:v>فعال</x:v>
      </x:c>
      <x:c r="J58" s="79">
        <x:v>376</x:v>
      </x:c>
      <x:c r="K58" s="79" t="s">
        <x:v>606</x:v>
      </x:c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  <x:c r="AA58" s="79" t="str">
        <x:f>IF(AND(LEN($N$2)&gt;=3,ISNUMBER(SEARCH($N$2,$B58))),MAX($AA$1:AA57)+1,"")</x:f>
      </x:c>
      <x:c r="AB58" s="79" t="str">
        <x:v>6a3782d7df5573f4e676e243</x:v>
      </x:c>
      <x:c r="AC58" s="79" t="str">
        <x:v>گیاهان دارویی</x:v>
      </x:c>
      <x:c r="AD58" s="79" t="str">
        <x:v>medicinal-plants</x:v>
      </x:c>
      <x:c r="AE58" s="79" t="str">
        <x:v>EDIBLE</x:v>
      </x:c>
      <x:c r="AF58" s="79" t="str">
        <x:v>بله</x:v>
      </x:c>
      <x:c r="AG58" s="79" t="str">
        <x:v>خیر</x:v>
      </x:c>
      <x:c r="AH58" s="79" t="n">
        <x:v>1</x:v>
      </x:c>
      <x:c r="AI58" s="79" t="str">
        <x:v>نعناع خشک</x:v>
      </x:c>
      <x:c r="AJ58" s="79" t="str">
        <x:v>ادویه و چاشنی</x:v>
      </x:c>
      <x:c r="AK58" s="79"/>
    </x:row>
    <x:row r="59">
      <x:c r="A59" s="79" t="s">
        <x:v>608</x:v>
      </x:c>
      <x:c r="B59" s="79" t="s">
        <x:v>467</x:v>
      </x:c>
      <x:c r="C59" s="79" t="s">
        <x:v>609</x:v>
      </x:c>
      <x:c r="D59" s="79" t="s">
        <x:v>509</x:v>
      </x:c>
      <x:c r="E59" s="79" t="s">
        <x:v>404</x:v>
      </x:c>
      <x:c r="F59" s="79" t="s">
        <x:v>16</x:v>
      </x:c>
      <x:c r="G59" s="79" t="n">
        <x:f>IF(RIGHT($A59,2)="-2",INDEX('قیمت ها'!$E:$E,$J59+2),INDEX('قیمت ها'!$B:$B,$J59+2))</x:f>
        <x:v>100</x:v>
      </x:c>
      <x:c r="H59" s="110">
        <x:f t="shared" si="0"/>
        <x:v>100000</x:v>
      </x:c>
      <x:c r="I59" s="79" t="str">
        <x:f t="shared" si="1"/>
        <x:v>فعال</x:v>
      </x:c>
      <x:c r="J59" s="79">
        <x:v>377</x:v>
      </x:c>
      <x:c r="K59" s="79" t="s">
        <x:v>608</x:v>
      </x:c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  <x:c r="AA59" s="79" t="str">
        <x:f>IF(AND(LEN($N$2)&gt;=3,ISNUMBER(SEARCH($N$2,$B59))),MAX($AA$1:AA58)+1,"")</x:f>
      </x:c>
      <x:c r="AB59" s="79" t="str">
        <x:v>6a3781e4df5573f4e676e226</x:v>
      </x:c>
      <x:c r="AC59" s="79" t="str">
        <x:v>ادویه</x:v>
      </x:c>
      <x:c r="AD59" s="79" t="str">
        <x:v>spice</x:v>
      </x:c>
      <x:c r="AE59" s="79" t="str">
        <x:v>EDIBLE</x:v>
      </x:c>
      <x:c r="AF59" s="79" t="str">
        <x:v>بله</x:v>
      </x:c>
      <x:c r="AG59" s="79" t="str">
        <x:v>خیر</x:v>
      </x:c>
      <x:c r="AH59" s="79" t="n">
        <x:v>1</x:v>
      </x:c>
      <x:c r="AI59" s="79" t="str">
        <x:v>نمک ارومیه</x:v>
      </x:c>
      <x:c r="AJ59" s="79" t="str">
        <x:v>ادویه و چاشنی</x:v>
      </x:c>
      <x:c r="AK59" s="79"/>
    </x:row>
    <x:row r="60">
      <x:c r="A60" s="79" t="s">
        <x:v>610</x:v>
      </x:c>
      <x:c r="B60" s="79" t="s">
        <x:v>468</x:v>
      </x:c>
      <x:c r="C60" s="79" t="s">
        <x:v>611</x:v>
      </x:c>
      <x:c r="D60" s="79" t="s">
        <x:v>509</x:v>
      </x:c>
      <x:c r="E60" s="79" t="s">
        <x:v>16</x:v>
      </x:c>
      <x:c r="F60" s="79" t="s">
        <x:v>16</x:v>
      </x:c>
      <x:c r="G60" s="79" t="n">
        <x:f>IF(RIGHT($A60,2)="-2",INDEX('قیمت ها'!$E:$E,$J60+2),INDEX('قیمت ها'!$B:$B,$J60+2))</x:f>
        <x:v>150</x:v>
      </x:c>
      <x:c r="H60" s="110">
        <x:f t="shared" si="0"/>
        <x:v>150000</x:v>
      </x:c>
      <x:c r="I60" s="79" t="str">
        <x:f t="shared" si="1"/>
        <x:v>فعال</x:v>
      </x:c>
      <x:c r="J60" s="79">
        <x:v>378</x:v>
      </x:c>
      <x:c r="K60" s="79" t="s">
        <x:v>610</x:v>
      </x:c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  <x:c r="AA60" s="79" t="str">
        <x:f>IF(AND(LEN($N$2)&gt;=3,ISNUMBER(SEARCH($N$2,$B60))),MAX($AA$1:AA59)+1,"")</x:f>
      </x:c>
      <x:c r="AB60" s="79" t="str">
        <x:v>6a3781e4df5573f4e676e226</x:v>
      </x:c>
      <x:c r="AC60" s="79" t="str">
        <x:v>ادویه</x:v>
      </x:c>
      <x:c r="AD60" s="79" t="str">
        <x:v>spice</x:v>
      </x:c>
      <x:c r="AE60" s="79" t="str">
        <x:v>EDIBLE</x:v>
      </x:c>
      <x:c r="AF60" s="79" t="str">
        <x:v>بله</x:v>
      </x:c>
      <x:c r="AG60" s="79" t="str">
        <x:v>خیر</x:v>
      </x:c>
      <x:c r="AH60" s="79" t="n">
        <x:v>1</x:v>
      </x:c>
      <x:c r="AI60" s="79" t="str">
        <x:v>نمک جهرم دل نمک</x:v>
      </x:c>
      <x:c r="AJ60" s="79" t="str">
        <x:v>ادویه و چاشنی</x:v>
      </x:c>
      <x:c r="AK60" s="79"/>
    </x:row>
    <x:row r="61">
      <x:c r="A61" s="79" t="s">
        <x:v>612</x:v>
      </x:c>
      <x:c r="B61" s="79" t="s">
        <x:v>469</x:v>
      </x:c>
      <x:c r="C61" s="79" t="s">
        <x:v>613</x:v>
      </x:c>
      <x:c r="D61" s="79" t="s">
        <x:v>509</x:v>
      </x:c>
      <x:c r="E61" s="79" t="s">
        <x:v>16</x:v>
      </x:c>
      <x:c r="F61" s="79" t="s">
        <x:v>16</x:v>
      </x:c>
      <x:c r="G61" s="79" t="n">
        <x:f>IF(RIGHT($A61,2)="-2",INDEX('قیمت ها'!$E:$E,$J61+2),INDEX('قیمت ها'!$B:$B,$J61+2))</x:f>
        <x:v>120</x:v>
      </x:c>
      <x:c r="H61" s="110">
        <x:f t="shared" si="0"/>
        <x:v>120000</x:v>
      </x:c>
      <x:c r="I61" s="79" t="str">
        <x:f t="shared" si="1"/>
        <x:v>فعال</x:v>
      </x:c>
      <x:c r="J61" s="79">
        <x:v>379</x:v>
      </x:c>
      <x:c r="K61" s="79" t="s">
        <x:v>612</x:v>
      </x:c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  <x:c r="AA61" s="79" t="str">
        <x:f>IF(AND(LEN($N$2)&gt;=3,ISNUMBER(SEARCH($N$2,$B61))),MAX($AA$1:AA60)+1,"")</x:f>
      </x:c>
      <x:c r="AB61" s="79" t="str">
        <x:v>6a3781e4df5573f4e676e226</x:v>
      </x:c>
      <x:c r="AC61" s="79" t="str">
        <x:v>ادویه</x:v>
      </x:c>
      <x:c r="AD61" s="79" t="str">
        <x:v>spice</x:v>
      </x:c>
      <x:c r="AE61" s="79" t="str">
        <x:v>EDIBLE</x:v>
      </x:c>
      <x:c r="AF61" s="79" t="str">
        <x:v>بله</x:v>
      </x:c>
      <x:c r="AG61" s="79" t="str">
        <x:v>خیر</x:v>
      </x:c>
      <x:c r="AH61" s="79" t="n">
        <x:v>1</x:v>
      </x:c>
      <x:c r="AI61" s="79" t="str">
        <x:v>نمک دریا</x:v>
      </x:c>
      <x:c r="AJ61" s="79" t="str">
        <x:v>ادویه و چاشنی</x:v>
      </x:c>
      <x:c r="AK61" s="79"/>
    </x:row>
    <x:row r="62">
      <x:c r="A62" s="79" t="s">
        <x:v>614</x:v>
      </x:c>
      <x:c r="B62" s="79" t="s">
        <x:v>470</x:v>
      </x:c>
      <x:c r="C62" s="79" t="s">
        <x:v>615</x:v>
      </x:c>
      <x:c r="D62" s="79" t="s">
        <x:v>509</x:v>
      </x:c>
      <x:c r="E62" s="79" t="s">
        <x:v>16</x:v>
      </x:c>
      <x:c r="F62" s="79" t="s">
        <x:v>16</x:v>
      </x:c>
      <x:c r="G62" s="79" t="n">
        <x:f>IF(RIGHT($A62,2)="-2",INDEX('قیمت ها'!$E:$E,$J62+2),INDEX('قیمت ها'!$B:$B,$J62+2))</x:f>
        <x:v>150</x:v>
      </x:c>
      <x:c r="H62" s="110">
        <x:f t="shared" si="0"/>
        <x:v>150000</x:v>
      </x:c>
      <x:c r="I62" s="79" t="str">
        <x:f t="shared" si="1"/>
        <x:v>فعال</x:v>
      </x:c>
      <x:c r="J62" s="79">
        <x:v>380</x:v>
      </x:c>
      <x:c r="K62" s="79" t="s">
        <x:v>614</x:v>
      </x:c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  <x:c r="AA62" s="79" t="str">
        <x:f>IF(AND(LEN($N$2)&gt;=3,ISNUMBER(SEARCH($N$2,$B62))),MAX($AA$1:AA61)+1,"")</x:f>
      </x:c>
      <x:c r="AB62" s="79" t="str">
        <x:v>6a3781e4df5573f4e676e226</x:v>
      </x:c>
      <x:c r="AC62" s="79" t="str">
        <x:v>ادویه</x:v>
      </x:c>
      <x:c r="AD62" s="79" t="str">
        <x:v>spice</x:v>
      </x:c>
      <x:c r="AE62" s="79" t="str">
        <x:v>EDIBLE</x:v>
      </x:c>
      <x:c r="AF62" s="79" t="str">
        <x:v>بله</x:v>
      </x:c>
      <x:c r="AG62" s="79" t="str">
        <x:v>خیر</x:v>
      </x:c>
      <x:c r="AH62" s="79" t="n">
        <x:v>1</x:v>
      </x:c>
      <x:c r="AI62" s="79" t="str">
        <x:v>نمک صورتی</x:v>
      </x:c>
      <x:c r="AJ62" s="79" t="str">
        <x:v>ادویه و چاشنی</x:v>
      </x:c>
      <x:c r="AK62" s="79" t="str">
        <x:v>MERGED</x:v>
      </x:c>
    </x:row>
    <x:row r="63">
      <x:c r="A63" s="79" t="s">
        <x:v>616</x:v>
      </x:c>
      <x:c r="B63" s="79" t="s">
        <x:v>476</x:v>
      </x:c>
      <x:c r="C63" s="79" t="s">
        <x:v>617</x:v>
      </x:c>
      <x:c r="D63" s="79" t="s">
        <x:v>509</x:v>
      </x:c>
      <x:c r="E63" s="79" t="s">
        <x:v>16</x:v>
      </x:c>
      <x:c r="F63" s="79" t="s">
        <x:v>16</x:v>
      </x:c>
      <x:c r="G63" s="79" t="str">
        <x:f>IF(RIGHT($A63,2)="-2",INDEX('قیمت ها'!$E:$E,$J63+2),INDEX('قیمت ها'!$B:$B,$J63+2))</x:f>
        <x:v>3/500</x:v>
      </x:c>
      <x:c r="H63" s="110">
        <x:f t="shared" si="0"/>
        <x:v>3500000</x:v>
      </x:c>
      <x:c r="I63" s="79" t="str">
        <x:f t="shared" si="1"/>
        <x:v>فعال</x:v>
      </x:c>
      <x:c r="J63" s="79">
        <x:v>385</x:v>
      </x:c>
      <x:c r="K63" s="79" t="s">
        <x:v>616</x:v>
      </x:c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  <x:c r="AA63" s="79" t="str">
        <x:f>IF(AND(LEN($N$2)&gt;=3,ISNUMBER(SEARCH($N$2,$B63))),MAX($AA$1:AA62)+1,"")</x:f>
      </x:c>
      <x:c r="AB63" s="79" t="str">
        <x:v>6a3a00000000000000000003</x:v>
      </x:c>
      <x:c r="AC63" s="79" t="str">
        <x:v>قنادی و شیرینی</x:v>
      </x:c>
      <x:c r="AD63" s="79" t="str">
        <x:v>confectionery</x:v>
      </x:c>
      <x:c r="AE63" s="79" t="str">
        <x:v>EDIBLE</x:v>
      </x:c>
      <x:c r="AF63" s="79" t="str">
        <x:v>بله</x:v>
      </x:c>
      <x:c r="AG63" s="79" t="str">
        <x:v>بله</x:v>
      </x:c>
      <x:c r="AH63" s="79" t="n">
        <x:v>2</x:v>
      </x:c>
      <x:c r="AI63" s="79" t="str">
        <x:v>نوتلا ناب سرا</x:v>
      </x:c>
      <x:c r="AJ63" s="79" t="str">
        <x:v>ادویه و چاشنی</x:v>
      </x:c>
      <x:c r="AK63" s="79" t="str">
        <x:v>MERGED</x:v>
      </x:c>
    </x:row>
    <x:row r="64">
      <x:c r="A64" s="79" t="s">
        <x:v>618</x:v>
      </x:c>
      <x:c r="B64" s="79" t="s">
        <x:v>477</x:v>
      </x:c>
      <x:c r="C64" s="79" t="s">
        <x:v>619</x:v>
      </x:c>
      <x:c r="D64" s="79" t="s">
        <x:v>509</x:v>
      </x:c>
      <x:c r="E64" s="79" t="s">
        <x:v>16</x:v>
      </x:c>
      <x:c r="F64" s="79" t="s">
        <x:v>16</x:v>
      </x:c>
      <x:c r="G64" s="79" t="str">
        <x:f>IF(RIGHT($A64,2)="-2",INDEX('قیمت ها'!$E:$E,$J64+2),INDEX('قیمت ها'!$B:$B,$J64+2))</x:f>
        <x:v>12/500</x:v>
      </x:c>
      <x:c r="H64" s="110">
        <x:f t="shared" si="0"/>
        <x:v>12500000</x:v>
      </x:c>
      <x:c r="I64" s="79" t="str">
        <x:f t="shared" si="1"/>
        <x:v>فعال</x:v>
      </x:c>
      <x:c r="J64" s="79">
        <x:v>386</x:v>
      </x:c>
      <x:c r="K64" s="79" t="s">
        <x:v>618</x:v>
      </x:c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  <x:c r="AA64" s="79" t="str">
        <x:f>IF(AND(LEN($N$2)&gt;=3,ISNUMBER(SEARCH($N$2,$B64))),MAX($AA$1:AA63)+1,"")</x:f>
      </x:c>
      <x:c r="AB64" s="79" t="str">
        <x:v>6a3782d7df5573f4e676e243</x:v>
      </x:c>
      <x:c r="AC64" s="79" t="str">
        <x:v>گیاهان دارویی</x:v>
      </x:c>
      <x:c r="AD64" s="79" t="str">
        <x:v>medicinal-plants</x:v>
      </x:c>
      <x:c r="AE64" s="79" t="str">
        <x:v>TOPICAL</x:v>
      </x:c>
      <x:c r="AF64" s="79" t="str">
        <x:v>خیر</x:v>
      </x:c>
      <x:c r="AG64" s="79" t="str">
        <x:v>خیر</x:v>
      </x:c>
      <x:c r="AH64" s="79" t="n">
        <x:v>1</x:v>
      </x:c>
      <x:c r="AI64" s="79" t="str">
        <x:v>نوره</x:v>
      </x:c>
      <x:c r="AJ64" s="79" t="str">
        <x:v>ادویه و چاشنی</x:v>
      </x:c>
      <x:c r="AK64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65">
      <x:c r="A65" s="79" t="s">
        <x:v>620</x:v>
      </x:c>
      <x:c r="B65" s="79" t="s">
        <x:v>479</x:v>
      </x:c>
      <x:c r="C65" s="79" t="s">
        <x:v>621</x:v>
      </x:c>
      <x:c r="D65" s="79" t="s">
        <x:v>509</x:v>
      </x:c>
      <x:c r="E65" s="79" t="s">
        <x:v>16</x:v>
      </x:c>
      <x:c r="F65" s="79" t="s">
        <x:v>16</x:v>
      </x:c>
      <x:c r="G65" s="79" t="str">
        <x:f>IF(RIGHT($A65,2)="-2",INDEX('قیمت ها'!$E:$E,$J65+2),INDEX('قیمت ها'!$B:$B,$J65+2))</x:f>
        <x:v>12/500</x:v>
      </x:c>
      <x:c r="H65" s="110">
        <x:f t="shared" si="0"/>
        <x:v>12500000</x:v>
      </x:c>
      <x:c r="I65" s="79" t="str">
        <x:f t="shared" si="1"/>
        <x:v>فعال</x:v>
      </x:c>
      <x:c r="J65" s="79">
        <x:v>387</x:v>
      </x:c>
      <x:c r="K65" s="79" t="s">
        <x:v>620</x:v>
      </x:c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  <x:c r="AA65" s="79" t="str">
        <x:f>IF(AND(LEN($N$2)&gt;=3,ISNUMBER(SEARCH($N$2,$B65))),MAX($AA$1:AA64)+1,"")</x:f>
      </x:c>
      <x:c r="AB65" s="79" t="str">
        <x:v>6a3781e4df5573f4e676e226</x:v>
      </x:c>
      <x:c r="AC65" s="79" t="str">
        <x:v>ادویه</x:v>
      </x:c>
      <x:c r="AD65" s="79" t="str">
        <x:v>spice</x:v>
      </x:c>
      <x:c r="AE65" s="79" t="str">
        <x:v>EDIBLE</x:v>
      </x:c>
      <x:c r="AF65" s="79" t="str">
        <x:v>بله</x:v>
      </x:c>
      <x:c r="AG65" s="79" t="str">
        <x:v>خیر</x:v>
      </x:c>
      <x:c r="AH65" s="79" t="n">
        <x:v>1</x:v>
      </x:c>
      <x:c r="AI65" s="79" t="str">
        <x:v>هل باد</x:v>
      </x:c>
      <x:c r="AJ65" s="79" t="str">
        <x:v>ادویه و چاشنی</x:v>
      </x:c>
      <x:c r="AK65" s="79"/>
    </x:row>
    <x:row r="66">
      <x:c r="A66" s="79" t="s">
        <x:v>622</x:v>
      </x:c>
      <x:c r="B66" s="79" t="s">
        <x:v>480</x:v>
      </x:c>
      <x:c r="C66" s="79" t="s">
        <x:v>623</x:v>
      </x:c>
      <x:c r="D66" s="79" t="s">
        <x:v>509</x:v>
      </x:c>
      <x:c r="E66" s="79" t="s">
        <x:v>16</x:v>
      </x:c>
      <x:c r="F66" s="79" t="s">
        <x:v>16</x:v>
      </x:c>
      <x:c r="G66" s="79" t="str">
        <x:f>IF(RIGHT($A66,2)="-2",INDEX('قیمت ها'!$E:$E,$J66+2),INDEX('قیمت ها'!$B:$B,$J66+2))</x:f>
        <x:v>1/500</x:v>
      </x:c>
      <x:c r="H66" s="110" t="n">
        <x:f t="shared" ref="H66:H129" si="2">IF(OR($G66="",$G66="؟"),"",IF(ISNUMBER($G66),$G66*1000,IFERROR((VALUE(LEFT($G66,FIND("/",$G66)-1))*1000+VALUE(MID($G66,FIND("/",$G66)+1,99)))*1000,VALUE($G66)*1000)))</x:f>
        <x:v>1500000</x:v>
      </x:c>
      <x:c r="I66" s="79" t="str">
        <x:f t="shared" ref="I66:I129" si="3">IF(OR($G66="",$G66="؟"),"نیاز به استعلام","فعال")</x:f>
        <x:v>فعال</x:v>
      </x:c>
      <x:c r="J66" s="79">
        <x:v>388</x:v>
      </x:c>
      <x:c r="K66" s="79" t="s">
        <x:v>622</x:v>
      </x:c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  <x:c r="AA66" s="79" t="str">
        <x:f>IF(AND(LEN($N$2)&gt;=3,ISNUMBER(SEARCH($N$2,$B66))),MAX($AA$1:AA65)+1,"")</x:f>
      </x:c>
      <x:c r="AB66" s="79" t="str">
        <x:v>6a3781e4df5573f4e676e226</x:v>
      </x:c>
      <x:c r="AC66" s="79" t="str">
        <x:v>ادویه</x:v>
      </x:c>
      <x:c r="AD66" s="79" t="str">
        <x:v>spice</x:v>
      </x:c>
      <x:c r="AE66" s="79" t="str">
        <x:v>EDIBLE</x:v>
      </x:c>
      <x:c r="AF66" s="79" t="str">
        <x:v>بله</x:v>
      </x:c>
      <x:c r="AG66" s="79" t="str">
        <x:v>خیر</x:v>
      </x:c>
      <x:c r="AH66" s="79" t="n">
        <x:v>1</x:v>
      </x:c>
      <x:c r="AI66" s="79" t="str">
        <x:v>هل پودر</x:v>
      </x:c>
      <x:c r="AJ66" s="79" t="str">
        <x:v>ادویه و چاشنی</x:v>
      </x:c>
      <x:c r="AK66" s="79"/>
    </x:row>
    <x:row r="67">
      <x:c r="A67" s="79" t="s">
        <x:v>624</x:v>
      </x:c>
      <x:c r="B67" s="79" t="s">
        <x:v>84</x:v>
      </x:c>
      <x:c r="C67" s="79" t="s">
        <x:v>625</x:v>
      </x:c>
      <x:c r="D67" s="79" t="s">
        <x:v>509</x:v>
      </x:c>
      <x:c r="E67" s="79" t="s">
        <x:v>16</x:v>
      </x:c>
      <x:c r="F67" s="79" t="s">
        <x:v>16</x:v>
      </x:c>
      <x:c r="G67" s="79" t="n">
        <x:f>IF(RIGHT($A67,2)="-2",INDEX('قیمت ها'!$E:$E,$J67+2),INDEX('قیمت ها'!$B:$B,$J67+2))</x:f>
        <x:v>990</x:v>
      </x:c>
      <x:c r="H67" s="110">
        <x:f t="shared" si="2"/>
        <x:v>990000</x:v>
      </x:c>
      <x:c r="I67" s="79" t="str">
        <x:f t="shared" si="3"/>
        <x:v>فعال</x:v>
      </x:c>
      <x:c r="J67" s="79">
        <x:v>53</x:v>
      </x:c>
      <x:c r="K67" s="79" t="s">
        <x:v>624</x:v>
      </x:c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  <x:c r="AA67" s="79" t="str">
        <x:f>IF(AND(LEN($N$2)&gt;=3,ISNUMBER(SEARCH($N$2,$B67))),MAX($AA$1:AA66)+1,"")</x:f>
      </x:c>
      <x:c r="AB67" s="79" t="str">
        <x:v>6a37810ddf5573f4e676e201</x:v>
      </x:c>
      <x:c r="AC67" s="79" t="str">
        <x:v>خشکبار و آجیل</x:v>
      </x:c>
      <x:c r="AD67" s="79" t="str">
        <x:v>dried-fruits-nuts</x:v>
      </x:c>
      <x:c r="AE67" s="79" t="str">
        <x:v>EDIBLE</x:v>
      </x:c>
      <x:c r="AF67" s="79" t="str">
        <x:v>بله</x:v>
      </x:c>
      <x:c r="AG67" s="79" t="str">
        <x:v>خیر</x:v>
      </x:c>
      <x:c r="AH67" s="79" t="n">
        <x:v>1</x:v>
      </x:c>
      <x:c r="AI67" s="79" t="str">
        <x:v>بلوط</x:v>
      </x:c>
      <x:c r="AJ67" s="79" t="str">
        <x:v>ادویه و چاشنی</x:v>
      </x:c>
      <x:c r="AK67" s="79" t="str">
        <x:v>دسته از «نیاز به بررسی» به «خشکبار و آجیل» اصلاح شد</x:v>
      </x:c>
    </x:row>
    <x:row r="68">
      <x:c r="A68" s="79" t="s">
        <x:v>626</x:v>
      </x:c>
      <x:c r="B68" s="79" t="s">
        <x:v>100</x:v>
      </x:c>
      <x:c r="C68" s="79" t="s">
        <x:v>627</x:v>
      </x:c>
      <x:c r="D68" s="79" t="s">
        <x:v>509</x:v>
      </x:c>
      <x:c r="E68" s="79" t="s">
        <x:v>16</x:v>
      </x:c>
      <x:c r="F68" s="79" t="s">
        <x:v>16</x:v>
      </x:c>
      <x:c r="G68" s="79" t="n">
        <x:f>IF(RIGHT($A68,2)="-2",INDEX('قیمت ها'!$E:$E,$J68+2),INDEX('قیمت ها'!$B:$B,$J68+2))</x:f>
        <x:v>700</x:v>
      </x:c>
      <x:c r="H68" s="110">
        <x:f t="shared" si="2"/>
        <x:v>700000</x:v>
      </x:c>
      <x:c r="I68" s="79" t="str">
        <x:f t="shared" si="3"/>
        <x:v>فعال</x:v>
      </x:c>
      <x:c r="J68" s="79">
        <x:v>66</x:v>
      </x:c>
      <x:c r="K68" s="79" t="s">
        <x:v>626</x:v>
      </x:c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  <x:c r="AA68" s="79" t="str">
        <x:f>IF(AND(LEN($N$2)&gt;=3,ISNUMBER(SEARCH($N$2,$B68))),MAX($AA$1:AA67)+1,"")</x:f>
      </x:c>
      <x:c r="AB68" s="79" t="str">
        <x:v>6a3a00000000000000000003</x:v>
      </x:c>
      <x:c r="AC68" s="79" t="str">
        <x:v>قنادی و شیرینی</x:v>
      </x:c>
      <x:c r="AD68" s="79" t="str">
        <x:v>confectionery</x:v>
      </x:c>
      <x:c r="AE68" s="79" t="str">
        <x:v>EDIBLE</x:v>
      </x:c>
      <x:c r="AF68" s="79" t="str">
        <x:v>بله</x:v>
      </x:c>
      <x:c r="AG68" s="79" t="str">
        <x:v>خیر</x:v>
      </x:c>
      <x:c r="AH68" s="79" t="n">
        <x:v>1</x:v>
      </x:c>
      <x:c r="AI68" s="79" t="str">
        <x:v>پودر کشک گوسفندی</x:v>
      </x:c>
      <x:c r="AJ68" s="79" t="str">
        <x:v>ادویه و چاشنی</x:v>
      </x:c>
      <x:c r="AK68" s="79" t="str">
        <x:v>دسته از «نیاز به بررسی» به «قنادی و شیرینی» اصلاح شد</x:v>
      </x:c>
    </x:row>
    <x:row r="69">
      <x:c r="A69" s="79" t="s">
        <x:v>628</x:v>
      </x:c>
      <x:c r="B69" s="79" t="s">
        <x:v>446</x:v>
      </x:c>
      <x:c r="C69" s="79" t="s">
        <x:v>629</x:v>
      </x:c>
      <x:c r="D69" s="79" t="s">
        <x:v>509</x:v>
      </x:c>
      <x:c r="E69" s="79" t="s">
        <x:v>16</x:v>
      </x:c>
      <x:c r="F69" s="79" t="s">
        <x:v>16</x:v>
      </x:c>
      <x:c r="G69" s="79" t="n">
        <x:f>IF(RIGHT($A69,2)="-2",INDEX('قیمت ها'!$E:$E,$J69+2),INDEX('قیمت ها'!$B:$B,$J69+2))</x:f>
        <x:v>450</x:v>
      </x:c>
      <x:c r="H69" s="110">
        <x:f t="shared" si="2"/>
        <x:v>450000</x:v>
      </x:c>
      <x:c r="I69" s="79" t="str">
        <x:f t="shared" si="3"/>
        <x:v>فعال</x:v>
      </x:c>
      <x:c r="J69" s="79">
        <x:v>359</x:v>
      </x:c>
      <x:c r="K69" s="79" t="s">
        <x:v>628</x:v>
      </x:c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  <x:c r="AA69" s="79" t="str">
        <x:f>IF(AND(LEN($N$2)&gt;=3,ISNUMBER(SEARCH($N$2,$B69))),MAX($AA$1:AA68)+1,"")</x:f>
      </x:c>
      <x:c r="AB69" s="79" t="str">
        <x:v>6a3782d7df5573f4e676e243</x:v>
      </x:c>
      <x:c r="AC69" s="79" t="str">
        <x:v>گیاهان دارویی</x:v>
      </x:c>
      <x:c r="AD69" s="79" t="str">
        <x:v>medicinal-plants</x:v>
      </x:c>
      <x:c r="AE69" s="79" t="str">
        <x:v>EDIBLE</x:v>
      </x:c>
      <x:c r="AF69" s="79" t="str">
        <x:v>بله</x:v>
      </x:c>
      <x:c r="AG69" s="79" t="str">
        <x:v>خیر</x:v>
      </x:c>
      <x:c r="AH69" s="79" t="n">
        <x:v>1</x:v>
      </x:c>
      <x:c r="AI69" s="79" t="str">
        <x:v>گل سرخ</x:v>
      </x:c>
      <x:c r="AJ69" s="79" t="str">
        <x:v>ادویه و چاشنی</x:v>
      </x:c>
      <x:c r="AK69" s="79" t="str">
        <x:v>MERGED</x:v>
      </x:c>
    </x:row>
    <x:row r="70">
      <x:c r="A70" s="79" t="s">
        <x:v>630</x:v>
      </x:c>
      <x:c r="B70" s="79" t="s">
        <x:v>46</x:v>
      </x:c>
      <x:c r="C70" s="79" t="s">
        <x:v>631</x:v>
      </x:c>
      <x:c r="D70" s="79" t="s">
        <x:v>632</x:v>
      </x:c>
      <x:c r="E70" s="79" t="s">
        <x:v>16</x:v>
      </x:c>
      <x:c r="F70" s="79" t="s">
        <x:v>16</x:v>
      </x:c>
      <x:c r="G70" s="79" t="n">
        <x:f>IF(RIGHT($A70,2)="-2",INDEX('قیمت ها'!$E:$E,$J70+2),INDEX('قیمت ها'!$B:$B,$J70+2))</x:f>
        <x:v>180</x:v>
      </x:c>
      <x:c r="H70" s="110">
        <x:f t="shared" si="2"/>
        <x:v>180000</x:v>
      </x:c>
      <x:c r="I70" s="79" t="str">
        <x:f t="shared" si="3"/>
        <x:v>فعال</x:v>
      </x:c>
      <x:c r="J70" s="79">
        <x:v>28</x:v>
      </x:c>
      <x:c r="K70" s="79" t="s">
        <x:v>630</x:v>
      </x:c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  <x:c r="AA70" s="79" t="str">
        <x:f>IF(AND(LEN($N$2)&gt;=3,ISNUMBER(SEARCH($N$2,$B70))),MAX($AA$1:AA69)+1,"")</x:f>
      </x:c>
      <x:c r="AB70" s="79" t="str">
        <x:v>6a3782d7df5573f4e676e243</x:v>
      </x:c>
      <x:c r="AC70" s="79" t="str">
        <x:v>گیاهان دارویی</x:v>
      </x:c>
      <x:c r="AD70" s="79" t="str">
        <x:v>medicinal-plants</x:v>
      </x:c>
      <x:c r="AE70" s="79" t="str">
        <x:v>EDIBLE</x:v>
      </x:c>
      <x:c r="AF70" s="79" t="str">
        <x:v>بله</x:v>
      </x:c>
      <x:c r="AG70" s="79" t="str">
        <x:v>خیر</x:v>
      </x:c>
      <x:c r="AH70" s="79" t="n">
        <x:v>1</x:v>
      </x:c>
      <x:c r="AI70" s="79" t="str">
        <x:v>اسپند پودر</x:v>
      </x:c>
      <x:c r="AJ70" s="79" t="str">
        <x:v>حبوبات و غلات</x:v>
      </x:c>
      <x:c r="AK70" s="79"/>
    </x:row>
    <x:row r="71">
      <x:c r="A71" s="79" t="s">
        <x:v>633</x:v>
      </x:c>
      <x:c r="B71" s="79" t="s">
        <x:v>76</x:v>
      </x:c>
      <x:c r="C71" s="79" t="s">
        <x:v>634</x:v>
      </x:c>
      <x:c r="D71" s="79" t="s">
        <x:v>632</x:v>
      </x:c>
      <x:c r="E71" s="79" t="s">
        <x:v>16</x:v>
      </x:c>
      <x:c r="F71" s="79" t="s">
        <x:v>16</x:v>
      </x:c>
      <x:c r="G71" s="79" t="n">
        <x:f>IF(RIGHT($A71,2)="-2",INDEX('قیمت ها'!$E:$E,$J71+2),INDEX('قیمت ها'!$B:$B,$J71+2))</x:f>
        <x:v>140</x:v>
      </x:c>
      <x:c r="H71" s="110">
        <x:f t="shared" si="2"/>
        <x:v>140000</x:v>
      </x:c>
      <x:c r="I71" s="79" t="str">
        <x:f t="shared" si="3"/>
        <x:v>فعال</x:v>
      </x:c>
      <x:c r="J71" s="79">
        <x:v>47</x:v>
      </x:c>
      <x:c r="K71" s="79" t="s">
        <x:v>633</x:v>
      </x:c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  <x:c r="AA71" s="79" t="str">
        <x:f>IF(AND(LEN($N$2)&gt;=3,ISNUMBER(SEARCH($N$2,$B71))),MAX($AA$1:AA70)+1,"")</x:f>
      </x:c>
      <x:c r="AB71" s="79" t="str">
        <x:v>6a3782d7df5573f4e676e243</x:v>
      </x:c>
      <x:c r="AC71" s="79" t="str">
        <x:v>گیاهان دارویی</x:v>
      </x:c>
      <x:c r="AD71" s="79" t="str">
        <x:v>medicinal-plants</x:v>
      </x:c>
      <x:c r="AE71" s="79" t="str">
        <x:v>EDIBLE</x:v>
      </x:c>
      <x:c r="AF71" s="79" t="str">
        <x:v>بله</x:v>
      </x:c>
      <x:c r="AG71" s="79" t="str">
        <x:v>خیر</x:v>
      </x:c>
      <x:c r="AH71" s="79" t="n">
        <x:v>1</x:v>
      </x:c>
      <x:c r="AI71" s="79" t="str">
        <x:v>بادیان ستاره ای</x:v>
      </x:c>
      <x:c r="AJ71" s="79" t="str">
        <x:v>حبوبات و غلات</x:v>
      </x:c>
      <x:c r="AK71" s="79"/>
    </x:row>
    <x:row r="72">
      <x:c r="A72" s="79" t="s">
        <x:v>635</x:v>
      </x:c>
      <x:c r="B72" s="79" t="s">
        <x:v>116</x:v>
      </x:c>
      <x:c r="C72" s="79" t="s">
        <x:v>636</x:v>
      </x:c>
      <x:c r="D72" s="79" t="s">
        <x:v>632</x:v>
      </x:c>
      <x:c r="E72" s="79" t="s">
        <x:v>16</x:v>
      </x:c>
      <x:c r="F72" s="79" t="s">
        <x:v>16</x:v>
      </x:c>
      <x:c r="G72" s="79" t="n">
        <x:f>IF(RIGHT($A72,2)="-2",INDEX('قیمت ها'!$E:$E,$J72+2),INDEX('قیمت ها'!$B:$B,$J72+2))</x:f>
        <x:v>490</x:v>
      </x:c>
      <x:c r="H72" s="110">
        <x:f t="shared" si="2"/>
        <x:v>490000</x:v>
      </x:c>
      <x:c r="I72" s="79" t="str">
        <x:f t="shared" si="3"/>
        <x:v>فعال</x:v>
      </x:c>
      <x:c r="J72" s="79">
        <x:v>79</x:v>
      </x:c>
      <x:c r="K72" s="79" t="s">
        <x:v>635</x:v>
      </x:c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  <x:c r="AA72" s="79" t="str">
        <x:f>IF(AND(LEN($N$2)&gt;=3,ISNUMBER(SEARCH($N$2,$B72))),MAX($AA$1:AA71)+1,"")</x:f>
      </x:c>
      <x:c r="AB72" s="79" t="str">
        <x:v>6a30f5728337d8d2af170bb3</x:v>
      </x:c>
      <x:c r="AC72" s="79" t="str">
        <x:v>چای</x:v>
      </x:c>
      <x:c r="AD72" s="79" t="str">
        <x:v>tea</x:v>
      </x:c>
      <x:c r="AE72" s="79" t="str">
        <x:v>EDIBLE</x:v>
      </x:c>
      <x:c r="AF72" s="79" t="str">
        <x:v>بله</x:v>
      </x:c>
      <x:c r="AG72" s="79" t="str">
        <x:v>بله</x:v>
      </x:c>
      <x:c r="AH72" s="79" t="n">
        <x:v>2</x:v>
      </x:c>
      <x:c r="AI72" s="79" t="str">
        <x:v>تی بگ ویتامین سی 7 گرمی</x:v>
      </x:c>
      <x:c r="AJ72" s="79" t="str">
        <x:v>حبوبات و غلات</x:v>
      </x:c>
      <x:c r="AK72" s="79"/>
    </x:row>
    <x:row r="73">
      <x:c r="A73" s="79" t="s">
        <x:v>637</x:v>
      </x:c>
      <x:c r="B73" s="79" t="s">
        <x:v>117</x:v>
      </x:c>
      <x:c r="C73" s="79" t="s">
        <x:v>638</x:v>
      </x:c>
      <x:c r="D73" s="79" t="s">
        <x:v>632</x:v>
      </x:c>
      <x:c r="E73" s="79" t="s">
        <x:v>118</x:v>
      </x:c>
      <x:c r="F73" s="79" t="s">
        <x:v>16</x:v>
      </x:c>
      <x:c r="G73" s="79" t="n">
        <x:f>IF(RIGHT($A73,2)="-2",INDEX('قیمت ها'!$E:$E,$J73+2),INDEX('قیمت ها'!$B:$B,$J73+2))</x:f>
        <x:v>340</x:v>
      </x:c>
      <x:c r="H73" s="110">
        <x:f t="shared" si="2"/>
        <x:v>340000</x:v>
      </x:c>
      <x:c r="I73" s="79" t="str">
        <x:f t="shared" si="3"/>
        <x:v>فعال</x:v>
      </x:c>
      <x:c r="J73" s="79">
        <x:v>80</x:v>
      </x:c>
      <x:c r="K73" s="79" t="s">
        <x:v>637</x:v>
      </x:c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  <x:c r="AA73" s="79" t="str">
        <x:f>IF(AND(LEN($N$2)&gt;=3,ISNUMBER(SEARCH($N$2,$B73))),MAX($AA$1:AA72)+1,"")</x:f>
      </x:c>
      <x:c r="AB73" s="79" t="str">
        <x:v>6a3782d7df5573f4e676e243</x:v>
      </x:c>
      <x:c r="AC73" s="79" t="str">
        <x:v>گیاهان دارویی</x:v>
      </x:c>
      <x:c r="AD73" s="79" t="str">
        <x:v>medicinal-plants</x:v>
      </x:c>
      <x:c r="AE73" s="79" t="str">
        <x:v>EDIBLE</x:v>
      </x:c>
      <x:c r="AF73" s="79" t="str">
        <x:v>بله</x:v>
      </x:c>
      <x:c r="AG73" s="79" t="str">
        <x:v>خیر</x:v>
      </x:c>
      <x:c r="AH73" s="79" t="n">
        <x:v>1</x:v>
      </x:c>
      <x:c r="AI73" s="79" t="str">
        <x:v>جدوار</x:v>
      </x:c>
      <x:c r="AJ73" s="79" t="str">
        <x:v>حبوبات و غلات</x:v>
      </x:c>
      <x:c r="AK73" s="79" t="str">
        <x:v>دسته از «نیاز به بررسی» به «گیاهان دارویی» اصلاح شد</x:v>
      </x:c>
    </x:row>
    <x:row r="74">
      <x:c r="A74" s="79" t="s">
        <x:v>639</x:v>
      </x:c>
      <x:c r="B74" s="79" t="s">
        <x:v>117</x:v>
      </x:c>
      <x:c r="C74" s="79" t="s">
        <x:v>640</x:v>
      </x:c>
      <x:c r="D74" s="79" t="s">
        <x:v>632</x:v>
      </x:c>
      <x:c r="E74" s="79" t="s">
        <x:v>119</x:v>
      </x:c>
      <x:c r="F74" s="79" t="s">
        <x:v>16</x:v>
      </x:c>
      <x:c r="G74" s="79" t="n">
        <x:f>IF(RIGHT($A74,2)="-2",INDEX('قیمت ها'!$E:$E,$J74+2),INDEX('قیمت ها'!$B:$B,$J74+2))</x:f>
        <x:v>110</x:v>
      </x:c>
      <x:c r="H74" s="110">
        <x:f t="shared" si="2"/>
        <x:v>110000</x:v>
      </x:c>
      <x:c r="I74" s="79" t="str">
        <x:f t="shared" si="3"/>
        <x:v>فعال</x:v>
      </x:c>
      <x:c r="J74" s="79">
        <x:v>80</x:v>
      </x:c>
      <x:c r="K74" s="79" t="s">
        <x:v>639</x:v>
      </x:c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  <x:c r="AA74" s="79" t="str">
        <x:f>IF(AND(LEN($N$2)&gt;=3,ISNUMBER(SEARCH($N$2,$B74))),MAX($AA$1:AA73)+1,"")</x:f>
      </x:c>
      <x:c r="AB74" s="79" t="str">
        <x:v>6a3782d7df5573f4e676e243</x:v>
      </x:c>
      <x:c r="AC74" s="79" t="str">
        <x:v>گیاهان دارویی</x:v>
      </x:c>
      <x:c r="AD74" s="79" t="str">
        <x:v>medicinal-plants</x:v>
      </x:c>
      <x:c r="AE74" s="79" t="str">
        <x:v>EDIBLE</x:v>
      </x:c>
      <x:c r="AF74" s="79" t="str">
        <x:v>بله</x:v>
      </x:c>
      <x:c r="AG74" s="79" t="str">
        <x:v>خیر</x:v>
      </x:c>
      <x:c r="AH74" s="79" t="n">
        <x:v>1</x:v>
      </x:c>
      <x:c r="AI74" s="79" t="str">
        <x:v>جدوار</x:v>
      </x:c>
      <x:c r="AJ74" s="79" t="str">
        <x:v>حبوبات و غلات</x:v>
      </x:c>
      <x:c r="AK74" s="79" t="str">
        <x:v>دسته از «نیاز به بررسی» به «گیاهان دارویی» اصلاح شد</x:v>
      </x:c>
    </x:row>
    <x:row r="75">
      <x:c r="A75" s="79" t="s">
        <x:v>641</x:v>
      </x:c>
      <x:c r="B75" s="79" t="s">
        <x:v>120</x:v>
      </x:c>
      <x:c r="C75" s="79" t="s">
        <x:v>642</x:v>
      </x:c>
      <x:c r="D75" s="79" t="s">
        <x:v>632</x:v>
      </x:c>
      <x:c r="E75" s="79" t="s">
        <x:v>16</x:v>
      </x:c>
      <x:c r="F75" s="79" t="s">
        <x:v>16</x:v>
      </x:c>
      <x:c r="G75" s="79" t="str">
        <x:f>IF(RIGHT($A75,2)="-2",INDEX('قیمت ها'!$E:$E,$J75+2),INDEX('قیمت ها'!$B:$B,$J75+2))</x:f>
        <x:v>3/800</x:v>
      </x:c>
      <x:c r="H75" s="110">
        <x:f t="shared" si="2"/>
        <x:v>3800000</x:v>
      </x:c>
      <x:c r="I75" s="79" t="str">
        <x:f t="shared" si="3"/>
        <x:v>فعال</x:v>
      </x:c>
      <x:c r="J75" s="79">
        <x:v>81</x:v>
      </x:c>
      <x:c r="K75" s="79" t="s">
        <x:v>641</x:v>
      </x:c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  <x:c r="AA75" s="79" t="str">
        <x:f>IF(AND(LEN($N$2)&gt;=3,ISNUMBER(SEARCH($N$2,$B75))),MAX($AA$1:AA74)+1,"")</x:f>
      </x:c>
      <x:c r="AB75" s="79" t="str">
        <x:v>6a3a00000000000000000002</x:v>
      </x:c>
      <x:c r="AC75" s="79" t="str">
        <x:v>حبوبات و غلات</x:v>
      </x:c>
      <x:c r="AD75" s="79" t="str">
        <x:v>legumes-grains</x:v>
      </x:c>
      <x:c r="AE75" s="79" t="str">
        <x:v>EDIBLE</x:v>
      </x:c>
      <x:c r="AF75" s="79" t="str">
        <x:v>بله</x:v>
      </x:c>
      <x:c r="AG75" s="79" t="str">
        <x:v>خیر</x:v>
      </x:c>
      <x:c r="AH75" s="79" t="n">
        <x:v>1</x:v>
      </x:c>
      <x:c r="AI75" s="79" t="str">
        <x:v>جو دوسر پرک خارجی</x:v>
      </x:c>
      <x:c r="AJ75" s="79" t="str">
        <x:v>حبوبات و غلات</x:v>
      </x:c>
      <x:c r="AK75" s="79"/>
    </x:row>
    <x:row r="76">
      <x:c r="A76" s="79" t="s">
        <x:v>643</x:v>
      </x:c>
      <x:c r="B76" s="79" t="s">
        <x:v>122</x:v>
      </x:c>
      <x:c r="C76" s="79" t="s">
        <x:v>644</x:v>
      </x:c>
      <x:c r="D76" s="79" t="s">
        <x:v>632</x:v>
      </x:c>
      <x:c r="E76" s="79" t="s">
        <x:v>16</x:v>
      </x:c>
      <x:c r="F76" s="79" t="s">
        <x:v>16</x:v>
      </x:c>
      <x:c r="G76" s="79" t="n">
        <x:f>IF(RIGHT($A76,2)="-2",INDEX('قیمت ها'!$E:$E,$J76+2),INDEX('قیمت ها'!$B:$B,$J76+2))</x:f>
        <x:v>180</x:v>
      </x:c>
      <x:c r="H76" s="110">
        <x:f t="shared" si="2"/>
        <x:v>180000</x:v>
      </x:c>
      <x:c r="I76" s="79" t="str">
        <x:f t="shared" si="3"/>
        <x:v>فعال</x:v>
      </x:c>
      <x:c r="J76" s="79">
        <x:v>82</x:v>
      </x:c>
      <x:c r="K76" s="79" t="s">
        <x:v>643</x:v>
      </x:c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  <x:c r="AA76" s="79" t="str">
        <x:f>IF(AND(LEN($N$2)&gt;=3,ISNUMBER(SEARCH($N$2,$B76))),MAX($AA$1:AA75)+1,"")</x:f>
      </x:c>
      <x:c r="AB76" s="79" t="str">
        <x:v>6a3a00000000000000000002</x:v>
      </x:c>
      <x:c r="AC76" s="79" t="str">
        <x:v>حبوبات و غلات</x:v>
      </x:c>
      <x:c r="AD76" s="79" t="str">
        <x:v>legumes-grains</x:v>
      </x:c>
      <x:c r="AE76" s="79" t="str">
        <x:v>EDIBLE</x:v>
      </x:c>
      <x:c r="AF76" s="79" t="str">
        <x:v>بله</x:v>
      </x:c>
      <x:c r="AG76" s="79" t="str">
        <x:v>بله</x:v>
      </x:c>
      <x:c r="AH76" s="79" t="n">
        <x:v>2</x:v>
      </x:c>
      <x:c r="AI76" s="79" t="str">
        <x:v>جوانه گندم</x:v>
      </x:c>
      <x:c r="AJ76" s="79" t="str">
        <x:v>حبوبات و غلات</x:v>
      </x:c>
      <x:c r="AK76" s="79"/>
    </x:row>
    <x:row r="77">
      <x:c r="A77" s="79" t="s">
        <x:v>645</x:v>
      </x:c>
      <x:c r="B77" s="79" t="s">
        <x:v>123</x:v>
      </x:c>
      <x:c r="C77" s="79" t="s">
        <x:v>646</x:v>
      </x:c>
      <x:c r="D77" s="79" t="s">
        <x:v>632</x:v>
      </x:c>
      <x:c r="E77" s="79" t="s">
        <x:v>16</x:v>
      </x:c>
      <x:c r="F77" s="79" t="s">
        <x:v>16</x:v>
      </x:c>
      <x:c r="G77" s="79" t="n">
        <x:f>IF(RIGHT($A77,2)="-2",INDEX('قیمت ها'!$E:$E,$J77+2),INDEX('قیمت ها'!$B:$B,$J77+2))</x:f>
        <x:v>580</x:v>
      </x:c>
      <x:c r="H77" s="110">
        <x:f t="shared" si="2"/>
        <x:v>580000</x:v>
      </x:c>
      <x:c r="I77" s="79" t="str">
        <x:f t="shared" si="3"/>
        <x:v>فعال</x:v>
      </x:c>
      <x:c r="J77" s="79">
        <x:v>83</x:v>
      </x:c>
      <x:c r="K77" s="79" t="s">
        <x:v>645</x:v>
      </x:c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  <x:c r="AA77" s="79" t="str">
        <x:f>IF(AND(LEN($N$2)&gt;=3,ISNUMBER(SEARCH($N$2,$B77))),MAX($AA$1:AA76)+1,"")</x:f>
      </x:c>
      <x:c r="AB77" s="79" t="str">
        <x:v>6a3781e4df5573f4e676e226</x:v>
      </x:c>
      <x:c r="AC77" s="79" t="str">
        <x:v>ادویه</x:v>
      </x:c>
      <x:c r="AD77" s="79" t="str">
        <x:v>spice</x:v>
      </x:c>
      <x:c r="AE77" s="79" t="str">
        <x:v>EDIBLE</x:v>
      </x:c>
      <x:c r="AF77" s="79" t="str">
        <x:v>بله</x:v>
      </x:c>
      <x:c r="AG77" s="79" t="str">
        <x:v>خیر</x:v>
      </x:c>
      <x:c r="AH77" s="79" t="n">
        <x:v>1</x:v>
      </x:c>
      <x:c r="AI77" s="79" t="str">
        <x:v>جوز هندی</x:v>
      </x:c>
      <x:c r="AJ77" s="79" t="str">
        <x:v>حبوبات و غلات</x:v>
      </x:c>
      <x:c r="AK77" s="79"/>
    </x:row>
    <x:row r="78">
      <x:c r="A78" s="79" t="s">
        <x:v>647</x:v>
      </x:c>
      <x:c r="B78" s="79" t="s">
        <x:v>165</x:v>
      </x:c>
      <x:c r="C78" s="79" t="s">
        <x:v>648</x:v>
      </x:c>
      <x:c r="D78" s="79" t="s">
        <x:v>632</x:v>
      </x:c>
      <x:c r="E78" s="79" t="s">
        <x:v>16</x:v>
      </x:c>
      <x:c r="F78" s="79" t="s">
        <x:v>16</x:v>
      </x:c>
      <x:c r="G78" s="79" t="str">
        <x:f>IF(RIGHT($A78,2)="-2",INDEX('قیمت ها'!$E:$E,$J78+2),INDEX('قیمت ها'!$B:$B,$J78+2))</x:f>
        <x:v>؟</x:v>
      </x:c>
      <x:c r="H78" s="110" t="str">
        <x:f t="shared" si="2"/>
      </x:c>
      <x:c r="I78" s="79" t="str">
        <x:f t="shared" si="3"/>
        <x:v>نیاز به استعلام</x:v>
      </x:c>
      <x:c r="J78" s="79">
        <x:v>117</x:v>
      </x:c>
      <x:c r="K78" s="79" t="s">
        <x:v>647</x:v>
      </x:c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  <x:c r="AA78" s="79" t="str">
        <x:f>IF(AND(LEN($N$2)&gt;=3,ISNUMBER(SEARCH($N$2,$B78))),MAX($AA$1:AA77)+1,"")</x:f>
      </x:c>
      <x:c r="AB78" s="79" t="str">
        <x:v>6a30f5728337d8d2af170bb3</x:v>
      </x:c>
      <x:c r="AC78" s="79" t="str">
        <x:v>چای</x:v>
      </x:c>
      <x:c r="AD78" s="79" t="str">
        <x:v>tea</x:v>
      </x:c>
      <x:c r="AE78" s="79" t="str">
        <x:v>EDIBLE</x:v>
      </x:c>
      <x:c r="AF78" s="79" t="str">
        <x:v>بله</x:v>
      </x:c>
      <x:c r="AG78" s="79" t="str">
        <x:v>خیر</x:v>
      </x:c>
      <x:c r="AH78" s="79" t="n">
        <x:v>1</x:v>
      </x:c>
      <x:c r="AI78" s="79" t="str">
        <x:v>دمنوش 10 گیاه</x:v>
      </x:c>
      <x:c r="AJ78" s="79" t="str">
        <x:v>حبوبات و غلات</x:v>
      </x:c>
      <x:c r="AK78" s="79"/>
    </x:row>
    <x:row r="79">
      <x:c r="A79" s="79" t="s">
        <x:v>649</x:v>
      </x:c>
      <x:c r="B79" s="79" t="s">
        <x:v>279</x:v>
      </x:c>
      <x:c r="C79" s="79" t="s">
        <x:v>650</x:v>
      </x:c>
      <x:c r="D79" s="79" t="s">
        <x:v>632</x:v>
      </x:c>
      <x:c r="E79" s="79" t="s">
        <x:v>16</x:v>
      </x:c>
      <x:c r="F79" s="79" t="s">
        <x:v>16</x:v>
      </x:c>
      <x:c r="G79" s="79" t="n">
        <x:f>IF(RIGHT($A79,2)="-2",INDEX('قیمت ها'!$E:$E,$J79+2),INDEX('قیمت ها'!$B:$B,$J79+2))</x:f>
        <x:v>500</x:v>
      </x:c>
      <x:c r="H79" s="110">
        <x:f t="shared" si="2"/>
        <x:v>500000</x:v>
      </x:c>
      <x:c r="I79" s="79" t="str">
        <x:f t="shared" si="3"/>
        <x:v>فعال</x:v>
      </x:c>
      <x:c r="J79" s="79">
        <x:v>216</x:v>
      </x:c>
      <x:c r="K79" s="79" t="s">
        <x:v>649</x:v>
      </x:c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  <x:c r="AA79" s="79" t="str">
        <x:f>IF(AND(LEN($N$2)&gt;=3,ISNUMBER(SEARCH($N$2,$B79))),MAX($AA$1:AA78)+1,"")</x:f>
      </x:c>
      <x:c r="AB79" s="79" t="str">
        <x:v>6a37810ddf5573f4e676e201</x:v>
      </x:c>
      <x:c r="AC79" s="79" t="str">
        <x:v>خشکبار و آجیل</x:v>
      </x:c>
      <x:c r="AD79" s="79" t="str">
        <x:v>dried-fruits-nuts</x:v>
      </x:c>
      <x:c r="AE79" s="79" t="str">
        <x:v>EDIBLE</x:v>
      </x:c>
      <x:c r="AF79" s="79" t="str">
        <x:v>بله</x:v>
      </x:c>
      <x:c r="AG79" s="79" t="str">
        <x:v>خیر</x:v>
      </x:c>
      <x:c r="AH79" s="79" t="n">
        <x:v>1</x:v>
      </x:c>
      <x:c r="AI79" s="79" t="str">
        <x:v>سنجد</x:v>
      </x:c>
      <x:c r="AJ79" s="79" t="str">
        <x:v>حبوبات و غلات</x:v>
      </x:c>
      <x:c r="AK79" s="79" t="str">
        <x:v>MERGED</x:v>
      </x:c>
    </x:row>
    <x:row r="80">
      <x:c r="A80" s="79" t="s">
        <x:v>651</x:v>
      </x:c>
      <x:c r="B80" s="79" t="s">
        <x:v>280</x:v>
      </x:c>
      <x:c r="C80" s="79" t="s">
        <x:v>652</x:v>
      </x:c>
      <x:c r="D80" s="79" t="s">
        <x:v>632</x:v>
      </x:c>
      <x:c r="E80" s="79" t="s">
        <x:v>16</x:v>
      </x:c>
      <x:c r="F80" s="79" t="s">
        <x:v>16</x:v>
      </x:c>
      <x:c r="G80" s="79" t="n">
        <x:f>IF(RIGHT($A80,2)="-2",INDEX('قیمت ها'!$E:$E,$J80+2),INDEX('قیمت ها'!$B:$B,$J80+2))</x:f>
        <x:v>450</x:v>
      </x:c>
      <x:c r="H80" s="110">
        <x:f t="shared" si="2"/>
        <x:v>450000</x:v>
      </x:c>
      <x:c r="I80" s="79" t="str">
        <x:f t="shared" si="3"/>
        <x:v>فعال</x:v>
      </x:c>
      <x:c r="J80" s="79">
        <x:v>217</x:v>
      </x:c>
      <x:c r="K80" s="79" t="s">
        <x:v>651</x:v>
      </x:c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  <x:c r="AA80" s="79" t="str">
        <x:f>IF(AND(LEN($N$2)&gt;=3,ISNUMBER(SEARCH($N$2,$B80))),MAX($AA$1:AA79)+1,"")</x:f>
      </x:c>
      <x:c r="AB80" s="79" t="str">
        <x:v>6a3a00000000000000000002</x:v>
      </x:c>
      <x:c r="AC80" s="79" t="str">
        <x:v>حبوبات و غلات</x:v>
      </x:c>
      <x:c r="AD80" s="79" t="str">
        <x:v>legumes-grains</x:v>
      </x:c>
      <x:c r="AE80" s="79" t="str">
        <x:v>EDIBLE</x:v>
      </x:c>
      <x:c r="AF80" s="79" t="str">
        <x:v>بله</x:v>
      </x:c>
      <x:c r="AG80" s="79" t="str">
        <x:v>خیر</x:v>
      </x:c>
      <x:c r="AH80" s="79" t="n">
        <x:v>1</x:v>
      </x:c>
      <x:c r="AI80" s="79" t="str">
        <x:v>سویق ترکیبی</x:v>
      </x:c>
      <x:c r="AJ80" s="79" t="str">
        <x:v>حبوبات و غلات</x:v>
      </x:c>
      <x:c r="AK80" s="79" t="str">
        <x:v>دسته از «نیاز به بررسی» به «حبوبات و غلات» اصلاح شد</x:v>
      </x:c>
    </x:row>
    <x:row r="81">
      <x:c r="A81" s="79" t="s">
        <x:v>653</x:v>
      </x:c>
      <x:c r="B81" s="79" t="s">
        <x:v>282</x:v>
      </x:c>
      <x:c r="C81" s="79" t="s">
        <x:v>654</x:v>
      </x:c>
      <x:c r="D81" s="79" t="s">
        <x:v>632</x:v>
      </x:c>
      <x:c r="E81" s="79" t="s">
        <x:v>16</x:v>
      </x:c>
      <x:c r="F81" s="79" t="s">
        <x:v>16</x:v>
      </x:c>
      <x:c r="G81" s="79" t="n">
        <x:f>IF(RIGHT($A81,2)="-2",INDEX('قیمت ها'!$E:$E,$J81+2),INDEX('قیمت ها'!$B:$B,$J81+2))</x:f>
        <x:v>450</x:v>
      </x:c>
      <x:c r="H81" s="110">
        <x:f t="shared" si="2"/>
        <x:v>450000</x:v>
      </x:c>
      <x:c r="I81" s="79" t="str">
        <x:f t="shared" si="3"/>
        <x:v>فعال</x:v>
      </x:c>
      <x:c r="J81" s="79">
        <x:v>219</x:v>
      </x:c>
      <x:c r="K81" s="79" t="s">
        <x:v>653</x:v>
      </x:c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  <x:c r="AA81" s="79" t="str">
        <x:f>IF(AND(LEN($N$2)&gt;=3,ISNUMBER(SEARCH($N$2,$B81))),MAX($AA$1:AA80)+1,"")</x:f>
      </x:c>
      <x:c r="AB81" s="79" t="str">
        <x:v>6a3a00000000000000000002</x:v>
      </x:c>
      <x:c r="AC81" s="79" t="str">
        <x:v>حبوبات و غلات</x:v>
      </x:c>
      <x:c r="AD81" s="79" t="str">
        <x:v>legumes-grains</x:v>
      </x:c>
      <x:c r="AE81" s="79" t="str">
        <x:v>EDIBLE</x:v>
      </x:c>
      <x:c r="AF81" s="79" t="str">
        <x:v>بله</x:v>
      </x:c>
      <x:c r="AG81" s="79" t="str">
        <x:v>خیر</x:v>
      </x:c>
      <x:c r="AH81" s="79" t="n">
        <x:v>1</x:v>
      </x:c>
      <x:c r="AI81" s="79" t="str">
        <x:v>سویق جوانه عدس</x:v>
      </x:c>
      <x:c r="AJ81" s="79" t="str">
        <x:v>حبوبات و غلات</x:v>
      </x:c>
      <x:c r="AK81" s="79"/>
    </x:row>
    <x:row r="82">
      <x:c r="A82" s="79" t="s">
        <x:v>655</x:v>
      </x:c>
      <x:c r="B82" s="79" t="s">
        <x:v>281</x:v>
      </x:c>
      <x:c r="C82" s="79" t="s">
        <x:v>656</x:v>
      </x:c>
      <x:c r="D82" s="79" t="s">
        <x:v>632</x:v>
      </x:c>
      <x:c r="E82" s="79" t="s">
        <x:v>16</x:v>
      </x:c>
      <x:c r="F82" s="79" t="s">
        <x:v>16</x:v>
      </x:c>
      <x:c r="G82" s="79" t="n">
        <x:f>IF(RIGHT($A82,2)="-2",INDEX('قیمت ها'!$E:$E,$J82+2),INDEX('قیمت ها'!$B:$B,$J82+2))</x:f>
        <x:v>380</x:v>
      </x:c>
      <x:c r="H82" s="110">
        <x:f t="shared" si="2"/>
        <x:v>380000</x:v>
      </x:c>
      <x:c r="I82" s="79" t="str">
        <x:f t="shared" si="3"/>
        <x:v>فعال</x:v>
      </x:c>
      <x:c r="J82" s="79">
        <x:v>218</x:v>
      </x:c>
      <x:c r="K82" s="79" t="s">
        <x:v>655</x:v>
      </x:c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  <x:c r="AA82" s="79" t="str">
        <x:f>IF(AND(LEN($N$2)&gt;=3,ISNUMBER(SEARCH($N$2,$B82))),MAX($AA$1:AA81)+1,"")</x:f>
      </x:c>
      <x:c r="AB82" s="79" t="str">
        <x:v>6a3a00000000000000000002</x:v>
      </x:c>
      <x:c r="AC82" s="79" t="str">
        <x:v>حبوبات و غلات</x:v>
      </x:c>
      <x:c r="AD82" s="79" t="str">
        <x:v>legumes-grains</x:v>
      </x:c>
      <x:c r="AE82" s="79" t="str">
        <x:v>EDIBLE</x:v>
      </x:c>
      <x:c r="AF82" s="79" t="str">
        <x:v>بله</x:v>
      </x:c>
      <x:c r="AG82" s="79" t="str">
        <x:v>خیر</x:v>
      </x:c>
      <x:c r="AH82" s="79" t="n">
        <x:v>1</x:v>
      </x:c>
      <x:c r="AI82" s="79" t="str">
        <x:v>سویق جوانه جو</x:v>
      </x:c>
      <x:c r="AJ82" s="79" t="str">
        <x:v>حبوبات و غلات</x:v>
      </x:c>
      <x:c r="AK82" s="79"/>
    </x:row>
    <x:row r="83">
      <x:c r="A83" s="79" t="s">
        <x:v>657</x:v>
      </x:c>
      <x:c r="B83" s="79" t="s">
        <x:v>471</x:v>
      </x:c>
      <x:c r="C83" s="79" t="s">
        <x:v>658</x:v>
      </x:c>
      <x:c r="D83" s="79" t="s">
        <x:v>632</x:v>
      </x:c>
      <x:c r="E83" s="79" t="s">
        <x:v>16</x:v>
      </x:c>
      <x:c r="F83" s="79" t="s">
        <x:v>16</x:v>
      </x:c>
      <x:c r="G83" s="79" t="n">
        <x:f>IF(RIGHT($A83,2)="-2",INDEX('قیمت ها'!$E:$E,$J83+2),INDEX('قیمت ها'!$B:$B,$J83+2))</x:f>
        <x:v>50</x:v>
      </x:c>
      <x:c r="H83" s="110">
        <x:f t="shared" si="2"/>
        <x:v>50000</x:v>
      </x:c>
      <x:c r="I83" s="79" t="str">
        <x:f t="shared" si="3"/>
        <x:v>فعال</x:v>
      </x:c>
      <x:c r="J83" s="79">
        <x:v>381</x:v>
      </x:c>
      <x:c r="K83" s="79" t="s">
        <x:v>657</x:v>
      </x:c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  <x:c r="AA83" s="79" t="str">
        <x:f>IF(AND(LEN($N$2)&gt;=3,ISNUMBER(SEARCH($N$2,$B83))),MAX($AA$1:AA82)+1,"")</x:f>
      </x:c>
      <x:c r="AB83" s="79" t="str">
        <x:v>6a3781e4df5573f4e676e226</x:v>
      </x:c>
      <x:c r="AC83" s="79" t="str">
        <x:v>ادویه</x:v>
      </x:c>
      <x:c r="AD83" s="79" t="str">
        <x:v>spice</x:v>
      </x:c>
      <x:c r="AE83" s="79" t="str">
        <x:v>EDIBLE</x:v>
      </x:c>
      <x:c r="AF83" s="79" t="str">
        <x:v>بله</x:v>
      </x:c>
      <x:c r="AG83" s="79" t="str">
        <x:v>خیر</x:v>
      </x:c>
      <x:c r="AH83" s="79" t="n">
        <x:v>1</x:v>
      </x:c>
      <x:c r="AI83" s="79" t="str">
        <x:v>نمک صورتی</x:v>
      </x:c>
      <x:c r="AJ83" s="79" t="str">
        <x:v>حبوبات و غلات</x:v>
      </x:c>
      <x:c r="AK83" s="79" t="str">
        <x:v>MERGED</x:v>
      </x:c>
    </x:row>
    <x:row r="84">
      <x:c r="A84" s="79" t="s">
        <x:v>659</x:v>
      </x:c>
      <x:c r="B84" s="79" t="s">
        <x:v>439</x:v>
      </x:c>
      <x:c r="C84" s="79" t="s">
        <x:v>660</x:v>
      </x:c>
      <x:c r="D84" s="79" t="s">
        <x:v>632</x:v>
      </x:c>
      <x:c r="E84" s="79" t="s">
        <x:v>16</x:v>
      </x:c>
      <x:c r="F84" s="79" t="s">
        <x:v>16</x:v>
      </x:c>
      <x:c r="G84" s="79" t="n">
        <x:f>IF(RIGHT($A84,2)="-2",INDEX('قیمت ها'!$E:$E,$J84+2),INDEX('قیمت ها'!$B:$B,$J84+2))</x:f>
        <x:v>600</x:v>
      </x:c>
      <x:c r="H84" s="110">
        <x:f t="shared" si="2"/>
        <x:v>600000</x:v>
      </x:c>
      <x:c r="I84" s="79" t="str">
        <x:f t="shared" si="3"/>
        <x:v>فعال</x:v>
      </x:c>
      <x:c r="J84" s="79">
        <x:v>352</x:v>
      </x:c>
      <x:c r="K84" s="79" t="s">
        <x:v>659</x:v>
      </x:c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  <x:c r="AA84" s="79" t="str">
        <x:f>IF(AND(LEN($N$2)&gt;=3,ISNUMBER(SEARCH($N$2,$B84))),MAX($AA$1:AA83)+1,"")</x:f>
      </x:c>
      <x:c r="AB84" s="79" t="str">
        <x:v>6a37810ddf5573f4e676e201</x:v>
      </x:c>
      <x:c r="AC84" s="79" t="str">
        <x:v>خشکبار و آجیل</x:v>
      </x:c>
      <x:c r="AD84" s="79" t="str">
        <x:v>dried-fruits-nuts</x:v>
      </x:c>
      <x:c r="AE84" s="79" t="str">
        <x:v>EDIBLE</x:v>
      </x:c>
      <x:c r="AF84" s="79" t="str">
        <x:v>بله</x:v>
      </x:c>
      <x:c r="AG84" s="79" t="str">
        <x:v>خیر</x:v>
      </x:c>
      <x:c r="AH84" s="79" t="n">
        <x:v>1</x:v>
      </x:c>
      <x:c r="AI84" s="79" t="str">
        <x:v>کنجد</x:v>
      </x:c>
      <x:c r="AJ84" s="79" t="str">
        <x:v>حبوبات و غلات</x:v>
      </x:c>
      <x:c r="AK84" s="79" t="str">
        <x:v>MERGED</x:v>
      </x:c>
    </x:row>
    <x:row r="85">
      <x:c r="A85" s="79" t="s">
        <x:v>661</x:v>
      </x:c>
      <x:c r="B85" s="79" t="s">
        <x:v>449</x:v>
      </x:c>
      <x:c r="C85" s="79" t="s">
        <x:v>662</x:v>
      </x:c>
      <x:c r="D85" s="79" t="s">
        <x:v>632</x:v>
      </x:c>
      <x:c r="E85" s="79" t="s">
        <x:v>16</x:v>
      </x:c>
      <x:c r="F85" s="79" t="s">
        <x:v>16</x:v>
      </x:c>
      <x:c r="G85" s="79" t="n">
        <x:f>IF(RIGHT($A85,2)="-2",INDEX('قیمت ها'!$E:$E,$J85+2),INDEX('قیمت ها'!$B:$B,$J85+2))</x:f>
        <x:v>120</x:v>
      </x:c>
      <x:c r="H85" s="110">
        <x:f t="shared" si="2"/>
        <x:v>120000</x:v>
      </x:c>
      <x:c r="I85" s="79" t="str">
        <x:f t="shared" si="3"/>
        <x:v>فعال</x:v>
      </x:c>
      <x:c r="J85" s="79">
        <x:v>361</x:v>
      </x:c>
      <x:c r="K85" s="79" t="s">
        <x:v>661</x:v>
      </x:c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  <x:c r="AA85" s="79" t="str">
        <x:f>IF(AND(LEN($N$2)&gt;=3,ISNUMBER(SEARCH($N$2,$B85))),MAX($AA$1:AA84)+1,"")</x:f>
      </x:c>
      <x:c r="AB85" s="79" t="str">
        <x:v>6a3781e4df5573f4e676e226</x:v>
      </x:c>
      <x:c r="AC85" s="79" t="str">
        <x:v>ادویه</x:v>
      </x:c>
      <x:c r="AD85" s="79" t="str">
        <x:v>spice</x:v>
      </x:c>
      <x:c r="AE85" s="79" t="str">
        <x:v>EDIBLE</x:v>
      </x:c>
      <x:c r="AF85" s="79" t="str">
        <x:v>بله</x:v>
      </x:c>
      <x:c r="AG85" s="79" t="str">
        <x:v>خیر</x:v>
      </x:c>
      <x:c r="AH85" s="79" t="n">
        <x:v>1</x:v>
      </x:c>
      <x:c r="AI85" s="79" t="str">
        <x:v>گلپر</x:v>
      </x:c>
      <x:c r="AJ85" s="79" t="str">
        <x:v>حبوبات و غلات</x:v>
      </x:c>
      <x:c r="AK85" s="79"/>
    </x:row>
    <x:row r="86">
      <x:c r="A86" s="79" t="s">
        <x:v>663</x:v>
      </x:c>
      <x:c r="B86" s="79" t="s">
        <x:v>52</x:v>
      </x:c>
      <x:c r="C86" s="79" t="s">
        <x:v>664</x:v>
      </x:c>
      <x:c r="D86" s="79" t="s">
        <x:v>665</x:v>
      </x:c>
      <x:c r="E86" s="79" t="s">
        <x:v>16</x:v>
      </x:c>
      <x:c r="F86" s="79" t="s">
        <x:v>16</x:v>
      </x:c>
      <x:c r="G86" s="79" t="n">
        <x:f>IF(RIGHT($A86,2)="-2",INDEX('قیمت ها'!$E:$E,$J86+2),INDEX('قیمت ها'!$B:$B,$J86+2))</x:f>
        <x:v>400</x:v>
      </x:c>
      <x:c r="H86" s="110">
        <x:f t="shared" si="2"/>
        <x:v>400000</x:v>
      </x:c>
      <x:c r="I86" s="79" t="str">
        <x:f t="shared" si="3"/>
        <x:v>فعال</x:v>
      </x:c>
      <x:c r="J86" s="79">
        <x:v>32</x:v>
      </x:c>
      <x:c r="K86" s="79" t="s">
        <x:v>663</x:v>
      </x:c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  <x:c r="AA86" s="79" t="str">
        <x:f>IF(AND(LEN($N$2)&gt;=3,ISNUMBER(SEARCH($N$2,$B86))),MAX($AA$1:AA85)+1,"")</x:f>
      </x:c>
      <x:c r="AB86" s="79" t="str">
        <x:v>6a3782d7df5573f4e676e243</x:v>
      </x:c>
      <x:c r="AC86" s="79" t="str">
        <x:v>گیاهان دارویی</x:v>
      </x:c>
      <x:c r="AD86" s="79" t="str">
        <x:v>medicinal-plants</x:v>
      </x:c>
      <x:c r="AE86" s="79" t="str">
        <x:v>EDIBLE</x:v>
      </x:c>
      <x:c r="AF86" s="79" t="str">
        <x:v>بله</x:v>
      </x:c>
      <x:c r="AG86" s="79" t="str">
        <x:v>خیر</x:v>
      </x:c>
      <x:c r="AH86" s="79" t="n">
        <x:v>1</x:v>
      </x:c>
      <x:c r="AI86" s="79" t="str">
        <x:v>اسطوخودوس</x:v>
      </x:c>
      <x:c r="AJ86" s="79" t="str">
        <x:v>خشکبار و آجیل</x:v>
      </x:c>
      <x:c r="AK86" s="79"/>
    </x:row>
    <x:row r="87">
      <x:c r="A87" s="79" t="s">
        <x:v>666</x:v>
      </x:c>
      <x:c r="B87" s="79" t="s">
        <x:v>69</x:v>
      </x:c>
      <x:c r="C87" s="79" t="s">
        <x:v>667</x:v>
      </x:c>
      <x:c r="D87" s="79" t="s">
        <x:v>665</x:v>
      </x:c>
      <x:c r="E87" s="79" t="s">
        <x:v>16</x:v>
      </x:c>
      <x:c r="F87" s="79" t="s">
        <x:v>16</x:v>
      </x:c>
      <x:c r="G87" s="79" t="n">
        <x:f>IF(RIGHT($A87,2)="-2",INDEX('قیمت ها'!$E:$E,$J87+2),INDEX('قیمت ها'!$B:$B,$J87+2))</x:f>
        <x:v>660</x:v>
      </x:c>
      <x:c r="H87" s="110">
        <x:f t="shared" si="2"/>
        <x:v>660000</x:v>
      </x:c>
      <x:c r="I87" s="79" t="str">
        <x:f t="shared" si="3"/>
        <x:v>فعال</x:v>
      </x:c>
      <x:c r="J87" s="79">
        <x:v>42</x:v>
      </x:c>
      <x:c r="K87" s="79" t="s">
        <x:v>666</x:v>
      </x:c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  <x:c r="AA87" s="79" t="str">
        <x:f>IF(AND(LEN($N$2)&gt;=3,ISNUMBER(SEARCH($N$2,$B87))),MAX($AA$1:AA86)+1,"")</x:f>
      </x:c>
      <x:c r="AB87" s="79" t="str">
        <x:v>6a3782d7df5573f4e676e243</x:v>
      </x:c>
      <x:c r="AC87" s="79" t="str">
        <x:v>گیاهان دارویی</x:v>
      </x:c>
      <x:c r="AD87" s="79" t="str">
        <x:v>medicinal-plants</x:v>
      </x:c>
      <x:c r="AE87" s="79" t="str">
        <x:v>EDIBLE</x:v>
      </x:c>
      <x:c r="AF87" s="79" t="str">
        <x:v>بله</x:v>
      </x:c>
      <x:c r="AG87" s="79" t="str">
        <x:v>خیر</x:v>
      </x:c>
      <x:c r="AH87" s="79" t="n">
        <x:v>1</x:v>
      </x:c>
      <x:c r="AI87" s="79" t="str">
        <x:v>آویشن کوهی</x:v>
      </x:c>
      <x:c r="AJ87" s="79" t="str">
        <x:v>خشکبار و آجیل</x:v>
      </x:c>
      <x:c r="AK87" s="79"/>
    </x:row>
    <x:row r="88">
      <x:c r="A88" s="79" t="s">
        <x:v>668</x:v>
      </x:c>
      <x:c r="B88" s="79" t="s">
        <x:v>70</x:v>
      </x:c>
      <x:c r="C88" s="79" t="s">
        <x:v>669</x:v>
      </x:c>
      <x:c r="D88" s="79" t="s">
        <x:v>665</x:v>
      </x:c>
      <x:c r="E88" s="79" t="s">
        <x:v>16</x:v>
      </x:c>
      <x:c r="F88" s="79" t="s">
        <x:v>16</x:v>
      </x:c>
      <x:c r="G88" s="79" t="str">
        <x:f>IF(RIGHT($A88,2)="-2",INDEX('قیمت ها'!$E:$E,$J88+2),INDEX('قیمت ها'!$B:$B,$J88+2))</x:f>
        <x:v>؟</x:v>
      </x:c>
      <x:c r="H88" s="110" t="str">
        <x:f t="shared" si="2"/>
      </x:c>
      <x:c r="I88" s="79" t="str">
        <x:f t="shared" si="3"/>
        <x:v>نیاز به استعلام</x:v>
      </x:c>
      <x:c r="J88" s="79">
        <x:v>43</x:v>
      </x:c>
      <x:c r="K88" s="79" t="s">
        <x:v>668</x:v>
      </x:c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  <x:c r="AA88" s="79" t="str">
        <x:f>IF(AND(LEN($N$2)&gt;=3,ISNUMBER(SEARCH($N$2,$B88))),MAX($AA$1:AA87)+1,"")</x:f>
      </x:c>
      <x:c r="AB88" s="79" t="str">
        <x:v>6a3782d7df5573f4e676e243</x:v>
      </x:c>
      <x:c r="AC88" s="79" t="str">
        <x:v>گیاهان دارویی</x:v>
      </x:c>
      <x:c r="AD88" s="79" t="str">
        <x:v>medicinal-plants</x:v>
      </x:c>
      <x:c r="AE88" s="79" t="str">
        <x:v>EDIBLE</x:v>
      </x:c>
      <x:c r="AF88" s="79" t="str">
        <x:v>بله</x:v>
      </x:c>
      <x:c r="AG88" s="79" t="str">
        <x:v>خیر</x:v>
      </x:c>
      <x:c r="AH88" s="79" t="n">
        <x:v>1</x:v>
      </x:c>
      <x:c r="AI88" s="79" t="str">
        <x:v>بابونه</x:v>
      </x:c>
      <x:c r="AJ88" s="79" t="str">
        <x:v>خشکبار و آجیل</x:v>
      </x:c>
      <x:c r="AK88" s="79"/>
    </x:row>
    <x:row r="89">
      <x:c r="A89" s="79" t="s">
        <x:v>670</x:v>
      </x:c>
      <x:c r="B89" s="79" t="s">
        <x:v>107</x:v>
      </x:c>
      <x:c r="C89" s="79" t="s">
        <x:v>671</x:v>
      </x:c>
      <x:c r="D89" s="79" t="s">
        <x:v>665</x:v>
      </x:c>
      <x:c r="E89" s="79" t="s">
        <x:v>16</x:v>
      </x:c>
      <x:c r="F89" s="79" t="s">
        <x:v>16</x:v>
      </x:c>
      <x:c r="G89" s="79" t="str">
        <x:f>IF(RIGHT($A89,2)="-2",INDEX('قیمت ها'!$E:$E,$J89+2),INDEX('قیمت ها'!$B:$B,$J89+2))</x:f>
        <x:v>؟</x:v>
      </x:c>
      <x:c r="H89" s="110" t="str">
        <x:f t="shared" si="2"/>
      </x:c>
      <x:c r="I89" s="79" t="str">
        <x:f t="shared" si="3"/>
        <x:v>نیاز به استعلام</x:v>
      </x:c>
      <x:c r="J89" s="79">
        <x:v>73</x:v>
      </x:c>
      <x:c r="K89" s="79" t="s">
        <x:v>670</x:v>
      </x:c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  <x:c r="AA89" s="79" t="str">
        <x:f>IF(AND(LEN($N$2)&gt;=3,ISNUMBER(SEARCH($N$2,$B89))),MAX($AA$1:AA88)+1,"")</x:f>
      </x:c>
      <x:c r="AB89" s="79" t="str">
        <x:v>6a37810ddf5573f4e676e201</x:v>
      </x:c>
      <x:c r="AC89" s="79" t="str">
        <x:v>خشکبار و آجیل</x:v>
      </x:c>
      <x:c r="AD89" s="79" t="str">
        <x:v>dried-fruits-nuts</x:v>
      </x:c>
      <x:c r="AE89" s="79" t="str">
        <x:v>EDIBLE</x:v>
      </x:c>
      <x:c r="AF89" s="79" t="str">
        <x:v>بله</x:v>
      </x:c>
      <x:c r="AG89" s="79" t="str">
        <x:v>خیر</x:v>
      </x:c>
      <x:c r="AH89" s="79" t="n">
        <x:v>1</x:v>
      </x:c>
      <x:c r="AI89" s="79" t="str">
        <x:v>تخم مغز کدو</x:v>
      </x:c>
      <x:c r="AJ89" s="79" t="str">
        <x:v>خشکبار و آجیل</x:v>
      </x:c>
      <x:c r="AK89" s="79"/>
    </x:row>
    <x:row r="90">
      <x:c r="A90" s="79" t="s">
        <x:v>672</x:v>
      </x:c>
      <x:c r="B90" s="79" t="s">
        <x:v>255</x:v>
      </x:c>
      <x:c r="C90" s="79" t="s">
        <x:v>673</x:v>
      </x:c>
      <x:c r="D90" s="79" t="s">
        <x:v>665</x:v>
      </x:c>
      <x:c r="E90" s="79" t="s">
        <x:v>16</x:v>
      </x:c>
      <x:c r="F90" s="79" t="s">
        <x:v>16</x:v>
      </x:c>
      <x:c r="G90" s="79" t="str">
        <x:f>IF(RIGHT($A90,2)="-2",INDEX('قیمت ها'!$E:$E,$J90+2),INDEX('قیمت ها'!$B:$B,$J90+2))</x:f>
        <x:v>؟</x:v>
      </x:c>
      <x:c r="H90" s="110" t="str">
        <x:f t="shared" si="2"/>
      </x:c>
      <x:c r="I90" s="79" t="str">
        <x:f t="shared" si="3"/>
        <x:v>نیاز به استعلام</x:v>
      </x:c>
      <x:c r="J90" s="79">
        <x:v>196</x:v>
      </x:c>
      <x:c r="K90" s="79" t="s">
        <x:v>672</x:v>
      </x:c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  <x:c r="AA90" s="79" t="str">
        <x:f>IF(AND(LEN($N$2)&gt;=3,ISNUMBER(SEARCH($N$2,$B90))),MAX($AA$1:AA89)+1,"")</x:f>
      </x:c>
      <x:c r="AB90" s="79" t="str">
        <x:v>6a3781e4df5573f4e676e226</x:v>
      </x:c>
      <x:c r="AC90" s="79" t="str">
        <x:v>ادویه</x:v>
      </x:c>
      <x:c r="AD90" s="79" t="str">
        <x:v>spice</x:v>
      </x:c>
      <x:c r="AE90" s="79" t="str">
        <x:v>EDIBLE</x:v>
      </x:c>
      <x:c r="AF90" s="79" t="str">
        <x:v>بله</x:v>
      </x:c>
      <x:c r="AG90" s="79" t="str">
        <x:v>خیر</x:v>
      </x:c>
      <x:c r="AH90" s="79" t="n">
        <x:v>1</x:v>
      </x:c>
      <x:c r="AI90" s="79" t="str">
        <x:v>زردچوبه</x:v>
      </x:c>
      <x:c r="AJ90" s="79" t="str">
        <x:v>خشکبار و آجیل</x:v>
      </x:c>
      <x:c r="AK90" s="79" t="str">
        <x:v>MERGED + MISSING_PRICE_REVIEW</x:v>
      </x:c>
    </x:row>
    <x:row r="91">
      <x:c r="A91" s="79" t="s">
        <x:v>674</x:v>
      </x:c>
      <x:c r="B91" s="79" t="s">
        <x:v>254</x:v>
      </x:c>
      <x:c r="C91" s="79" t="s">
        <x:v>675</x:v>
      </x:c>
      <x:c r="D91" s="79" t="s">
        <x:v>665</x:v>
      </x:c>
      <x:c r="E91" s="79" t="s">
        <x:v>16</x:v>
      </x:c>
      <x:c r="F91" s="79" t="s">
        <x:v>16</x:v>
      </x:c>
      <x:c r="G91" s="79" t="str">
        <x:f>IF(RIGHT($A91,2)="-2",INDEX('قیمت ها'!$E:$E,$J91+2),INDEX('قیمت ها'!$B:$B,$J91+2))</x:f>
        <x:v>؟</x:v>
      </x:c>
      <x:c r="H91" s="110" t="str">
        <x:f t="shared" si="2"/>
      </x:c>
      <x:c r="I91" s="79" t="str">
        <x:f t="shared" si="3"/>
        <x:v>نیاز به استعلام</x:v>
      </x:c>
      <x:c r="J91" s="79">
        <x:v>195</x:v>
      </x:c>
      <x:c r="K91" s="79" t="s">
        <x:v>674</x:v>
      </x:c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  <x:c r="AA91" s="79" t="str">
        <x:f>IF(AND(LEN($N$2)&gt;=3,ISNUMBER(SEARCH($N$2,$B91))),MAX($AA$1:AA90)+1,"")</x:f>
      </x:c>
      <x:c r="AB91" s="79" t="str">
        <x:v>6a3781e4df5573f4e676e226</x:v>
      </x:c>
      <x:c r="AC91" s="79" t="str">
        <x:v>ادویه</x:v>
      </x:c>
      <x:c r="AD91" s="79" t="str">
        <x:v>spice</x:v>
      </x:c>
      <x:c r="AE91" s="79" t="str">
        <x:v>EDIBLE</x:v>
      </x:c>
      <x:c r="AF91" s="79" t="str">
        <x:v>بله</x:v>
      </x:c>
      <x:c r="AG91" s="79" t="str">
        <x:v>خیر</x:v>
      </x:c>
      <x:c r="AH91" s="79" t="n">
        <x:v>1</x:v>
      </x:c>
      <x:c r="AI91" s="79" t="str">
        <x:v>زردچوبه</x:v>
      </x:c>
      <x:c r="AJ91" s="79" t="str">
        <x:v>خشکبار و آجیل</x:v>
      </x:c>
      <x:c r="AK91" s="79" t="str">
        <x:v>MERGED</x:v>
      </x:c>
    </x:row>
    <x:row r="92">
      <x:c r="A92" s="79" t="s">
        <x:v>676</x:v>
      </x:c>
      <x:c r="B92" s="79" t="s">
        <x:v>276</x:v>
      </x:c>
      <x:c r="C92" s="79" t="s">
        <x:v>677</x:v>
      </x:c>
      <x:c r="D92" s="79" t="s">
        <x:v>665</x:v>
      </x:c>
      <x:c r="E92" s="79" t="s">
        <x:v>16</x:v>
      </x:c>
      <x:c r="F92" s="79" t="s">
        <x:v>16</x:v>
      </x:c>
      <x:c r="G92" s="79" t="n">
        <x:f>IF(RIGHT($A92,2)="-2",INDEX('قیمت ها'!$E:$E,$J92+2),INDEX('قیمت ها'!$B:$B,$J92+2))</x:f>
        <x:v>500</x:v>
      </x:c>
      <x:c r="H92" s="110">
        <x:f t="shared" si="2"/>
        <x:v>500000</x:v>
      </x:c>
      <x:c r="I92" s="79" t="str">
        <x:f t="shared" si="3"/>
        <x:v>فعال</x:v>
      </x:c>
      <x:c r="J92" s="79">
        <x:v>213</x:v>
      </x:c>
      <x:c r="K92" s="79" t="s">
        <x:v>676</x:v>
      </x:c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  <x:c r="AA92" s="79" t="str">
        <x:f>IF(AND(LEN($N$2)&gt;=3,ISNUMBER(SEARCH($N$2,$B92))),MAX($AA$1:AA91)+1,"")</x:f>
      </x:c>
      <x:c r="AB92" s="79" t="str">
        <x:v>6a3a00000000000000000003</x:v>
      </x:c>
      <x:c r="AC92" s="79" t="str">
        <x:v>قنادی و شیرینی</x:v>
      </x:c>
      <x:c r="AD92" s="79" t="str">
        <x:v>confectionery</x:v>
      </x:c>
      <x:c r="AE92" s="79" t="str">
        <x:v>EDIBLE</x:v>
      </x:c>
      <x:c r="AF92" s="79" t="str">
        <x:v>بله</x:v>
      </x:c>
      <x:c r="AG92" s="79" t="str">
        <x:v>خیر</x:v>
      </x:c>
      <x:c r="AH92" s="79" t="n">
        <x:v>1</x:v>
      </x:c>
      <x:c r="AI92" s="79" t="str">
        <x:v>سمنو</x:v>
      </x:c>
      <x:c r="AJ92" s="79" t="str">
        <x:v>خشکبار و آجیل</x:v>
      </x:c>
      <x:c r="AK92" s="79" t="str">
        <x:v>دسته از «نیاز به بررسی» به «قنادی و شیرینی» اصلاح شد</x:v>
      </x:c>
    </x:row>
    <x:row r="93">
      <x:c r="A93" s="79" t="s">
        <x:v>678</x:v>
      </x:c>
      <x:c r="B93" s="79" t="s">
        <x:v>277</x:v>
      </x:c>
      <x:c r="C93" s="79" t="s">
        <x:v>679</x:v>
      </x:c>
      <x:c r="D93" s="79" t="s">
        <x:v>665</x:v>
      </x:c>
      <x:c r="E93" s="79" t="s">
        <x:v>16</x:v>
      </x:c>
      <x:c r="F93" s="79" t="s">
        <x:v>16</x:v>
      </x:c>
      <x:c r="G93" s="79" t="n">
        <x:f>IF(RIGHT($A93,2)="-2",INDEX('قیمت ها'!$E:$E,$J93+2),INDEX('قیمت ها'!$B:$B,$J93+2))</x:f>
        <x:v>650</x:v>
      </x:c>
      <x:c r="H93" s="110">
        <x:f t="shared" si="2"/>
        <x:v>650000</x:v>
      </x:c>
      <x:c r="I93" s="79" t="str">
        <x:f t="shared" si="3"/>
        <x:v>فعال</x:v>
      </x:c>
      <x:c r="J93" s="79">
        <x:v>214</x:v>
      </x:c>
      <x:c r="K93" s="79" t="s">
        <x:v>678</x:v>
      </x:c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  <x:c r="AA93" s="79" t="str">
        <x:f>IF(AND(LEN($N$2)&gt;=3,ISNUMBER(SEARCH($N$2,$B93))),MAX($AA$1:AA92)+1,"")</x:f>
      </x:c>
      <x:c r="AB93" s="79" t="str">
        <x:v>6a3782d7df5573f4e676e243</x:v>
      </x:c>
      <x:c r="AC93" s="79" t="str">
        <x:v>گیاهان دارویی</x:v>
      </x:c>
      <x:c r="AD93" s="79" t="str">
        <x:v>medicinal-plants</x:v>
      </x:c>
      <x:c r="AE93" s="79" t="str">
        <x:v>EDIBLE</x:v>
      </x:c>
      <x:c r="AF93" s="79" t="str">
        <x:v>بله</x:v>
      </x:c>
      <x:c r="AG93" s="79" t="str">
        <x:v>خیر</x:v>
      </x:c>
      <x:c r="AH93" s="79" t="n">
        <x:v>1</x:v>
      </x:c>
      <x:c r="AI93" s="79" t="str">
        <x:v>سنبل الطیب</x:v>
      </x:c>
      <x:c r="AJ93" s="79" t="str">
        <x:v>خشکبار و آجیل</x:v>
      </x:c>
      <x:c r="AK93" s="79"/>
    </x:row>
    <x:row r="94">
      <x:c r="A94" s="79" t="s">
        <x:v>680</x:v>
      </x:c>
      <x:c r="B94" s="79" t="s">
        <x:v>303</x:v>
      </x:c>
      <x:c r="C94" s="79" t="s">
        <x:v>681</x:v>
      </x:c>
      <x:c r="D94" s="79" t="s">
        <x:v>665</x:v>
      </x:c>
      <x:c r="E94" s="79" t="s">
        <x:v>301</x:v>
      </x:c>
      <x:c r="F94" s="79" t="s">
        <x:v>682</x:v>
      </x:c>
      <x:c r="G94" s="79" t="n">
        <x:f>IF(RIGHT($A94,2)="-2",INDEX('قیمت ها'!$E:$E,$J94+2),INDEX('قیمت ها'!$B:$B,$J94+2))</x:f>
        <x:v>230</x:v>
      </x:c>
      <x:c r="H94" s="110">
        <x:f t="shared" si="2"/>
        <x:v>230000</x:v>
      </x:c>
      <x:c r="I94" s="79" t="str">
        <x:f t="shared" si="3"/>
        <x:v>فعال</x:v>
      </x:c>
      <x:c r="J94" s="79">
        <x:v>239</x:v>
      </x:c>
      <x:c r="K94" s="79" t="s">
        <x:v>680</x:v>
      </x:c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  <x:c r="AA94" s="79" t="str">
        <x:f>IF(AND(LEN($N$2)&gt;=3,ISNUMBER(SEARCH($N$2,$B94))),MAX($AA$1:AA93)+1,"")</x:f>
      </x:c>
      <x:c r="AB94" s="79" t="str">
        <x:v>6a3782ffdf5573f4e676e24b</x:v>
      </x:c>
      <x:c r="AC94" s="79" t="str">
        <x:v>نوشیدنی‌ها</x:v>
      </x:c>
      <x:c r="AD94" s="79" t="str">
        <x:v>syrup</x:v>
      </x:c>
      <x:c r="AE94" s="79" t="str">
        <x:v>EDIBLE</x:v>
      </x:c>
      <x:c r="AF94" s="79" t="str">
        <x:v>بله</x:v>
      </x:c>
      <x:c r="AG94" s="79" t="str">
        <x:v>خیر</x:v>
      </x:c>
      <x:c r="AH94" s="79" t="n">
        <x:v>1</x:v>
      </x:c>
      <x:c r="AI94" s="79" t="str">
        <x:v>شیره 3 شیره</x:v>
      </x:c>
      <x:c r="AJ94" s="79" t="str">
        <x:v>خشکبار و آجیل</x:v>
      </x:c>
      <x:c r="AK94" s="79" t="str">
        <x:v>دسته از «نیاز به بررسی» به «نوشیدنی‌ها» اصلاح شد</x:v>
      </x:c>
    </x:row>
    <x:row r="95">
      <x:c r="A95" s="79" t="s">
        <x:v>683</x:v>
      </x:c>
      <x:c r="B95" s="79" t="s">
        <x:v>320</x:v>
      </x:c>
      <x:c r="C95" s="79" t="s">
        <x:v>684</x:v>
      </x:c>
      <x:c r="D95" s="79" t="s">
        <x:v>665</x:v>
      </x:c>
      <x:c r="E95" s="79" t="s">
        <x:v>16</x:v>
      </x:c>
      <x:c r="F95" s="79" t="s">
        <x:v>16</x:v>
      </x:c>
      <x:c r="G95" s="79" t="n">
        <x:f>IF(RIGHT($A95,2)="-2",INDEX('قیمت ها'!$E:$E,$J95+2),INDEX('قیمت ها'!$B:$B,$J95+2))</x:f>
        <x:v>120</x:v>
      </x:c>
      <x:c r="H95" s="110">
        <x:f t="shared" si="2"/>
        <x:v>120000</x:v>
      </x:c>
      <x:c r="I95" s="79" t="str">
        <x:f t="shared" si="3"/>
        <x:v>فعال</x:v>
      </x:c>
      <x:c r="J95" s="79">
        <x:v>255</x:v>
      </x:c>
      <x:c r="K95" s="79" t="s">
        <x:v>683</x:v>
      </x:c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  <x:c r="AA95" s="79" t="str">
        <x:f>IF(AND(LEN($N$2)&gt;=3,ISNUMBER(SEARCH($N$2,$B95))),MAX($AA$1:AA94)+1,"")</x:f>
      </x:c>
      <x:c r="AB95" s="79" t="str">
        <x:v>6a3782d7df5573f4e676e243</x:v>
      </x:c>
      <x:c r="AC95" s="79" t="str">
        <x:v>گیاهان دارویی</x:v>
      </x:c>
      <x:c r="AD95" s="79" t="str">
        <x:v>medicinal-plants</x:v>
      </x:c>
      <x:c r="AE95" s="79" t="str">
        <x:v>TOPICAL</x:v>
      </x:c>
      <x:c r="AF95" s="79" t="str">
        <x:v>خیر</x:v>
      </x:c>
      <x:c r="AG95" s="79" t="str">
        <x:v>خیر</x:v>
      </x:c>
      <x:c r="AH95" s="79" t="n">
        <x:v>1</x:v>
      </x:c>
      <x:c r="AI95" s="79" t="str">
        <x:v>صابون درخت چای</x:v>
      </x:c>
      <x:c r="AJ95" s="79" t="str">
        <x:v>خشکبار و آجیل</x:v>
      </x:c>
      <x:c r="AK95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96">
      <x:c r="A96" s="79" t="s">
        <x:v>685</x:v>
      </x:c>
      <x:c r="B96" s="79" t="s">
        <x:v>326</x:v>
      </x:c>
      <x:c r="C96" s="79" t="s">
        <x:v>686</x:v>
      </x:c>
      <x:c r="D96" s="79" t="s">
        <x:v>665</x:v>
      </x:c>
      <x:c r="E96" s="79" t="s">
        <x:v>16</x:v>
      </x:c>
      <x:c r="F96" s="79" t="s">
        <x:v>16</x:v>
      </x:c>
      <x:c r="G96" s="79" t="n">
        <x:f>IF(RIGHT($A96,2)="-2",INDEX('قیمت ها'!$E:$E,$J96+2),INDEX('قیمت ها'!$B:$B,$J96+2))</x:f>
        <x:v>120</x:v>
      </x:c>
      <x:c r="H96" s="110">
        <x:f t="shared" si="2"/>
        <x:v>120000</x:v>
      </x:c>
      <x:c r="I96" s="79" t="str">
        <x:f t="shared" si="3"/>
        <x:v>فعال</x:v>
      </x:c>
      <x:c r="J96" s="79">
        <x:v>261</x:v>
      </x:c>
      <x:c r="K96" s="79" t="s">
        <x:v>685</x:v>
      </x:c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  <x:c r="AA96" s="79" t="str">
        <x:f>IF(AND(LEN($N$2)&gt;=3,ISNUMBER(SEARCH($N$2,$B96))),MAX($AA$1:AA95)+1,"")</x:f>
      </x:c>
      <x:c r="AB96" s="79" t="str">
        <x:v>6a3782d7df5573f4e676e243</x:v>
      </x:c>
      <x:c r="AC96" s="79" t="str">
        <x:v>گیاهان دارویی</x:v>
      </x:c>
      <x:c r="AD96" s="79" t="str">
        <x:v>medicinal-plants</x:v>
      </x:c>
      <x:c r="AE96" s="79" t="str">
        <x:v>TOPICAL</x:v>
      </x:c>
      <x:c r="AF96" s="79" t="str">
        <x:v>خیر</x:v>
      </x:c>
      <x:c r="AG96" s="79" t="str">
        <x:v>خیر</x:v>
      </x:c>
      <x:c r="AH96" s="79" t="n">
        <x:v>1</x:v>
      </x:c>
      <x:c r="AI96" s="79" t="str">
        <x:v>صابون سیاهدانه</x:v>
      </x:c>
      <x:c r="AJ96" s="79" t="str">
        <x:v>خشکبار و آجیل</x:v>
      </x:c>
      <x:c r="AK96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97">
      <x:c r="A97" s="79" t="s">
        <x:v>687</x:v>
      </x:c>
      <x:c r="B97" s="79" t="s">
        <x:v>388</x:v>
      </x:c>
      <x:c r="C97" s="79" t="s">
        <x:v>688</x:v>
      </x:c>
      <x:c r="D97" s="79" t="s">
        <x:v>665</x:v>
      </x:c>
      <x:c r="E97" s="79" t="s">
        <x:v>389</x:v>
      </x:c>
      <x:c r="F97" s="79" t="s">
        <x:v>16</x:v>
      </x:c>
      <x:c r="G97" s="79" t="n">
        <x:f>IF(RIGHT($A97,2)="-2",INDEX('قیمت ها'!$E:$E,$J97+2),INDEX('قیمت ها'!$B:$B,$J97+2))</x:f>
        <x:v>250</x:v>
      </x:c>
      <x:c r="H97" s="110">
        <x:f t="shared" si="2"/>
        <x:v>250000</x:v>
      </x:c>
      <x:c r="I97" s="79" t="str">
        <x:f t="shared" si="3"/>
        <x:v>فعال</x:v>
      </x:c>
      <x:c r="J97" s="79">
        <x:v>313</x:v>
      </x:c>
      <x:c r="K97" s="79" t="s">
        <x:v>687</x:v>
      </x:c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  <x:c r="AA97" s="79" t="str">
        <x:f>IF(AND(LEN($N$2)&gt;=3,ISNUMBER(SEARCH($N$2,$B97))),MAX($AA$1:AA96)+1,"")</x:f>
      </x:c>
      <x:c r="AB97" s="79" t="str">
        <x:v>6a3a00000000000000000003</x:v>
      </x:c>
      <x:c r="AC97" s="79" t="str">
        <x:v>قنادی و شیرینی</x:v>
      </x:c>
      <x:c r="AD97" s="79" t="str">
        <x:v>confectionery</x:v>
      </x:c>
      <x:c r="AE97" s="79" t="str">
        <x:v>EDIBLE</x:v>
      </x:c>
      <x:c r="AF97" s="79" t="str">
        <x:v>بله</x:v>
      </x:c>
      <x:c r="AG97" s="79" t="str">
        <x:v>خیر</x:v>
      </x:c>
      <x:c r="AH97" s="79" t="n">
        <x:v>1</x:v>
      </x:c>
      <x:c r="AI97" s="79" t="str">
        <x:v>عسل کنار</x:v>
      </x:c>
      <x:c r="AJ97" s="79" t="str">
        <x:v>خشکبار و آجیل</x:v>
      </x:c>
      <x:c r="AK97" s="79"/>
    </x:row>
    <x:row r="98">
      <x:c r="A98" s="79" t="s">
        <x:v>689</x:v>
      </x:c>
      <x:c r="B98" s="79" t="s">
        <x:v>388</x:v>
      </x:c>
      <x:c r="C98" s="79" t="s">
        <x:v>690</x:v>
      </x:c>
      <x:c r="D98" s="79" t="s">
        <x:v>665</x:v>
      </x:c>
      <x:c r="E98" s="79" t="s">
        <x:v>390</x:v>
      </x:c>
      <x:c r="F98" s="79" t="s">
        <x:v>16</x:v>
      </x:c>
      <x:c r="G98" s="79" t="n">
        <x:f>IF(RIGHT($A98,2)="-2",INDEX('قیمت ها'!$E:$E,$J98+2),INDEX('قیمت ها'!$B:$B,$J98+2))</x:f>
        <x:v>280</x:v>
      </x:c>
      <x:c r="H98" s="110">
        <x:f t="shared" si="2"/>
        <x:v>280000</x:v>
      </x:c>
      <x:c r="I98" s="79" t="str">
        <x:f t="shared" si="3"/>
        <x:v>فعال</x:v>
      </x:c>
      <x:c r="J98" s="79">
        <x:v>313</x:v>
      </x:c>
      <x:c r="K98" s="79" t="s">
        <x:v>689</x:v>
      </x:c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  <x:c r="AA98" s="79" t="str">
        <x:f>IF(AND(LEN($N$2)&gt;=3,ISNUMBER(SEARCH($N$2,$B98))),MAX($AA$1:AA97)+1,"")</x:f>
      </x:c>
      <x:c r="AB98" s="79" t="str">
        <x:v>6a3a00000000000000000003</x:v>
      </x:c>
      <x:c r="AC98" s="79" t="str">
        <x:v>قنادی و شیرینی</x:v>
      </x:c>
      <x:c r="AD98" s="79" t="str">
        <x:v>confectionery</x:v>
      </x:c>
      <x:c r="AE98" s="79" t="str">
        <x:v>EDIBLE</x:v>
      </x:c>
      <x:c r="AF98" s="79" t="str">
        <x:v>بله</x:v>
      </x:c>
      <x:c r="AG98" s="79" t="str">
        <x:v>خیر</x:v>
      </x:c>
      <x:c r="AH98" s="79" t="n">
        <x:v>1</x:v>
      </x:c>
      <x:c r="AI98" s="79" t="str">
        <x:v>عسل کنار</x:v>
      </x:c>
      <x:c r="AJ98" s="79" t="str">
        <x:v>خشکبار و آجیل</x:v>
      </x:c>
      <x:c r="AK98" s="79"/>
    </x:row>
    <x:row r="99">
      <x:c r="A99" s="79" t="s">
        <x:v>691</x:v>
      </x:c>
      <x:c r="B99" s="79" t="s">
        <x:v>391</x:v>
      </x:c>
      <x:c r="C99" s="79" t="s">
        <x:v>692</x:v>
      </x:c>
      <x:c r="D99" s="79" t="s">
        <x:v>665</x:v>
      </x:c>
      <x:c r="E99" s="79" t="s">
        <x:v>16</x:v>
      </x:c>
      <x:c r="F99" s="79" t="s">
        <x:v>16</x:v>
      </x:c>
      <x:c r="G99" s="79" t="n">
        <x:f>IF(RIGHT($A99,2)="-2",INDEX('قیمت ها'!$E:$E,$J99+2),INDEX('قیمت ها'!$B:$B,$J99+2))</x:f>
        <x:v>410</x:v>
      </x:c>
      <x:c r="H99" s="110">
        <x:f t="shared" si="2"/>
        <x:v>410000</x:v>
      </x:c>
      <x:c r="I99" s="79" t="str">
        <x:f t="shared" si="3"/>
        <x:v>فعال</x:v>
      </x:c>
      <x:c r="J99" s="79">
        <x:v>314</x:v>
      </x:c>
      <x:c r="K99" s="79" t="s">
        <x:v>691</x:v>
      </x:c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  <x:c r="AA99" s="79" t="str">
        <x:f>IF(AND(LEN($N$2)&gt;=3,ISNUMBER(SEARCH($N$2,$B99))),MAX($AA$1:AA98)+1,"")</x:f>
      </x:c>
      <x:c r="AB99" s="79" t="str">
        <x:v>6a3a00000000000000000003</x:v>
      </x:c>
      <x:c r="AC99" s="79" t="str">
        <x:v>قنادی و شیرینی</x:v>
      </x:c>
      <x:c r="AD99" s="79" t="str">
        <x:v>confectionery</x:v>
      </x:c>
      <x:c r="AE99" s="79" t="str">
        <x:v>EDIBLE</x:v>
      </x:c>
      <x:c r="AF99" s="79" t="str">
        <x:v>بله</x:v>
      </x:c>
      <x:c r="AG99" s="79" t="str">
        <x:v>خیر</x:v>
      </x:c>
      <x:c r="AH99" s="79" t="n">
        <x:v>1</x:v>
      </x:c>
      <x:c r="AI99" s="79" t="str">
        <x:v>عسل یونجه</x:v>
      </x:c>
      <x:c r="AJ99" s="79" t="str">
        <x:v>خشکبار و آجیل</x:v>
      </x:c>
      <x:c r="AK99" s="79" t="str">
        <x:v>MISSING_PRICE_REVIEW</x:v>
      </x:c>
    </x:row>
    <x:row r="100">
      <x:c r="A100" s="79" t="s">
        <x:v>693</x:v>
      </x:c>
      <x:c r="B100" s="79" t="s">
        <x:v>391</x:v>
      </x:c>
      <x:c r="C100" s="79" t="s">
        <x:v>694</x:v>
      </x:c>
      <x:c r="D100" s="79" t="s">
        <x:v>665</x:v>
      </x:c>
      <x:c r="E100" s="79" t="s">
        <x:v>109</x:v>
      </x:c>
      <x:c r="F100" s="79" t="s">
        <x:v>16</x:v>
      </x:c>
      <x:c r="G100" s="79" t="n">
        <x:f>IF(RIGHT($A100,2)="-2",INDEX('قیمت ها'!$E:$E,$J100+2),INDEX('قیمت ها'!$B:$B,$J100+2))</x:f>
        <x:v>150</x:v>
      </x:c>
      <x:c r="H100" s="110">
        <x:f t="shared" si="2"/>
        <x:v>150000</x:v>
      </x:c>
      <x:c r="I100" s="79" t="str">
        <x:f t="shared" si="3"/>
        <x:v>فعال</x:v>
      </x:c>
      <x:c r="J100" s="79">
        <x:v>314</x:v>
      </x:c>
      <x:c r="K100" s="79" t="s">
        <x:v>693</x:v>
      </x:c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  <x:c r="AA100" s="79" t="str">
        <x:f>IF(AND(LEN($N$2)&gt;=3,ISNUMBER(SEARCH($N$2,$B100))),MAX($AA$1:AA99)+1,"")</x:f>
      </x:c>
      <x:c r="AB100" s="79" t="str">
        <x:v>6a3a00000000000000000003</x:v>
      </x:c>
      <x:c r="AC100" s="79" t="str">
        <x:v>قنادی و شیرینی</x:v>
      </x:c>
      <x:c r="AD100" s="79" t="str">
        <x:v>confectionery</x:v>
      </x:c>
      <x:c r="AE100" s="79" t="str">
        <x:v>EDIBLE</x:v>
      </x:c>
      <x:c r="AF100" s="79" t="str">
        <x:v>بله</x:v>
      </x:c>
      <x:c r="AG100" s="79" t="str">
        <x:v>خیر</x:v>
      </x:c>
      <x:c r="AH100" s="79" t="n">
        <x:v>1</x:v>
      </x:c>
      <x:c r="AI100" s="79" t="str">
        <x:v>عسل یونجه</x:v>
      </x:c>
      <x:c r="AJ100" s="79" t="str">
        <x:v>خشکبار و آجیل</x:v>
      </x:c>
      <x:c r="AK100" s="79" t="str">
        <x:v>MISSING_PRICE_REVIEW</x:v>
      </x:c>
    </x:row>
    <x:row r="101">
      <x:c r="A101" s="79" t="s">
        <x:v>695</x:v>
      </x:c>
      <x:c r="B101" s="79" t="s">
        <x:v>412</x:v>
      </x:c>
      <x:c r="C101" s="79" t="s">
        <x:v>696</x:v>
      </x:c>
      <x:c r="D101" s="79" t="s">
        <x:v>665</x:v>
      </x:c>
      <x:c r="E101" s="79" t="s">
        <x:v>16</x:v>
      </x:c>
      <x:c r="F101" s="79" t="s">
        <x:v>16</x:v>
      </x:c>
      <x:c r="G101" s="79" t="str">
        <x:f>IF(RIGHT($A101,2)="-2",INDEX('قیمت ها'!$E:$E,$J101+2),INDEX('قیمت ها'!$B:$B,$J101+2))</x:f>
        <x:v>1/100</x:v>
      </x:c>
      <x:c r="H101" s="110">
        <x:f t="shared" si="2"/>
        <x:v>1100000</x:v>
      </x:c>
      <x:c r="I101" s="79" t="str">
        <x:f t="shared" si="3"/>
        <x:v>فعال</x:v>
      </x:c>
      <x:c r="J101" s="79">
        <x:v>330</x:v>
      </x:c>
      <x:c r="K101" s="79" t="s">
        <x:v>695</x:v>
      </x:c>
      <x:c r="L101" s="79"/>
      <x:c r="M101" s="79"/>
      <x:c r="N101" s="79"/>
      <x:c r="O101" s="79"/>
      <x:c r="P101" s="79"/>
      <x:c r="Q101" s="79"/>
      <x:c r="R101" s="79"/>
      <x:c r="S101" s="79"/>
      <x:c r="T101" s="79"/>
      <x:c r="U101" s="79"/>
      <x:c r="V101" s="79"/>
      <x:c r="W101" s="79"/>
      <x:c r="X101" s="79"/>
      <x:c r="Y101" s="79"/>
      <x:c r="Z101" s="79"/>
      <x:c r="AA101" s="79" t="str">
        <x:f>IF(AND(LEN($N$2)&gt;=3,ISNUMBER(SEARCH($N$2,$B101))),MAX($AA$1:AA100)+1,"")</x:f>
      </x:c>
      <x:c r="AB101" s="79"/>
      <x:c r="AC101" s="79" t="str">
        <x:v>عدم ایمپورت</x:v>
      </x:c>
      <x:c r="AD101" s="79" t="str">
        <x:v>SKIP</x:v>
      </x:c>
      <x:c r="AE101" s="79" t="str">
        <x:v>NON_PRODUCT</x:v>
      </x:c>
      <x:c r="AF101" s="79" t="str">
        <x:v>خیر</x:v>
      </x:c>
      <x:c r="AG101" s="79" t="str">
        <x:v>خیر</x:v>
      </x:c>
      <x:c r="AH101" s="79" t="n">
        <x:v>1</x:v>
      </x:c>
      <x:c r="AI101" s="79" t="str">
        <x:v>کپسول خالی</x:v>
      </x:c>
      <x:c r="AJ101" s="79" t="str">
        <x:v>خشکبار و آجیل</x:v>
      </x:c>
      <x:c r="AK101" s="79" t="str">
        <x:v>SKIP_NON_PRODUCT</x:v>
      </x:c>
    </x:row>
    <x:row r="102">
      <x:c r="A102" s="79" t="s">
        <x:v>697</x:v>
      </x:c>
      <x:c r="B102" s="79" t="s">
        <x:v>413</x:v>
      </x:c>
      <x:c r="C102" s="79" t="s">
        <x:v>698</x:v>
      </x:c>
      <x:c r="D102" s="79" t="s">
        <x:v>665</x:v>
      </x:c>
      <x:c r="E102" s="79" t="s">
        <x:v>16</x:v>
      </x:c>
      <x:c r="F102" s="79" t="s">
        <x:v>16</x:v>
      </x:c>
      <x:c r="G102" s="79" t="n">
        <x:f>IF(RIGHT($A102,2)="-2",INDEX('قیمت ها'!$E:$E,$J102+2),INDEX('قیمت ها'!$B:$B,$J102+2))</x:f>
        <x:v>900</x:v>
      </x:c>
      <x:c r="H102" s="110">
        <x:f t="shared" si="2"/>
        <x:v>900000</x:v>
      </x:c>
      <x:c r="I102" s="79" t="str">
        <x:f t="shared" si="3"/>
        <x:v>فعال</x:v>
      </x:c>
      <x:c r="J102" s="79">
        <x:v>331</x:v>
      </x:c>
      <x:c r="K102" s="79" t="s">
        <x:v>697</x:v>
      </x:c>
      <x:c r="L102" s="79"/>
      <x:c r="M102" s="79"/>
      <x:c r="N102" s="79"/>
      <x:c r="O102" s="79"/>
      <x:c r="P102" s="79"/>
      <x:c r="Q102" s="79"/>
      <x:c r="R102" s="79"/>
      <x:c r="S102" s="79"/>
      <x:c r="T102" s="79"/>
      <x:c r="U102" s="79"/>
      <x:c r="V102" s="79"/>
      <x:c r="W102" s="79"/>
      <x:c r="X102" s="79"/>
      <x:c r="Y102" s="79"/>
      <x:c r="Z102" s="79"/>
      <x:c r="AA102" s="79" t="str">
        <x:f>IF(AND(LEN($N$2)&gt;=3,ISNUMBER(SEARCH($N$2,$B102))),MAX($AA$1:AA101)+1,"")</x:f>
      </x:c>
      <x:c r="AB102" s="79" t="str">
        <x:v>6a3a00000000000000000003</x:v>
      </x:c>
      <x:c r="AC102" s="79" t="str">
        <x:v>قنادی و شیرینی</x:v>
      </x:c>
      <x:c r="AD102" s="79" t="str">
        <x:v>confectionery</x:v>
      </x:c>
      <x:c r="AE102" s="79" t="str">
        <x:v>EDIBLE</x:v>
      </x:c>
      <x:c r="AF102" s="79" t="str">
        <x:v>بله</x:v>
      </x:c>
      <x:c r="AG102" s="79" t="str">
        <x:v>خیر</x:v>
      </x:c>
      <x:c r="AH102" s="79" t="n">
        <x:v>1</x:v>
      </x:c>
      <x:c r="AI102" s="79" t="str">
        <x:v>کرم ارده</x:v>
      </x:c>
      <x:c r="AJ102" s="79" t="str">
        <x:v>خشکبار و آجیل</x:v>
      </x:c>
      <x:c r="AK102" s="79"/>
    </x:row>
    <x:row r="103">
      <x:c r="A103" s="79" t="s">
        <x:v>699</x:v>
      </x:c>
      <x:c r="B103" s="79" t="s">
        <x:v>414</x:v>
      </x:c>
      <x:c r="C103" s="79" t="s">
        <x:v>700</x:v>
      </x:c>
      <x:c r="D103" s="79" t="s">
        <x:v>665</x:v>
      </x:c>
      <x:c r="E103" s="79" t="s">
        <x:v>415</x:v>
      </x:c>
      <x:c r="F103" s="79" t="s">
        <x:v>682</x:v>
      </x:c>
      <x:c r="G103" s="79" t="n">
        <x:f>IF(RIGHT($A103,2)="-2",INDEX('قیمت ها'!$E:$E,$J103+2),INDEX('قیمت ها'!$B:$B,$J103+2))</x:f>
        <x:v>400</x:v>
      </x:c>
      <x:c r="H103" s="110">
        <x:f t="shared" si="2"/>
        <x:v>400000</x:v>
      </x:c>
      <x:c r="I103" s="79" t="str">
        <x:f t="shared" si="3"/>
        <x:v>فعال</x:v>
      </x:c>
      <x:c r="J103" s="79">
        <x:v>332</x:v>
      </x:c>
      <x:c r="K103" s="79" t="s">
        <x:v>699</x:v>
      </x:c>
      <x:c r="L103" s="79"/>
      <x:c r="M103" s="79"/>
      <x:c r="N103" s="79"/>
      <x:c r="O103" s="79"/>
      <x:c r="P103" s="79"/>
      <x:c r="Q103" s="79"/>
      <x:c r="R103" s="79"/>
      <x:c r="S103" s="79"/>
      <x:c r="T103" s="79"/>
      <x:c r="U103" s="79"/>
      <x:c r="V103" s="79"/>
      <x:c r="W103" s="79"/>
      <x:c r="X103" s="79"/>
      <x:c r="Y103" s="79"/>
      <x:c r="Z103" s="79"/>
      <x:c r="AA103" s="79" t="str">
        <x:f>IF(AND(LEN($N$2)&gt;=3,ISNUMBER(SEARCH($N$2,$B103))),MAX($AA$1:AA102)+1,"")</x:f>
      </x:c>
      <x:c r="AB103" s="79" t="str">
        <x:v>6a37810ddf5573f4e676e201</x:v>
      </x:c>
      <x:c r="AC103" s="79" t="str">
        <x:v>خشکبار و آجیل</x:v>
      </x:c>
      <x:c r="AD103" s="79" t="str">
        <x:v>dried-fruits-nuts</x:v>
      </x:c>
      <x:c r="AE103" s="79" t="str">
        <x:v>EDIBLE</x:v>
      </x:c>
      <x:c r="AF103" s="79" t="str">
        <x:v>بله</x:v>
      </x:c>
      <x:c r="AG103" s="79" t="str">
        <x:v>خیر</x:v>
      </x:c>
      <x:c r="AH103" s="79" t="n">
        <x:v>1</x:v>
      </x:c>
      <x:c r="AI103" s="79" t="str">
        <x:v>کرم بادام زمینی</x:v>
      </x:c>
      <x:c r="AJ103" s="79" t="str">
        <x:v>خشکبار و آجیل</x:v>
      </x:c>
      <x:c r="AK103" s="79"/>
    </x:row>
    <x:row r="104">
      <x:c r="A104" s="79" t="s">
        <x:v>701</x:v>
      </x:c>
      <x:c r="B104" s="79" t="s">
        <x:v>414</x:v>
      </x:c>
      <x:c r="C104" s="79" t="s">
        <x:v>702</x:v>
      </x:c>
      <x:c r="D104" s="79" t="s">
        <x:v>665</x:v>
      </x:c>
      <x:c r="E104" s="79" t="s">
        <x:v>16</x:v>
      </x:c>
      <x:c r="F104" s="79" t="s">
        <x:v>16</x:v>
      </x:c>
      <x:c r="G104" s="79" t="str">
        <x:f>IF(RIGHT($A104,2)="-2",INDEX('قیمت ها'!$E:$E,$J104+2),INDEX('قیمت ها'!$B:$B,$J104+2))</x:f>
        <x:v>2/250</x:v>
      </x:c>
      <x:c r="H104" s="110">
        <x:f t="shared" si="2"/>
        <x:v>2250000</x:v>
      </x:c>
      <x:c r="I104" s="79" t="str">
        <x:f t="shared" si="3"/>
        <x:v>فعال</x:v>
      </x:c>
      <x:c r="J104" s="79">
        <x:v>332</x:v>
      </x:c>
      <x:c r="K104" s="79" t="s">
        <x:v>701</x:v>
      </x:c>
      <x:c r="L104" s="79"/>
      <x:c r="M104" s="79"/>
      <x:c r="N104" s="79"/>
      <x:c r="O104" s="79"/>
      <x:c r="P104" s="79"/>
      <x:c r="Q104" s="79"/>
      <x:c r="R104" s="79"/>
      <x:c r="S104" s="79"/>
      <x:c r="T104" s="79"/>
      <x:c r="U104" s="79"/>
      <x:c r="V104" s="79"/>
      <x:c r="W104" s="79"/>
      <x:c r="X104" s="79"/>
      <x:c r="Y104" s="79"/>
      <x:c r="Z104" s="79"/>
      <x:c r="AA104" s="79" t="str">
        <x:f>IF(AND(LEN($N$2)&gt;=3,ISNUMBER(SEARCH($N$2,$B104))),MAX($AA$1:AA103)+1,"")</x:f>
      </x:c>
      <x:c r="AB104" s="79" t="str">
        <x:v>6a37810ddf5573f4e676e201</x:v>
      </x:c>
      <x:c r="AC104" s="79" t="str">
        <x:v>خشکبار و آجیل</x:v>
      </x:c>
      <x:c r="AD104" s="79" t="str">
        <x:v>dried-fruits-nuts</x:v>
      </x:c>
      <x:c r="AE104" s="79" t="str">
        <x:v>EDIBLE</x:v>
      </x:c>
      <x:c r="AF104" s="79" t="str">
        <x:v>بله</x:v>
      </x:c>
      <x:c r="AG104" s="79" t="str">
        <x:v>خیر</x:v>
      </x:c>
      <x:c r="AH104" s="79" t="n">
        <x:v>1</x:v>
      </x:c>
      <x:c r="AI104" s="79" t="str">
        <x:v>کرم بادام زمینی</x:v>
      </x:c>
      <x:c r="AJ104" s="79" t="str">
        <x:v>خشکبار و آجیل</x:v>
      </x:c>
      <x:c r="AK104" s="79"/>
    </x:row>
    <x:row r="105">
      <x:c r="A105" s="79" t="s">
        <x:v>703</x:v>
      </x:c>
      <x:c r="B105" s="79" t="s">
        <x:v>416</x:v>
      </x:c>
      <x:c r="C105" s="79" t="s">
        <x:v>704</x:v>
      </x:c>
      <x:c r="D105" s="79" t="s">
        <x:v>665</x:v>
      </x:c>
      <x:c r="E105" s="79" t="s">
        <x:v>16</x:v>
      </x:c>
      <x:c r="F105" s="79" t="s">
        <x:v>16</x:v>
      </x:c>
      <x:c r="G105" s="79" t="n">
        <x:f>IF(RIGHT($A105,2)="-2",INDEX('قیمت ها'!$E:$E,$J105+2),INDEX('قیمت ها'!$B:$B,$J105+2))</x:f>
        <x:v>690</x:v>
      </x:c>
      <x:c r="H105" s="110">
        <x:f t="shared" si="2"/>
        <x:v>690000</x:v>
      </x:c>
      <x:c r="I105" s="79" t="str">
        <x:f t="shared" si="3"/>
        <x:v>فعال</x:v>
      </x:c>
      <x:c r="J105" s="79">
        <x:v>333</x:v>
      </x:c>
      <x:c r="K105" s="79" t="s">
        <x:v>703</x:v>
      </x:c>
      <x:c r="L105" s="79"/>
      <x:c r="M105" s="79"/>
      <x:c r="N105" s="79"/>
      <x:c r="O105" s="79"/>
      <x:c r="P105" s="79"/>
      <x:c r="Q105" s="79"/>
      <x:c r="R105" s="79"/>
      <x:c r="S105" s="79"/>
      <x:c r="T105" s="79"/>
      <x:c r="U105" s="79"/>
      <x:c r="V105" s="79"/>
      <x:c r="W105" s="79"/>
      <x:c r="X105" s="79"/>
      <x:c r="Y105" s="79"/>
      <x:c r="Z105" s="79"/>
      <x:c r="AA105" s="79" t="str">
        <x:f>IF(AND(LEN($N$2)&gt;=3,ISNUMBER(SEARCH($N$2,$B105))),MAX($AA$1:AA104)+1,"")</x:f>
      </x:c>
      <x:c r="AB105" s="79" t="str">
        <x:v>6a37810ddf5573f4e676e201</x:v>
      </x:c>
      <x:c r="AC105" s="79" t="str">
        <x:v>خشکبار و آجیل</x:v>
      </x:c>
      <x:c r="AD105" s="79" t="str">
        <x:v>dried-fruits-nuts</x:v>
      </x:c>
      <x:c r="AE105" s="79" t="str">
        <x:v>EDIBLE</x:v>
      </x:c>
      <x:c r="AF105" s="79" t="str">
        <x:v>بله</x:v>
      </x:c>
      <x:c r="AG105" s="79" t="str">
        <x:v>خیر</x:v>
      </x:c>
      <x:c r="AH105" s="79" t="n">
        <x:v>1</x:v>
      </x:c>
      <x:c r="AI105" s="79" t="str">
        <x:v>کرم کنجد</x:v>
      </x:c>
      <x:c r="AJ105" s="79" t="str">
        <x:v>خشکبار و آجیل</x:v>
      </x:c>
      <x:c r="AK105" s="79"/>
    </x:row>
    <x:row r="106">
      <x:c r="A106" s="79" t="s">
        <x:v>705</x:v>
      </x:c>
      <x:c r="B106" s="79" t="s">
        <x:v>418</x:v>
      </x:c>
      <x:c r="C106" s="79" t="s">
        <x:v>706</x:v>
      </x:c>
      <x:c r="D106" s="79" t="s">
        <x:v>665</x:v>
      </x:c>
      <x:c r="E106" s="79" t="s">
        <x:v>16</x:v>
      </x:c>
      <x:c r="F106" s="79" t="s">
        <x:v>16</x:v>
      </x:c>
      <x:c r="G106" s="79" t="str">
        <x:f>IF(RIGHT($A106,2)="-2",INDEX('قیمت ها'!$E:$E,$J106+2),INDEX('قیمت ها'!$B:$B,$J106+2))</x:f>
        <x:v>؟</x:v>
      </x:c>
      <x:c r="H106" s="110" t="str">
        <x:f t="shared" si="2"/>
      </x:c>
      <x:c r="I106" s="79" t="str">
        <x:f t="shared" si="3"/>
        <x:v>نیاز به استعلام</x:v>
      </x:c>
      <x:c r="J106" s="79">
        <x:v>335</x:v>
      </x:c>
      <x:c r="K106" s="79" t="s">
        <x:v>705</x:v>
      </x:c>
      <x:c r="L106" s="79"/>
      <x:c r="M106" s="79"/>
      <x:c r="N106" s="79"/>
      <x:c r="O106" s="79"/>
      <x:c r="P106" s="79"/>
      <x:c r="Q106" s="79"/>
      <x:c r="R106" s="79"/>
      <x:c r="S106" s="79"/>
      <x:c r="T106" s="79"/>
      <x:c r="U106" s="79"/>
      <x:c r="V106" s="79"/>
      <x:c r="W106" s="79"/>
      <x:c r="X106" s="79"/>
      <x:c r="Y106" s="79"/>
      <x:c r="Z106" s="79"/>
      <x:c r="AA106" s="79" t="str">
        <x:f>IF(AND(LEN($N$2)&gt;=3,ISNUMBER(SEARCH($N$2,$B106))),MAX($AA$1:AA105)+1,"")</x:f>
      </x:c>
      <x:c r="AB106" s="79" t="str">
        <x:v>6a37810ddf5573f4e676e201</x:v>
      </x:c>
      <x:c r="AC106" s="79" t="str">
        <x:v>خشکبار و آجیل</x:v>
      </x:c>
      <x:c r="AD106" s="79" t="str">
        <x:v>dried-fruits-nuts</x:v>
      </x:c>
      <x:c r="AE106" s="79" t="str">
        <x:v>EDIBLE</x:v>
      </x:c>
      <x:c r="AF106" s="79" t="str">
        <x:v>بله</x:v>
      </x:c>
      <x:c r="AG106" s="79" t="str">
        <x:v>خیر</x:v>
      </x:c>
      <x:c r="AH106" s="79" t="n">
        <x:v>1</x:v>
      </x:c>
      <x:c r="AI106" s="79" t="str">
        <x:v>کره بادام زمینی</x:v>
      </x:c>
      <x:c r="AJ106" s="79" t="str">
        <x:v>خشکبار و آجیل</x:v>
      </x:c>
      <x:c r="AK106" s="79" t="str">
        <x:v>MERGED</x:v>
      </x:c>
    </x:row>
    <x:row r="107">
      <x:c r="A107" s="79" t="s">
        <x:v>707</x:v>
      </x:c>
      <x:c r="B107" s="79" t="s">
        <x:v>422</x:v>
      </x:c>
      <x:c r="C107" s="79" t="s">
        <x:v>708</x:v>
      </x:c>
      <x:c r="D107" s="79" t="s">
        <x:v>665</x:v>
      </x:c>
      <x:c r="E107" s="79" t="s">
        <x:v>421</x:v>
      </x:c>
      <x:c r="F107" s="79" t="s">
        <x:v>682</x:v>
      </x:c>
      <x:c r="G107" s="79" t="n">
        <x:f>IF(RIGHT($A107,2)="-2",INDEX('قیمت ها'!$E:$E,$J107+2),INDEX('قیمت ها'!$B:$B,$J107+2))</x:f>
        <x:v>500</x:v>
      </x:c>
      <x:c r="H107" s="110">
        <x:f t="shared" si="2"/>
        <x:v>500000</x:v>
      </x:c>
      <x:c r="I107" s="79" t="str">
        <x:f t="shared" si="3"/>
        <x:v>فعال</x:v>
      </x:c>
      <x:c r="J107" s="79">
        <x:v>338</x:v>
      </x:c>
      <x:c r="K107" s="79" t="s">
        <x:v>707</x:v>
      </x:c>
      <x:c r="L107" s="79"/>
      <x:c r="M107" s="79"/>
      <x:c r="N107" s="79"/>
      <x:c r="O107" s="79"/>
      <x:c r="P107" s="79"/>
      <x:c r="Q107" s="79"/>
      <x:c r="R107" s="79"/>
      <x:c r="S107" s="79"/>
      <x:c r="T107" s="79"/>
      <x:c r="U107" s="79"/>
      <x:c r="V107" s="79"/>
      <x:c r="W107" s="79"/>
      <x:c r="X107" s="79"/>
      <x:c r="Y107" s="79"/>
      <x:c r="Z107" s="79"/>
      <x:c r="AA107" s="79" t="str">
        <x:f>IF(AND(LEN($N$2)&gt;=3,ISNUMBER(SEARCH($N$2,$B107))),MAX($AA$1:AA106)+1,"")</x:f>
      </x:c>
      <x:c r="AB107" s="79" t="str">
        <x:v>6a37810ddf5573f4e676e201</x:v>
      </x:c>
      <x:c r="AC107" s="79" t="str">
        <x:v>خشکبار و آجیل</x:v>
      </x:c>
      <x:c r="AD107" s="79" t="str">
        <x:v>dried-fruits-nuts</x:v>
      </x:c>
      <x:c r="AE107" s="79" t="str">
        <x:v>EDIBLE</x:v>
      </x:c>
      <x:c r="AF107" s="79" t="str">
        <x:v>بله</x:v>
      </x:c>
      <x:c r="AG107" s="79" t="str">
        <x:v>بله</x:v>
      </x:c>
      <x:c r="AH107" s="79" t="n">
        <x:v>2</x:v>
      </x:c>
      <x:c r="AI107" s="79" t="str">
        <x:v>کره پسته</x:v>
      </x:c>
      <x:c r="AJ107" s="79" t="str">
        <x:v>خشکبار و آجیل</x:v>
      </x:c>
      <x:c r="AK107" s="79"/>
    </x:row>
    <x:row r="108">
      <x:c r="A108" s="79" t="s">
        <x:v>709</x:v>
      </x:c>
      <x:c r="B108" s="79" t="s">
        <x:v>419</x:v>
      </x:c>
      <x:c r="C108" s="79" t="s">
        <x:v>710</x:v>
      </x:c>
      <x:c r="D108" s="79" t="s">
        <x:v>665</x:v>
      </x:c>
      <x:c r="E108" s="79" t="s">
        <x:v>415</x:v>
      </x:c>
      <x:c r="F108" s="79" t="s">
        <x:v>682</x:v>
      </x:c>
      <x:c r="G108" s="79" t="n">
        <x:f>IF(RIGHT($A108,2)="-2",INDEX('قیمت ها'!$E:$E,$J108+2),INDEX('قیمت ها'!$B:$B,$J108+2))</x:f>
        <x:v>810</x:v>
      </x:c>
      <x:c r="H108" s="110">
        <x:f t="shared" si="2"/>
        <x:v>810000</x:v>
      </x:c>
      <x:c r="I108" s="79" t="str">
        <x:f t="shared" si="3"/>
        <x:v>فعال</x:v>
      </x:c>
      <x:c r="J108" s="79">
        <x:v>336</x:v>
      </x:c>
      <x:c r="K108" s="79" t="s">
        <x:v>709</x:v>
      </x:c>
      <x:c r="L108" s="79"/>
      <x:c r="M108" s="79"/>
      <x:c r="N108" s="79"/>
      <x:c r="O108" s="79"/>
      <x:c r="P108" s="79"/>
      <x:c r="Q108" s="79"/>
      <x:c r="R108" s="79"/>
      <x:c r="S108" s="79"/>
      <x:c r="T108" s="79"/>
      <x:c r="U108" s="79"/>
      <x:c r="V108" s="79"/>
      <x:c r="W108" s="79"/>
      <x:c r="X108" s="79"/>
      <x:c r="Y108" s="79"/>
      <x:c r="Z108" s="79"/>
      <x:c r="AA108" s="79" t="str">
        <x:f>IF(AND(LEN($N$2)&gt;=3,ISNUMBER(SEARCH($N$2,$B108))),MAX($AA$1:AA107)+1,"")</x:f>
      </x:c>
      <x:c r="AB108" s="79" t="str">
        <x:v>6a37810ddf5573f4e676e201</x:v>
      </x:c>
      <x:c r="AC108" s="79" t="str">
        <x:v>خشکبار و آجیل</x:v>
      </x:c>
      <x:c r="AD108" s="79" t="str">
        <x:v>dried-fruits-nuts</x:v>
      </x:c>
      <x:c r="AE108" s="79" t="str">
        <x:v>EDIBLE</x:v>
      </x:c>
      <x:c r="AF108" s="79" t="str">
        <x:v>بله</x:v>
      </x:c>
      <x:c r="AG108" s="79" t="str">
        <x:v>خیر</x:v>
      </x:c>
      <x:c r="AH108" s="79" t="n">
        <x:v>1</x:v>
      </x:c>
      <x:c r="AI108" s="79" t="str">
        <x:v>کره بادام زمینی</x:v>
      </x:c>
      <x:c r="AJ108" s="79" t="str">
        <x:v>خشکبار و آجیل</x:v>
      </x:c>
      <x:c r="AK108" s="79" t="str">
        <x:v>MERGED</x:v>
      </x:c>
    </x:row>
    <x:row r="109">
      <x:c r="A109" s="79" t="s">
        <x:v>711</x:v>
      </x:c>
      <x:c r="B109" s="79" t="s">
        <x:v>419</x:v>
      </x:c>
      <x:c r="C109" s="79" t="s">
        <x:v>712</x:v>
      </x:c>
      <x:c r="D109" s="79" t="s">
        <x:v>665</x:v>
      </x:c>
      <x:c r="E109" s="79" t="s">
        <x:v>16</x:v>
      </x:c>
      <x:c r="F109" s="79" t="s">
        <x:v>16</x:v>
      </x:c>
      <x:c r="G109" s="79" t="n">
        <x:f>IF(RIGHT($A109,2)="-2",INDEX('قیمت ها'!$E:$E,$J109+2),INDEX('قیمت ها'!$B:$B,$J109+2))</x:f>
        <x:v>4500</x:v>
      </x:c>
      <x:c r="H109" s="110">
        <x:f t="shared" si="2"/>
        <x:v>4500000</x:v>
      </x:c>
      <x:c r="I109" s="79" t="str">
        <x:f t="shared" si="3"/>
        <x:v>فعال</x:v>
      </x:c>
      <x:c r="J109" s="79">
        <x:v>336</x:v>
      </x:c>
      <x:c r="K109" s="79" t="s">
        <x:v>711</x:v>
      </x:c>
      <x:c r="L109" s="79"/>
      <x:c r="M109" s="79"/>
      <x:c r="N109" s="79"/>
      <x:c r="O109" s="79"/>
      <x:c r="P109" s="79"/>
      <x:c r="Q109" s="79"/>
      <x:c r="R109" s="79"/>
      <x:c r="S109" s="79"/>
      <x:c r="T109" s="79"/>
      <x:c r="U109" s="79"/>
      <x:c r="V109" s="79"/>
      <x:c r="W109" s="79"/>
      <x:c r="X109" s="79"/>
      <x:c r="Y109" s="79"/>
      <x:c r="Z109" s="79"/>
      <x:c r="AA109" s="79" t="str">
        <x:f>IF(AND(LEN($N$2)&gt;=3,ISNUMBER(SEARCH($N$2,$B109))),MAX($AA$1:AA108)+1,"")</x:f>
      </x:c>
      <x:c r="AB109" s="79" t="str">
        <x:v>6a37810ddf5573f4e676e201</x:v>
      </x:c>
      <x:c r="AC109" s="79" t="str">
        <x:v>خشکبار و آجیل</x:v>
      </x:c>
      <x:c r="AD109" s="79" t="str">
        <x:v>dried-fruits-nuts</x:v>
      </x:c>
      <x:c r="AE109" s="79" t="str">
        <x:v>EDIBLE</x:v>
      </x:c>
      <x:c r="AF109" s="79" t="str">
        <x:v>بله</x:v>
      </x:c>
      <x:c r="AG109" s="79" t="str">
        <x:v>خیر</x:v>
      </x:c>
      <x:c r="AH109" s="79" t="n">
        <x:v>1</x:v>
      </x:c>
      <x:c r="AI109" s="79" t="str">
        <x:v>کره بادام زمینی</x:v>
      </x:c>
      <x:c r="AJ109" s="79" t="str">
        <x:v>خشکبار و آجیل</x:v>
      </x:c>
      <x:c r="AK109" s="79" t="str">
        <x:v>MERGED</x:v>
      </x:c>
    </x:row>
    <x:row r="110">
      <x:c r="A110" s="79" t="s">
        <x:v>713</x:v>
      </x:c>
      <x:c r="B110" s="79" t="s">
        <x:v>426</x:v>
      </x:c>
      <x:c r="C110" s="79" t="s">
        <x:v>714</x:v>
      </x:c>
      <x:c r="D110" s="79" t="s">
        <x:v>665</x:v>
      </x:c>
      <x:c r="E110" s="79" t="s">
        <x:v>16</x:v>
      </x:c>
      <x:c r="F110" s="79" t="s">
        <x:v>16</x:v>
      </x:c>
      <x:c r="G110" s="79" t="n">
        <x:f>IF(RIGHT($A110,2)="-2",INDEX('قیمت ها'!$E:$E,$J110+2),INDEX('قیمت ها'!$B:$B,$J110+2))</x:f>
        <x:v>800</x:v>
      </x:c>
      <x:c r="H110" s="110">
        <x:f t="shared" si="2"/>
        <x:v>800000</x:v>
      </x:c>
      <x:c r="I110" s="79" t="str">
        <x:f t="shared" si="3"/>
        <x:v>فعال</x:v>
      </x:c>
      <x:c r="J110" s="79">
        <x:v>341</x:v>
      </x:c>
      <x:c r="K110" s="79" t="s">
        <x:v>713</x:v>
      </x:c>
      <x:c r="L110" s="79"/>
      <x:c r="M110" s="79"/>
      <x:c r="N110" s="79"/>
      <x:c r="O110" s="79"/>
      <x:c r="P110" s="79"/>
      <x:c r="Q110" s="79"/>
      <x:c r="R110" s="79"/>
      <x:c r="S110" s="79"/>
      <x:c r="T110" s="79"/>
      <x:c r="U110" s="79"/>
      <x:c r="V110" s="79"/>
      <x:c r="W110" s="79"/>
      <x:c r="X110" s="79"/>
      <x:c r="Y110" s="79"/>
      <x:c r="Z110" s="79"/>
      <x:c r="AA110" s="79" t="str">
        <x:f>IF(AND(LEN($N$2)&gt;=3,ISNUMBER(SEARCH($N$2,$B110))),MAX($AA$1:AA109)+1,"")</x:f>
      </x:c>
      <x:c r="AB110" s="79" t="str">
        <x:v>6a37810ddf5573f4e676e201</x:v>
      </x:c>
      <x:c r="AC110" s="79" t="str">
        <x:v>خشکبار و آجیل</x:v>
      </x:c>
      <x:c r="AD110" s="79" t="str">
        <x:v>dried-fruits-nuts</x:v>
      </x:c>
      <x:c r="AE110" s="79" t="str">
        <x:v>EDIBLE</x:v>
      </x:c>
      <x:c r="AF110" s="79" t="str">
        <x:v>بله</x:v>
      </x:c>
      <x:c r="AG110" s="79" t="str">
        <x:v>خیر</x:v>
      </x:c>
      <x:c r="AH110" s="79" t="n">
        <x:v>1</x:v>
      </x:c>
      <x:c r="AI110" s="79" t="str">
        <x:v>کره کدو</x:v>
      </x:c>
      <x:c r="AJ110" s="79" t="str">
        <x:v>خشکبار و آجیل</x:v>
      </x:c>
      <x:c r="AK110" s="79" t="str">
        <x:v>MISSING_PRICE_REVIEW</x:v>
      </x:c>
    </x:row>
    <x:row r="111">
      <x:c r="A111" s="79" t="s">
        <x:v>715</x:v>
      </x:c>
      <x:c r="B111" s="79" t="s">
        <x:v>427</x:v>
      </x:c>
      <x:c r="C111" s="79" t="s">
        <x:v>716</x:v>
      </x:c>
      <x:c r="D111" s="79" t="s">
        <x:v>665</x:v>
      </x:c>
      <x:c r="E111" s="79" t="s">
        <x:v>16</x:v>
      </x:c>
      <x:c r="F111" s="79" t="s">
        <x:v>16</x:v>
      </x:c>
      <x:c r="G111" s="79" t="n">
        <x:f>IF(RIGHT($A111,2)="-2",INDEX('قیمت ها'!$E:$E,$J111+2),INDEX('قیمت ها'!$B:$B,$J111+2))</x:f>
        <x:v>700</x:v>
      </x:c>
      <x:c r="H111" s="110">
        <x:f t="shared" si="2"/>
        <x:v>700000</x:v>
      </x:c>
      <x:c r="I111" s="79" t="str">
        <x:f t="shared" si="3"/>
        <x:v>فعال</x:v>
      </x:c>
      <x:c r="J111" s="79">
        <x:v>342</x:v>
      </x:c>
      <x:c r="K111" s="79" t="s">
        <x:v>715</x:v>
      </x:c>
      <x:c r="L111" s="79"/>
      <x:c r="M111" s="79"/>
      <x:c r="N111" s="79"/>
      <x:c r="O111" s="79"/>
      <x:c r="P111" s="79"/>
      <x:c r="Q111" s="79"/>
      <x:c r="R111" s="79"/>
      <x:c r="S111" s="79"/>
      <x:c r="T111" s="79"/>
      <x:c r="U111" s="79"/>
      <x:c r="V111" s="79"/>
      <x:c r="W111" s="79"/>
      <x:c r="X111" s="79"/>
      <x:c r="Y111" s="79"/>
      <x:c r="Z111" s="79"/>
      <x:c r="AA111" s="79" t="str">
        <x:f>IF(AND(LEN($N$2)&gt;=3,ISNUMBER(SEARCH($N$2,$B111))),MAX($AA$1:AA110)+1,"")</x:f>
      </x:c>
      <x:c r="AB111" s="79" t="str">
        <x:v>6a37810ddf5573f4e676e201</x:v>
      </x:c>
      <x:c r="AC111" s="79" t="str">
        <x:v>خشکبار و آجیل</x:v>
      </x:c>
      <x:c r="AD111" s="79" t="str">
        <x:v>dried-fruits-nuts</x:v>
      </x:c>
      <x:c r="AE111" s="79" t="str">
        <x:v>EDIBLE</x:v>
      </x:c>
      <x:c r="AF111" s="79" t="str">
        <x:v>بله</x:v>
      </x:c>
      <x:c r="AG111" s="79" t="str">
        <x:v>بله</x:v>
      </x:c>
      <x:c r="AH111" s="79" t="n">
        <x:v>2</x:v>
      </x:c>
      <x:c r="AI111" s="79" t="str">
        <x:v>کره نارگیل</x:v>
      </x:c>
      <x:c r="AJ111" s="79" t="str">
        <x:v>خشکبار و آجیل</x:v>
      </x:c>
      <x:c r="AK111" s="79" t="str">
        <x:v>دسته از «نیاز به بررسی» به «خشکبار و آجیل» اصلاح شد</x:v>
      </x:c>
    </x:row>
    <x:row r="112">
      <x:c r="A112" s="79" t="s">
        <x:v>717</x:v>
      </x:c>
      <x:c r="B112" s="79" t="s">
        <x:v>432</x:v>
      </x:c>
      <x:c r="C112" s="79" t="s">
        <x:v>718</x:v>
      </x:c>
      <x:c r="D112" s="79" t="s">
        <x:v>665</x:v>
      </x:c>
      <x:c r="E112" s="79" t="s">
        <x:v>16</x:v>
      </x:c>
      <x:c r="F112" s="79" t="s">
        <x:v>16</x:v>
      </x:c>
      <x:c r="G112" s="79" t="str">
        <x:f>IF(RIGHT($A112,2)="-2",INDEX('قیمت ها'!$E:$E,$J112+2),INDEX('قیمت ها'!$B:$B,$J112+2))</x:f>
        <x:v>؟</x:v>
      </x:c>
      <x:c r="H112" s="110" t="str">
        <x:f t="shared" si="2"/>
      </x:c>
      <x:c r="I112" s="79" t="str">
        <x:f t="shared" si="3"/>
        <x:v>نیاز به استعلام</x:v>
      </x:c>
      <x:c r="J112" s="79">
        <x:v>346</x:v>
      </x:c>
      <x:c r="K112" s="79" t="s">
        <x:v>717</x:v>
      </x:c>
      <x:c r="L112" s="79"/>
      <x:c r="M112" s="79"/>
      <x:c r="N112" s="79"/>
      <x:c r="O112" s="79"/>
      <x:c r="P112" s="79"/>
      <x:c r="Q112" s="79"/>
      <x:c r="R112" s="79"/>
      <x:c r="S112" s="79"/>
      <x:c r="T112" s="79"/>
      <x:c r="U112" s="79"/>
      <x:c r="V112" s="79"/>
      <x:c r="W112" s="79"/>
      <x:c r="X112" s="79"/>
      <x:c r="Y112" s="79"/>
      <x:c r="Z112" s="79"/>
      <x:c r="AA112" s="79" t="str">
        <x:f>IF(AND(LEN($N$2)&gt;=3,ISNUMBER(SEARCH($N$2,$B112))),MAX($AA$1:AA111)+1,"")</x:f>
      </x:c>
      <x:c r="AB112" s="79" t="str">
        <x:v>6a3a00000000000000000003</x:v>
      </x:c>
      <x:c r="AC112" s="79" t="str">
        <x:v>قنادی و شیرینی</x:v>
      </x:c>
      <x:c r="AD112" s="79" t="str">
        <x:v>confectionery</x:v>
      </x:c>
      <x:c r="AE112" s="79" t="str">
        <x:v>EDIBLE</x:v>
      </x:c>
      <x:c r="AF112" s="79" t="str">
        <x:v>بله</x:v>
      </x:c>
      <x:c r="AG112" s="79" t="str">
        <x:v>خیر</x:v>
      </x:c>
      <x:c r="AH112" s="79" t="n">
        <x:v>1</x:v>
      </x:c>
      <x:c r="AI112" s="79" t="str">
        <x:v>کلوچه زنجبیلی با مغز خرما</x:v>
      </x:c>
      <x:c r="AJ112" s="79" t="str">
        <x:v>خشکبار و آجیل</x:v>
      </x:c>
      <x:c r="AK112" s="79"/>
    </x:row>
    <x:row r="113">
      <x:c r="A113" s="79" t="s">
        <x:v>719</x:v>
      </x:c>
      <x:c r="B113" s="79" t="s">
        <x:v>433</x:v>
      </x:c>
      <x:c r="C113" s="79" t="s">
        <x:v>720</x:v>
      </x:c>
      <x:c r="D113" s="79" t="s">
        <x:v>665</x:v>
      </x:c>
      <x:c r="E113" s="79" t="s">
        <x:v>16</x:v>
      </x:c>
      <x:c r="F113" s="79" t="s">
        <x:v>16</x:v>
      </x:c>
      <x:c r="G113" s="79" t="str">
        <x:f>IF(RIGHT($A113,2)="-2",INDEX('قیمت ها'!$E:$E,$J113+2),INDEX('قیمت ها'!$B:$B,$J113+2))</x:f>
        <x:v>؟</x:v>
      </x:c>
      <x:c r="H113" s="110" t="str">
        <x:f t="shared" si="2"/>
      </x:c>
      <x:c r="I113" s="79" t="str">
        <x:f t="shared" si="3"/>
        <x:v>نیاز به استعلام</x:v>
      </x:c>
      <x:c r="J113" s="79">
        <x:v>347</x:v>
      </x:c>
      <x:c r="K113" s="79" t="s">
        <x:v>719</x:v>
      </x:c>
      <x:c r="L113" s="79"/>
      <x:c r="M113" s="79"/>
      <x:c r="N113" s="79"/>
      <x:c r="O113" s="79"/>
      <x:c r="P113" s="79"/>
      <x:c r="Q113" s="79"/>
      <x:c r="R113" s="79"/>
      <x:c r="S113" s="79"/>
      <x:c r="T113" s="79"/>
      <x:c r="U113" s="79"/>
      <x:c r="V113" s="79"/>
      <x:c r="W113" s="79"/>
      <x:c r="X113" s="79"/>
      <x:c r="Y113" s="79"/>
      <x:c r="Z113" s="79"/>
      <x:c r="AA113" s="79" t="str">
        <x:f>IF(AND(LEN($N$2)&gt;=3,ISNUMBER(SEARCH($N$2,$B113))),MAX($AA$1:AA112)+1,"")</x:f>
      </x:c>
      <x:c r="AB113" s="79" t="str">
        <x:v>6a3a00000000000000000003</x:v>
      </x:c>
      <x:c r="AC113" s="79" t="str">
        <x:v>قنادی و شیرینی</x:v>
      </x:c>
      <x:c r="AD113" s="79" t="str">
        <x:v>confectionery</x:v>
      </x:c>
      <x:c r="AE113" s="79" t="str">
        <x:v>EDIBLE</x:v>
      </x:c>
      <x:c r="AF113" s="79" t="str">
        <x:v>بله</x:v>
      </x:c>
      <x:c r="AG113" s="79" t="str">
        <x:v>خیر</x:v>
      </x:c>
      <x:c r="AH113" s="79" t="n">
        <x:v>1</x:v>
      </x:c>
      <x:c r="AI113" s="79" t="str">
        <x:v>کلوچه کلمپه</x:v>
      </x:c>
      <x:c r="AJ113" s="79" t="str">
        <x:v>خشکبار و آجیل</x:v>
      </x:c>
      <x:c r="AK113" s="79" t="str">
        <x:v>دسته از «نیاز به بررسی» به «قنادی و شیرینی» اصلاح شد</x:v>
      </x:c>
    </x:row>
    <x:row r="114">
      <x:c r="A114" s="79" t="s">
        <x:v>721</x:v>
      </x:c>
      <x:c r="B114" s="79" t="s">
        <x:v>434</x:v>
      </x:c>
      <x:c r="C114" s="79" t="s">
        <x:v>722</x:v>
      </x:c>
      <x:c r="D114" s="79" t="s">
        <x:v>665</x:v>
      </x:c>
      <x:c r="E114" s="79" t="s">
        <x:v>16</x:v>
      </x:c>
      <x:c r="F114" s="79" t="s">
        <x:v>16</x:v>
      </x:c>
      <x:c r="G114" s="79" t="n">
        <x:f>IF(RIGHT($A114,2)="-2",INDEX('قیمت ها'!$E:$E,$J114+2),INDEX('قیمت ها'!$B:$B,$J114+2))</x:f>
        <x:v>700</x:v>
      </x:c>
      <x:c r="H114" s="110">
        <x:f t="shared" si="2"/>
        <x:v>700000</x:v>
      </x:c>
      <x:c r="I114" s="79" t="str">
        <x:f t="shared" si="3"/>
        <x:v>فعال</x:v>
      </x:c>
      <x:c r="J114" s="79">
        <x:v>348</x:v>
      </x:c>
      <x:c r="K114" s="79" t="s">
        <x:v>721</x:v>
      </x:c>
      <x:c r="L114" s="79"/>
      <x:c r="M114" s="79"/>
      <x:c r="N114" s="79"/>
      <x:c r="O114" s="79"/>
      <x:c r="P114" s="79"/>
      <x:c r="Q114" s="79"/>
      <x:c r="R114" s="79"/>
      <x:c r="S114" s="79"/>
      <x:c r="T114" s="79"/>
      <x:c r="U114" s="79"/>
      <x:c r="V114" s="79"/>
      <x:c r="W114" s="79"/>
      <x:c r="X114" s="79"/>
      <x:c r="Y114" s="79"/>
      <x:c r="Z114" s="79"/>
      <x:c r="AA114" s="79" t="str">
        <x:f>IF(AND(LEN($N$2)&gt;=3,ISNUMBER(SEARCH($N$2,$B114))),MAX($AA$1:AA113)+1,"")</x:f>
      </x:c>
      <x:c r="AB114" s="79" t="str">
        <x:v>6a37810ddf5573f4e676e201</x:v>
      </x:c>
      <x:c r="AC114" s="79" t="str">
        <x:v>خشکبار و آجیل</x:v>
      </x:c>
      <x:c r="AD114" s="79" t="str">
        <x:v>dried-fruits-nuts</x:v>
      </x:c>
      <x:c r="AE114" s="79" t="str">
        <x:v>EDIBLE</x:v>
      </x:c>
      <x:c r="AF114" s="79" t="str">
        <x:v>بله</x:v>
      </x:c>
      <x:c r="AG114" s="79" t="str">
        <x:v>خیر</x:v>
      </x:c>
      <x:c r="AH114" s="79" t="n">
        <x:v>1</x:v>
      </x:c>
      <x:c r="AI114" s="79" t="str">
        <x:v>کنجد</x:v>
      </x:c>
      <x:c r="AJ114" s="79" t="str">
        <x:v>خشکبار و آجیل</x:v>
      </x:c>
      <x:c r="AK114" s="79" t="str">
        <x:v>MERGED + MISSING_PRICE_REVIEW</x:v>
      </x:c>
    </x:row>
    <x:row r="115">
      <x:c r="A115" s="79" t="s">
        <x:v>723</x:v>
      </x:c>
      <x:c r="B115" s="79" t="s">
        <x:v>435</x:v>
      </x:c>
      <x:c r="C115" s="79" t="s">
        <x:v>724</x:v>
      </x:c>
      <x:c r="D115" s="79" t="s">
        <x:v>665</x:v>
      </x:c>
      <x:c r="E115" s="79" t="s">
        <x:v>16</x:v>
      </x:c>
      <x:c r="F115" s="79" t="s">
        <x:v>16</x:v>
      </x:c>
      <x:c r="G115" s="79" t="n">
        <x:f>IF(RIGHT($A115,2)="-2",INDEX('قیمت ها'!$E:$E,$J115+2),INDEX('قیمت ها'!$B:$B,$J115+2))</x:f>
        <x:v>600</x:v>
      </x:c>
      <x:c r="H115" s="110">
        <x:f t="shared" si="2"/>
        <x:v>600000</x:v>
      </x:c>
      <x:c r="I115" s="79" t="str">
        <x:f t="shared" si="3"/>
        <x:v>فعال</x:v>
      </x:c>
      <x:c r="J115" s="79">
        <x:v>349</x:v>
      </x:c>
      <x:c r="K115" s="79" t="s">
        <x:v>723</x:v>
      </x:c>
      <x:c r="L115" s="79"/>
      <x:c r="M115" s="79"/>
      <x:c r="N115" s="79"/>
      <x:c r="O115" s="79"/>
      <x:c r="P115" s="79"/>
      <x:c r="Q115" s="79"/>
      <x:c r="R115" s="79"/>
      <x:c r="S115" s="79"/>
      <x:c r="T115" s="79"/>
      <x:c r="U115" s="79"/>
      <x:c r="V115" s="79"/>
      <x:c r="W115" s="79"/>
      <x:c r="X115" s="79"/>
      <x:c r="Y115" s="79"/>
      <x:c r="Z115" s="79"/>
      <x:c r="AA115" s="79" t="str">
        <x:f>IF(AND(LEN($N$2)&gt;=3,ISNUMBER(SEARCH($N$2,$B115))),MAX($AA$1:AA114)+1,"")</x:f>
      </x:c>
      <x:c r="AB115" s="79" t="str">
        <x:v>6a37810ddf5573f4e676e201</x:v>
      </x:c>
      <x:c r="AC115" s="79" t="str">
        <x:v>خشکبار و آجیل</x:v>
      </x:c>
      <x:c r="AD115" s="79" t="str">
        <x:v>dried-fruits-nuts</x:v>
      </x:c>
      <x:c r="AE115" s="79" t="str">
        <x:v>EDIBLE</x:v>
      </x:c>
      <x:c r="AF115" s="79" t="str">
        <x:v>بله</x:v>
      </x:c>
      <x:c r="AG115" s="79" t="str">
        <x:v>خیر</x:v>
      </x:c>
      <x:c r="AH115" s="79" t="n">
        <x:v>1</x:v>
      </x:c>
      <x:c r="AI115" s="79" t="str">
        <x:v>کنجد</x:v>
      </x:c>
      <x:c r="AJ115" s="79" t="str">
        <x:v>خشکبار و آجیل</x:v>
      </x:c>
      <x:c r="AK115" s="79" t="str">
        <x:v>MERGED + MISSING_PRICE_REVIEW</x:v>
      </x:c>
    </x:row>
    <x:row r="116">
      <x:c r="A116" s="79" t="s">
        <x:v>725</x:v>
      </x:c>
      <x:c r="B116" s="79" t="s">
        <x:v>150</x:v>
      </x:c>
      <x:c r="C116" s="79" t="s">
        <x:v>726</x:v>
      </x:c>
      <x:c r="D116" s="79" t="s">
        <x:v>727</x:v>
      </x:c>
      <x:c r="E116" s="79" t="s">
        <x:v>16</x:v>
      </x:c>
      <x:c r="F116" s="79" t="s">
        <x:v>16</x:v>
      </x:c>
      <x:c r="G116" s="79" t="n">
        <x:f>IF(RIGHT($A116,2)="-2",INDEX('قیمت ها'!$E:$E,$J116+2),INDEX('قیمت ها'!$B:$B,$J116+2))</x:f>
        <x:v>350</x:v>
      </x:c>
      <x:c r="H116" s="110">
        <x:f t="shared" si="2"/>
        <x:v>350000</x:v>
      </x:c>
      <x:c r="I116" s="79" t="str">
        <x:f t="shared" si="3"/>
        <x:v>فعال</x:v>
      </x:c>
      <x:c r="J116" s="79">
        <x:v>104</x:v>
      </x:c>
      <x:c r="K116" s="79" t="s">
        <x:v>725</x:v>
      </x:c>
      <x:c r="L116" s="79"/>
      <x:c r="M116" s="79"/>
      <x:c r="N116" s="79"/>
      <x:c r="O116" s="79"/>
      <x:c r="P116" s="79"/>
      <x:c r="Q116" s="79"/>
      <x:c r="R116" s="79"/>
      <x:c r="S116" s="79"/>
      <x:c r="T116" s="79"/>
      <x:c r="U116" s="79"/>
      <x:c r="V116" s="79"/>
      <x:c r="W116" s="79"/>
      <x:c r="X116" s="79"/>
      <x:c r="Y116" s="79"/>
      <x:c r="Z116" s="79"/>
      <x:c r="AA116" s="79" t="str">
        <x:f>IF(AND(LEN($N$2)&gt;=3,ISNUMBER(SEARCH($N$2,$B116))),MAX($AA$1:AA115)+1,"")</x:f>
      </x:c>
      <x:c r="AB116" s="79" t="str">
        <x:v>6a3a00000000000000000003</x:v>
      </x:c>
      <x:c r="AC116" s="79" t="str">
        <x:v>قنادی و شیرینی</x:v>
      </x:c>
      <x:c r="AD116" s="79" t="str">
        <x:v>confectionery</x:v>
      </x:c>
      <x:c r="AE116" s="79" t="str">
        <x:v>EDIBLE</x:v>
      </x:c>
      <x:c r="AF116" s="79" t="str">
        <x:v>بله</x:v>
      </x:c>
      <x:c r="AG116" s="79" t="str">
        <x:v>خیر</x:v>
      </x:c>
      <x:c r="AH116" s="79" t="n">
        <x:v>1</x:v>
      </x:c>
      <x:c r="AI116" s="79" t="str">
        <x:v>حلوا ارده</x:v>
      </x:c>
      <x:c r="AJ116" s="79" t="str">
        <x:v>روغن</x:v>
      </x:c>
      <x:c r="AK116" s="79" t="str">
        <x:v>MERGED</x:v>
      </x:c>
    </x:row>
    <x:row r="117">
      <x:c r="A117" s="79" t="s">
        <x:v>728</x:v>
      </x:c>
      <x:c r="B117" s="79" t="s">
        <x:v>177</x:v>
      </x:c>
      <x:c r="C117" s="79" t="s">
        <x:v>729</x:v>
      </x:c>
      <x:c r="D117" s="79" t="s">
        <x:v>727</x:v>
      </x:c>
      <x:c r="E117" s="79" t="s">
        <x:v>172</x:v>
      </x:c>
      <x:c r="F117" s="79" t="s">
        <x:v>730</x:v>
      </x:c>
      <x:c r="G117" s="79" t="n">
        <x:f>IF(RIGHT($A117,2)="-2",INDEX('قیمت ها'!$E:$E,$J117+2),INDEX('قیمت ها'!$B:$B,$J117+2))</x:f>
        <x:v>250</x:v>
      </x:c>
      <x:c r="H117" s="110">
        <x:f t="shared" si="2"/>
        <x:v>250000</x:v>
      </x:c>
      <x:c r="I117" s="79" t="str">
        <x:f t="shared" si="3"/>
        <x:v>فعال</x:v>
      </x:c>
      <x:c r="J117" s="79">
        <x:v>126</x:v>
      </x:c>
      <x:c r="K117" s="79" t="s">
        <x:v>728</x:v>
      </x:c>
      <x:c r="L117" s="79"/>
      <x:c r="M117" s="79"/>
      <x:c r="N117" s="79"/>
      <x:c r="O117" s="79"/>
      <x:c r="P117" s="79"/>
      <x:c r="Q117" s="79"/>
      <x:c r="R117" s="79"/>
      <x:c r="S117" s="79"/>
      <x:c r="T117" s="79"/>
      <x:c r="U117" s="79"/>
      <x:c r="V117" s="79"/>
      <x:c r="W117" s="79"/>
      <x:c r="X117" s="79"/>
      <x:c r="Y117" s="79"/>
      <x:c r="Z117" s="79"/>
      <x:c r="AA117" s="79" t="str">
        <x:f>IF(AND(LEN($N$2)&gt;=3,ISNUMBER(SEARCH($N$2,$B117))),MAX($AA$1:AA116)+1,"")</x:f>
      </x:c>
      <x:c r="AB117" s="79" t="str">
        <x:v>6a2d446d45c164ce6f28ae30</x:v>
      </x:c>
      <x:c r="AC117" s="79" t="str">
        <x:v>روغن</x:v>
      </x:c>
      <x:c r="AD117" s="79" t="str">
        <x:v>oil</x:v>
      </x:c>
      <x:c r="AE117" s="79" t="str">
        <x:v>EDIBLE</x:v>
      </x:c>
      <x:c r="AF117" s="79" t="str">
        <x:v>بله</x:v>
      </x:c>
      <x:c r="AG117" s="79" t="str">
        <x:v>بله</x:v>
      </x:c>
      <x:c r="AH117" s="79" t="n">
        <x:v>2</x:v>
      </x:c>
      <x:c r="AI117" s="79" t="str">
        <x:v>روغن الاغ</x:v>
      </x:c>
      <x:c r="AJ117" s="79" t="str">
        <x:v>روغن</x:v>
      </x:c>
      <x:c r="AK117" s="79"/>
    </x:row>
    <x:row r="118">
      <x:c r="A118" s="79" t="s">
        <x:v>731</x:v>
      </x:c>
      <x:c r="B118" s="79" t="s">
        <x:v>177</x:v>
      </x:c>
      <x:c r="C118" s="79" t="s">
        <x:v>732</x:v>
      </x:c>
      <x:c r="D118" s="79" t="s">
        <x:v>727</x:v>
      </x:c>
      <x:c r="E118" s="79" t="s">
        <x:v>173</x:v>
      </x:c>
      <x:c r="F118" s="79" t="s">
        <x:v>730</x:v>
      </x:c>
      <x:c r="G118" s="79" t="n">
        <x:f>IF(RIGHT($A118,2)="-2",INDEX('قیمت ها'!$E:$E,$J118+2),INDEX('قیمت ها'!$B:$B,$J118+2))</x:f>
        <x:v>495</x:v>
      </x:c>
      <x:c r="H118" s="110">
        <x:f t="shared" si="2"/>
        <x:v>495000</x:v>
      </x:c>
      <x:c r="I118" s="79" t="str">
        <x:f t="shared" si="3"/>
        <x:v>فعال</x:v>
      </x:c>
      <x:c r="J118" s="79">
        <x:v>126</x:v>
      </x:c>
      <x:c r="K118" s="79" t="s">
        <x:v>731</x:v>
      </x:c>
      <x:c r="L118" s="79"/>
      <x:c r="M118" s="79"/>
      <x:c r="N118" s="79"/>
      <x:c r="O118" s="79"/>
      <x:c r="P118" s="79"/>
      <x:c r="Q118" s="79"/>
      <x:c r="R118" s="79"/>
      <x:c r="S118" s="79"/>
      <x:c r="T118" s="79"/>
      <x:c r="U118" s="79"/>
      <x:c r="V118" s="79"/>
      <x:c r="W118" s="79"/>
      <x:c r="X118" s="79"/>
      <x:c r="Y118" s="79"/>
      <x:c r="Z118" s="79"/>
      <x:c r="AA118" s="79" t="str">
        <x:f>IF(AND(LEN($N$2)&gt;=3,ISNUMBER(SEARCH($N$2,$B118))),MAX($AA$1:AA117)+1,"")</x:f>
      </x:c>
      <x:c r="AB118" s="79" t="str">
        <x:v>6a2d446d45c164ce6f28ae30</x:v>
      </x:c>
      <x:c r="AC118" s="79" t="str">
        <x:v>روغن</x:v>
      </x:c>
      <x:c r="AD118" s="79" t="str">
        <x:v>oil</x:v>
      </x:c>
      <x:c r="AE118" s="79" t="str">
        <x:v>EDIBLE</x:v>
      </x:c>
      <x:c r="AF118" s="79" t="str">
        <x:v>بله</x:v>
      </x:c>
      <x:c r="AG118" s="79" t="str">
        <x:v>بله</x:v>
      </x:c>
      <x:c r="AH118" s="79" t="n">
        <x:v>2</x:v>
      </x:c>
      <x:c r="AI118" s="79" t="str">
        <x:v>روغن الاغ</x:v>
      </x:c>
      <x:c r="AJ118" s="79" t="str">
        <x:v>روغن</x:v>
      </x:c>
      <x:c r="AK118" s="79"/>
    </x:row>
    <x:row r="119">
      <x:c r="A119" s="79" t="s">
        <x:v>733</x:v>
      </x:c>
      <x:c r="B119" s="79" t="s">
        <x:v>178</x:v>
      </x:c>
      <x:c r="C119" s="79" t="s">
        <x:v>734</x:v>
      </x:c>
      <x:c r="D119" s="79" t="s">
        <x:v>727</x:v>
      </x:c>
      <x:c r="E119" s="79" t="s">
        <x:v>172</x:v>
      </x:c>
      <x:c r="F119" s="79" t="s">
        <x:v>730</x:v>
      </x:c>
      <x:c r="G119" s="79" t="n">
        <x:f>IF(RIGHT($A119,2)="-2",INDEX('قیمت ها'!$E:$E,$J119+2),INDEX('قیمت ها'!$B:$B,$J119+2))</x:f>
        <x:v>170</x:v>
      </x:c>
      <x:c r="H119" s="110">
        <x:f t="shared" si="2"/>
        <x:v>170000</x:v>
      </x:c>
      <x:c r="I119" s="79" t="str">
        <x:f t="shared" si="3"/>
        <x:v>فعال</x:v>
      </x:c>
      <x:c r="J119" s="79">
        <x:v>127</x:v>
      </x:c>
      <x:c r="K119" s="79" t="s">
        <x:v>733</x:v>
      </x:c>
      <x:c r="L119" s="79"/>
      <x:c r="M119" s="79"/>
      <x:c r="N119" s="79"/>
      <x:c r="O119" s="79"/>
      <x:c r="P119" s="79"/>
      <x:c r="Q119" s="79"/>
      <x:c r="R119" s="79"/>
      <x:c r="S119" s="79"/>
      <x:c r="T119" s="79"/>
      <x:c r="U119" s="79"/>
      <x:c r="V119" s="79"/>
      <x:c r="W119" s="79"/>
      <x:c r="X119" s="79"/>
      <x:c r="Y119" s="79"/>
      <x:c r="Z119" s="79"/>
      <x:c r="AA119" s="79" t="str">
        <x:f>IF(AND(LEN($N$2)&gt;=3,ISNUMBER(SEARCH($N$2,$B119))),MAX($AA$1:AA118)+1,"")</x:f>
      </x:c>
      <x:c r="AB119" s="79" t="str">
        <x:v>6a2d446d45c164ce6f28ae30</x:v>
      </x:c>
      <x:c r="AC119" s="79" t="str">
        <x:v>روغن</x:v>
      </x:c>
      <x:c r="AD119" s="79" t="str">
        <x:v>oil</x:v>
      </x:c>
      <x:c r="AE119" s="79" t="str">
        <x:v>EDIBLE</x:v>
      </x:c>
      <x:c r="AF119" s="79" t="str">
        <x:v>بله</x:v>
      </x:c>
      <x:c r="AG119" s="79" t="str">
        <x:v>بله</x:v>
      </x:c>
      <x:c r="AH119" s="79" t="n">
        <x:v>2</x:v>
      </x:c>
      <x:c r="AI119" s="79" t="str">
        <x:v>روغن انار</x:v>
      </x:c>
      <x:c r="AJ119" s="79" t="str">
        <x:v>روغن</x:v>
      </x:c>
      <x:c r="AK119" s="79"/>
    </x:row>
    <x:row r="120">
      <x:c r="A120" s="79" t="s">
        <x:v>735</x:v>
      </x:c>
      <x:c r="B120" s="79" t="s">
        <x:v>178</x:v>
      </x:c>
      <x:c r="C120" s="79" t="s">
        <x:v>736</x:v>
      </x:c>
      <x:c r="D120" s="79" t="s">
        <x:v>727</x:v>
      </x:c>
      <x:c r="E120" s="79" t="s">
        <x:v>173</x:v>
      </x:c>
      <x:c r="F120" s="79" t="s">
        <x:v>730</x:v>
      </x:c>
      <x:c r="G120" s="79" t="n">
        <x:f>IF(RIGHT($A120,2)="-2",INDEX('قیمت ها'!$E:$E,$J120+2),INDEX('قیمت ها'!$B:$B,$J120+2))</x:f>
        <x:v>335</x:v>
      </x:c>
      <x:c r="H120" s="110">
        <x:f t="shared" si="2"/>
        <x:v>335000</x:v>
      </x:c>
      <x:c r="I120" s="79" t="str">
        <x:f t="shared" si="3"/>
        <x:v>فعال</x:v>
      </x:c>
      <x:c r="J120" s="79">
        <x:v>127</x:v>
      </x:c>
      <x:c r="K120" s="79" t="s">
        <x:v>735</x:v>
      </x:c>
      <x:c r="L120" s="79"/>
      <x:c r="M120" s="79"/>
      <x:c r="N120" s="79"/>
      <x:c r="O120" s="79"/>
      <x:c r="P120" s="79"/>
      <x:c r="Q120" s="79"/>
      <x:c r="R120" s="79"/>
      <x:c r="S120" s="79"/>
      <x:c r="T120" s="79"/>
      <x:c r="U120" s="79"/>
      <x:c r="V120" s="79"/>
      <x:c r="W120" s="79"/>
      <x:c r="X120" s="79"/>
      <x:c r="Y120" s="79"/>
      <x:c r="Z120" s="79"/>
      <x:c r="AA120" s="79" t="str">
        <x:f>IF(AND(LEN($N$2)&gt;=3,ISNUMBER(SEARCH($N$2,$B120))),MAX($AA$1:AA119)+1,"")</x:f>
      </x:c>
      <x:c r="AB120" s="79" t="str">
        <x:v>6a2d446d45c164ce6f28ae30</x:v>
      </x:c>
      <x:c r="AC120" s="79" t="str">
        <x:v>روغن</x:v>
      </x:c>
      <x:c r="AD120" s="79" t="str">
        <x:v>oil</x:v>
      </x:c>
      <x:c r="AE120" s="79" t="str">
        <x:v>EDIBLE</x:v>
      </x:c>
      <x:c r="AF120" s="79" t="str">
        <x:v>بله</x:v>
      </x:c>
      <x:c r="AG120" s="79" t="str">
        <x:v>بله</x:v>
      </x:c>
      <x:c r="AH120" s="79" t="n">
        <x:v>2</x:v>
      </x:c>
      <x:c r="AI120" s="79" t="str">
        <x:v>روغن انار</x:v>
      </x:c>
      <x:c r="AJ120" s="79" t="str">
        <x:v>روغن</x:v>
      </x:c>
      <x:c r="AK120" s="79"/>
    </x:row>
    <x:row r="121">
      <x:c r="A121" s="79" t="s">
        <x:v>737</x:v>
      </x:c>
      <x:c r="B121" s="79" t="s">
        <x:v>179</x:v>
      </x:c>
      <x:c r="C121" s="79" t="s">
        <x:v>738</x:v>
      </x:c>
      <x:c r="D121" s="79" t="s">
        <x:v>727</x:v>
      </x:c>
      <x:c r="E121" s="79" t="s">
        <x:v>56</x:v>
      </x:c>
      <x:c r="F121" s="79" t="s">
        <x:v>739</x:v>
      </x:c>
      <x:c r="G121" s="79" t="str">
        <x:f>IF(RIGHT($A121,2)="-2",INDEX('قیمت ها'!$E:$E,$J121+2),INDEX('قیمت ها'!$B:$B,$J121+2))</x:f>
        <x:v>3/750</x:v>
      </x:c>
      <x:c r="H121" s="110">
        <x:f t="shared" si="2"/>
        <x:v>3750000</x:v>
      </x:c>
      <x:c r="I121" s="79" t="str">
        <x:f t="shared" si="3"/>
        <x:v>فعال</x:v>
      </x:c>
      <x:c r="J121" s="79">
        <x:v>128</x:v>
      </x:c>
      <x:c r="K121" s="79" t="s">
        <x:v>737</x:v>
      </x:c>
      <x:c r="L121" s="79"/>
      <x:c r="M121" s="79"/>
      <x:c r="N121" s="79"/>
      <x:c r="O121" s="79"/>
      <x:c r="P121" s="79"/>
      <x:c r="Q121" s="79"/>
      <x:c r="R121" s="79"/>
      <x:c r="S121" s="79"/>
      <x:c r="T121" s="79"/>
      <x:c r="U121" s="79"/>
      <x:c r="V121" s="79"/>
      <x:c r="W121" s="79"/>
      <x:c r="X121" s="79"/>
      <x:c r="Y121" s="79"/>
      <x:c r="Z121" s="79"/>
      <x:c r="AA121" s="79" t="str">
        <x:f>IF(AND(LEN($N$2)&gt;=3,ISNUMBER(SEARCH($N$2,$B121))),MAX($AA$1:AA120)+1,"")</x:f>
      </x:c>
      <x:c r="AB121" s="79" t="str">
        <x:v>6a2d446d45c164ce6f28ae30</x:v>
      </x:c>
      <x:c r="AC121" s="79" t="str">
        <x:v>روغن</x:v>
      </x:c>
      <x:c r="AD121" s="79" t="str">
        <x:v>oil</x:v>
      </x:c>
      <x:c r="AE121" s="79" t="str">
        <x:v>EDIBLE</x:v>
      </x:c>
      <x:c r="AF121" s="79" t="str">
        <x:v>بله</x:v>
      </x:c>
      <x:c r="AG121" s="79" t="str">
        <x:v>بله</x:v>
      </x:c>
      <x:c r="AH121" s="79" t="n">
        <x:v>2</x:v>
      </x:c>
      <x:c r="AI121" s="79" t="str">
        <x:v>روغن آرگان مراکش</x:v>
      </x:c>
      <x:c r="AJ121" s="79" t="str">
        <x:v>روغن</x:v>
      </x:c>
      <x:c r="AK121" s="79" t="str">
        <x:v>MERGED</x:v>
      </x:c>
    </x:row>
    <x:row r="122">
      <x:c r="A122" s="79" t="s">
        <x:v>740</x:v>
      </x:c>
      <x:c r="B122" s="79" t="s">
        <x:v>179</x:v>
      </x:c>
      <x:c r="C122" s="79" t="s">
        <x:v>741</x:v>
      </x:c>
      <x:c r="D122" s="79" t="s">
        <x:v>727</x:v>
      </x:c>
      <x:c r="E122" s="79" t="s">
        <x:v>57</x:v>
      </x:c>
      <x:c r="F122" s="79" t="s">
        <x:v>739</x:v>
      </x:c>
      <x:c r="G122" s="79" t="str">
        <x:f>IF(RIGHT($A122,2)="-2",INDEX('قیمت ها'!$E:$E,$J122+2),INDEX('قیمت ها'!$B:$B,$J122+2))</x:f>
        <x:v>7/500</x:v>
      </x:c>
      <x:c r="H122" s="110">
        <x:f t="shared" si="2"/>
        <x:v>7500000</x:v>
      </x:c>
      <x:c r="I122" s="79" t="str">
        <x:f t="shared" si="3"/>
        <x:v>فعال</x:v>
      </x:c>
      <x:c r="J122" s="79">
        <x:v>128</x:v>
      </x:c>
      <x:c r="K122" s="79" t="s">
        <x:v>740</x:v>
      </x:c>
      <x:c r="L122" s="79"/>
      <x:c r="M122" s="79"/>
      <x:c r="N122" s="79"/>
      <x:c r="O122" s="79"/>
      <x:c r="P122" s="79"/>
      <x:c r="Q122" s="79"/>
      <x:c r="R122" s="79"/>
      <x:c r="S122" s="79"/>
      <x:c r="T122" s="79"/>
      <x:c r="U122" s="79"/>
      <x:c r="V122" s="79"/>
      <x:c r="W122" s="79"/>
      <x:c r="X122" s="79"/>
      <x:c r="Y122" s="79"/>
      <x:c r="Z122" s="79"/>
      <x:c r="AA122" s="79" t="str">
        <x:f>IF(AND(LEN($N$2)&gt;=3,ISNUMBER(SEARCH($N$2,$B122))),MAX($AA$1:AA121)+1,"")</x:f>
      </x:c>
      <x:c r="AB122" s="79" t="str">
        <x:v>6a2d446d45c164ce6f28ae30</x:v>
      </x:c>
      <x:c r="AC122" s="79" t="str">
        <x:v>روغن</x:v>
      </x:c>
      <x:c r="AD122" s="79" t="str">
        <x:v>oil</x:v>
      </x:c>
      <x:c r="AE122" s="79" t="str">
        <x:v>EDIBLE</x:v>
      </x:c>
      <x:c r="AF122" s="79" t="str">
        <x:v>بله</x:v>
      </x:c>
      <x:c r="AG122" s="79" t="str">
        <x:v>بله</x:v>
      </x:c>
      <x:c r="AH122" s="79" t="n">
        <x:v>2</x:v>
      </x:c>
      <x:c r="AI122" s="79" t="str">
        <x:v>روغن آرگان مراکش</x:v>
      </x:c>
      <x:c r="AJ122" s="79" t="str">
        <x:v>روغن</x:v>
      </x:c>
      <x:c r="AK122" s="79" t="str">
        <x:v>MERGED</x:v>
      </x:c>
    </x:row>
    <x:row r="123">
      <x:c r="A123" s="79" t="s">
        <x:v>742</x:v>
      </x:c>
      <x:c r="B123" s="79" t="s">
        <x:v>182</x:v>
      </x:c>
      <x:c r="C123" s="79" t="s">
        <x:v>743</x:v>
      </x:c>
      <x:c r="D123" s="79" t="s">
        <x:v>727</x:v>
      </x:c>
      <x:c r="E123" s="79" t="s">
        <x:v>56</x:v>
      </x:c>
      <x:c r="F123" s="79" t="s">
        <x:v>739</x:v>
      </x:c>
      <x:c r="G123" s="79" t="str">
        <x:f>IF(RIGHT($A123,2)="-2",INDEX('قیمت ها'!$E:$E,$J123+2),INDEX('قیمت ها'!$B:$B,$J123+2))</x:f>
        <x:v>2/250</x:v>
      </x:c>
      <x:c r="H123" s="110">
        <x:f t="shared" si="2"/>
        <x:v>2250000</x:v>
      </x:c>
      <x:c r="I123" s="79" t="str">
        <x:f t="shared" si="3"/>
        <x:v>فعال</x:v>
      </x:c>
      <x:c r="J123" s="79">
        <x:v>129</x:v>
      </x:c>
      <x:c r="K123" s="79" t="s">
        <x:v>742</x:v>
      </x:c>
      <x:c r="L123" s="79"/>
      <x:c r="M123" s="79"/>
      <x:c r="N123" s="79"/>
      <x:c r="O123" s="79"/>
      <x:c r="P123" s="79"/>
      <x:c r="Q123" s="79"/>
      <x:c r="R123" s="79"/>
      <x:c r="S123" s="79"/>
      <x:c r="T123" s="79"/>
      <x:c r="U123" s="79"/>
      <x:c r="V123" s="79"/>
      <x:c r="W123" s="79"/>
      <x:c r="X123" s="79"/>
      <x:c r="Y123" s="79"/>
      <x:c r="Z123" s="79"/>
      <x:c r="AA123" s="79" t="str">
        <x:f>IF(AND(LEN($N$2)&gt;=3,ISNUMBER(SEARCH($N$2,$B123))),MAX($AA$1:AA122)+1,"")</x:f>
      </x:c>
      <x:c r="AB123" s="79" t="str">
        <x:v>6a2d446d45c164ce6f28ae30</x:v>
      </x:c>
      <x:c r="AC123" s="79" t="str">
        <x:v>روغن</x:v>
      </x:c>
      <x:c r="AD123" s="79" t="str">
        <x:v>oil</x:v>
      </x:c>
      <x:c r="AE123" s="79" t="str">
        <x:v>EDIBLE</x:v>
      </x:c>
      <x:c r="AF123" s="79" t="str">
        <x:v>بله</x:v>
      </x:c>
      <x:c r="AG123" s="79" t="str">
        <x:v>بله</x:v>
      </x:c>
      <x:c r="AH123" s="79" t="n">
        <x:v>2</x:v>
      </x:c>
      <x:c r="AI123" s="79" t="str">
        <x:v>روغن آرگان مراکش</x:v>
      </x:c>
      <x:c r="AJ123" s="79" t="str">
        <x:v>روغن</x:v>
      </x:c>
      <x:c r="AK123" s="79" t="str">
        <x:v>MERGED</x:v>
      </x:c>
    </x:row>
    <x:row r="124">
      <x:c r="A124" s="79" t="s">
        <x:v>744</x:v>
      </x:c>
      <x:c r="B124" s="79" t="s">
        <x:v>182</x:v>
      </x:c>
      <x:c r="C124" s="79" t="s">
        <x:v>745</x:v>
      </x:c>
      <x:c r="D124" s="79" t="s">
        <x:v>727</x:v>
      </x:c>
      <x:c r="E124" s="79" t="s">
        <x:v>57</x:v>
      </x:c>
      <x:c r="F124" s="79" t="s">
        <x:v>739</x:v>
      </x:c>
      <x:c r="G124" s="79" t="str">
        <x:f>IF(RIGHT($A124,2)="-2",INDEX('قیمت ها'!$E:$E,$J124+2),INDEX('قیمت ها'!$B:$B,$J124+2))</x:f>
        <x:v>4/500</x:v>
      </x:c>
      <x:c r="H124" s="110">
        <x:f t="shared" si="2"/>
        <x:v>4500000</x:v>
      </x:c>
      <x:c r="I124" s="79" t="str">
        <x:f t="shared" si="3"/>
        <x:v>فعال</x:v>
      </x:c>
      <x:c r="J124" s="79">
        <x:v>129</x:v>
      </x:c>
      <x:c r="K124" s="79" t="s">
        <x:v>744</x:v>
      </x:c>
      <x:c r="L124" s="79"/>
      <x:c r="M124" s="79"/>
      <x:c r="N124" s="79"/>
      <x:c r="O124" s="79"/>
      <x:c r="P124" s="79"/>
      <x:c r="Q124" s="79"/>
      <x:c r="R124" s="79"/>
      <x:c r="S124" s="79"/>
      <x:c r="T124" s="79"/>
      <x:c r="U124" s="79"/>
      <x:c r="V124" s="79"/>
      <x:c r="W124" s="79"/>
      <x:c r="X124" s="79"/>
      <x:c r="Y124" s="79"/>
      <x:c r="Z124" s="79"/>
      <x:c r="AA124" s="79" t="str">
        <x:f>IF(AND(LEN($N$2)&gt;=3,ISNUMBER(SEARCH($N$2,$B124))),MAX($AA$1:AA123)+1,"")</x:f>
      </x:c>
      <x:c r="AB124" s="79" t="str">
        <x:v>6a2d446d45c164ce6f28ae30</x:v>
      </x:c>
      <x:c r="AC124" s="79" t="str">
        <x:v>روغن</x:v>
      </x:c>
      <x:c r="AD124" s="79" t="str">
        <x:v>oil</x:v>
      </x:c>
      <x:c r="AE124" s="79" t="str">
        <x:v>EDIBLE</x:v>
      </x:c>
      <x:c r="AF124" s="79" t="str">
        <x:v>بله</x:v>
      </x:c>
      <x:c r="AG124" s="79" t="str">
        <x:v>بله</x:v>
      </x:c>
      <x:c r="AH124" s="79" t="n">
        <x:v>2</x:v>
      </x:c>
      <x:c r="AI124" s="79" t="str">
        <x:v>روغن آرگان مراکش</x:v>
      </x:c>
      <x:c r="AJ124" s="79" t="str">
        <x:v>روغن</x:v>
      </x:c>
      <x:c r="AK124" s="79" t="str">
        <x:v>MERGED</x:v>
      </x:c>
    </x:row>
    <x:row r="125">
      <x:c r="A125" s="79" t="s">
        <x:v>746</x:v>
      </x:c>
      <x:c r="B125" s="79" t="s">
        <x:v>184</x:v>
      </x:c>
      <x:c r="C125" s="79" t="s">
        <x:v>747</x:v>
      </x:c>
      <x:c r="D125" s="79" t="s">
        <x:v>727</x:v>
      </x:c>
      <x:c r="E125" s="79" t="s">
        <x:v>56</x:v>
      </x:c>
      <x:c r="F125" s="79" t="s">
        <x:v>739</x:v>
      </x:c>
      <x:c r="G125" s="79" t="n">
        <x:f>IF(RIGHT($A125,2)="-2",INDEX('قیمت ها'!$E:$E,$J125+2),INDEX('قیمت ها'!$B:$B,$J125+2))</x:f>
        <x:v>400</x:v>
      </x:c>
      <x:c r="H125" s="110">
        <x:f t="shared" si="2"/>
        <x:v>400000</x:v>
      </x:c>
      <x:c r="I125" s="79" t="str">
        <x:f t="shared" si="3"/>
        <x:v>فعال</x:v>
      </x:c>
      <x:c r="J125" s="79">
        <x:v>130</x:v>
      </x:c>
      <x:c r="K125" s="79" t="s">
        <x:v>746</x:v>
      </x:c>
      <x:c r="L125" s="79"/>
      <x:c r="M125" s="79"/>
      <x:c r="N125" s="79"/>
      <x:c r="O125" s="79"/>
      <x:c r="P125" s="79"/>
      <x:c r="Q125" s="79"/>
      <x:c r="R125" s="79"/>
      <x:c r="S125" s="79"/>
      <x:c r="T125" s="79"/>
      <x:c r="U125" s="79"/>
      <x:c r="V125" s="79"/>
      <x:c r="W125" s="79"/>
      <x:c r="X125" s="79"/>
      <x:c r="Y125" s="79"/>
      <x:c r="Z125" s="79"/>
      <x:c r="AA125" s="79" t="str">
        <x:f>IF(AND(LEN($N$2)&gt;=3,ISNUMBER(SEARCH($N$2,$B125))),MAX($AA$1:AA124)+1,"")</x:f>
      </x:c>
      <x:c r="AB125" s="79" t="str">
        <x:v>6a2d446d45c164ce6f28ae30</x:v>
      </x:c>
      <x:c r="AC125" s="79" t="str">
        <x:v>روغن</x:v>
      </x:c>
      <x:c r="AD125" s="79" t="str">
        <x:v>oil</x:v>
      </x:c>
      <x:c r="AE125" s="79" t="str">
        <x:v>EDIBLE</x:v>
      </x:c>
      <x:c r="AF125" s="79" t="str">
        <x:v>بله</x:v>
      </x:c>
      <x:c r="AG125" s="79" t="str">
        <x:v>بله</x:v>
      </x:c>
      <x:c r="AH125" s="79" t="n">
        <x:v>2</x:v>
      </x:c>
      <x:c r="AI125" s="79" t="str">
        <x:v>روغن آرگان مراکش</x:v>
      </x:c>
      <x:c r="AJ125" s="79" t="str">
        <x:v>روغن</x:v>
      </x:c>
      <x:c r="AK125" s="79" t="str">
        <x:v>MERGED</x:v>
      </x:c>
    </x:row>
    <x:row r="126">
      <x:c r="A126" s="79" t="s">
        <x:v>748</x:v>
      </x:c>
      <x:c r="B126" s="79" t="s">
        <x:v>184</x:v>
      </x:c>
      <x:c r="C126" s="79" t="s">
        <x:v>749</x:v>
      </x:c>
      <x:c r="D126" s="79" t="s">
        <x:v>727</x:v>
      </x:c>
      <x:c r="E126" s="79" t="s">
        <x:v>57</x:v>
      </x:c>
      <x:c r="F126" s="79" t="s">
        <x:v>739</x:v>
      </x:c>
      <x:c r="G126" s="79" t="n">
        <x:f>IF(RIGHT($A126,2)="-2",INDEX('قیمت ها'!$E:$E,$J126+2),INDEX('قیمت ها'!$B:$B,$J126+2))</x:f>
        <x:v>790</x:v>
      </x:c>
      <x:c r="H126" s="110">
        <x:f t="shared" si="2"/>
        <x:v>790000</x:v>
      </x:c>
      <x:c r="I126" s="79" t="str">
        <x:f t="shared" si="3"/>
        <x:v>فعال</x:v>
      </x:c>
      <x:c r="J126" s="79">
        <x:v>130</x:v>
      </x:c>
      <x:c r="K126" s="79" t="s">
        <x:v>748</x:v>
      </x:c>
      <x:c r="L126" s="79"/>
      <x:c r="M126" s="79"/>
      <x:c r="N126" s="79"/>
      <x:c r="O126" s="79"/>
      <x:c r="P126" s="79"/>
      <x:c r="Q126" s="79"/>
      <x:c r="R126" s="79"/>
      <x:c r="S126" s="79"/>
      <x:c r="T126" s="79"/>
      <x:c r="U126" s="79"/>
      <x:c r="V126" s="79"/>
      <x:c r="W126" s="79"/>
      <x:c r="X126" s="79"/>
      <x:c r="Y126" s="79"/>
      <x:c r="Z126" s="79"/>
      <x:c r="AA126" s="79" t="str">
        <x:f>IF(AND(LEN($N$2)&gt;=3,ISNUMBER(SEARCH($N$2,$B126))),MAX($AA$1:AA125)+1,"")</x:f>
      </x:c>
      <x:c r="AB126" s="79" t="str">
        <x:v>6a2d446d45c164ce6f28ae30</x:v>
      </x:c>
      <x:c r="AC126" s="79" t="str">
        <x:v>روغن</x:v>
      </x:c>
      <x:c r="AD126" s="79" t="str">
        <x:v>oil</x:v>
      </x:c>
      <x:c r="AE126" s="79" t="str">
        <x:v>EDIBLE</x:v>
      </x:c>
      <x:c r="AF126" s="79" t="str">
        <x:v>بله</x:v>
      </x:c>
      <x:c r="AG126" s="79" t="str">
        <x:v>بله</x:v>
      </x:c>
      <x:c r="AH126" s="79" t="n">
        <x:v>2</x:v>
      </x:c>
      <x:c r="AI126" s="79" t="str">
        <x:v>روغن آرگان مراکش</x:v>
      </x:c>
      <x:c r="AJ126" s="79" t="str">
        <x:v>روغن</x:v>
      </x:c>
      <x:c r="AK126" s="79" t="str">
        <x:v>MERGED</x:v>
      </x:c>
    </x:row>
    <x:row r="127">
      <x:c r="A127" s="79" t="s">
        <x:v>750</x:v>
      </x:c>
      <x:c r="B127" s="79" t="s">
        <x:v>185</x:v>
      </x:c>
      <x:c r="C127" s="79" t="s">
        <x:v>751</x:v>
      </x:c>
      <x:c r="D127" s="79" t="s">
        <x:v>727</x:v>
      </x:c>
      <x:c r="E127" s="79" t="s">
        <x:v>172</x:v>
      </x:c>
      <x:c r="F127" s="79" t="s">
        <x:v>730</x:v>
      </x:c>
      <x:c r="G127" s="79" t="n">
        <x:f>IF(RIGHT($A127,2)="-2",INDEX('قیمت ها'!$E:$E,$J127+2),INDEX('قیمت ها'!$B:$B,$J127+2))</x:f>
        <x:v>80</x:v>
      </x:c>
      <x:c r="H127" s="110">
        <x:f t="shared" si="2"/>
        <x:v>80000</x:v>
      </x:c>
      <x:c r="I127" s="79" t="str">
        <x:f t="shared" si="3"/>
        <x:v>فعال</x:v>
      </x:c>
      <x:c r="J127" s="79">
        <x:v>131</x:v>
      </x:c>
      <x:c r="K127" s="79" t="s">
        <x:v>750</x:v>
      </x:c>
      <x:c r="L127" s="79"/>
      <x:c r="M127" s="79"/>
      <x:c r="N127" s="79"/>
      <x:c r="O127" s="79"/>
      <x:c r="P127" s="79"/>
      <x:c r="Q127" s="79"/>
      <x:c r="R127" s="79"/>
      <x:c r="S127" s="79"/>
      <x:c r="T127" s="79"/>
      <x:c r="U127" s="79"/>
      <x:c r="V127" s="79"/>
      <x:c r="W127" s="79"/>
      <x:c r="X127" s="79"/>
      <x:c r="Y127" s="79"/>
      <x:c r="Z127" s="79"/>
      <x:c r="AA127" s="79" t="str">
        <x:f>IF(AND(LEN($N$2)&gt;=3,ISNUMBER(SEARCH($N$2,$B127))),MAX($AA$1:AA126)+1,"")</x:f>
      </x:c>
      <x:c r="AB127" s="79" t="str">
        <x:v>6a2d446d45c164ce6f28ae30</x:v>
      </x:c>
      <x:c r="AC127" s="79" t="str">
        <x:v>روغن</x:v>
      </x:c>
      <x:c r="AD127" s="79" t="str">
        <x:v>oil</x:v>
      </x:c>
      <x:c r="AE127" s="79" t="str">
        <x:v>EDIBLE</x:v>
      </x:c>
      <x:c r="AF127" s="79" t="str">
        <x:v>بله</x:v>
      </x:c>
      <x:c r="AG127" s="79" t="str">
        <x:v>بله</x:v>
      </x:c>
      <x:c r="AH127" s="79" t="n">
        <x:v>2</x:v>
      </x:c>
      <x:c r="AI127" s="79" t="str">
        <x:v>روغن آرگان مراکش</x:v>
      </x:c>
      <x:c r="AJ127" s="79" t="str">
        <x:v>روغن</x:v>
      </x:c>
      <x:c r="AK127" s="79" t="str">
        <x:v>MERGED</x:v>
      </x:c>
    </x:row>
    <x:row r="128">
      <x:c r="A128" s="79" t="s">
        <x:v>752</x:v>
      </x:c>
      <x:c r="B128" s="79" t="s">
        <x:v>185</x:v>
      </x:c>
      <x:c r="C128" s="79" t="s">
        <x:v>753</x:v>
      </x:c>
      <x:c r="D128" s="79" t="s">
        <x:v>727</x:v>
      </x:c>
      <x:c r="E128" s="79" t="s">
        <x:v>173</x:v>
      </x:c>
      <x:c r="F128" s="79" t="s">
        <x:v>730</x:v>
      </x:c>
      <x:c r="G128" s="79" t="n">
        <x:f>IF(RIGHT($A128,2)="-2",INDEX('قیمت ها'!$E:$E,$J128+2),INDEX('قیمت ها'!$B:$B,$J128+2))</x:f>
        <x:v>150</x:v>
      </x:c>
      <x:c r="H128" s="110">
        <x:f t="shared" si="2"/>
        <x:v>150000</x:v>
      </x:c>
      <x:c r="I128" s="79" t="str">
        <x:f t="shared" si="3"/>
        <x:v>فعال</x:v>
      </x:c>
      <x:c r="J128" s="79">
        <x:v>131</x:v>
      </x:c>
      <x:c r="K128" s="79" t="s">
        <x:v>752</x:v>
      </x:c>
      <x:c r="L128" s="79"/>
      <x:c r="M128" s="79"/>
      <x:c r="N128" s="79"/>
      <x:c r="O128" s="79"/>
      <x:c r="P128" s="79"/>
      <x:c r="Q128" s="79"/>
      <x:c r="R128" s="79"/>
      <x:c r="S128" s="79"/>
      <x:c r="T128" s="79"/>
      <x:c r="U128" s="79"/>
      <x:c r="V128" s="79"/>
      <x:c r="W128" s="79"/>
      <x:c r="X128" s="79"/>
      <x:c r="Y128" s="79"/>
      <x:c r="Z128" s="79"/>
      <x:c r="AA128" s="79" t="str">
        <x:f>IF(AND(LEN($N$2)&gt;=3,ISNUMBER(SEARCH($N$2,$B128))),MAX($AA$1:AA127)+1,"")</x:f>
      </x:c>
      <x:c r="AB128" s="79" t="str">
        <x:v>6a2d446d45c164ce6f28ae30</x:v>
      </x:c>
      <x:c r="AC128" s="79" t="str">
        <x:v>روغن</x:v>
      </x:c>
      <x:c r="AD128" s="79" t="str">
        <x:v>oil</x:v>
      </x:c>
      <x:c r="AE128" s="79" t="str">
        <x:v>EDIBLE</x:v>
      </x:c>
      <x:c r="AF128" s="79" t="str">
        <x:v>بله</x:v>
      </x:c>
      <x:c r="AG128" s="79" t="str">
        <x:v>بله</x:v>
      </x:c>
      <x:c r="AH128" s="79" t="n">
        <x:v>2</x:v>
      </x:c>
      <x:c r="AI128" s="79" t="str">
        <x:v>روغن آرگان مراکش</x:v>
      </x:c>
      <x:c r="AJ128" s="79" t="str">
        <x:v>روغن</x:v>
      </x:c>
      <x:c r="AK128" s="79" t="str">
        <x:v>MERGED</x:v>
      </x:c>
    </x:row>
    <x:row r="129">
      <x:c r="A129" s="79" t="s">
        <x:v>754</x:v>
      </x:c>
      <x:c r="B129" s="79" t="s">
        <x:v>186</x:v>
      </x:c>
      <x:c r="C129" s="79" t="s">
        <x:v>755</x:v>
      </x:c>
      <x:c r="D129" s="79" t="s">
        <x:v>727</x:v>
      </x:c>
      <x:c r="E129" s="79" t="s">
        <x:v>172</x:v>
      </x:c>
      <x:c r="F129" s="79" t="s">
        <x:v>730</x:v>
      </x:c>
      <x:c r="G129" s="79" t="n">
        <x:f>IF(RIGHT($A129,2)="-2",INDEX('قیمت ها'!$E:$E,$J129+2),INDEX('قیمت ها'!$B:$B,$J129+2))</x:f>
        <x:v>100</x:v>
      </x:c>
      <x:c r="H129" s="110">
        <x:f t="shared" si="2"/>
        <x:v>100000</x:v>
      </x:c>
      <x:c r="I129" s="79" t="str">
        <x:f t="shared" si="3"/>
        <x:v>فعال</x:v>
      </x:c>
      <x:c r="J129" s="79">
        <x:v>132</x:v>
      </x:c>
      <x:c r="K129" s="79" t="s">
        <x:v>754</x:v>
      </x:c>
      <x:c r="L129" s="79"/>
      <x:c r="M129" s="79"/>
      <x:c r="N129" s="79"/>
      <x:c r="O129" s="79"/>
      <x:c r="P129" s="79"/>
      <x:c r="Q129" s="79"/>
      <x:c r="R129" s="79"/>
      <x:c r="S129" s="79"/>
      <x:c r="T129" s="79"/>
      <x:c r="U129" s="79"/>
      <x:c r="V129" s="79"/>
      <x:c r="W129" s="79"/>
      <x:c r="X129" s="79"/>
      <x:c r="Y129" s="79"/>
      <x:c r="Z129" s="79"/>
      <x:c r="AA129" s="79" t="str">
        <x:f>IF(AND(LEN($N$2)&gt;=3,ISNUMBER(SEARCH($N$2,$B129))),MAX($AA$1:AA128)+1,"")</x:f>
      </x:c>
      <x:c r="AB129" s="79" t="str">
        <x:v>6a2d446d45c164ce6f28ae30</x:v>
      </x:c>
      <x:c r="AC129" s="79" t="str">
        <x:v>روغن</x:v>
      </x:c>
      <x:c r="AD129" s="79" t="str">
        <x:v>oil</x:v>
      </x:c>
      <x:c r="AE129" s="79" t="str">
        <x:v>EDIBLE</x:v>
      </x:c>
      <x:c r="AF129" s="79" t="str">
        <x:v>بله</x:v>
      </x:c>
      <x:c r="AG129" s="79" t="str">
        <x:v>بله</x:v>
      </x:c>
      <x:c r="AH129" s="79" t="n">
        <x:v>2</x:v>
      </x:c>
      <x:c r="AI129" s="79" t="str">
        <x:v>روغن آفتابگردان</x:v>
      </x:c>
      <x:c r="AJ129" s="79" t="str">
        <x:v>روغن</x:v>
      </x:c>
      <x:c r="AK129" s="79"/>
    </x:row>
    <x:row r="130">
      <x:c r="A130" s="79" t="s">
        <x:v>756</x:v>
      </x:c>
      <x:c r="B130" s="79" t="s">
        <x:v>186</x:v>
      </x:c>
      <x:c r="C130" s="79" t="s">
        <x:v>757</x:v>
      </x:c>
      <x:c r="D130" s="79" t="s">
        <x:v>727</x:v>
      </x:c>
      <x:c r="E130" s="79" t="s">
        <x:v>173</x:v>
      </x:c>
      <x:c r="F130" s="79" t="s">
        <x:v>730</x:v>
      </x:c>
      <x:c r="G130" s="79" t="n">
        <x:f>IF(RIGHT($A130,2)="-2",INDEX('قیمت ها'!$E:$E,$J130+2),INDEX('قیمت ها'!$B:$B,$J130+2))</x:f>
        <x:v>190</x:v>
      </x:c>
      <x:c r="H130" s="110" t="n">
        <x:f t="shared" ref="H130:H193" si="4">IF(OR($G130="",$G130="؟"),"",IF(ISNUMBER($G130),$G130*1000,IFERROR((VALUE(LEFT($G130,FIND("/",$G130)-1))*1000+VALUE(MID($G130,FIND("/",$G130)+1,99)))*1000,VALUE($G130)*1000)))</x:f>
        <x:v>190000</x:v>
      </x:c>
      <x:c r="I130" s="79" t="str">
        <x:f t="shared" ref="I130:I193" si="5">IF(OR($G130="",$G130="؟"),"نیاز به استعلام","فعال")</x:f>
        <x:v>فعال</x:v>
      </x:c>
      <x:c r="J130" s="79">
        <x:v>132</x:v>
      </x:c>
      <x:c r="K130" s="79" t="s">
        <x:v>756</x:v>
      </x:c>
      <x:c r="L130" s="79"/>
      <x:c r="M130" s="79"/>
      <x:c r="N130" s="79"/>
      <x:c r="O130" s="79"/>
      <x:c r="P130" s="79"/>
      <x:c r="Q130" s="79"/>
      <x:c r="R130" s="79"/>
      <x:c r="S130" s="79"/>
      <x:c r="T130" s="79"/>
      <x:c r="U130" s="79"/>
      <x:c r="V130" s="79"/>
      <x:c r="W130" s="79"/>
      <x:c r="X130" s="79"/>
      <x:c r="Y130" s="79"/>
      <x:c r="Z130" s="79"/>
      <x:c r="AA130" s="79" t="str">
        <x:f>IF(AND(LEN($N$2)&gt;=3,ISNUMBER(SEARCH($N$2,$B130))),MAX($AA$1:AA129)+1,"")</x:f>
      </x:c>
      <x:c r="AB130" s="79" t="str">
        <x:v>6a2d446d45c164ce6f28ae30</x:v>
      </x:c>
      <x:c r="AC130" s="79" t="str">
        <x:v>روغن</x:v>
      </x:c>
      <x:c r="AD130" s="79" t="str">
        <x:v>oil</x:v>
      </x:c>
      <x:c r="AE130" s="79" t="str">
        <x:v>EDIBLE</x:v>
      </x:c>
      <x:c r="AF130" s="79" t="str">
        <x:v>بله</x:v>
      </x:c>
      <x:c r="AG130" s="79" t="str">
        <x:v>بله</x:v>
      </x:c>
      <x:c r="AH130" s="79" t="n">
        <x:v>2</x:v>
      </x:c>
      <x:c r="AI130" s="79" t="str">
        <x:v>روغن آفتابگردان</x:v>
      </x:c>
      <x:c r="AJ130" s="79" t="str">
        <x:v>روغن</x:v>
      </x:c>
      <x:c r="AK130" s="79"/>
    </x:row>
    <x:row r="131">
      <x:c r="A131" s="79" t="s">
        <x:v>758</x:v>
      </x:c>
      <x:c r="B131" s="79" t="s">
        <x:v>170</x:v>
      </x:c>
      <x:c r="C131" s="79" t="s">
        <x:v>759</x:v>
      </x:c>
      <x:c r="D131" s="79" t="s">
        <x:v>727</x:v>
      </x:c>
      <x:c r="E131" s="79" t="s">
        <x:v>56</x:v>
      </x:c>
      <x:c r="F131" s="79" t="s">
        <x:v>739</x:v>
      </x:c>
      <x:c r="G131" s="79" t="n">
        <x:f>IF(RIGHT($A131,2)="-2",INDEX('قیمت ها'!$E:$E,$J131+2),INDEX('قیمت ها'!$B:$B,$J131+2))</x:f>
        <x:v>555</x:v>
      </x:c>
      <x:c r="H131" s="110">
        <x:f t="shared" si="4"/>
        <x:v>555000</x:v>
      </x:c>
      <x:c r="I131" s="79" t="str">
        <x:f t="shared" si="5"/>
        <x:v>فعال</x:v>
      </x:c>
      <x:c r="J131" s="79">
        <x:v>121</x:v>
      </x:c>
      <x:c r="K131" s="79" t="s">
        <x:v>758</x:v>
      </x:c>
      <x:c r="L131" s="79"/>
      <x:c r="M131" s="79"/>
      <x:c r="N131" s="79"/>
      <x:c r="O131" s="79"/>
      <x:c r="P131" s="79"/>
      <x:c r="Q131" s="79"/>
      <x:c r="R131" s="79"/>
      <x:c r="S131" s="79"/>
      <x:c r="T131" s="79"/>
      <x:c r="U131" s="79"/>
      <x:c r="V131" s="79"/>
      <x:c r="W131" s="79"/>
      <x:c r="X131" s="79"/>
      <x:c r="Y131" s="79"/>
      <x:c r="Z131" s="79"/>
      <x:c r="AA131" s="79" t="str">
        <x:f>IF(AND(LEN($N$2)&gt;=3,ISNUMBER(SEARCH($N$2,$B131))),MAX($AA$1:AA130)+1,"")</x:f>
      </x:c>
      <x:c r="AB131" s="79" t="str">
        <x:v>6a3782ffdf5573f4e676e24b</x:v>
      </x:c>
      <x:c r="AC131" s="79" t="str">
        <x:v>نوشیدنی‌ها</x:v>
      </x:c>
      <x:c r="AD131" s="79" t="str">
        <x:v>syrup</x:v>
      </x:c>
      <x:c r="AE131" s="79" t="str">
        <x:v>EDIBLE</x:v>
      </x:c>
      <x:c r="AF131" s="79" t="str">
        <x:v>بله</x:v>
      </x:c>
      <x:c r="AG131" s="79" t="str">
        <x:v>خیر</x:v>
      </x:c>
      <x:c r="AH131" s="79" t="n">
        <x:v>1</x:v>
      </x:c>
      <x:c r="AI131" s="79" t="str">
        <x:v>رب انار</x:v>
      </x:c>
      <x:c r="AJ131" s="79" t="str">
        <x:v>روغن</x:v>
      </x:c>
      <x:c r="AK131" s="79" t="str">
        <x:v>دسته از «نیاز به بررسی» به «نوشیدنی‌ها» اصلاح شد</x:v>
      </x:c>
    </x:row>
    <x:row r="132">
      <x:c r="A132" s="79" t="s">
        <x:v>760</x:v>
      </x:c>
      <x:c r="B132" s="79" t="s">
        <x:v>170</x:v>
      </x:c>
      <x:c r="C132" s="79" t="s">
        <x:v>761</x:v>
      </x:c>
      <x:c r="D132" s="79" t="s">
        <x:v>727</x:v>
      </x:c>
      <x:c r="E132" s="79" t="s">
        <x:v>57</x:v>
      </x:c>
      <x:c r="F132" s="79" t="s">
        <x:v>739</x:v>
      </x:c>
      <x:c r="G132" s="79" t="str">
        <x:f>IF(RIGHT($A132,2)="-2",INDEX('قیمت ها'!$E:$E,$J132+2),INDEX('قیمت ها'!$B:$B,$J132+2))</x:f>
        <x:v>1/100</x:v>
      </x:c>
      <x:c r="H132" s="110">
        <x:f t="shared" si="4"/>
        <x:v>1100000</x:v>
      </x:c>
      <x:c r="I132" s="79" t="str">
        <x:f t="shared" si="5"/>
        <x:v>فعال</x:v>
      </x:c>
      <x:c r="J132" s="79">
        <x:v>121</x:v>
      </x:c>
      <x:c r="K132" s="79" t="s">
        <x:v>760</x:v>
      </x:c>
      <x:c r="L132" s="79"/>
      <x:c r="M132" s="79"/>
      <x:c r="N132" s="79"/>
      <x:c r="O132" s="79"/>
      <x:c r="P132" s="79"/>
      <x:c r="Q132" s="79"/>
      <x:c r="R132" s="79"/>
      <x:c r="S132" s="79"/>
      <x:c r="T132" s="79"/>
      <x:c r="U132" s="79"/>
      <x:c r="V132" s="79"/>
      <x:c r="W132" s="79"/>
      <x:c r="X132" s="79"/>
      <x:c r="Y132" s="79"/>
      <x:c r="Z132" s="79"/>
      <x:c r="AA132" s="79" t="str">
        <x:f>IF(AND(LEN($N$2)&gt;=3,ISNUMBER(SEARCH($N$2,$B132))),MAX($AA$1:AA131)+1,"")</x:f>
      </x:c>
      <x:c r="AB132" s="79" t="str">
        <x:v>6a3782ffdf5573f4e676e24b</x:v>
      </x:c>
      <x:c r="AC132" s="79" t="str">
        <x:v>نوشیدنی‌ها</x:v>
      </x:c>
      <x:c r="AD132" s="79" t="str">
        <x:v>syrup</x:v>
      </x:c>
      <x:c r="AE132" s="79" t="str">
        <x:v>EDIBLE</x:v>
      </x:c>
      <x:c r="AF132" s="79" t="str">
        <x:v>بله</x:v>
      </x:c>
      <x:c r="AG132" s="79" t="str">
        <x:v>خیر</x:v>
      </x:c>
      <x:c r="AH132" s="79" t="n">
        <x:v>1</x:v>
      </x:c>
      <x:c r="AI132" s="79" t="str">
        <x:v>رب انار</x:v>
      </x:c>
      <x:c r="AJ132" s="79" t="str">
        <x:v>روغن</x:v>
      </x:c>
      <x:c r="AK132" s="79" t="str">
        <x:v>دسته از «نیاز به بررسی» به «نوشیدنی‌ها» اصلاح شد</x:v>
      </x:c>
    </x:row>
    <x:row r="133">
      <x:c r="A133" s="79" t="s">
        <x:v>762</x:v>
      </x:c>
      <x:c r="B133" s="79" t="s">
        <x:v>171</x:v>
      </x:c>
      <x:c r="C133" s="79" t="s">
        <x:v>763</x:v>
      </x:c>
      <x:c r="D133" s="79" t="s">
        <x:v>727</x:v>
      </x:c>
      <x:c r="E133" s="79" t="s">
        <x:v>172</x:v>
      </x:c>
      <x:c r="F133" s="79" t="s">
        <x:v>730</x:v>
      </x:c>
      <x:c r="G133" s="79" t="n">
        <x:f>IF(RIGHT($A133,2)="-2",INDEX('قیمت ها'!$E:$E,$J133+2),INDEX('قیمت ها'!$B:$B,$J133+2))</x:f>
        <x:v>80</x:v>
      </x:c>
      <x:c r="H133" s="110">
        <x:f t="shared" si="4"/>
        <x:v>80000</x:v>
      </x:c>
      <x:c r="I133" s="79" t="str">
        <x:f t="shared" si="5"/>
        <x:v>فعال</x:v>
      </x:c>
      <x:c r="J133" s="79">
        <x:v>122</x:v>
      </x:c>
      <x:c r="K133" s="79" t="s">
        <x:v>762</x:v>
      </x:c>
      <x:c r="L133" s="79"/>
      <x:c r="M133" s="79"/>
      <x:c r="N133" s="79"/>
      <x:c r="O133" s="79"/>
      <x:c r="P133" s="79"/>
      <x:c r="Q133" s="79"/>
      <x:c r="R133" s="79"/>
      <x:c r="S133" s="79"/>
      <x:c r="T133" s="79"/>
      <x:c r="U133" s="79"/>
      <x:c r="V133" s="79"/>
      <x:c r="W133" s="79"/>
      <x:c r="X133" s="79"/>
      <x:c r="Y133" s="79"/>
      <x:c r="Z133" s="79"/>
      <x:c r="AA133" s="79" t="str">
        <x:f>IF(AND(LEN($N$2)&gt;=3,ISNUMBER(SEARCH($N$2,$B133))),MAX($AA$1:AA132)+1,"")</x:f>
      </x:c>
      <x:c r="AB133" s="79" t="str">
        <x:v>6a3782d7df5573f4e676e243</x:v>
      </x:c>
      <x:c r="AC133" s="79" t="str">
        <x:v>گیاهان دارویی</x:v>
      </x:c>
      <x:c r="AD133" s="79" t="str">
        <x:v>medicinal-plants</x:v>
      </x:c>
      <x:c r="AE133" s="79" t="str">
        <x:v>EDIBLE</x:v>
      </x:c>
      <x:c r="AF133" s="79" t="str">
        <x:v>بله</x:v>
      </x:c>
      <x:c r="AG133" s="79" t="str">
        <x:v>خیر</x:v>
      </x:c>
      <x:c r="AH133" s="79" t="n">
        <x:v>1</x:v>
      </x:c>
      <x:c r="AI133" s="79" t="str">
        <x:v>رزماری</x:v>
      </x:c>
      <x:c r="AJ133" s="79" t="str">
        <x:v>روغن</x:v>
      </x:c>
      <x:c r="AK133" s="79"/>
    </x:row>
    <x:row r="134">
      <x:c r="A134" s="79" t="s">
        <x:v>764</x:v>
      </x:c>
      <x:c r="B134" s="79" t="s">
        <x:v>171</x:v>
      </x:c>
      <x:c r="C134" s="79" t="s">
        <x:v>765</x:v>
      </x:c>
      <x:c r="D134" s="79" t="s">
        <x:v>727</x:v>
      </x:c>
      <x:c r="E134" s="79" t="s">
        <x:v>173</x:v>
      </x:c>
      <x:c r="F134" s="79" t="s">
        <x:v>730</x:v>
      </x:c>
      <x:c r="G134" s="79" t="n">
        <x:f>IF(RIGHT($A134,2)="-2",INDEX('قیمت ها'!$E:$E,$J134+2),INDEX('قیمت ها'!$B:$B,$J134+2))</x:f>
        <x:v>150</x:v>
      </x:c>
      <x:c r="H134" s="110">
        <x:f t="shared" si="4"/>
        <x:v>150000</x:v>
      </x:c>
      <x:c r="I134" s="79" t="str">
        <x:f t="shared" si="5"/>
        <x:v>فعال</x:v>
      </x:c>
      <x:c r="J134" s="79">
        <x:v>122</x:v>
      </x:c>
      <x:c r="K134" s="79" t="s">
        <x:v>764</x:v>
      </x:c>
      <x:c r="L134" s="79"/>
      <x:c r="M134" s="79"/>
      <x:c r="N134" s="79"/>
      <x:c r="O134" s="79"/>
      <x:c r="P134" s="79"/>
      <x:c r="Q134" s="79"/>
      <x:c r="R134" s="79"/>
      <x:c r="S134" s="79"/>
      <x:c r="T134" s="79"/>
      <x:c r="U134" s="79"/>
      <x:c r="V134" s="79"/>
      <x:c r="W134" s="79"/>
      <x:c r="X134" s="79"/>
      <x:c r="Y134" s="79"/>
      <x:c r="Z134" s="79"/>
      <x:c r="AA134" s="79" t="str">
        <x:f>IF(AND(LEN($N$2)&gt;=3,ISNUMBER(SEARCH($N$2,$B134))),MAX($AA$1:AA133)+1,"")</x:f>
      </x:c>
      <x:c r="AB134" s="79" t="str">
        <x:v>6a3782d7df5573f4e676e243</x:v>
      </x:c>
      <x:c r="AC134" s="79" t="str">
        <x:v>گیاهان دارویی</x:v>
      </x:c>
      <x:c r="AD134" s="79" t="str">
        <x:v>medicinal-plants</x:v>
      </x:c>
      <x:c r="AE134" s="79" t="str">
        <x:v>EDIBLE</x:v>
      </x:c>
      <x:c r="AF134" s="79" t="str">
        <x:v>بله</x:v>
      </x:c>
      <x:c r="AG134" s="79" t="str">
        <x:v>خیر</x:v>
      </x:c>
      <x:c r="AH134" s="79" t="n">
        <x:v>1</x:v>
      </x:c>
      <x:c r="AI134" s="79" t="str">
        <x:v>رزماری</x:v>
      </x:c>
      <x:c r="AJ134" s="79" t="str">
        <x:v>روغن</x:v>
      </x:c>
      <x:c r="AK134" s="79"/>
    </x:row>
    <x:row r="135">
      <x:c r="A135" s="79" t="s">
        <x:v>766</x:v>
      </x:c>
      <x:c r="B135" s="79" t="s">
        <x:v>175</x:v>
      </x:c>
      <x:c r="C135" s="79" t="s">
        <x:v>767</x:v>
      </x:c>
      <x:c r="D135" s="79" t="s">
        <x:v>727</x:v>
      </x:c>
      <x:c r="E135" s="79" t="s">
        <x:v>172</x:v>
      </x:c>
      <x:c r="F135" s="79" t="s">
        <x:v>730</x:v>
      </x:c>
      <x:c r="G135" s="79" t="n">
        <x:f>IF(RIGHT($A135,2)="-2",INDEX('قیمت ها'!$E:$E,$J135+2),INDEX('قیمت ها'!$B:$B,$J135+2))</x:f>
        <x:v>80</x:v>
      </x:c>
      <x:c r="H135" s="110">
        <x:f t="shared" si="4"/>
        <x:v>80000</x:v>
      </x:c>
      <x:c r="I135" s="79" t="str">
        <x:f t="shared" si="5"/>
        <x:v>فعال</x:v>
      </x:c>
      <x:c r="J135" s="79">
        <x:v>124</x:v>
      </x:c>
      <x:c r="K135" s="79" t="s">
        <x:v>766</x:v>
      </x:c>
      <x:c r="L135" s="79"/>
      <x:c r="M135" s="79"/>
      <x:c r="N135" s="79"/>
      <x:c r="O135" s="79"/>
      <x:c r="P135" s="79"/>
      <x:c r="Q135" s="79"/>
      <x:c r="R135" s="79"/>
      <x:c r="S135" s="79"/>
      <x:c r="T135" s="79"/>
      <x:c r="U135" s="79"/>
      <x:c r="V135" s="79"/>
      <x:c r="W135" s="79"/>
      <x:c r="X135" s="79"/>
      <x:c r="Y135" s="79"/>
      <x:c r="Z135" s="79"/>
      <x:c r="AA135" s="79" t="str">
        <x:f>IF(AND(LEN($N$2)&gt;=3,ISNUMBER(SEARCH($N$2,$B135))),MAX($AA$1:AA134)+1,"")</x:f>
      </x:c>
      <x:c r="AB135" s="79" t="str">
        <x:v>6a2d446d45c164ce6f28ae30</x:v>
      </x:c>
      <x:c r="AC135" s="79" t="str">
        <x:v>روغن</x:v>
      </x:c>
      <x:c r="AD135" s="79" t="str">
        <x:v>oil</x:v>
      </x:c>
      <x:c r="AE135" s="79" t="str">
        <x:v>EDIBLE</x:v>
      </x:c>
      <x:c r="AF135" s="79" t="str">
        <x:v>بله</x:v>
      </x:c>
      <x:c r="AG135" s="79" t="str">
        <x:v>بله</x:v>
      </x:c>
      <x:c r="AH135" s="79" t="n">
        <x:v>2</x:v>
      </x:c>
      <x:c r="AI135" s="79" t="str">
        <x:v>روغن اسطوخودوس</x:v>
      </x:c>
      <x:c r="AJ135" s="79" t="str">
        <x:v>روغن</x:v>
      </x:c>
      <x:c r="AK135" s="79"/>
    </x:row>
    <x:row r="136">
      <x:c r="A136" s="79" t="s">
        <x:v>768</x:v>
      </x:c>
      <x:c r="B136" s="79" t="s">
        <x:v>175</x:v>
      </x:c>
      <x:c r="C136" s="79" t="s">
        <x:v>769</x:v>
      </x:c>
      <x:c r="D136" s="79" t="s">
        <x:v>727</x:v>
      </x:c>
      <x:c r="E136" s="79" t="s">
        <x:v>173</x:v>
      </x:c>
      <x:c r="F136" s="79" t="s">
        <x:v>730</x:v>
      </x:c>
      <x:c r="G136" s="79" t="n">
        <x:f>IF(RIGHT($A136,2)="-2",INDEX('قیمت ها'!$E:$E,$J136+2),INDEX('قیمت ها'!$B:$B,$J136+2))</x:f>
        <x:v>150</x:v>
      </x:c>
      <x:c r="H136" s="110">
        <x:f t="shared" si="4"/>
        <x:v>150000</x:v>
      </x:c>
      <x:c r="I136" s="79" t="str">
        <x:f t="shared" si="5"/>
        <x:v>فعال</x:v>
      </x:c>
      <x:c r="J136" s="79">
        <x:v>124</x:v>
      </x:c>
      <x:c r="K136" s="79" t="s">
        <x:v>768</x:v>
      </x:c>
      <x:c r="L136" s="79"/>
      <x:c r="M136" s="79"/>
      <x:c r="N136" s="79"/>
      <x:c r="O136" s="79"/>
      <x:c r="P136" s="79"/>
      <x:c r="Q136" s="79"/>
      <x:c r="R136" s="79"/>
      <x:c r="S136" s="79"/>
      <x:c r="T136" s="79"/>
      <x:c r="U136" s="79"/>
      <x:c r="V136" s="79"/>
      <x:c r="W136" s="79"/>
      <x:c r="X136" s="79"/>
      <x:c r="Y136" s="79"/>
      <x:c r="Z136" s="79"/>
      <x:c r="AA136" s="79" t="str">
        <x:f>IF(AND(LEN($N$2)&gt;=3,ISNUMBER(SEARCH($N$2,$B136))),MAX($AA$1:AA135)+1,"")</x:f>
      </x:c>
      <x:c r="AB136" s="79" t="str">
        <x:v>6a2d446d45c164ce6f28ae30</x:v>
      </x:c>
      <x:c r="AC136" s="79" t="str">
        <x:v>روغن</x:v>
      </x:c>
      <x:c r="AD136" s="79" t="str">
        <x:v>oil</x:v>
      </x:c>
      <x:c r="AE136" s="79" t="str">
        <x:v>EDIBLE</x:v>
      </x:c>
      <x:c r="AF136" s="79" t="str">
        <x:v>بله</x:v>
      </x:c>
      <x:c r="AG136" s="79" t="str">
        <x:v>بله</x:v>
      </x:c>
      <x:c r="AH136" s="79" t="n">
        <x:v>2</x:v>
      </x:c>
      <x:c r="AI136" s="79" t="str">
        <x:v>روغن اسطوخودوس</x:v>
      </x:c>
      <x:c r="AJ136" s="79" t="str">
        <x:v>روغن</x:v>
      </x:c>
      <x:c r="AK136" s="79"/>
    </x:row>
    <x:row r="137">
      <x:c r="A137" s="79" t="s">
        <x:v>770</x:v>
      </x:c>
      <x:c r="B137" s="79" t="s">
        <x:v>176</x:v>
      </x:c>
      <x:c r="C137" s="79" t="s">
        <x:v>771</x:v>
      </x:c>
      <x:c r="D137" s="79" t="s">
        <x:v>727</x:v>
      </x:c>
      <x:c r="E137" s="79" t="s">
        <x:v>172</x:v>
      </x:c>
      <x:c r="F137" s="79" t="s">
        <x:v>730</x:v>
      </x:c>
      <x:c r="G137" s="79" t="n">
        <x:f>IF(RIGHT($A137,2)="-2",INDEX('قیمت ها'!$E:$E,$J137+2),INDEX('قیمت ها'!$B:$B,$J137+2))</x:f>
        <x:v>80</x:v>
      </x:c>
      <x:c r="H137" s="110">
        <x:f t="shared" si="4"/>
        <x:v>80000</x:v>
      </x:c>
      <x:c r="I137" s="79" t="str">
        <x:f t="shared" si="5"/>
        <x:v>فعال</x:v>
      </x:c>
      <x:c r="J137" s="79">
        <x:v>125</x:v>
      </x:c>
      <x:c r="K137" s="79" t="s">
        <x:v>770</x:v>
      </x:c>
      <x:c r="L137" s="79"/>
      <x:c r="M137" s="79"/>
      <x:c r="N137" s="79"/>
      <x:c r="O137" s="79"/>
      <x:c r="P137" s="79"/>
      <x:c r="Q137" s="79"/>
      <x:c r="R137" s="79"/>
      <x:c r="S137" s="79"/>
      <x:c r="T137" s="79"/>
      <x:c r="U137" s="79"/>
      <x:c r="V137" s="79"/>
      <x:c r="W137" s="79"/>
      <x:c r="X137" s="79"/>
      <x:c r="Y137" s="79"/>
      <x:c r="Z137" s="79"/>
      <x:c r="AA137" s="79" t="str">
        <x:f>IF(AND(LEN($N$2)&gt;=3,ISNUMBER(SEARCH($N$2,$B137))),MAX($AA$1:AA136)+1,"")</x:f>
      </x:c>
      <x:c r="AB137" s="79" t="str">
        <x:v>6a2d446d45c164ce6f28ae30</x:v>
      </x:c>
      <x:c r="AC137" s="79" t="str">
        <x:v>روغن</x:v>
      </x:c>
      <x:c r="AD137" s="79" t="str">
        <x:v>oil</x:v>
      </x:c>
      <x:c r="AE137" s="79" t="str">
        <x:v>EDIBLE</x:v>
      </x:c>
      <x:c r="AF137" s="79" t="str">
        <x:v>بله</x:v>
      </x:c>
      <x:c r="AG137" s="79" t="str">
        <x:v>بله</x:v>
      </x:c>
      <x:c r="AH137" s="79" t="n">
        <x:v>2</x:v>
      </x:c>
      <x:c r="AI137" s="79" t="str">
        <x:v>روغن اکالیپتوس</x:v>
      </x:c>
      <x:c r="AJ137" s="79" t="str">
        <x:v>روغن</x:v>
      </x:c>
      <x:c r="AK137" s="79"/>
    </x:row>
    <x:row r="138">
      <x:c r="A138" s="79" t="s">
        <x:v>772</x:v>
      </x:c>
      <x:c r="B138" s="79" t="s">
        <x:v>176</x:v>
      </x:c>
      <x:c r="C138" s="79" t="s">
        <x:v>773</x:v>
      </x:c>
      <x:c r="D138" s="79" t="s">
        <x:v>727</x:v>
      </x:c>
      <x:c r="E138" s="79" t="s">
        <x:v>173</x:v>
      </x:c>
      <x:c r="F138" s="79" t="s">
        <x:v>730</x:v>
      </x:c>
      <x:c r="G138" s="79" t="n">
        <x:f>IF(RIGHT($A138,2)="-2",INDEX('قیمت ها'!$E:$E,$J138+2),INDEX('قیمت ها'!$B:$B,$J138+2))</x:f>
        <x:v>150</x:v>
      </x:c>
      <x:c r="H138" s="110">
        <x:f t="shared" si="4"/>
        <x:v>150000</x:v>
      </x:c>
      <x:c r="I138" s="79" t="str">
        <x:f t="shared" si="5"/>
        <x:v>فعال</x:v>
      </x:c>
      <x:c r="J138" s="79">
        <x:v>125</x:v>
      </x:c>
      <x:c r="K138" s="79" t="s">
        <x:v>772</x:v>
      </x:c>
      <x:c r="L138" s="79"/>
      <x:c r="M138" s="79"/>
      <x:c r="N138" s="79"/>
      <x:c r="O138" s="79"/>
      <x:c r="P138" s="79"/>
      <x:c r="Q138" s="79"/>
      <x:c r="R138" s="79"/>
      <x:c r="S138" s="79"/>
      <x:c r="T138" s="79"/>
      <x:c r="U138" s="79"/>
      <x:c r="V138" s="79"/>
      <x:c r="W138" s="79"/>
      <x:c r="X138" s="79"/>
      <x:c r="Y138" s="79"/>
      <x:c r="Z138" s="79"/>
      <x:c r="AA138" s="79" t="str">
        <x:f>IF(AND(LEN($N$2)&gt;=3,ISNUMBER(SEARCH($N$2,$B138))),MAX($AA$1:AA137)+1,"")</x:f>
      </x:c>
      <x:c r="AB138" s="79" t="str">
        <x:v>6a2d446d45c164ce6f28ae30</x:v>
      </x:c>
      <x:c r="AC138" s="79" t="str">
        <x:v>روغن</x:v>
      </x:c>
      <x:c r="AD138" s="79" t="str">
        <x:v>oil</x:v>
      </x:c>
      <x:c r="AE138" s="79" t="str">
        <x:v>EDIBLE</x:v>
      </x:c>
      <x:c r="AF138" s="79" t="str">
        <x:v>بله</x:v>
      </x:c>
      <x:c r="AG138" s="79" t="str">
        <x:v>بله</x:v>
      </x:c>
      <x:c r="AH138" s="79" t="n">
        <x:v>2</x:v>
      </x:c>
      <x:c r="AI138" s="79" t="str">
        <x:v>روغن اکالیپتوس</x:v>
      </x:c>
      <x:c r="AJ138" s="79" t="str">
        <x:v>روغن</x:v>
      </x:c>
      <x:c r="AK138" s="79"/>
    </x:row>
    <x:row r="139">
      <x:c r="A139" s="79" t="s">
        <x:v>774</x:v>
      </x:c>
      <x:c r="B139" s="79" t="s">
        <x:v>174</x:v>
      </x:c>
      <x:c r="C139" s="79" t="s">
        <x:v>775</x:v>
      </x:c>
      <x:c r="D139" s="79" t="s">
        <x:v>727</x:v>
      </x:c>
      <x:c r="E139" s="79" t="s">
        <x:v>172</x:v>
      </x:c>
      <x:c r="F139" s="79" t="s">
        <x:v>730</x:v>
      </x:c>
      <x:c r="G139" s="79" t="n">
        <x:f>IF(RIGHT($A139,2)="-2",INDEX('قیمت ها'!$E:$E,$J139+2),INDEX('قیمت ها'!$B:$B,$J139+2))</x:f>
        <x:v>65</x:v>
      </x:c>
      <x:c r="H139" s="110">
        <x:f t="shared" si="4"/>
        <x:v>65000</x:v>
      </x:c>
      <x:c r="I139" s="79" t="str">
        <x:f t="shared" si="5"/>
        <x:v>فعال</x:v>
      </x:c>
      <x:c r="J139" s="79">
        <x:v>123</x:v>
      </x:c>
      <x:c r="K139" s="79" t="s">
        <x:v>774</x:v>
      </x:c>
      <x:c r="L139" s="79"/>
      <x:c r="M139" s="79"/>
      <x:c r="N139" s="79"/>
      <x:c r="O139" s="79"/>
      <x:c r="P139" s="79"/>
      <x:c r="Q139" s="79"/>
      <x:c r="R139" s="79"/>
      <x:c r="S139" s="79"/>
      <x:c r="T139" s="79"/>
      <x:c r="U139" s="79"/>
      <x:c r="V139" s="79"/>
      <x:c r="W139" s="79"/>
      <x:c r="X139" s="79"/>
      <x:c r="Y139" s="79"/>
      <x:c r="Z139" s="79"/>
      <x:c r="AA139" s="79" t="str">
        <x:f>IF(AND(LEN($N$2)&gt;=3,ISNUMBER(SEARCH($N$2,$B139))),MAX($AA$1:AA138)+1,"")</x:f>
      </x:c>
      <x:c r="AB139" s="79" t="str">
        <x:v>6a2d446d45c164ce6f28ae30</x:v>
      </x:c>
      <x:c r="AC139" s="79" t="str">
        <x:v>روغن</x:v>
      </x:c>
      <x:c r="AD139" s="79" t="str">
        <x:v>oil</x:v>
      </x:c>
      <x:c r="AE139" s="79" t="str">
        <x:v>EDIBLE</x:v>
      </x:c>
      <x:c r="AF139" s="79" t="str">
        <x:v>بله</x:v>
      </x:c>
      <x:c r="AG139" s="79" t="str">
        <x:v>بله</x:v>
      </x:c>
      <x:c r="AH139" s="79" t="n">
        <x:v>2</x:v>
      </x:c>
      <x:c r="AI139" s="79" t="str">
        <x:v>روغن ارده</x:v>
      </x:c>
      <x:c r="AJ139" s="79" t="str">
        <x:v>روغن</x:v>
      </x:c>
      <x:c r="AK139" s="79"/>
    </x:row>
    <x:row r="140">
      <x:c r="A140" s="79" t="s">
        <x:v>776</x:v>
      </x:c>
      <x:c r="B140" s="79" t="s">
        <x:v>174</x:v>
      </x:c>
      <x:c r="C140" s="79" t="s">
        <x:v>777</x:v>
      </x:c>
      <x:c r="D140" s="79" t="s">
        <x:v>727</x:v>
      </x:c>
      <x:c r="E140" s="79" t="s">
        <x:v>173</x:v>
      </x:c>
      <x:c r="F140" s="79" t="s">
        <x:v>730</x:v>
      </x:c>
      <x:c r="G140" s="79" t="n">
        <x:f>IF(RIGHT($A140,2)="-2",INDEX('قیمت ها'!$E:$E,$J140+2),INDEX('قیمت ها'!$B:$B,$J140+2))</x:f>
        <x:v>120</x:v>
      </x:c>
      <x:c r="H140" s="110">
        <x:f t="shared" si="4"/>
        <x:v>120000</x:v>
      </x:c>
      <x:c r="I140" s="79" t="str">
        <x:f t="shared" si="5"/>
        <x:v>فعال</x:v>
      </x:c>
      <x:c r="J140" s="79">
        <x:v>123</x:v>
      </x:c>
      <x:c r="K140" s="79" t="s">
        <x:v>776</x:v>
      </x:c>
      <x:c r="L140" s="79"/>
      <x:c r="M140" s="79"/>
      <x:c r="N140" s="79"/>
      <x:c r="O140" s="79"/>
      <x:c r="P140" s="79"/>
      <x:c r="Q140" s="79"/>
      <x:c r="R140" s="79"/>
      <x:c r="S140" s="79"/>
      <x:c r="T140" s="79"/>
      <x:c r="U140" s="79"/>
      <x:c r="V140" s="79"/>
      <x:c r="W140" s="79"/>
      <x:c r="X140" s="79"/>
      <x:c r="Y140" s="79"/>
      <x:c r="Z140" s="79"/>
      <x:c r="AA140" s="79" t="str">
        <x:f>IF(AND(LEN($N$2)&gt;=3,ISNUMBER(SEARCH($N$2,$B140))),MAX($AA$1:AA139)+1,"")</x:f>
      </x:c>
      <x:c r="AB140" s="79" t="str">
        <x:v>6a2d446d45c164ce6f28ae30</x:v>
      </x:c>
      <x:c r="AC140" s="79" t="str">
        <x:v>روغن</x:v>
      </x:c>
      <x:c r="AD140" s="79" t="str">
        <x:v>oil</x:v>
      </x:c>
      <x:c r="AE140" s="79" t="str">
        <x:v>EDIBLE</x:v>
      </x:c>
      <x:c r="AF140" s="79" t="str">
        <x:v>بله</x:v>
      </x:c>
      <x:c r="AG140" s="79" t="str">
        <x:v>بله</x:v>
      </x:c>
      <x:c r="AH140" s="79" t="n">
        <x:v>2</x:v>
      </x:c>
      <x:c r="AI140" s="79" t="str">
        <x:v>روغن ارده</x:v>
      </x:c>
      <x:c r="AJ140" s="79" t="str">
        <x:v>روغن</x:v>
      </x:c>
      <x:c r="AK140" s="79"/>
    </x:row>
    <x:row r="141">
      <x:c r="A141" s="79" t="s">
        <x:v>778</x:v>
      </x:c>
      <x:c r="B141" s="79" t="s">
        <x:v>187</x:v>
      </x:c>
      <x:c r="C141" s="79" t="s">
        <x:v>779</x:v>
      </x:c>
      <x:c r="D141" s="79" t="s">
        <x:v>727</x:v>
      </x:c>
      <x:c r="E141" s="79" t="s">
        <x:v>172</x:v>
      </x:c>
      <x:c r="F141" s="79" t="s">
        <x:v>730</x:v>
      </x:c>
      <x:c r="G141" s="79" t="n">
        <x:f>IF(RIGHT($A141,2)="-2",INDEX('قیمت ها'!$E:$E,$J141+2),INDEX('قیمت ها'!$B:$B,$J141+2))</x:f>
        <x:v>100</x:v>
      </x:c>
      <x:c r="H141" s="110">
        <x:f t="shared" si="4"/>
        <x:v>100000</x:v>
      </x:c>
      <x:c r="I141" s="79" t="str">
        <x:f t="shared" si="5"/>
        <x:v>فعال</x:v>
      </x:c>
      <x:c r="J141" s="79">
        <x:v>133</x:v>
      </x:c>
      <x:c r="K141" s="79" t="s">
        <x:v>778</x:v>
      </x:c>
      <x:c r="L141" s="79"/>
      <x:c r="M141" s="79"/>
      <x:c r="N141" s="79"/>
      <x:c r="O141" s="79"/>
      <x:c r="P141" s="79"/>
      <x:c r="Q141" s="79"/>
      <x:c r="R141" s="79"/>
      <x:c r="S141" s="79"/>
      <x:c r="T141" s="79"/>
      <x:c r="U141" s="79"/>
      <x:c r="V141" s="79"/>
      <x:c r="W141" s="79"/>
      <x:c r="X141" s="79"/>
      <x:c r="Y141" s="79"/>
      <x:c r="Z141" s="79"/>
      <x:c r="AA141" s="79" t="str">
        <x:f>IF(AND(LEN($N$2)&gt;=3,ISNUMBER(SEARCH($N$2,$B141))),MAX($AA$1:AA140)+1,"")</x:f>
      </x:c>
      <x:c r="AB141" s="79" t="str">
        <x:v>6a2d446d45c164ce6f28ae30</x:v>
      </x:c>
      <x:c r="AC141" s="79" t="str">
        <x:v>روغن</x:v>
      </x:c>
      <x:c r="AD141" s="79" t="str">
        <x:v>oil</x:v>
      </x:c>
      <x:c r="AE141" s="79" t="str">
        <x:v>EDIBLE</x:v>
      </x:c>
      <x:c r="AF141" s="79" t="str">
        <x:v>بله</x:v>
      </x:c>
      <x:c r="AG141" s="79" t="str">
        <x:v>بله</x:v>
      </x:c>
      <x:c r="AH141" s="79" t="n">
        <x:v>2</x:v>
      </x:c>
      <x:c r="AI141" s="79" t="str">
        <x:v>روغن آمله</x:v>
      </x:c>
      <x:c r="AJ141" s="79" t="str">
        <x:v>روغن</x:v>
      </x:c>
      <x:c r="AK141" s="79"/>
    </x:row>
    <x:row r="142">
      <x:c r="A142" s="79" t="s">
        <x:v>780</x:v>
      </x:c>
      <x:c r="B142" s="79" t="s">
        <x:v>187</x:v>
      </x:c>
      <x:c r="C142" s="79" t="s">
        <x:v>781</x:v>
      </x:c>
      <x:c r="D142" s="79" t="s">
        <x:v>727</x:v>
      </x:c>
      <x:c r="E142" s="79" t="s">
        <x:v>173</x:v>
      </x:c>
      <x:c r="F142" s="79" t="s">
        <x:v>730</x:v>
      </x:c>
      <x:c r="G142" s="79" t="n">
        <x:f>IF(RIGHT($A142,2)="-2",INDEX('قیمت ها'!$E:$E,$J142+2),INDEX('قیمت ها'!$B:$B,$J142+2))</x:f>
        <x:v>195</x:v>
      </x:c>
      <x:c r="H142" s="110">
        <x:f t="shared" si="4"/>
        <x:v>195000</x:v>
      </x:c>
      <x:c r="I142" s="79" t="str">
        <x:f t="shared" si="5"/>
        <x:v>فعال</x:v>
      </x:c>
      <x:c r="J142" s="79">
        <x:v>133</x:v>
      </x:c>
      <x:c r="K142" s="79" t="s">
        <x:v>780</x:v>
      </x:c>
      <x:c r="L142" s="79"/>
      <x:c r="M142" s="79"/>
      <x:c r="N142" s="79"/>
      <x:c r="O142" s="79"/>
      <x:c r="P142" s="79"/>
      <x:c r="Q142" s="79"/>
      <x:c r="R142" s="79"/>
      <x:c r="S142" s="79"/>
      <x:c r="T142" s="79"/>
      <x:c r="U142" s="79"/>
      <x:c r="V142" s="79"/>
      <x:c r="W142" s="79"/>
      <x:c r="X142" s="79"/>
      <x:c r="Y142" s="79"/>
      <x:c r="Z142" s="79"/>
      <x:c r="AA142" s="79" t="str">
        <x:f>IF(AND(LEN($N$2)&gt;=3,ISNUMBER(SEARCH($N$2,$B142))),MAX($AA$1:AA141)+1,"")</x:f>
      </x:c>
      <x:c r="AB142" s="79" t="str">
        <x:v>6a2d446d45c164ce6f28ae30</x:v>
      </x:c>
      <x:c r="AC142" s="79" t="str">
        <x:v>روغن</x:v>
      </x:c>
      <x:c r="AD142" s="79" t="str">
        <x:v>oil</x:v>
      </x:c>
      <x:c r="AE142" s="79" t="str">
        <x:v>EDIBLE</x:v>
      </x:c>
      <x:c r="AF142" s="79" t="str">
        <x:v>بله</x:v>
      </x:c>
      <x:c r="AG142" s="79" t="str">
        <x:v>بله</x:v>
      </x:c>
      <x:c r="AH142" s="79" t="n">
        <x:v>2</x:v>
      </x:c>
      <x:c r="AI142" s="79" t="str">
        <x:v>روغن آمله</x:v>
      </x:c>
      <x:c r="AJ142" s="79" t="str">
        <x:v>روغن</x:v>
      </x:c>
      <x:c r="AK142" s="79"/>
    </x:row>
    <x:row r="143">
      <x:c r="A143" s="79" t="s">
        <x:v>782</x:v>
      </x:c>
      <x:c r="B143" s="79" t="s">
        <x:v>188</x:v>
      </x:c>
      <x:c r="C143" s="79" t="s">
        <x:v>783</x:v>
      </x:c>
      <x:c r="D143" s="79" t="s">
        <x:v>727</x:v>
      </x:c>
      <x:c r="E143" s="79" t="s">
        <x:v>172</x:v>
      </x:c>
      <x:c r="F143" s="79" t="s">
        <x:v>730</x:v>
      </x:c>
      <x:c r="G143" s="79" t="n">
        <x:f>IF(RIGHT($A143,2)="-2",INDEX('قیمت ها'!$E:$E,$J143+2),INDEX('قیمت ها'!$B:$B,$J143+2))</x:f>
        <x:v>95</x:v>
      </x:c>
      <x:c r="H143" s="110">
        <x:f t="shared" si="4"/>
        <x:v>95000</x:v>
      </x:c>
      <x:c r="I143" s="79" t="str">
        <x:f t="shared" si="5"/>
        <x:v>فعال</x:v>
      </x:c>
      <x:c r="J143" s="79">
        <x:v>134</x:v>
      </x:c>
      <x:c r="K143" s="79" t="s">
        <x:v>782</x:v>
      </x:c>
      <x:c r="L143" s="79"/>
      <x:c r="M143" s="79"/>
      <x:c r="N143" s="79"/>
      <x:c r="O143" s="79"/>
      <x:c r="P143" s="79"/>
      <x:c r="Q143" s="79"/>
      <x:c r="R143" s="79"/>
      <x:c r="S143" s="79"/>
      <x:c r="T143" s="79"/>
      <x:c r="U143" s="79"/>
      <x:c r="V143" s="79"/>
      <x:c r="W143" s="79"/>
      <x:c r="X143" s="79"/>
      <x:c r="Y143" s="79"/>
      <x:c r="Z143" s="79"/>
      <x:c r="AA143" s="79" t="str">
        <x:f>IF(AND(LEN($N$2)&gt;=3,ISNUMBER(SEARCH($N$2,$B143))),MAX($AA$1:AA142)+1,"")</x:f>
      </x:c>
      <x:c r="AB143" s="79" t="str">
        <x:v>6a2d446d45c164ce6f28ae30</x:v>
      </x:c>
      <x:c r="AC143" s="79" t="str">
        <x:v>روغن</x:v>
      </x:c>
      <x:c r="AD143" s="79" t="str">
        <x:v>oil</x:v>
      </x:c>
      <x:c r="AE143" s="79" t="str">
        <x:v>EDIBLE</x:v>
      </x:c>
      <x:c r="AF143" s="79" t="str">
        <x:v>بله</x:v>
      </x:c>
      <x:c r="AG143" s="79" t="str">
        <x:v>بله</x:v>
      </x:c>
      <x:c r="AH143" s="79" t="n">
        <x:v>2</x:v>
      </x:c>
      <x:c r="AI143" s="79" t="str">
        <x:v>روغن آووکادو</x:v>
      </x:c>
      <x:c r="AJ143" s="79" t="str">
        <x:v>روغن</x:v>
      </x:c>
      <x:c r="AK143" s="79"/>
    </x:row>
    <x:row r="144">
      <x:c r="A144" s="79" t="s">
        <x:v>784</x:v>
      </x:c>
      <x:c r="B144" s="79" t="s">
        <x:v>188</x:v>
      </x:c>
      <x:c r="C144" s="79" t="s">
        <x:v>785</x:v>
      </x:c>
      <x:c r="D144" s="79" t="s">
        <x:v>727</x:v>
      </x:c>
      <x:c r="E144" s="79" t="s">
        <x:v>56</x:v>
      </x:c>
      <x:c r="F144" s="79" t="s">
        <x:v>739</x:v>
      </x:c>
      <x:c r="G144" s="79" t="str">
        <x:f>IF(RIGHT($A144,2)="-2",INDEX('قیمت ها'!$E:$E,$J144+2),INDEX('قیمت ها'!$B:$B,$J144+2))</x:f>
        <x:v>1/300</x:v>
      </x:c>
      <x:c r="H144" s="110">
        <x:f t="shared" si="4"/>
        <x:v>1300000</x:v>
      </x:c>
      <x:c r="I144" s="79" t="str">
        <x:f t="shared" si="5"/>
        <x:v>فعال</x:v>
      </x:c>
      <x:c r="J144" s="79">
        <x:v>135</x:v>
      </x:c>
      <x:c r="K144" s="79" t="s">
        <x:v>784</x:v>
      </x:c>
      <x:c r="L144" s="79"/>
      <x:c r="M144" s="79"/>
      <x:c r="N144" s="79"/>
      <x:c r="O144" s="79"/>
      <x:c r="P144" s="79"/>
      <x:c r="Q144" s="79"/>
      <x:c r="R144" s="79"/>
      <x:c r="S144" s="79"/>
      <x:c r="T144" s="79"/>
      <x:c r="U144" s="79"/>
      <x:c r="V144" s="79"/>
      <x:c r="W144" s="79"/>
      <x:c r="X144" s="79"/>
      <x:c r="Y144" s="79"/>
      <x:c r="Z144" s="79"/>
      <x:c r="AA144" s="79" t="str">
        <x:f>IF(AND(LEN($N$2)&gt;=3,ISNUMBER(SEARCH($N$2,$B144))),MAX($AA$1:AA143)+1,"")</x:f>
      </x:c>
      <x:c r="AB144" s="79" t="str">
        <x:v>6a2d446d45c164ce6f28ae30</x:v>
      </x:c>
      <x:c r="AC144" s="79" t="str">
        <x:v>روغن</x:v>
      </x:c>
      <x:c r="AD144" s="79" t="str">
        <x:v>oil</x:v>
      </x:c>
      <x:c r="AE144" s="79" t="str">
        <x:v>EDIBLE</x:v>
      </x:c>
      <x:c r="AF144" s="79" t="str">
        <x:v>بله</x:v>
      </x:c>
      <x:c r="AG144" s="79" t="str">
        <x:v>بله</x:v>
      </x:c>
      <x:c r="AH144" s="79" t="n">
        <x:v>2</x:v>
      </x:c>
      <x:c r="AI144" s="79" t="str">
        <x:v>روغن بابونه</x:v>
      </x:c>
      <x:c r="AJ144" s="79" t="str">
        <x:v>روغن</x:v>
      </x:c>
      <x:c r="AK144" s="79"/>
    </x:row>
    <x:row r="145">
      <x:c r="A145" s="79" t="s">
        <x:v>786</x:v>
      </x:c>
      <x:c r="B145" s="79" t="s">
        <x:v>188</x:v>
      </x:c>
      <x:c r="C145" s="79" t="s">
        <x:v>787</x:v>
      </x:c>
      <x:c r="D145" s="79" t="s">
        <x:v>727</x:v>
      </x:c>
      <x:c r="E145" s="79" t="s">
        <x:v>173</x:v>
      </x:c>
      <x:c r="F145" s="79" t="s">
        <x:v>730</x:v>
      </x:c>
      <x:c r="G145" s="79" t="n">
        <x:f>IF(RIGHT($A145,2)="-2",INDEX('قیمت ها'!$E:$E,$J145+2),INDEX('قیمت ها'!$B:$B,$J145+2))</x:f>
        <x:v>180</x:v>
      </x:c>
      <x:c r="H145" s="110">
        <x:f t="shared" si="4"/>
        <x:v>180000</x:v>
      </x:c>
      <x:c r="I145" s="79" t="str">
        <x:f t="shared" si="5"/>
        <x:v>فعال</x:v>
      </x:c>
      <x:c r="J145" s="79">
        <x:v>134</x:v>
      </x:c>
      <x:c r="K145" s="79" t="s">
        <x:v>786</x:v>
      </x:c>
      <x:c r="L145" s="79"/>
      <x:c r="M145" s="79"/>
      <x:c r="N145" s="79"/>
      <x:c r="O145" s="79"/>
      <x:c r="P145" s="79"/>
      <x:c r="Q145" s="79"/>
      <x:c r="R145" s="79"/>
      <x:c r="S145" s="79"/>
      <x:c r="T145" s="79"/>
      <x:c r="U145" s="79"/>
      <x:c r="V145" s="79"/>
      <x:c r="W145" s="79"/>
      <x:c r="X145" s="79"/>
      <x:c r="Y145" s="79"/>
      <x:c r="Z145" s="79"/>
      <x:c r="AA145" s="79" t="str">
        <x:f>IF(AND(LEN($N$2)&gt;=3,ISNUMBER(SEARCH($N$2,$B145))),MAX($AA$1:AA144)+1,"")</x:f>
      </x:c>
      <x:c r="AB145" s="79" t="str">
        <x:v>6a2d446d45c164ce6f28ae30</x:v>
      </x:c>
      <x:c r="AC145" s="79" t="str">
        <x:v>روغن</x:v>
      </x:c>
      <x:c r="AD145" s="79" t="str">
        <x:v>oil</x:v>
      </x:c>
      <x:c r="AE145" s="79" t="str">
        <x:v>EDIBLE</x:v>
      </x:c>
      <x:c r="AF145" s="79" t="str">
        <x:v>بله</x:v>
      </x:c>
      <x:c r="AG145" s="79" t="str">
        <x:v>بله</x:v>
      </x:c>
      <x:c r="AH145" s="79" t="n">
        <x:v>2</x:v>
      </x:c>
      <x:c r="AI145" s="79" t="str">
        <x:v>روغن آووکادو</x:v>
      </x:c>
      <x:c r="AJ145" s="79" t="str">
        <x:v>روغن</x:v>
      </x:c>
      <x:c r="AK145" s="79"/>
    </x:row>
    <x:row r="146">
      <x:c r="A146" s="79" t="s">
        <x:v>788</x:v>
      </x:c>
      <x:c r="B146" s="79" t="s">
        <x:v>188</x:v>
      </x:c>
      <x:c r="C146" s="79" t="s">
        <x:v>789</x:v>
      </x:c>
      <x:c r="D146" s="79" t="s">
        <x:v>727</x:v>
      </x:c>
      <x:c r="E146" s="79" t="s">
        <x:v>57</x:v>
      </x:c>
      <x:c r="F146" s="79" t="s">
        <x:v>739</x:v>
      </x:c>
      <x:c r="G146" s="79" t="str">
        <x:f>IF(RIGHT($A146,2)="-2",INDEX('قیمت ها'!$E:$E,$J146+2),INDEX('قیمت ها'!$B:$B,$J146+2))</x:f>
        <x:v>2/600</x:v>
      </x:c>
      <x:c r="H146" s="110">
        <x:f t="shared" si="4"/>
        <x:v>2600000</x:v>
      </x:c>
      <x:c r="I146" s="79" t="str">
        <x:f t="shared" si="5"/>
        <x:v>فعال</x:v>
      </x:c>
      <x:c r="J146" s="79">
        <x:v>135</x:v>
      </x:c>
      <x:c r="K146" s="79" t="s">
        <x:v>788</x:v>
      </x:c>
      <x:c r="L146" s="79"/>
      <x:c r="M146" s="79"/>
      <x:c r="N146" s="79"/>
      <x:c r="O146" s="79"/>
      <x:c r="P146" s="79"/>
      <x:c r="Q146" s="79"/>
      <x:c r="R146" s="79"/>
      <x:c r="S146" s="79"/>
      <x:c r="T146" s="79"/>
      <x:c r="U146" s="79"/>
      <x:c r="V146" s="79"/>
      <x:c r="W146" s="79"/>
      <x:c r="X146" s="79"/>
      <x:c r="Y146" s="79"/>
      <x:c r="Z146" s="79"/>
      <x:c r="AA146" s="79" t="str">
        <x:f>IF(AND(LEN($N$2)&gt;=3,ISNUMBER(SEARCH($N$2,$B146))),MAX($AA$1:AA145)+1,"")</x:f>
      </x:c>
      <x:c r="AB146" s="79" t="str">
        <x:v>6a2d446d45c164ce6f28ae30</x:v>
      </x:c>
      <x:c r="AC146" s="79" t="str">
        <x:v>روغن</x:v>
      </x:c>
      <x:c r="AD146" s="79" t="str">
        <x:v>oil</x:v>
      </x:c>
      <x:c r="AE146" s="79" t="str">
        <x:v>EDIBLE</x:v>
      </x:c>
      <x:c r="AF146" s="79" t="str">
        <x:v>بله</x:v>
      </x:c>
      <x:c r="AG146" s="79" t="str">
        <x:v>بله</x:v>
      </x:c>
      <x:c r="AH146" s="79" t="n">
        <x:v>2</x:v>
      </x:c>
      <x:c r="AI146" s="79" t="str">
        <x:v>روغن بابونه</x:v>
      </x:c>
      <x:c r="AJ146" s="79" t="str">
        <x:v>روغن</x:v>
      </x:c>
      <x:c r="AK146" s="79"/>
    </x:row>
    <x:row r="147">
      <x:c r="A147" s="79" t="s">
        <x:v>790</x:v>
      </x:c>
      <x:c r="B147" s="79" t="s">
        <x:v>191</x:v>
      </x:c>
      <x:c r="C147" s="79" t="s">
        <x:v>791</x:v>
      </x:c>
      <x:c r="D147" s="79" t="s">
        <x:v>727</x:v>
      </x:c>
      <x:c r="E147" s="79" t="s">
        <x:v>56</x:v>
      </x:c>
      <x:c r="F147" s="79" t="s">
        <x:v>739</x:v>
      </x:c>
      <x:c r="G147" s="79" t="str">
        <x:f>IF(RIGHT($A147,2)="-2",INDEX('قیمت ها'!$E:$E,$J147+2),INDEX('قیمت ها'!$B:$B,$J147+2))</x:f>
        <x:v>1/550</x:v>
      </x:c>
      <x:c r="H147" s="110">
        <x:f t="shared" si="4"/>
        <x:v>1550000</x:v>
      </x:c>
      <x:c r="I147" s="79" t="str">
        <x:f t="shared" si="5"/>
        <x:v>فعال</x:v>
      </x:c>
      <x:c r="J147" s="79">
        <x:v>136</x:v>
      </x:c>
      <x:c r="K147" s="79" t="s">
        <x:v>790</x:v>
      </x:c>
      <x:c r="L147" s="79"/>
      <x:c r="M147" s="79"/>
      <x:c r="N147" s="79"/>
      <x:c r="O147" s="79"/>
      <x:c r="P147" s="79"/>
      <x:c r="Q147" s="79"/>
      <x:c r="R147" s="79"/>
      <x:c r="S147" s="79"/>
      <x:c r="T147" s="79"/>
      <x:c r="U147" s="79"/>
      <x:c r="V147" s="79"/>
      <x:c r="W147" s="79"/>
      <x:c r="X147" s="79"/>
      <x:c r="Y147" s="79"/>
      <x:c r="Z147" s="79"/>
      <x:c r="AA147" s="79" t="str">
        <x:f>IF(AND(LEN($N$2)&gt;=3,ISNUMBER(SEARCH($N$2,$B147))),MAX($AA$1:AA146)+1,"")</x:f>
      </x:c>
      <x:c r="AB147" s="79" t="str">
        <x:v>6a2d446d45c164ce6f28ae30</x:v>
      </x:c>
      <x:c r="AC147" s="79" t="str">
        <x:v>روغن</x:v>
      </x:c>
      <x:c r="AD147" s="79" t="str">
        <x:v>oil</x:v>
      </x:c>
      <x:c r="AE147" s="79" t="str">
        <x:v>EDIBLE</x:v>
      </x:c>
      <x:c r="AF147" s="79" t="str">
        <x:v>بله</x:v>
      </x:c>
      <x:c r="AG147" s="79" t="str">
        <x:v>بله</x:v>
      </x:c>
      <x:c r="AH147" s="79" t="n">
        <x:v>2</x:v>
      </x:c>
      <x:c r="AI147" s="79" t="str">
        <x:v>روغن بادام تلخ</x:v>
      </x:c>
      <x:c r="AJ147" s="79" t="str">
        <x:v>روغن</x:v>
      </x:c>
      <x:c r="AK147" s="79" t="str">
        <x:v>MERGED</x:v>
      </x:c>
    </x:row>
    <x:row r="148">
      <x:c r="A148" s="79" t="s">
        <x:v>792</x:v>
      </x:c>
      <x:c r="B148" s="79" t="s">
        <x:v>191</x:v>
      </x:c>
      <x:c r="C148" s="79" t="s">
        <x:v>793</x:v>
      </x:c>
      <x:c r="D148" s="79" t="s">
        <x:v>727</x:v>
      </x:c>
      <x:c r="E148" s="79" t="s">
        <x:v>172</x:v>
      </x:c>
      <x:c r="F148" s="79" t="s">
        <x:v>730</x:v>
      </x:c>
      <x:c r="G148" s="79" t="n">
        <x:f>IF(RIGHT($A148,2)="-2",INDEX('قیمت ها'!$E:$E,$J148+2),INDEX('قیمت ها'!$B:$B,$J148+2))</x:f>
        <x:v>100</x:v>
      </x:c>
      <x:c r="H148" s="110">
        <x:f t="shared" si="4"/>
        <x:v>100000</x:v>
      </x:c>
      <x:c r="I148" s="79" t="str">
        <x:f t="shared" si="5"/>
        <x:v>فعال</x:v>
      </x:c>
      <x:c r="J148" s="79">
        <x:v>137</x:v>
      </x:c>
      <x:c r="K148" s="79" t="s">
        <x:v>792</x:v>
      </x:c>
      <x:c r="L148" s="79"/>
      <x:c r="M148" s="79"/>
      <x:c r="N148" s="79"/>
      <x:c r="O148" s="79"/>
      <x:c r="P148" s="79"/>
      <x:c r="Q148" s="79"/>
      <x:c r="R148" s="79"/>
      <x:c r="S148" s="79"/>
      <x:c r="T148" s="79"/>
      <x:c r="U148" s="79"/>
      <x:c r="V148" s="79"/>
      <x:c r="W148" s="79"/>
      <x:c r="X148" s="79"/>
      <x:c r="Y148" s="79"/>
      <x:c r="Z148" s="79"/>
      <x:c r="AA148" s="79" t="str">
        <x:f>IF(AND(LEN($N$2)&gt;=3,ISNUMBER(SEARCH($N$2,$B148))),MAX($AA$1:AA147)+1,"")</x:f>
      </x:c>
      <x:c r="AB148" s="79" t="str">
        <x:v>6a2d446d45c164ce6f28ae30</x:v>
      </x:c>
      <x:c r="AC148" s="79" t="str">
        <x:v>روغن</x:v>
      </x:c>
      <x:c r="AD148" s="79" t="str">
        <x:v>oil</x:v>
      </x:c>
      <x:c r="AE148" s="79" t="str">
        <x:v>EDIBLE</x:v>
      </x:c>
      <x:c r="AF148" s="79" t="str">
        <x:v>بله</x:v>
      </x:c>
      <x:c r="AG148" s="79" t="str">
        <x:v>بله</x:v>
      </x:c>
      <x:c r="AH148" s="79" t="n">
        <x:v>2</x:v>
      </x:c>
      <x:c r="AI148" s="79" t="str">
        <x:v>روغن بادام تلخ</x:v>
      </x:c>
      <x:c r="AJ148" s="79" t="str">
        <x:v>روغن</x:v>
      </x:c>
      <x:c r="AK148" s="79" t="str">
        <x:v>MERGED</x:v>
      </x:c>
    </x:row>
    <x:row r="149">
      <x:c r="A149" s="79" t="s">
        <x:v>794</x:v>
      </x:c>
      <x:c r="B149" s="79" t="s">
        <x:v>191</x:v>
      </x:c>
      <x:c r="C149" s="79" t="s">
        <x:v>795</x:v>
      </x:c>
      <x:c r="D149" s="79" t="s">
        <x:v>727</x:v>
      </x:c>
      <x:c r="E149" s="79" t="s">
        <x:v>57</x:v>
      </x:c>
      <x:c r="F149" s="79" t="s">
        <x:v>739</x:v>
      </x:c>
      <x:c r="G149" s="79" t="str">
        <x:f>IF(RIGHT($A149,2)="-2",INDEX('قیمت ها'!$E:$E,$J149+2),INDEX('قیمت ها'!$B:$B,$J149+2))</x:f>
        <x:v>3/100</x:v>
      </x:c>
      <x:c r="H149" s="110">
        <x:f t="shared" si="4"/>
        <x:v>3100000</x:v>
      </x:c>
      <x:c r="I149" s="79" t="str">
        <x:f t="shared" si="5"/>
        <x:v>فعال</x:v>
      </x:c>
      <x:c r="J149" s="79">
        <x:v>136</x:v>
      </x:c>
      <x:c r="K149" s="79" t="s">
        <x:v>794</x:v>
      </x:c>
      <x:c r="L149" s="79"/>
      <x:c r="M149" s="79"/>
      <x:c r="N149" s="79"/>
      <x:c r="O149" s="79"/>
      <x:c r="P149" s="79"/>
      <x:c r="Q149" s="79"/>
      <x:c r="R149" s="79"/>
      <x:c r="S149" s="79"/>
      <x:c r="T149" s="79"/>
      <x:c r="U149" s="79"/>
      <x:c r="V149" s="79"/>
      <x:c r="W149" s="79"/>
      <x:c r="X149" s="79"/>
      <x:c r="Y149" s="79"/>
      <x:c r="Z149" s="79"/>
      <x:c r="AA149" s="79" t="str">
        <x:f>IF(AND(LEN($N$2)&gt;=3,ISNUMBER(SEARCH($N$2,$B149))),MAX($AA$1:AA148)+1,"")</x:f>
      </x:c>
      <x:c r="AB149" s="79" t="str">
        <x:v>6a2d446d45c164ce6f28ae30</x:v>
      </x:c>
      <x:c r="AC149" s="79" t="str">
        <x:v>روغن</x:v>
      </x:c>
      <x:c r="AD149" s="79" t="str">
        <x:v>oil</x:v>
      </x:c>
      <x:c r="AE149" s="79" t="str">
        <x:v>EDIBLE</x:v>
      </x:c>
      <x:c r="AF149" s="79" t="str">
        <x:v>بله</x:v>
      </x:c>
      <x:c r="AG149" s="79" t="str">
        <x:v>بله</x:v>
      </x:c>
      <x:c r="AH149" s="79" t="n">
        <x:v>2</x:v>
      </x:c>
      <x:c r="AI149" s="79" t="str">
        <x:v>روغن بادام تلخ</x:v>
      </x:c>
      <x:c r="AJ149" s="79" t="str">
        <x:v>روغن</x:v>
      </x:c>
      <x:c r="AK149" s="79" t="str">
        <x:v>MERGED</x:v>
      </x:c>
    </x:row>
    <x:row r="150">
      <x:c r="A150" s="79" t="s">
        <x:v>796</x:v>
      </x:c>
      <x:c r="B150" s="79" t="s">
        <x:v>191</x:v>
      </x:c>
      <x:c r="C150" s="79" t="s">
        <x:v>797</x:v>
      </x:c>
      <x:c r="D150" s="79" t="s">
        <x:v>727</x:v>
      </x:c>
      <x:c r="E150" s="79" t="s">
        <x:v>173</x:v>
      </x:c>
      <x:c r="F150" s="79" t="s">
        <x:v>730</x:v>
      </x:c>
      <x:c r="G150" s="79" t="n">
        <x:f>IF(RIGHT($A150,2)="-2",INDEX('قیمت ها'!$E:$E,$J150+2),INDEX('قیمت ها'!$B:$B,$J150+2))</x:f>
        <x:v>195</x:v>
      </x:c>
      <x:c r="H150" s="110">
        <x:f t="shared" si="4"/>
        <x:v>195000</x:v>
      </x:c>
      <x:c r="I150" s="79" t="str">
        <x:f t="shared" si="5"/>
        <x:v>فعال</x:v>
      </x:c>
      <x:c r="J150" s="79">
        <x:v>137</x:v>
      </x:c>
      <x:c r="K150" s="79" t="s">
        <x:v>796</x:v>
      </x:c>
      <x:c r="L150" s="79"/>
      <x:c r="M150" s="79"/>
      <x:c r="N150" s="79"/>
      <x:c r="O150" s="79"/>
      <x:c r="P150" s="79"/>
      <x:c r="Q150" s="79"/>
      <x:c r="R150" s="79"/>
      <x:c r="S150" s="79"/>
      <x:c r="T150" s="79"/>
      <x:c r="U150" s="79"/>
      <x:c r="V150" s="79"/>
      <x:c r="W150" s="79"/>
      <x:c r="X150" s="79"/>
      <x:c r="Y150" s="79"/>
      <x:c r="Z150" s="79"/>
      <x:c r="AA150" s="79" t="str">
        <x:f>IF(AND(LEN($N$2)&gt;=3,ISNUMBER(SEARCH($N$2,$B150))),MAX($AA$1:AA149)+1,"")</x:f>
      </x:c>
      <x:c r="AB150" s="79" t="str">
        <x:v>6a2d446d45c164ce6f28ae30</x:v>
      </x:c>
      <x:c r="AC150" s="79" t="str">
        <x:v>روغن</x:v>
      </x:c>
      <x:c r="AD150" s="79" t="str">
        <x:v>oil</x:v>
      </x:c>
      <x:c r="AE150" s="79" t="str">
        <x:v>EDIBLE</x:v>
      </x:c>
      <x:c r="AF150" s="79" t="str">
        <x:v>بله</x:v>
      </x:c>
      <x:c r="AG150" s="79" t="str">
        <x:v>بله</x:v>
      </x:c>
      <x:c r="AH150" s="79" t="n">
        <x:v>2</x:v>
      </x:c>
      <x:c r="AI150" s="79" t="str">
        <x:v>روغن بادام تلخ</x:v>
      </x:c>
      <x:c r="AJ150" s="79" t="str">
        <x:v>روغن</x:v>
      </x:c>
      <x:c r="AK150" s="79" t="str">
        <x:v>MERGED</x:v>
      </x:c>
    </x:row>
    <x:row r="151">
      <x:c r="A151" s="79" t="s">
        <x:v>798</x:v>
      </x:c>
      <x:c r="B151" s="79" t="s">
        <x:v>194</x:v>
      </x:c>
      <x:c r="C151" s="79" t="s">
        <x:v>799</x:v>
      </x:c>
      <x:c r="D151" s="79" t="s">
        <x:v>727</x:v>
      </x:c>
      <x:c r="E151" s="79" t="s">
        <x:v>172</x:v>
      </x:c>
      <x:c r="F151" s="79" t="s">
        <x:v>730</x:v>
      </x:c>
      <x:c r="G151" s="79" t="n">
        <x:f>IF(RIGHT($A151,2)="-2",INDEX('قیمت ها'!$E:$E,$J151+2),INDEX('قیمت ها'!$B:$B,$J151+2))</x:f>
        <x:v>135</x:v>
      </x:c>
      <x:c r="H151" s="110">
        <x:f t="shared" si="4"/>
        <x:v>135000</x:v>
      </x:c>
      <x:c r="I151" s="79" t="str">
        <x:f t="shared" si="5"/>
        <x:v>فعال</x:v>
      </x:c>
      <x:c r="J151" s="79">
        <x:v>138</x:v>
      </x:c>
      <x:c r="K151" s="79" t="s">
        <x:v>798</x:v>
      </x:c>
      <x:c r="L151" s="79"/>
      <x:c r="M151" s="79"/>
      <x:c r="N151" s="79"/>
      <x:c r="O151" s="79"/>
      <x:c r="P151" s="79"/>
      <x:c r="Q151" s="79"/>
      <x:c r="R151" s="79"/>
      <x:c r="S151" s="79"/>
      <x:c r="T151" s="79"/>
      <x:c r="U151" s="79"/>
      <x:c r="V151" s="79"/>
      <x:c r="W151" s="79"/>
      <x:c r="X151" s="79"/>
      <x:c r="Y151" s="79"/>
      <x:c r="Z151" s="79"/>
      <x:c r="AA151" s="79" t="str">
        <x:f>IF(AND(LEN($N$2)&gt;=3,ISNUMBER(SEARCH($N$2,$B151))),MAX($AA$1:AA150)+1,"")</x:f>
      </x:c>
      <x:c r="AB151" s="79" t="str">
        <x:v>6a2d446d45c164ce6f28ae30</x:v>
      </x:c>
      <x:c r="AC151" s="79" t="str">
        <x:v>روغن</x:v>
      </x:c>
      <x:c r="AD151" s="79" t="str">
        <x:v>oil</x:v>
      </x:c>
      <x:c r="AE151" s="79" t="str">
        <x:v>EDIBLE</x:v>
      </x:c>
      <x:c r="AF151" s="79" t="str">
        <x:v>بله</x:v>
      </x:c>
      <x:c r="AG151" s="79" t="str">
        <x:v>بله</x:v>
      </x:c>
      <x:c r="AH151" s="79" t="n">
        <x:v>2</x:v>
      </x:c>
      <x:c r="AI151" s="79" t="str">
        <x:v>روغن بادام شیرین</x:v>
      </x:c>
      <x:c r="AJ151" s="79" t="str">
        <x:v>روغن</x:v>
      </x:c>
      <x:c r="AK151" s="79" t="str">
        <x:v>MERGED</x:v>
      </x:c>
    </x:row>
    <x:row r="152">
      <x:c r="A152" s="79" t="s">
        <x:v>800</x:v>
      </x:c>
      <x:c r="B152" s="79" t="s">
        <x:v>194</x:v>
      </x:c>
      <x:c r="C152" s="79" t="s">
        <x:v>801</x:v>
      </x:c>
      <x:c r="D152" s="79" t="s">
        <x:v>727</x:v>
      </x:c>
      <x:c r="E152" s="79" t="s">
        <x:v>173</x:v>
      </x:c>
      <x:c r="F152" s="79" t="s">
        <x:v>730</x:v>
      </x:c>
      <x:c r="G152" s="79" t="n">
        <x:f>IF(RIGHT($A152,2)="-2",INDEX('قیمت ها'!$E:$E,$J152+2),INDEX('قیمت ها'!$B:$B,$J152+2))</x:f>
        <x:v>260</x:v>
      </x:c>
      <x:c r="H152" s="110">
        <x:f t="shared" si="4"/>
        <x:v>260000</x:v>
      </x:c>
      <x:c r="I152" s="79" t="str">
        <x:f t="shared" si="5"/>
        <x:v>فعال</x:v>
      </x:c>
      <x:c r="J152" s="79">
        <x:v>138</x:v>
      </x:c>
      <x:c r="K152" s="79" t="s">
        <x:v>800</x:v>
      </x:c>
      <x:c r="L152" s="79"/>
      <x:c r="M152" s="79"/>
      <x:c r="N152" s="79"/>
      <x:c r="O152" s="79"/>
      <x:c r="P152" s="79"/>
      <x:c r="Q152" s="79"/>
      <x:c r="R152" s="79"/>
      <x:c r="S152" s="79"/>
      <x:c r="T152" s="79"/>
      <x:c r="U152" s="79"/>
      <x:c r="V152" s="79"/>
      <x:c r="W152" s="79"/>
      <x:c r="X152" s="79"/>
      <x:c r="Y152" s="79"/>
      <x:c r="Z152" s="79"/>
      <x:c r="AA152" s="79" t="str">
        <x:f>IF(AND(LEN($N$2)&gt;=3,ISNUMBER(SEARCH($N$2,$B152))),MAX($AA$1:AA151)+1,"")</x:f>
      </x:c>
      <x:c r="AB152" s="79" t="str">
        <x:v>6a2d446d45c164ce6f28ae30</x:v>
      </x:c>
      <x:c r="AC152" s="79" t="str">
        <x:v>روغن</x:v>
      </x:c>
      <x:c r="AD152" s="79" t="str">
        <x:v>oil</x:v>
      </x:c>
      <x:c r="AE152" s="79" t="str">
        <x:v>EDIBLE</x:v>
      </x:c>
      <x:c r="AF152" s="79" t="str">
        <x:v>بله</x:v>
      </x:c>
      <x:c r="AG152" s="79" t="str">
        <x:v>بله</x:v>
      </x:c>
      <x:c r="AH152" s="79" t="n">
        <x:v>2</x:v>
      </x:c>
      <x:c r="AI152" s="79" t="str">
        <x:v>روغن بادام شیرین</x:v>
      </x:c>
      <x:c r="AJ152" s="79" t="str">
        <x:v>روغن</x:v>
      </x:c>
      <x:c r="AK152" s="79" t="str">
        <x:v>MERGED</x:v>
      </x:c>
    </x:row>
    <x:row r="153">
      <x:c r="A153" s="79" t="s">
        <x:v>802</x:v>
      </x:c>
      <x:c r="B153" s="79" t="s">
        <x:v>196</x:v>
      </x:c>
      <x:c r="C153" s="79" t="s">
        <x:v>803</x:v>
      </x:c>
      <x:c r="D153" s="79" t="s">
        <x:v>727</x:v>
      </x:c>
      <x:c r="E153" s="79" t="s">
        <x:v>172</x:v>
      </x:c>
      <x:c r="F153" s="79" t="s">
        <x:v>730</x:v>
      </x:c>
      <x:c r="G153" s="79" t="n">
        <x:f>IF(RIGHT($A153,2)="-2",INDEX('قیمت ها'!$E:$E,$J153+2),INDEX('قیمت ها'!$B:$B,$J153+2))</x:f>
        <x:v>65</x:v>
      </x:c>
      <x:c r="H153" s="110">
        <x:f t="shared" si="4"/>
        <x:v>65000</x:v>
      </x:c>
      <x:c r="I153" s="79" t="str">
        <x:f t="shared" si="5"/>
        <x:v>فعال</x:v>
      </x:c>
      <x:c r="J153" s="79">
        <x:v>140</x:v>
      </x:c>
      <x:c r="K153" s="79" t="s">
        <x:v>802</x:v>
      </x:c>
      <x:c r="L153" s="79"/>
      <x:c r="M153" s="79"/>
      <x:c r="N153" s="79"/>
      <x:c r="O153" s="79"/>
      <x:c r="P153" s="79"/>
      <x:c r="Q153" s="79"/>
      <x:c r="R153" s="79"/>
      <x:c r="S153" s="79"/>
      <x:c r="T153" s="79"/>
      <x:c r="U153" s="79"/>
      <x:c r="V153" s="79"/>
      <x:c r="W153" s="79"/>
      <x:c r="X153" s="79"/>
      <x:c r="Y153" s="79"/>
      <x:c r="Z153" s="79"/>
      <x:c r="AA153" s="79" t="str">
        <x:f>IF(AND(LEN($N$2)&gt;=3,ISNUMBER(SEARCH($N$2,$B153))),MAX($AA$1:AA152)+1,"")</x:f>
      </x:c>
      <x:c r="AB153" s="79" t="str">
        <x:v>6a2d446d45c164ce6f28ae30</x:v>
      </x:c>
      <x:c r="AC153" s="79" t="str">
        <x:v>روغن</x:v>
      </x:c>
      <x:c r="AD153" s="79" t="str">
        <x:v>oil</x:v>
      </x:c>
      <x:c r="AE153" s="79" t="str">
        <x:v>EDIBLE</x:v>
      </x:c>
      <x:c r="AF153" s="79" t="str">
        <x:v>بله</x:v>
      </x:c>
      <x:c r="AG153" s="79" t="str">
        <x:v>بله</x:v>
      </x:c>
      <x:c r="AH153" s="79" t="n">
        <x:v>2</x:v>
      </x:c>
      <x:c r="AI153" s="79" t="str">
        <x:v>روغن بنفشه</x:v>
      </x:c>
      <x:c r="AJ153" s="79" t="str">
        <x:v>روغن</x:v>
      </x:c>
      <x:c r="AK153" s="79"/>
    </x:row>
    <x:row r="154">
      <x:c r="A154" s="79" t="s">
        <x:v>804</x:v>
      </x:c>
      <x:c r="B154" s="79" t="s">
        <x:v>196</x:v>
      </x:c>
      <x:c r="C154" s="79" t="s">
        <x:v>805</x:v>
      </x:c>
      <x:c r="D154" s="79" t="s">
        <x:v>727</x:v>
      </x:c>
      <x:c r="E154" s="79" t="s">
        <x:v>173</x:v>
      </x:c>
      <x:c r="F154" s="79" t="s">
        <x:v>730</x:v>
      </x:c>
      <x:c r="G154" s="79" t="n">
        <x:f>IF(RIGHT($A154,2)="-2",INDEX('قیمت ها'!$E:$E,$J154+2),INDEX('قیمت ها'!$B:$B,$J154+2))</x:f>
        <x:v>120</x:v>
      </x:c>
      <x:c r="H154" s="110">
        <x:f t="shared" si="4"/>
        <x:v>120000</x:v>
      </x:c>
      <x:c r="I154" s="79" t="str">
        <x:f t="shared" si="5"/>
        <x:v>فعال</x:v>
      </x:c>
      <x:c r="J154" s="79">
        <x:v>140</x:v>
      </x:c>
      <x:c r="K154" s="79" t="s">
        <x:v>804</x:v>
      </x:c>
      <x:c r="L154" s="79"/>
      <x:c r="M154" s="79"/>
      <x:c r="N154" s="79"/>
      <x:c r="O154" s="79"/>
      <x:c r="P154" s="79"/>
      <x:c r="Q154" s="79"/>
      <x:c r="R154" s="79"/>
      <x:c r="S154" s="79"/>
      <x:c r="T154" s="79"/>
      <x:c r="U154" s="79"/>
      <x:c r="V154" s="79"/>
      <x:c r="W154" s="79"/>
      <x:c r="X154" s="79"/>
      <x:c r="Y154" s="79"/>
      <x:c r="Z154" s="79"/>
      <x:c r="AA154" s="79" t="str">
        <x:f>IF(AND(LEN($N$2)&gt;=3,ISNUMBER(SEARCH($N$2,$B154))),MAX($AA$1:AA153)+1,"")</x:f>
      </x:c>
      <x:c r="AB154" s="79" t="str">
        <x:v>6a2d446d45c164ce6f28ae30</x:v>
      </x:c>
      <x:c r="AC154" s="79" t="str">
        <x:v>روغن</x:v>
      </x:c>
      <x:c r="AD154" s="79" t="str">
        <x:v>oil</x:v>
      </x:c>
      <x:c r="AE154" s="79" t="str">
        <x:v>EDIBLE</x:v>
      </x:c>
      <x:c r="AF154" s="79" t="str">
        <x:v>بله</x:v>
      </x:c>
      <x:c r="AG154" s="79" t="str">
        <x:v>بله</x:v>
      </x:c>
      <x:c r="AH154" s="79" t="n">
        <x:v>2</x:v>
      </x:c>
      <x:c r="AI154" s="79" t="str">
        <x:v>روغن بنفشه</x:v>
      </x:c>
      <x:c r="AJ154" s="79" t="str">
        <x:v>روغن</x:v>
      </x:c>
      <x:c r="AK154" s="79"/>
    </x:row>
    <x:row r="155">
      <x:c r="A155" s="79" t="s">
        <x:v>806</x:v>
      </x:c>
      <x:c r="B155" s="79" t="s">
        <x:v>197</x:v>
      </x:c>
      <x:c r="C155" s="79" t="s">
        <x:v>807</x:v>
      </x:c>
      <x:c r="D155" s="79" t="s">
        <x:v>727</x:v>
      </x:c>
      <x:c r="E155" s="79" t="s">
        <x:v>16</x:v>
      </x:c>
      <x:c r="F155" s="79" t="s">
        <x:v>16</x:v>
      </x:c>
      <x:c r="G155" s="79" t="n">
        <x:f>IF(RIGHT($A155,2)="-2",INDEX('قیمت ها'!$E:$E,$J155+2),INDEX('قیمت ها'!$B:$B,$J155+2))</x:f>
        <x:v>350</x:v>
      </x:c>
      <x:c r="H155" s="110">
        <x:f t="shared" si="4"/>
        <x:v>350000</x:v>
      </x:c>
      <x:c r="I155" s="79" t="str">
        <x:f t="shared" si="5"/>
        <x:v>فعال</x:v>
      </x:c>
      <x:c r="J155" s="79">
        <x:v>141</x:v>
      </x:c>
      <x:c r="K155" s="79" t="s">
        <x:v>806</x:v>
      </x:c>
      <x:c r="L155" s="79"/>
      <x:c r="M155" s="79"/>
      <x:c r="N155" s="79"/>
      <x:c r="O155" s="79"/>
      <x:c r="P155" s="79"/>
      <x:c r="Q155" s="79"/>
      <x:c r="R155" s="79"/>
      <x:c r="S155" s="79"/>
      <x:c r="T155" s="79"/>
      <x:c r="U155" s="79"/>
      <x:c r="V155" s="79"/>
      <x:c r="W155" s="79"/>
      <x:c r="X155" s="79"/>
      <x:c r="Y155" s="79"/>
      <x:c r="Z155" s="79"/>
      <x:c r="AA155" s="79" t="str">
        <x:f>IF(AND(LEN($N$2)&gt;=3,ISNUMBER(SEARCH($N$2,$B155))),MAX($AA$1:AA154)+1,"")</x:f>
      </x:c>
      <x:c r="AB155" s="79" t="str">
        <x:v>6a2d446d45c164ce6f28ae30</x:v>
      </x:c>
      <x:c r="AC155" s="79" t="str">
        <x:v>روغن</x:v>
      </x:c>
      <x:c r="AD155" s="79" t="str">
        <x:v>oil</x:v>
      </x:c>
      <x:c r="AE155" s="79" t="str">
        <x:v>EDIBLE</x:v>
      </x:c>
      <x:c r="AF155" s="79" t="str">
        <x:v>بله</x:v>
      </x:c>
      <x:c r="AG155" s="79" t="str">
        <x:v>بله</x:v>
      </x:c>
      <x:c r="AH155" s="79" t="n">
        <x:v>2</x:v>
      </x:c>
      <x:c r="AI155" s="79" t="str">
        <x:v>روغن پونه</x:v>
      </x:c>
      <x:c r="AJ155" s="79" t="str">
        <x:v>روغن</x:v>
      </x:c>
      <x:c r="AK155" s="79"/>
    </x:row>
    <x:row r="156">
      <x:c r="A156" s="79" t="s">
        <x:v>808</x:v>
      </x:c>
      <x:c r="B156" s="79" t="s">
        <x:v>198</x:v>
      </x:c>
      <x:c r="C156" s="79" t="s">
        <x:v>809</x:v>
      </x:c>
      <x:c r="D156" s="79" t="s">
        <x:v>727</x:v>
      </x:c>
      <x:c r="E156" s="79" t="s">
        <x:v>172</x:v>
      </x:c>
      <x:c r="F156" s="79" t="s">
        <x:v>730</x:v>
      </x:c>
      <x:c r="G156" s="79" t="n">
        <x:f>IF(RIGHT($A156,2)="-2",INDEX('قیمت ها'!$E:$E,$J156+2),INDEX('قیمت ها'!$B:$B,$J156+2))</x:f>
        <x:v>90</x:v>
      </x:c>
      <x:c r="H156" s="110">
        <x:f t="shared" si="4"/>
        <x:v>90000</x:v>
      </x:c>
      <x:c r="I156" s="79" t="str">
        <x:f t="shared" si="5"/>
        <x:v>فعال</x:v>
      </x:c>
      <x:c r="J156" s="79">
        <x:v>142</x:v>
      </x:c>
      <x:c r="K156" s="79" t="s">
        <x:v>808</x:v>
      </x:c>
      <x:c r="L156" s="79"/>
      <x:c r="M156" s="79"/>
      <x:c r="N156" s="79"/>
      <x:c r="O156" s="79"/>
      <x:c r="P156" s="79"/>
      <x:c r="Q156" s="79"/>
      <x:c r="R156" s="79"/>
      <x:c r="S156" s="79"/>
      <x:c r="T156" s="79"/>
      <x:c r="U156" s="79"/>
      <x:c r="V156" s="79"/>
      <x:c r="W156" s="79"/>
      <x:c r="X156" s="79"/>
      <x:c r="Y156" s="79"/>
      <x:c r="Z156" s="79"/>
      <x:c r="AA156" s="79" t="str">
        <x:f>IF(AND(LEN($N$2)&gt;=3,ISNUMBER(SEARCH($N$2,$B156))),MAX($AA$1:AA155)+1,"")</x:f>
      </x:c>
      <x:c r="AB156" s="79" t="str">
        <x:v>6a2d446d45c164ce6f28ae30</x:v>
      </x:c>
      <x:c r="AC156" s="79" t="str">
        <x:v>روغن</x:v>
      </x:c>
      <x:c r="AD156" s="79" t="str">
        <x:v>oil</x:v>
      </x:c>
      <x:c r="AE156" s="79" t="str">
        <x:v>EDIBLE</x:v>
      </x:c>
      <x:c r="AF156" s="79" t="str">
        <x:v>بله</x:v>
      </x:c>
      <x:c r="AG156" s="79" t="str">
        <x:v>بله</x:v>
      </x:c>
      <x:c r="AH156" s="79" t="n">
        <x:v>2</x:v>
      </x:c>
      <x:c r="AI156" s="79" t="str">
        <x:v>روغن ترخون</x:v>
      </x:c>
      <x:c r="AJ156" s="79" t="str">
        <x:v>روغن</x:v>
      </x:c>
      <x:c r="AK156" s="79"/>
    </x:row>
    <x:row r="157">
      <x:c r="A157" s="79" t="s">
        <x:v>810</x:v>
      </x:c>
      <x:c r="B157" s="79" t="s">
        <x:v>198</x:v>
      </x:c>
      <x:c r="C157" s="79" t="s">
        <x:v>811</x:v>
      </x:c>
      <x:c r="D157" s="79" t="s">
        <x:v>727</x:v>
      </x:c>
      <x:c r="E157" s="79" t="s">
        <x:v>173</x:v>
      </x:c>
      <x:c r="F157" s="79" t="s">
        <x:v>730</x:v>
      </x:c>
      <x:c r="G157" s="79" t="n">
        <x:f>IF(RIGHT($A157,2)="-2",INDEX('قیمت ها'!$E:$E,$J157+2),INDEX('قیمت ها'!$B:$B,$J157+2))</x:f>
        <x:v>170</x:v>
      </x:c>
      <x:c r="H157" s="110">
        <x:f t="shared" si="4"/>
        <x:v>170000</x:v>
      </x:c>
      <x:c r="I157" s="79" t="str">
        <x:f t="shared" si="5"/>
        <x:v>فعال</x:v>
      </x:c>
      <x:c r="J157" s="79">
        <x:v>142</x:v>
      </x:c>
      <x:c r="K157" s="79" t="s">
        <x:v>810</x:v>
      </x:c>
      <x:c r="L157" s="79"/>
      <x:c r="M157" s="79"/>
      <x:c r="N157" s="79"/>
      <x:c r="O157" s="79"/>
      <x:c r="P157" s="79"/>
      <x:c r="Q157" s="79"/>
      <x:c r="R157" s="79"/>
      <x:c r="S157" s="79"/>
      <x:c r="T157" s="79"/>
      <x:c r="U157" s="79"/>
      <x:c r="V157" s="79"/>
      <x:c r="W157" s="79"/>
      <x:c r="X157" s="79"/>
      <x:c r="Y157" s="79"/>
      <x:c r="Z157" s="79"/>
      <x:c r="AA157" s="79" t="str">
        <x:f>IF(AND(LEN($N$2)&gt;=3,ISNUMBER(SEARCH($N$2,$B157))),MAX($AA$1:AA156)+1,"")</x:f>
      </x:c>
      <x:c r="AB157" s="79" t="str">
        <x:v>6a2d446d45c164ce6f28ae30</x:v>
      </x:c>
      <x:c r="AC157" s="79" t="str">
        <x:v>روغن</x:v>
      </x:c>
      <x:c r="AD157" s="79" t="str">
        <x:v>oil</x:v>
      </x:c>
      <x:c r="AE157" s="79" t="str">
        <x:v>EDIBLE</x:v>
      </x:c>
      <x:c r="AF157" s="79" t="str">
        <x:v>بله</x:v>
      </x:c>
      <x:c r="AG157" s="79" t="str">
        <x:v>بله</x:v>
      </x:c>
      <x:c r="AH157" s="79" t="n">
        <x:v>2</x:v>
      </x:c>
      <x:c r="AI157" s="79" t="str">
        <x:v>روغن ترخون</x:v>
      </x:c>
      <x:c r="AJ157" s="79" t="str">
        <x:v>روغن</x:v>
      </x:c>
      <x:c r="AK157" s="79"/>
    </x:row>
    <x:row r="158">
      <x:c r="A158" s="79" t="s">
        <x:v>812</x:v>
      </x:c>
      <x:c r="B158" s="79" t="s">
        <x:v>199</x:v>
      </x:c>
      <x:c r="C158" s="79" t="s">
        <x:v>813</x:v>
      </x:c>
      <x:c r="D158" s="79" t="s">
        <x:v>727</x:v>
      </x:c>
      <x:c r="E158" s="79" t="s">
        <x:v>172</x:v>
      </x:c>
      <x:c r="F158" s="79" t="s">
        <x:v>730</x:v>
      </x:c>
      <x:c r="G158" s="79" t="n">
        <x:f>IF(RIGHT($A158,2)="-2",INDEX('قیمت ها'!$E:$E,$J158+2),INDEX('قیمت ها'!$B:$B,$J158+2))</x:f>
        <x:v>100</x:v>
      </x:c>
      <x:c r="H158" s="110">
        <x:f t="shared" si="4"/>
        <x:v>100000</x:v>
      </x:c>
      <x:c r="I158" s="79" t="str">
        <x:f t="shared" si="5"/>
        <x:v>فعال</x:v>
      </x:c>
      <x:c r="J158" s="79">
        <x:v>143</x:v>
      </x:c>
      <x:c r="K158" s="79" t="s">
        <x:v>812</x:v>
      </x:c>
      <x:c r="L158" s="79"/>
      <x:c r="M158" s="79"/>
      <x:c r="N158" s="79"/>
      <x:c r="O158" s="79"/>
      <x:c r="P158" s="79"/>
      <x:c r="Q158" s="79"/>
      <x:c r="R158" s="79"/>
      <x:c r="S158" s="79"/>
      <x:c r="T158" s="79"/>
      <x:c r="U158" s="79"/>
      <x:c r="V158" s="79"/>
      <x:c r="W158" s="79"/>
      <x:c r="X158" s="79"/>
      <x:c r="Y158" s="79"/>
      <x:c r="Z158" s="79"/>
      <x:c r="AA158" s="79" t="str">
        <x:f>IF(AND(LEN($N$2)&gt;=3,ISNUMBER(SEARCH($N$2,$B158))),MAX($AA$1:AA157)+1,"")</x:f>
      </x:c>
      <x:c r="AB158" s="79" t="str">
        <x:v>6a2d446d45c164ce6f28ae30</x:v>
      </x:c>
      <x:c r="AC158" s="79" t="str">
        <x:v>روغن</x:v>
      </x:c>
      <x:c r="AD158" s="79" t="str">
        <x:v>oil</x:v>
      </x:c>
      <x:c r="AE158" s="79" t="str">
        <x:v>EDIBLE</x:v>
      </x:c>
      <x:c r="AF158" s="79" t="str">
        <x:v>بله</x:v>
      </x:c>
      <x:c r="AG158" s="79" t="str">
        <x:v>خیر</x:v>
      </x:c>
      <x:c r="AH158" s="79" t="n">
        <x:v>1</x:v>
      </x:c>
      <x:c r="AI158" s="79" t="str">
        <x:v>روغن تقویت مو (ناب سرا)</x:v>
      </x:c>
      <x:c r="AJ158" s="79" t="str">
        <x:v>روغن</x:v>
      </x:c>
      <x:c r="AK158" s="79"/>
    </x:row>
    <x:row r="159">
      <x:c r="A159" s="79" t="s">
        <x:v>814</x:v>
      </x:c>
      <x:c r="B159" s="79" t="s">
        <x:v>199</x:v>
      </x:c>
      <x:c r="C159" s="79" t="s">
        <x:v>815</x:v>
      </x:c>
      <x:c r="D159" s="79" t="s">
        <x:v>727</x:v>
      </x:c>
      <x:c r="E159" s="79" t="s">
        <x:v>173</x:v>
      </x:c>
      <x:c r="F159" s="79" t="s">
        <x:v>730</x:v>
      </x:c>
      <x:c r="G159" s="79" t="n">
        <x:f>IF(RIGHT($A159,2)="-2",INDEX('قیمت ها'!$E:$E,$J159+2),INDEX('قیمت ها'!$B:$B,$J159+2))</x:f>
        <x:v>190</x:v>
      </x:c>
      <x:c r="H159" s="110">
        <x:f t="shared" si="4"/>
        <x:v>190000</x:v>
      </x:c>
      <x:c r="I159" s="79" t="str">
        <x:f t="shared" si="5"/>
        <x:v>فعال</x:v>
      </x:c>
      <x:c r="J159" s="79">
        <x:v>143</x:v>
      </x:c>
      <x:c r="K159" s="79" t="s">
        <x:v>814</x:v>
      </x:c>
      <x:c r="L159" s="79"/>
      <x:c r="M159" s="79"/>
      <x:c r="N159" s="79"/>
      <x:c r="O159" s="79"/>
      <x:c r="P159" s="79"/>
      <x:c r="Q159" s="79"/>
      <x:c r="R159" s="79"/>
      <x:c r="S159" s="79"/>
      <x:c r="T159" s="79"/>
      <x:c r="U159" s="79"/>
      <x:c r="V159" s="79"/>
      <x:c r="W159" s="79"/>
      <x:c r="X159" s="79"/>
      <x:c r="Y159" s="79"/>
      <x:c r="Z159" s="79"/>
      <x:c r="AA159" s="79" t="str">
        <x:f>IF(AND(LEN($N$2)&gt;=3,ISNUMBER(SEARCH($N$2,$B159))),MAX($AA$1:AA158)+1,"")</x:f>
      </x:c>
      <x:c r="AB159" s="79" t="str">
        <x:v>6a2d446d45c164ce6f28ae30</x:v>
      </x:c>
      <x:c r="AC159" s="79" t="str">
        <x:v>روغن</x:v>
      </x:c>
      <x:c r="AD159" s="79" t="str">
        <x:v>oil</x:v>
      </x:c>
      <x:c r="AE159" s="79" t="str">
        <x:v>EDIBLE</x:v>
      </x:c>
      <x:c r="AF159" s="79" t="str">
        <x:v>بله</x:v>
      </x:c>
      <x:c r="AG159" s="79" t="str">
        <x:v>خیر</x:v>
      </x:c>
      <x:c r="AH159" s="79" t="n">
        <x:v>1</x:v>
      </x:c>
      <x:c r="AI159" s="79" t="str">
        <x:v>روغن تقویت مو (ناب سرا)</x:v>
      </x:c>
      <x:c r="AJ159" s="79" t="str">
        <x:v>روغن</x:v>
      </x:c>
      <x:c r="AK159" s="79"/>
    </x:row>
    <x:row r="160">
      <x:c r="A160" s="79" t="s">
        <x:v>816</x:v>
      </x:c>
      <x:c r="B160" s="79" t="s">
        <x:v>200</x:v>
      </x:c>
      <x:c r="C160" s="79" t="s">
        <x:v>817</x:v>
      </x:c>
      <x:c r="D160" s="79" t="s">
        <x:v>727</x:v>
      </x:c>
      <x:c r="E160" s="79" t="s">
        <x:v>172</x:v>
      </x:c>
      <x:c r="F160" s="79" t="s">
        <x:v>730</x:v>
      </x:c>
      <x:c r="G160" s="79" t="n">
        <x:f>IF(RIGHT($A160,2)="-2",INDEX('قیمت ها'!$E:$E,$J160+2),INDEX('قیمت ها'!$B:$B,$J160+2))</x:f>
        <x:v>65</x:v>
      </x:c>
      <x:c r="H160" s="110">
        <x:f t="shared" si="4"/>
        <x:v>65000</x:v>
      </x:c>
      <x:c r="I160" s="79" t="str">
        <x:f t="shared" si="5"/>
        <x:v>فعال</x:v>
      </x:c>
      <x:c r="J160" s="79">
        <x:v>144</x:v>
      </x:c>
      <x:c r="K160" s="79" t="s">
        <x:v>816</x:v>
      </x:c>
      <x:c r="L160" s="79"/>
      <x:c r="M160" s="79"/>
      <x:c r="N160" s="79"/>
      <x:c r="O160" s="79"/>
      <x:c r="P160" s="79"/>
      <x:c r="Q160" s="79"/>
      <x:c r="R160" s="79"/>
      <x:c r="S160" s="79"/>
      <x:c r="T160" s="79"/>
      <x:c r="U160" s="79"/>
      <x:c r="V160" s="79"/>
      <x:c r="W160" s="79"/>
      <x:c r="X160" s="79"/>
      <x:c r="Y160" s="79"/>
      <x:c r="Z160" s="79"/>
      <x:c r="AA160" s="79" t="str">
        <x:f>IF(AND(LEN($N$2)&gt;=3,ISNUMBER(SEARCH($N$2,$B160))),MAX($AA$1:AA159)+1,"")</x:f>
      </x:c>
      <x:c r="AB160" s="79" t="str">
        <x:v>6a2d446d45c164ce6f28ae30</x:v>
      </x:c>
      <x:c r="AC160" s="79" t="str">
        <x:v>روغن</x:v>
      </x:c>
      <x:c r="AD160" s="79" t="str">
        <x:v>oil</x:v>
      </x:c>
      <x:c r="AE160" s="79" t="str">
        <x:v>EDIBLE</x:v>
      </x:c>
      <x:c r="AF160" s="79" t="str">
        <x:v>بله</x:v>
      </x:c>
      <x:c r="AG160" s="79" t="str">
        <x:v>بله</x:v>
      </x:c>
      <x:c r="AH160" s="79" t="n">
        <x:v>2</x:v>
      </x:c>
      <x:c r="AI160" s="79" t="str">
        <x:v>روغن جوانه گندم</x:v>
      </x:c>
      <x:c r="AJ160" s="79" t="str">
        <x:v>روغن</x:v>
      </x:c>
      <x:c r="AK160" s="79"/>
    </x:row>
    <x:row r="161">
      <x:c r="A161" s="79" t="s">
        <x:v>818</x:v>
      </x:c>
      <x:c r="B161" s="79" t="s">
        <x:v>200</x:v>
      </x:c>
      <x:c r="C161" s="79" t="s">
        <x:v>819</x:v>
      </x:c>
      <x:c r="D161" s="79" t="s">
        <x:v>727</x:v>
      </x:c>
      <x:c r="E161" s="79" t="s">
        <x:v>173</x:v>
      </x:c>
      <x:c r="F161" s="79" t="s">
        <x:v>730</x:v>
      </x:c>
      <x:c r="G161" s="79" t="n">
        <x:f>IF(RIGHT($A161,2)="-2",INDEX('قیمت ها'!$E:$E,$J161+2),INDEX('قیمت ها'!$B:$B,$J161+2))</x:f>
        <x:v>120</x:v>
      </x:c>
      <x:c r="H161" s="110">
        <x:f t="shared" si="4"/>
        <x:v>120000</x:v>
      </x:c>
      <x:c r="I161" s="79" t="str">
        <x:f t="shared" si="5"/>
        <x:v>فعال</x:v>
      </x:c>
      <x:c r="J161" s="79">
        <x:v>144</x:v>
      </x:c>
      <x:c r="K161" s="79" t="s">
        <x:v>818</x:v>
      </x:c>
      <x:c r="L161" s="79"/>
      <x:c r="M161" s="79"/>
      <x:c r="N161" s="79"/>
      <x:c r="O161" s="79"/>
      <x:c r="P161" s="79"/>
      <x:c r="Q161" s="79"/>
      <x:c r="R161" s="79"/>
      <x:c r="S161" s="79"/>
      <x:c r="T161" s="79"/>
      <x:c r="U161" s="79"/>
      <x:c r="V161" s="79"/>
      <x:c r="W161" s="79"/>
      <x:c r="X161" s="79"/>
      <x:c r="Y161" s="79"/>
      <x:c r="Z161" s="79"/>
      <x:c r="AA161" s="79" t="str">
        <x:f>IF(AND(LEN($N$2)&gt;=3,ISNUMBER(SEARCH($N$2,$B161))),MAX($AA$1:AA160)+1,"")</x:f>
      </x:c>
      <x:c r="AB161" s="79" t="str">
        <x:v>6a2d446d45c164ce6f28ae30</x:v>
      </x:c>
      <x:c r="AC161" s="79" t="str">
        <x:v>روغن</x:v>
      </x:c>
      <x:c r="AD161" s="79" t="str">
        <x:v>oil</x:v>
      </x:c>
      <x:c r="AE161" s="79" t="str">
        <x:v>EDIBLE</x:v>
      </x:c>
      <x:c r="AF161" s="79" t="str">
        <x:v>بله</x:v>
      </x:c>
      <x:c r="AG161" s="79" t="str">
        <x:v>بله</x:v>
      </x:c>
      <x:c r="AH161" s="79" t="n">
        <x:v>2</x:v>
      </x:c>
      <x:c r="AI161" s="79" t="str">
        <x:v>روغن جوانه گندم</x:v>
      </x:c>
      <x:c r="AJ161" s="79" t="str">
        <x:v>روغن</x:v>
      </x:c>
      <x:c r="AK161" s="79"/>
    </x:row>
    <x:row r="162">
      <x:c r="A162" s="79" t="s">
        <x:v>820</x:v>
      </x:c>
      <x:c r="B162" s="79" t="s">
        <x:v>201</x:v>
      </x:c>
      <x:c r="C162" s="79" t="s">
        <x:v>821</x:v>
      </x:c>
      <x:c r="D162" s="79" t="s">
        <x:v>727</x:v>
      </x:c>
      <x:c r="E162" s="79" t="s">
        <x:v>172</x:v>
      </x:c>
      <x:c r="F162" s="79" t="s">
        <x:v>730</x:v>
      </x:c>
      <x:c r="G162" s="79" t="n">
        <x:f>IF(RIGHT($A162,2)="-2",INDEX('قیمت ها'!$E:$E,$J162+2),INDEX('قیمت ها'!$B:$B,$J162+2))</x:f>
        <x:v>115</x:v>
      </x:c>
      <x:c r="H162" s="110">
        <x:f t="shared" si="4"/>
        <x:v>115000</x:v>
      </x:c>
      <x:c r="I162" s="79" t="str">
        <x:f t="shared" si="5"/>
        <x:v>فعال</x:v>
      </x:c>
      <x:c r="J162" s="79">
        <x:v>145</x:v>
      </x:c>
      <x:c r="K162" s="79" t="s">
        <x:v>820</x:v>
      </x:c>
      <x:c r="L162" s="79"/>
      <x:c r="M162" s="79"/>
      <x:c r="N162" s="79"/>
      <x:c r="O162" s="79"/>
      <x:c r="P162" s="79"/>
      <x:c r="Q162" s="79"/>
      <x:c r="R162" s="79"/>
      <x:c r="S162" s="79"/>
      <x:c r="T162" s="79"/>
      <x:c r="U162" s="79"/>
      <x:c r="V162" s="79"/>
      <x:c r="W162" s="79"/>
      <x:c r="X162" s="79"/>
      <x:c r="Y162" s="79"/>
      <x:c r="Z162" s="79"/>
      <x:c r="AA162" s="79" t="str">
        <x:f>IF(AND(LEN($N$2)&gt;=3,ISNUMBER(SEARCH($N$2,$B162))),MAX($AA$1:AA161)+1,"")</x:f>
      </x:c>
      <x:c r="AB162" s="79" t="str">
        <x:v>6a2d446d45c164ce6f28ae30</x:v>
      </x:c>
      <x:c r="AC162" s="79" t="str">
        <x:v>روغن</x:v>
      </x:c>
      <x:c r="AD162" s="79" t="str">
        <x:v>oil</x:v>
      </x:c>
      <x:c r="AE162" s="79" t="str">
        <x:v>EDIBLE</x:v>
      </x:c>
      <x:c r="AF162" s="79" t="str">
        <x:v>بله</x:v>
      </x:c>
      <x:c r="AG162" s="79" t="str">
        <x:v>بله</x:v>
      </x:c>
      <x:c r="AH162" s="79" t="n">
        <x:v>2</x:v>
      </x:c>
      <x:c r="AI162" s="79" t="str">
        <x:v>روغن جوجوبا</x:v>
      </x:c>
      <x:c r="AJ162" s="79" t="str">
        <x:v>روغن</x:v>
      </x:c>
      <x:c r="AK162" s="79"/>
    </x:row>
    <x:row r="163">
      <x:c r="A163" s="79" t="s">
        <x:v>822</x:v>
      </x:c>
      <x:c r="B163" s="79" t="s">
        <x:v>201</x:v>
      </x:c>
      <x:c r="C163" s="79" t="s">
        <x:v>823</x:v>
      </x:c>
      <x:c r="D163" s="79" t="s">
        <x:v>727</x:v>
      </x:c>
      <x:c r="E163" s="79" t="s">
        <x:v>173</x:v>
      </x:c>
      <x:c r="F163" s="79" t="s">
        <x:v>730</x:v>
      </x:c>
      <x:c r="G163" s="79" t="n">
        <x:f>IF(RIGHT($A163,2)="-2",INDEX('قیمت ها'!$E:$E,$J163+2),INDEX('قیمت ها'!$B:$B,$J163+2))</x:f>
        <x:v>220</x:v>
      </x:c>
      <x:c r="H163" s="110">
        <x:f t="shared" si="4"/>
        <x:v>220000</x:v>
      </x:c>
      <x:c r="I163" s="79" t="str">
        <x:f t="shared" si="5"/>
        <x:v>فعال</x:v>
      </x:c>
      <x:c r="J163" s="79">
        <x:v>145</x:v>
      </x:c>
      <x:c r="K163" s="79" t="s">
        <x:v>822</x:v>
      </x:c>
      <x:c r="L163" s="79"/>
      <x:c r="M163" s="79"/>
      <x:c r="N163" s="79"/>
      <x:c r="O163" s="79"/>
      <x:c r="P163" s="79"/>
      <x:c r="Q163" s="79"/>
      <x:c r="R163" s="79"/>
      <x:c r="S163" s="79"/>
      <x:c r="T163" s="79"/>
      <x:c r="U163" s="79"/>
      <x:c r="V163" s="79"/>
      <x:c r="W163" s="79"/>
      <x:c r="X163" s="79"/>
      <x:c r="Y163" s="79"/>
      <x:c r="Z163" s="79"/>
      <x:c r="AA163" s="79" t="str">
        <x:f>IF(AND(LEN($N$2)&gt;=3,ISNUMBER(SEARCH($N$2,$B163))),MAX($AA$1:AA162)+1,"")</x:f>
      </x:c>
      <x:c r="AB163" s="79" t="str">
        <x:v>6a2d446d45c164ce6f28ae30</x:v>
      </x:c>
      <x:c r="AC163" s="79" t="str">
        <x:v>روغن</x:v>
      </x:c>
      <x:c r="AD163" s="79" t="str">
        <x:v>oil</x:v>
      </x:c>
      <x:c r="AE163" s="79" t="str">
        <x:v>EDIBLE</x:v>
      </x:c>
      <x:c r="AF163" s="79" t="str">
        <x:v>بله</x:v>
      </x:c>
      <x:c r="AG163" s="79" t="str">
        <x:v>بله</x:v>
      </x:c>
      <x:c r="AH163" s="79" t="n">
        <x:v>2</x:v>
      </x:c>
      <x:c r="AI163" s="79" t="str">
        <x:v>روغن جوجوبا</x:v>
      </x:c>
      <x:c r="AJ163" s="79" t="str">
        <x:v>روغن</x:v>
      </x:c>
      <x:c r="AK163" s="79"/>
    </x:row>
    <x:row r="164">
      <x:c r="A164" s="79" t="s">
        <x:v>824</x:v>
      </x:c>
      <x:c r="B164" s="79" t="s">
        <x:v>202</x:v>
      </x:c>
      <x:c r="C164" s="79" t="s">
        <x:v>825</x:v>
      </x:c>
      <x:c r="D164" s="79" t="s">
        <x:v>727</x:v>
      </x:c>
      <x:c r="E164" s="79" t="s">
        <x:v>172</x:v>
      </x:c>
      <x:c r="F164" s="79" t="s">
        <x:v>730</x:v>
      </x:c>
      <x:c r="G164" s="79" t="n">
        <x:f>IF(RIGHT($A164,2)="-2",INDEX('قیمت ها'!$E:$E,$J164+2),INDEX('قیمت ها'!$B:$B,$J164+2))</x:f>
        <x:v>135</x:v>
      </x:c>
      <x:c r="H164" s="110">
        <x:f t="shared" si="4"/>
        <x:v>135000</x:v>
      </x:c>
      <x:c r="I164" s="79" t="str">
        <x:f t="shared" si="5"/>
        <x:v>فعال</x:v>
      </x:c>
      <x:c r="J164" s="79">
        <x:v>146</x:v>
      </x:c>
      <x:c r="K164" s="79" t="s">
        <x:v>824</x:v>
      </x:c>
      <x:c r="L164" s="79"/>
      <x:c r="M164" s="79"/>
      <x:c r="N164" s="79"/>
      <x:c r="O164" s="79"/>
      <x:c r="P164" s="79"/>
      <x:c r="Q164" s="79"/>
      <x:c r="R164" s="79"/>
      <x:c r="S164" s="79"/>
      <x:c r="T164" s="79"/>
      <x:c r="U164" s="79"/>
      <x:c r="V164" s="79"/>
      <x:c r="W164" s="79"/>
      <x:c r="X164" s="79"/>
      <x:c r="Y164" s="79"/>
      <x:c r="Z164" s="79"/>
      <x:c r="AA164" s="79" t="str">
        <x:f>IF(AND(LEN($N$2)&gt;=3,ISNUMBER(SEARCH($N$2,$B164))),MAX($AA$1:AA163)+1,"")</x:f>
      </x:c>
      <x:c r="AB164" s="79" t="str">
        <x:v>6a2d446d45c164ce6f28ae30</x:v>
      </x:c>
      <x:c r="AC164" s="79" t="str">
        <x:v>روغن</x:v>
      </x:c>
      <x:c r="AD164" s="79" t="str">
        <x:v>oil</x:v>
      </x:c>
      <x:c r="AE164" s="79" t="str">
        <x:v>EDIBLE</x:v>
      </x:c>
      <x:c r="AF164" s="79" t="str">
        <x:v>بله</x:v>
      </x:c>
      <x:c r="AG164" s="79" t="str">
        <x:v>بله</x:v>
      </x:c>
      <x:c r="AH164" s="79" t="n">
        <x:v>2</x:v>
      </x:c>
      <x:c r="AI164" s="79" t="str">
        <x:v>روغن حنظل</x:v>
      </x:c>
      <x:c r="AJ164" s="79" t="str">
        <x:v>روغن</x:v>
      </x:c>
      <x:c r="AK164" s="79"/>
    </x:row>
    <x:row r="165">
      <x:c r="A165" s="79" t="s">
        <x:v>826</x:v>
      </x:c>
      <x:c r="B165" s="79" t="s">
        <x:v>202</x:v>
      </x:c>
      <x:c r="C165" s="79" t="s">
        <x:v>827</x:v>
      </x:c>
      <x:c r="D165" s="79" t="s">
        <x:v>727</x:v>
      </x:c>
      <x:c r="E165" s="79" t="s">
        <x:v>173</x:v>
      </x:c>
      <x:c r="F165" s="79" t="s">
        <x:v>730</x:v>
      </x:c>
      <x:c r="G165" s="79" t="n">
        <x:f>IF(RIGHT($A165,2)="-2",INDEX('قیمت ها'!$E:$E,$J165+2),INDEX('قیمت ها'!$B:$B,$J165+2))</x:f>
        <x:v>260</x:v>
      </x:c>
      <x:c r="H165" s="110">
        <x:f t="shared" si="4"/>
        <x:v>260000</x:v>
      </x:c>
      <x:c r="I165" s="79" t="str">
        <x:f t="shared" si="5"/>
        <x:v>فعال</x:v>
      </x:c>
      <x:c r="J165" s="79">
        <x:v>146</x:v>
      </x:c>
      <x:c r="K165" s="79" t="s">
        <x:v>826</x:v>
      </x:c>
      <x:c r="L165" s="79"/>
      <x:c r="M165" s="79"/>
      <x:c r="N165" s="79"/>
      <x:c r="O165" s="79"/>
      <x:c r="P165" s="79"/>
      <x:c r="Q165" s="79"/>
      <x:c r="R165" s="79"/>
      <x:c r="S165" s="79"/>
      <x:c r="T165" s="79"/>
      <x:c r="U165" s="79"/>
      <x:c r="V165" s="79"/>
      <x:c r="W165" s="79"/>
      <x:c r="X165" s="79"/>
      <x:c r="Y165" s="79"/>
      <x:c r="Z165" s="79"/>
      <x:c r="AA165" s="79" t="str">
        <x:f>IF(AND(LEN($N$2)&gt;=3,ISNUMBER(SEARCH($N$2,$B165))),MAX($AA$1:AA164)+1,"")</x:f>
      </x:c>
      <x:c r="AB165" s="79" t="str">
        <x:v>6a2d446d45c164ce6f28ae30</x:v>
      </x:c>
      <x:c r="AC165" s="79" t="str">
        <x:v>روغن</x:v>
      </x:c>
      <x:c r="AD165" s="79" t="str">
        <x:v>oil</x:v>
      </x:c>
      <x:c r="AE165" s="79" t="str">
        <x:v>EDIBLE</x:v>
      </x:c>
      <x:c r="AF165" s="79" t="str">
        <x:v>بله</x:v>
      </x:c>
      <x:c r="AG165" s="79" t="str">
        <x:v>بله</x:v>
      </x:c>
      <x:c r="AH165" s="79" t="n">
        <x:v>2</x:v>
      </x:c>
      <x:c r="AI165" s="79" t="str">
        <x:v>روغن حنظل</x:v>
      </x:c>
      <x:c r="AJ165" s="79" t="str">
        <x:v>روغن</x:v>
      </x:c>
      <x:c r="AK165" s="79"/>
    </x:row>
    <x:row r="166">
      <x:c r="A166" s="79" t="s">
        <x:v>828</x:v>
      </x:c>
      <x:c r="B166" s="79" t="s">
        <x:v>203</x:v>
      </x:c>
      <x:c r="C166" s="79" t="s">
        <x:v>829</x:v>
      </x:c>
      <x:c r="D166" s="79" t="s">
        <x:v>727</x:v>
      </x:c>
      <x:c r="E166" s="79" t="s">
        <x:v>172</x:v>
      </x:c>
      <x:c r="F166" s="79" t="s">
        <x:v>730</x:v>
      </x:c>
      <x:c r="G166" s="79" t="n">
        <x:f>IF(RIGHT($A166,2)="-2",INDEX('قیمت ها'!$E:$E,$J166+2),INDEX('قیمت ها'!$B:$B,$J166+2))</x:f>
        <x:v>115</x:v>
      </x:c>
      <x:c r="H166" s="110">
        <x:f t="shared" si="4"/>
        <x:v>115000</x:v>
      </x:c>
      <x:c r="I166" s="79" t="str">
        <x:f t="shared" si="5"/>
        <x:v>فعال</x:v>
      </x:c>
      <x:c r="J166" s="79">
        <x:v>147</x:v>
      </x:c>
      <x:c r="K166" s="79" t="s">
        <x:v>828</x:v>
      </x:c>
      <x:c r="L166" s="79"/>
      <x:c r="M166" s="79"/>
      <x:c r="N166" s="79"/>
      <x:c r="O166" s="79"/>
      <x:c r="P166" s="79"/>
      <x:c r="Q166" s="79"/>
      <x:c r="R166" s="79"/>
      <x:c r="S166" s="79"/>
      <x:c r="T166" s="79"/>
      <x:c r="U166" s="79"/>
      <x:c r="V166" s="79"/>
      <x:c r="W166" s="79"/>
      <x:c r="X166" s="79"/>
      <x:c r="Y166" s="79"/>
      <x:c r="Z166" s="79"/>
      <x:c r="AA166" s="79" t="str">
        <x:f>IF(AND(LEN($N$2)&gt;=3,ISNUMBER(SEARCH($N$2,$B166))),MAX($AA$1:AA165)+1,"")</x:f>
      </x:c>
      <x:c r="AB166" s="79" t="str">
        <x:v>6a2d446d45c164ce6f28ae30</x:v>
      </x:c>
      <x:c r="AC166" s="79" t="str">
        <x:v>روغن</x:v>
      </x:c>
      <x:c r="AD166" s="79" t="str">
        <x:v>oil</x:v>
      </x:c>
      <x:c r="AE166" s="79" t="str">
        <x:v>EDIBLE</x:v>
      </x:c>
      <x:c r="AF166" s="79" t="str">
        <x:v>بله</x:v>
      </x:c>
      <x:c r="AG166" s="79" t="str">
        <x:v>بله</x:v>
      </x:c>
      <x:c r="AH166" s="79" t="n">
        <x:v>2</x:v>
      </x:c>
      <x:c r="AI166" s="79" t="str">
        <x:v>روغن خارمریم</x:v>
      </x:c>
      <x:c r="AJ166" s="79" t="str">
        <x:v>روغن</x:v>
      </x:c>
      <x:c r="AK166" s="79"/>
    </x:row>
    <x:row r="167">
      <x:c r="A167" s="79" t="s">
        <x:v>830</x:v>
      </x:c>
      <x:c r="B167" s="79" t="s">
        <x:v>203</x:v>
      </x:c>
      <x:c r="C167" s="79" t="s">
        <x:v>831</x:v>
      </x:c>
      <x:c r="D167" s="79" t="s">
        <x:v>727</x:v>
      </x:c>
      <x:c r="E167" s="79" t="s">
        <x:v>173</x:v>
      </x:c>
      <x:c r="F167" s="79" t="s">
        <x:v>730</x:v>
      </x:c>
      <x:c r="G167" s="79" t="n">
        <x:f>IF(RIGHT($A167,2)="-2",INDEX('قیمت ها'!$E:$E,$J167+2),INDEX('قیمت ها'!$B:$B,$J167+2))</x:f>
        <x:v>220</x:v>
      </x:c>
      <x:c r="H167" s="110">
        <x:f t="shared" si="4"/>
        <x:v>220000</x:v>
      </x:c>
      <x:c r="I167" s="79" t="str">
        <x:f t="shared" si="5"/>
        <x:v>فعال</x:v>
      </x:c>
      <x:c r="J167" s="79">
        <x:v>147</x:v>
      </x:c>
      <x:c r="K167" s="79" t="s">
        <x:v>830</x:v>
      </x:c>
      <x:c r="L167" s="79"/>
      <x:c r="M167" s="79"/>
      <x:c r="N167" s="79"/>
      <x:c r="O167" s="79"/>
      <x:c r="P167" s="79"/>
      <x:c r="Q167" s="79"/>
      <x:c r="R167" s="79"/>
      <x:c r="S167" s="79"/>
      <x:c r="T167" s="79"/>
      <x:c r="U167" s="79"/>
      <x:c r="V167" s="79"/>
      <x:c r="W167" s="79"/>
      <x:c r="X167" s="79"/>
      <x:c r="Y167" s="79"/>
      <x:c r="Z167" s="79"/>
      <x:c r="AA167" s="79" t="str">
        <x:f>IF(AND(LEN($N$2)&gt;=3,ISNUMBER(SEARCH($N$2,$B167))),MAX($AA$1:AA166)+1,"")</x:f>
      </x:c>
      <x:c r="AB167" s="79" t="str">
        <x:v>6a2d446d45c164ce6f28ae30</x:v>
      </x:c>
      <x:c r="AC167" s="79" t="str">
        <x:v>روغن</x:v>
      </x:c>
      <x:c r="AD167" s="79" t="str">
        <x:v>oil</x:v>
      </x:c>
      <x:c r="AE167" s="79" t="str">
        <x:v>EDIBLE</x:v>
      </x:c>
      <x:c r="AF167" s="79" t="str">
        <x:v>بله</x:v>
      </x:c>
      <x:c r="AG167" s="79" t="str">
        <x:v>بله</x:v>
      </x:c>
      <x:c r="AH167" s="79" t="n">
        <x:v>2</x:v>
      </x:c>
      <x:c r="AI167" s="79" t="str">
        <x:v>روغن خارمریم</x:v>
      </x:c>
      <x:c r="AJ167" s="79" t="str">
        <x:v>روغن</x:v>
      </x:c>
      <x:c r="AK167" s="79"/>
    </x:row>
    <x:row r="168">
      <x:c r="A168" s="79" t="s">
        <x:v>832</x:v>
      </x:c>
      <x:c r="B168" s="79" t="s">
        <x:v>204</x:v>
      </x:c>
      <x:c r="C168" s="79" t="s">
        <x:v>833</x:v>
      </x:c>
      <x:c r="D168" s="79" t="s">
        <x:v>727</x:v>
      </x:c>
      <x:c r="E168" s="79" t="s">
        <x:v>172</x:v>
      </x:c>
      <x:c r="F168" s="79" t="s">
        <x:v>730</x:v>
      </x:c>
      <x:c r="G168" s="79" t="n">
        <x:f>IF(RIGHT($A168,2)="-2",INDEX('قیمت ها'!$E:$E,$J168+2),INDEX('قیمت ها'!$B:$B,$J168+2))</x:f>
        <x:v>100</x:v>
      </x:c>
      <x:c r="H168" s="110">
        <x:f t="shared" si="4"/>
        <x:v>100000</x:v>
      </x:c>
      <x:c r="I168" s="79" t="str">
        <x:f t="shared" si="5"/>
        <x:v>فعال</x:v>
      </x:c>
      <x:c r="J168" s="79">
        <x:v>148</x:v>
      </x:c>
      <x:c r="K168" s="79" t="s">
        <x:v>832</x:v>
      </x:c>
      <x:c r="L168" s="79"/>
      <x:c r="M168" s="79"/>
      <x:c r="N168" s="79"/>
      <x:c r="O168" s="79"/>
      <x:c r="P168" s="79"/>
      <x:c r="Q168" s="79"/>
      <x:c r="R168" s="79"/>
      <x:c r="S168" s="79"/>
      <x:c r="T168" s="79"/>
      <x:c r="U168" s="79"/>
      <x:c r="V168" s="79"/>
      <x:c r="W168" s="79"/>
      <x:c r="X168" s="79"/>
      <x:c r="Y168" s="79"/>
      <x:c r="Z168" s="79"/>
      <x:c r="AA168" s="79" t="str">
        <x:f>IF(AND(LEN($N$2)&gt;=3,ISNUMBER(SEARCH($N$2,$B168))),MAX($AA$1:AA167)+1,"")</x:f>
      </x:c>
      <x:c r="AB168" s="79" t="str">
        <x:v>6a2d446d45c164ce6f28ae30</x:v>
      </x:c>
      <x:c r="AC168" s="79" t="str">
        <x:v>روغن</x:v>
      </x:c>
      <x:c r="AD168" s="79" t="str">
        <x:v>oil</x:v>
      </x:c>
      <x:c r="AE168" s="79" t="str">
        <x:v>EDIBLE</x:v>
      </x:c>
      <x:c r="AF168" s="79" t="str">
        <x:v>بله</x:v>
      </x:c>
      <x:c r="AG168" s="79" t="str">
        <x:v>بله</x:v>
      </x:c>
      <x:c r="AH168" s="79" t="n">
        <x:v>2</x:v>
      </x:c>
      <x:c r="AI168" s="79" t="str">
        <x:v>روغن خراطین</x:v>
      </x:c>
      <x:c r="AJ168" s="79" t="str">
        <x:v>روغن</x:v>
      </x:c>
      <x:c r="AK168" s="79"/>
    </x:row>
    <x:row r="169">
      <x:c r="A169" s="79" t="s">
        <x:v>834</x:v>
      </x:c>
      <x:c r="B169" s="79" t="s">
        <x:v>204</x:v>
      </x:c>
      <x:c r="C169" s="79" t="s">
        <x:v>835</x:v>
      </x:c>
      <x:c r="D169" s="79" t="s">
        <x:v>727</x:v>
      </x:c>
      <x:c r="E169" s="79" t="s">
        <x:v>173</x:v>
      </x:c>
      <x:c r="F169" s="79" t="s">
        <x:v>730</x:v>
      </x:c>
      <x:c r="G169" s="79" t="n">
        <x:f>IF(RIGHT($A169,2)="-2",INDEX('قیمت ها'!$E:$E,$J169+2),INDEX('قیمت ها'!$B:$B,$J169+2))</x:f>
        <x:v>195</x:v>
      </x:c>
      <x:c r="H169" s="110">
        <x:f t="shared" si="4"/>
        <x:v>195000</x:v>
      </x:c>
      <x:c r="I169" s="79" t="str">
        <x:f t="shared" si="5"/>
        <x:v>فعال</x:v>
      </x:c>
      <x:c r="J169" s="79">
        <x:v>148</x:v>
      </x:c>
      <x:c r="K169" s="79" t="s">
        <x:v>834</x:v>
      </x:c>
      <x:c r="L169" s="79"/>
      <x:c r="M169" s="79"/>
      <x:c r="N169" s="79"/>
      <x:c r="O169" s="79"/>
      <x:c r="P169" s="79"/>
      <x:c r="Q169" s="79"/>
      <x:c r="R169" s="79"/>
      <x:c r="S169" s="79"/>
      <x:c r="T169" s="79"/>
      <x:c r="U169" s="79"/>
      <x:c r="V169" s="79"/>
      <x:c r="W169" s="79"/>
      <x:c r="X169" s="79"/>
      <x:c r="Y169" s="79"/>
      <x:c r="Z169" s="79"/>
      <x:c r="AA169" s="79" t="str">
        <x:f>IF(AND(LEN($N$2)&gt;=3,ISNUMBER(SEARCH($N$2,$B169))),MAX($AA$1:AA168)+1,"")</x:f>
      </x:c>
      <x:c r="AB169" s="79" t="str">
        <x:v>6a2d446d45c164ce6f28ae30</x:v>
      </x:c>
      <x:c r="AC169" s="79" t="str">
        <x:v>روغن</x:v>
      </x:c>
      <x:c r="AD169" s="79" t="str">
        <x:v>oil</x:v>
      </x:c>
      <x:c r="AE169" s="79" t="str">
        <x:v>EDIBLE</x:v>
      </x:c>
      <x:c r="AF169" s="79" t="str">
        <x:v>بله</x:v>
      </x:c>
      <x:c r="AG169" s="79" t="str">
        <x:v>بله</x:v>
      </x:c>
      <x:c r="AH169" s="79" t="n">
        <x:v>2</x:v>
      </x:c>
      <x:c r="AI169" s="79" t="str">
        <x:v>روغن خراطین</x:v>
      </x:c>
      <x:c r="AJ169" s="79" t="str">
        <x:v>روغن</x:v>
      </x:c>
      <x:c r="AK169" s="79"/>
    </x:row>
    <x:row r="170">
      <x:c r="A170" s="79" t="s">
        <x:v>836</x:v>
      </x:c>
      <x:c r="B170" s="79" t="s">
        <x:v>205</x:v>
      </x:c>
      <x:c r="C170" s="79" t="s">
        <x:v>837</x:v>
      </x:c>
      <x:c r="D170" s="79" t="s">
        <x:v>727</x:v>
      </x:c>
      <x:c r="E170" s="79" t="s">
        <x:v>172</x:v>
      </x:c>
      <x:c r="F170" s="79" t="s">
        <x:v>730</x:v>
      </x:c>
      <x:c r="G170" s="79" t="n">
        <x:f>IF(RIGHT($A170,2)="-2",INDEX('قیمت ها'!$E:$E,$J170+2),INDEX('قیمت ها'!$B:$B,$J170+2))</x:f>
        <x:v>95</x:v>
      </x:c>
      <x:c r="H170" s="110">
        <x:f t="shared" si="4"/>
        <x:v>95000</x:v>
      </x:c>
      <x:c r="I170" s="79" t="str">
        <x:f t="shared" si="5"/>
        <x:v>فعال</x:v>
      </x:c>
      <x:c r="J170" s="79">
        <x:v>149</x:v>
      </x:c>
      <x:c r="K170" s="79" t="s">
        <x:v>836</x:v>
      </x:c>
      <x:c r="L170" s="79"/>
      <x:c r="M170" s="79"/>
      <x:c r="N170" s="79"/>
      <x:c r="O170" s="79"/>
      <x:c r="P170" s="79"/>
      <x:c r="Q170" s="79"/>
      <x:c r="R170" s="79"/>
      <x:c r="S170" s="79"/>
      <x:c r="T170" s="79"/>
      <x:c r="U170" s="79"/>
      <x:c r="V170" s="79"/>
      <x:c r="W170" s="79"/>
      <x:c r="X170" s="79"/>
      <x:c r="Y170" s="79"/>
      <x:c r="Z170" s="79"/>
      <x:c r="AA170" s="79" t="str">
        <x:f>IF(AND(LEN($N$2)&gt;=3,ISNUMBER(SEARCH($N$2,$B170))),MAX($AA$1:AA169)+1,"")</x:f>
      </x:c>
      <x:c r="AB170" s="79" t="str">
        <x:v>6a2d446d45c164ce6f28ae30</x:v>
      </x:c>
      <x:c r="AC170" s="79" t="str">
        <x:v>روغن</x:v>
      </x:c>
      <x:c r="AD170" s="79" t="str">
        <x:v>oil</x:v>
      </x:c>
      <x:c r="AE170" s="79" t="str">
        <x:v>EDIBLE</x:v>
      </x:c>
      <x:c r="AF170" s="79" t="str">
        <x:v>بله</x:v>
      </x:c>
      <x:c r="AG170" s="79" t="str">
        <x:v>بله</x:v>
      </x:c>
      <x:c r="AH170" s="79" t="n">
        <x:v>2</x:v>
      </x:c>
      <x:c r="AI170" s="79" t="str">
        <x:v>روغن خشخاش</x:v>
      </x:c>
      <x:c r="AJ170" s="79" t="str">
        <x:v>روغن</x:v>
      </x:c>
      <x:c r="AK170" s="79"/>
    </x:row>
    <x:row r="171">
      <x:c r="A171" s="79" t="s">
        <x:v>838</x:v>
      </x:c>
      <x:c r="B171" s="79" t="s">
        <x:v>205</x:v>
      </x:c>
      <x:c r="C171" s="79" t="s">
        <x:v>839</x:v>
      </x:c>
      <x:c r="D171" s="79" t="s">
        <x:v>727</x:v>
      </x:c>
      <x:c r="E171" s="79" t="s">
        <x:v>173</x:v>
      </x:c>
      <x:c r="F171" s="79" t="s">
        <x:v>730</x:v>
      </x:c>
      <x:c r="G171" s="79" t="n">
        <x:f>IF(RIGHT($A171,2)="-2",INDEX('قیمت ها'!$E:$E,$J171+2),INDEX('قیمت ها'!$B:$B,$J171+2))</x:f>
        <x:v>185</x:v>
      </x:c>
      <x:c r="H171" s="110">
        <x:f t="shared" si="4"/>
        <x:v>185000</x:v>
      </x:c>
      <x:c r="I171" s="79" t="str">
        <x:f t="shared" si="5"/>
        <x:v>فعال</x:v>
      </x:c>
      <x:c r="J171" s="79">
        <x:v>149</x:v>
      </x:c>
      <x:c r="K171" s="79" t="s">
        <x:v>838</x:v>
      </x:c>
      <x:c r="L171" s="79"/>
      <x:c r="M171" s="79"/>
      <x:c r="N171" s="79"/>
      <x:c r="O171" s="79"/>
      <x:c r="P171" s="79"/>
      <x:c r="Q171" s="79"/>
      <x:c r="R171" s="79"/>
      <x:c r="S171" s="79"/>
      <x:c r="T171" s="79"/>
      <x:c r="U171" s="79"/>
      <x:c r="V171" s="79"/>
      <x:c r="W171" s="79"/>
      <x:c r="X171" s="79"/>
      <x:c r="Y171" s="79"/>
      <x:c r="Z171" s="79"/>
      <x:c r="AA171" s="79" t="str">
        <x:f>IF(AND(LEN($N$2)&gt;=3,ISNUMBER(SEARCH($N$2,$B171))),MAX($AA$1:AA170)+1,"")</x:f>
      </x:c>
      <x:c r="AB171" s="79" t="str">
        <x:v>6a2d446d45c164ce6f28ae30</x:v>
      </x:c>
      <x:c r="AC171" s="79" t="str">
        <x:v>روغن</x:v>
      </x:c>
      <x:c r="AD171" s="79" t="str">
        <x:v>oil</x:v>
      </x:c>
      <x:c r="AE171" s="79" t="str">
        <x:v>EDIBLE</x:v>
      </x:c>
      <x:c r="AF171" s="79" t="str">
        <x:v>بله</x:v>
      </x:c>
      <x:c r="AG171" s="79" t="str">
        <x:v>بله</x:v>
      </x:c>
      <x:c r="AH171" s="79" t="n">
        <x:v>2</x:v>
      </x:c>
      <x:c r="AI171" s="79" t="str">
        <x:v>روغن خشخاش</x:v>
      </x:c>
      <x:c r="AJ171" s="79" t="str">
        <x:v>روغن</x:v>
      </x:c>
      <x:c r="AK171" s="79"/>
    </x:row>
    <x:row r="172">
      <x:c r="A172" s="79" t="s">
        <x:v>840</x:v>
      </x:c>
      <x:c r="B172" s="79" t="s">
        <x:v>206</x:v>
      </x:c>
      <x:c r="C172" s="79" t="s">
        <x:v>841</x:v>
      </x:c>
      <x:c r="D172" s="79" t="s">
        <x:v>727</x:v>
      </x:c>
      <x:c r="E172" s="79" t="s">
        <x:v>172</x:v>
      </x:c>
      <x:c r="F172" s="79" t="s">
        <x:v>730</x:v>
      </x:c>
      <x:c r="G172" s="79" t="n">
        <x:f>IF(RIGHT($A172,2)="-2",INDEX('قیمت ها'!$E:$E,$J172+2),INDEX('قیمت ها'!$B:$B,$J172+2))</x:f>
        <x:v>115</x:v>
      </x:c>
      <x:c r="H172" s="110">
        <x:f t="shared" si="4"/>
        <x:v>115000</x:v>
      </x:c>
      <x:c r="I172" s="79" t="str">
        <x:f t="shared" si="5"/>
        <x:v>فعال</x:v>
      </x:c>
      <x:c r="J172" s="79">
        <x:v>150</x:v>
      </x:c>
      <x:c r="K172" s="79" t="s">
        <x:v>840</x:v>
      </x:c>
      <x:c r="L172" s="79"/>
      <x:c r="M172" s="79"/>
      <x:c r="N172" s="79"/>
      <x:c r="O172" s="79"/>
      <x:c r="P172" s="79"/>
      <x:c r="Q172" s="79"/>
      <x:c r="R172" s="79"/>
      <x:c r="S172" s="79"/>
      <x:c r="T172" s="79"/>
      <x:c r="U172" s="79"/>
      <x:c r="V172" s="79"/>
      <x:c r="W172" s="79"/>
      <x:c r="X172" s="79"/>
      <x:c r="Y172" s="79"/>
      <x:c r="Z172" s="79"/>
      <x:c r="AA172" s="79" t="str">
        <x:f>IF(AND(LEN($N$2)&gt;=3,ISNUMBER(SEARCH($N$2,$B172))),MAX($AA$1:AA171)+1,"")</x:f>
      </x:c>
      <x:c r="AB172" s="79" t="str">
        <x:v>6a2d446d45c164ce6f28ae30</x:v>
      </x:c>
      <x:c r="AC172" s="79" t="str">
        <x:v>روغن</x:v>
      </x:c>
      <x:c r="AD172" s="79" t="str">
        <x:v>oil</x:v>
      </x:c>
      <x:c r="AE172" s="79" t="str">
        <x:v>EDIBLE</x:v>
      </x:c>
      <x:c r="AF172" s="79" t="str">
        <x:v>بله</x:v>
      </x:c>
      <x:c r="AG172" s="79" t="str">
        <x:v>بله</x:v>
      </x:c>
      <x:c r="AH172" s="79" t="n">
        <x:v>2</x:v>
      </x:c>
      <x:c r="AI172" s="79" t="str">
        <x:v>روغن درخت چای</x:v>
      </x:c>
      <x:c r="AJ172" s="79" t="str">
        <x:v>روغن</x:v>
      </x:c>
      <x:c r="AK172" s="79"/>
    </x:row>
    <x:row r="173">
      <x:c r="A173" s="79" t="s">
        <x:v>842</x:v>
      </x:c>
      <x:c r="B173" s="79" t="s">
        <x:v>206</x:v>
      </x:c>
      <x:c r="C173" s="79" t="s">
        <x:v>843</x:v>
      </x:c>
      <x:c r="D173" s="79" t="s">
        <x:v>727</x:v>
      </x:c>
      <x:c r="E173" s="79" t="s">
        <x:v>173</x:v>
      </x:c>
      <x:c r="F173" s="79" t="s">
        <x:v>730</x:v>
      </x:c>
      <x:c r="G173" s="79" t="n">
        <x:f>IF(RIGHT($A173,2)="-2",INDEX('قیمت ها'!$E:$E,$J173+2),INDEX('قیمت ها'!$B:$B,$J173+2))</x:f>
        <x:v>220</x:v>
      </x:c>
      <x:c r="H173" s="110">
        <x:f t="shared" si="4"/>
        <x:v>220000</x:v>
      </x:c>
      <x:c r="I173" s="79" t="str">
        <x:f t="shared" si="5"/>
        <x:v>فعال</x:v>
      </x:c>
      <x:c r="J173" s="79">
        <x:v>150</x:v>
      </x:c>
      <x:c r="K173" s="79" t="s">
        <x:v>842</x:v>
      </x:c>
      <x:c r="L173" s="79"/>
      <x:c r="M173" s="79"/>
      <x:c r="N173" s="79"/>
      <x:c r="O173" s="79"/>
      <x:c r="P173" s="79"/>
      <x:c r="Q173" s="79"/>
      <x:c r="R173" s="79"/>
      <x:c r="S173" s="79"/>
      <x:c r="T173" s="79"/>
      <x:c r="U173" s="79"/>
      <x:c r="V173" s="79"/>
      <x:c r="W173" s="79"/>
      <x:c r="X173" s="79"/>
      <x:c r="Y173" s="79"/>
      <x:c r="Z173" s="79"/>
      <x:c r="AA173" s="79" t="str">
        <x:f>IF(AND(LEN($N$2)&gt;=3,ISNUMBER(SEARCH($N$2,$B173))),MAX($AA$1:AA172)+1,"")</x:f>
      </x:c>
      <x:c r="AB173" s="79" t="str">
        <x:v>6a2d446d45c164ce6f28ae30</x:v>
      </x:c>
      <x:c r="AC173" s="79" t="str">
        <x:v>روغن</x:v>
      </x:c>
      <x:c r="AD173" s="79" t="str">
        <x:v>oil</x:v>
      </x:c>
      <x:c r="AE173" s="79" t="str">
        <x:v>EDIBLE</x:v>
      </x:c>
      <x:c r="AF173" s="79" t="str">
        <x:v>بله</x:v>
      </x:c>
      <x:c r="AG173" s="79" t="str">
        <x:v>بله</x:v>
      </x:c>
      <x:c r="AH173" s="79" t="n">
        <x:v>2</x:v>
      </x:c>
      <x:c r="AI173" s="79" t="str">
        <x:v>روغن درخت چای</x:v>
      </x:c>
      <x:c r="AJ173" s="79" t="str">
        <x:v>روغن</x:v>
      </x:c>
      <x:c r="AK173" s="79"/>
    </x:row>
    <x:row r="174">
      <x:c r="A174" s="79" t="s">
        <x:v>844</x:v>
      </x:c>
      <x:c r="B174" s="79" t="s">
        <x:v>207</x:v>
      </x:c>
      <x:c r="C174" s="79" t="s">
        <x:v>845</x:v>
      </x:c>
      <x:c r="D174" s="79" t="s">
        <x:v>727</x:v>
      </x:c>
      <x:c r="E174" s="79" t="s">
        <x:v>56</x:v>
      </x:c>
      <x:c r="F174" s="79" t="s">
        <x:v>739</x:v>
      </x:c>
      <x:c r="G174" s="79" t="n">
        <x:f>IF(RIGHT($A174,2)="-2",INDEX('قیمت ها'!$E:$E,$J174+2),INDEX('قیمت ها'!$B:$B,$J174+2))</x:f>
        <x:v>500</x:v>
      </x:c>
      <x:c r="H174" s="110">
        <x:f t="shared" si="4"/>
        <x:v>500000</x:v>
      </x:c>
      <x:c r="I174" s="79" t="str">
        <x:f t="shared" si="5"/>
        <x:v>فعال</x:v>
      </x:c>
      <x:c r="J174" s="79">
        <x:v>151</x:v>
      </x:c>
      <x:c r="K174" s="79" t="s">
        <x:v>844</x:v>
      </x:c>
      <x:c r="L174" s="79"/>
      <x:c r="M174" s="79"/>
      <x:c r="N174" s="79"/>
      <x:c r="O174" s="79"/>
      <x:c r="P174" s="79"/>
      <x:c r="Q174" s="79"/>
      <x:c r="R174" s="79"/>
      <x:c r="S174" s="79"/>
      <x:c r="T174" s="79"/>
      <x:c r="U174" s="79"/>
      <x:c r="V174" s="79"/>
      <x:c r="W174" s="79"/>
      <x:c r="X174" s="79"/>
      <x:c r="Y174" s="79"/>
      <x:c r="Z174" s="79"/>
      <x:c r="AA174" s="79" t="str">
        <x:f>IF(AND(LEN($N$2)&gt;=3,ISNUMBER(SEARCH($N$2,$B174))),MAX($AA$1:AA173)+1,"")</x:f>
      </x:c>
      <x:c r="AB174" s="79" t="str">
        <x:v>6a2d446d45c164ce6f28ae30</x:v>
      </x:c>
      <x:c r="AC174" s="79" t="str">
        <x:v>روغن</x:v>
      </x:c>
      <x:c r="AD174" s="79" t="str">
        <x:v>oil</x:v>
      </x:c>
      <x:c r="AE174" s="79" t="str">
        <x:v>EDIBLE</x:v>
      </x:c>
      <x:c r="AF174" s="79" t="str">
        <x:v>بله</x:v>
      </x:c>
      <x:c r="AG174" s="79" t="str">
        <x:v>بله</x:v>
      </x:c>
      <x:c r="AH174" s="79" t="n">
        <x:v>2</x:v>
      </x:c>
      <x:c r="AI174" s="79" t="str">
        <x:v>روغن درمنه</x:v>
      </x:c>
      <x:c r="AJ174" s="79" t="str">
        <x:v>روغن</x:v>
      </x:c>
      <x:c r="AK174" s="79"/>
    </x:row>
    <x:row r="175">
      <x:c r="A175" s="79" t="s">
        <x:v>846</x:v>
      </x:c>
      <x:c r="B175" s="79" t="s">
        <x:v>207</x:v>
      </x:c>
      <x:c r="C175" s="79" t="s">
        <x:v>847</x:v>
      </x:c>
      <x:c r="D175" s="79" t="s">
        <x:v>727</x:v>
      </x:c>
      <x:c r="E175" s="79" t="s">
        <x:v>172</x:v>
      </x:c>
      <x:c r="F175" s="79" t="s">
        <x:v>730</x:v>
      </x:c>
      <x:c r="G175" s="79" t="n">
        <x:f>IF(RIGHT($A175,2)="-2",INDEX('قیمت ها'!$E:$E,$J175+2),INDEX('قیمت ها'!$B:$B,$J175+2))</x:f>
        <x:v>100</x:v>
      </x:c>
      <x:c r="H175" s="110">
        <x:f t="shared" si="4"/>
        <x:v>100000</x:v>
      </x:c>
      <x:c r="I175" s="79" t="str">
        <x:f t="shared" si="5"/>
        <x:v>فعال</x:v>
      </x:c>
      <x:c r="J175" s="79">
        <x:v>152</x:v>
      </x:c>
      <x:c r="K175" s="79" t="s">
        <x:v>846</x:v>
      </x:c>
      <x:c r="L175" s="79"/>
      <x:c r="M175" s="79"/>
      <x:c r="N175" s="79"/>
      <x:c r="O175" s="79"/>
      <x:c r="P175" s="79"/>
      <x:c r="Q175" s="79"/>
      <x:c r="R175" s="79"/>
      <x:c r="S175" s="79"/>
      <x:c r="T175" s="79"/>
      <x:c r="U175" s="79"/>
      <x:c r="V175" s="79"/>
      <x:c r="W175" s="79"/>
      <x:c r="X175" s="79"/>
      <x:c r="Y175" s="79"/>
      <x:c r="Z175" s="79"/>
      <x:c r="AA175" s="79" t="str">
        <x:f>IF(AND(LEN($N$2)&gt;=3,ISNUMBER(SEARCH($N$2,$B175))),MAX($AA$1:AA174)+1,"")</x:f>
      </x:c>
      <x:c r="AB175" s="79" t="str">
        <x:v>6a2d446d45c164ce6f28ae30</x:v>
      </x:c>
      <x:c r="AC175" s="79" t="str">
        <x:v>روغن</x:v>
      </x:c>
      <x:c r="AD175" s="79" t="str">
        <x:v>oil</x:v>
      </x:c>
      <x:c r="AE175" s="79" t="str">
        <x:v>EDIBLE</x:v>
      </x:c>
      <x:c r="AF175" s="79" t="str">
        <x:v>بله</x:v>
      </x:c>
      <x:c r="AG175" s="79" t="str">
        <x:v>بله</x:v>
      </x:c>
      <x:c r="AH175" s="79" t="n">
        <x:v>2</x:v>
      </x:c>
      <x:c r="AI175" s="79" t="str">
        <x:v>روغن رازیانه</x:v>
      </x:c>
      <x:c r="AJ175" s="79" t="str">
        <x:v>روغن</x:v>
      </x:c>
      <x:c r="AK175" s="79"/>
    </x:row>
    <x:row r="176">
      <x:c r="A176" s="79" t="s">
        <x:v>848</x:v>
      </x:c>
      <x:c r="B176" s="79" t="s">
        <x:v>207</x:v>
      </x:c>
      <x:c r="C176" s="79" t="s">
        <x:v>849</x:v>
      </x:c>
      <x:c r="D176" s="79" t="s">
        <x:v>727</x:v>
      </x:c>
      <x:c r="E176" s="79" t="s">
        <x:v>57</x:v>
      </x:c>
      <x:c r="F176" s="79" t="s">
        <x:v>739</x:v>
      </x:c>
      <x:c r="G176" s="79" t="str">
        <x:f>IF(RIGHT($A176,2)="-2",INDEX('قیمت ها'!$E:$E,$J176+2),INDEX('قیمت ها'!$B:$B,$J176+2))</x:f>
        <x:v>1/000</x:v>
      </x:c>
      <x:c r="H176" s="110">
        <x:f t="shared" si="4"/>
        <x:v>1000000</x:v>
      </x:c>
      <x:c r="I176" s="79" t="str">
        <x:f t="shared" si="5"/>
        <x:v>فعال</x:v>
      </x:c>
      <x:c r="J176" s="79">
        <x:v>151</x:v>
      </x:c>
      <x:c r="K176" s="79" t="s">
        <x:v>848</x:v>
      </x:c>
      <x:c r="L176" s="79"/>
      <x:c r="M176" s="79"/>
      <x:c r="N176" s="79"/>
      <x:c r="O176" s="79"/>
      <x:c r="P176" s="79"/>
      <x:c r="Q176" s="79"/>
      <x:c r="R176" s="79"/>
      <x:c r="S176" s="79"/>
      <x:c r="T176" s="79"/>
      <x:c r="U176" s="79"/>
      <x:c r="V176" s="79"/>
      <x:c r="W176" s="79"/>
      <x:c r="X176" s="79"/>
      <x:c r="Y176" s="79"/>
      <x:c r="Z176" s="79"/>
      <x:c r="AA176" s="79" t="str">
        <x:f>IF(AND(LEN($N$2)&gt;=3,ISNUMBER(SEARCH($N$2,$B176))),MAX($AA$1:AA175)+1,"")</x:f>
      </x:c>
      <x:c r="AB176" s="79" t="str">
        <x:v>6a2d446d45c164ce6f28ae30</x:v>
      </x:c>
      <x:c r="AC176" s="79" t="str">
        <x:v>روغن</x:v>
      </x:c>
      <x:c r="AD176" s="79" t="str">
        <x:v>oil</x:v>
      </x:c>
      <x:c r="AE176" s="79" t="str">
        <x:v>EDIBLE</x:v>
      </x:c>
      <x:c r="AF176" s="79" t="str">
        <x:v>بله</x:v>
      </x:c>
      <x:c r="AG176" s="79" t="str">
        <x:v>بله</x:v>
      </x:c>
      <x:c r="AH176" s="79" t="n">
        <x:v>2</x:v>
      </x:c>
      <x:c r="AI176" s="79" t="str">
        <x:v>روغن درمنه</x:v>
      </x:c>
      <x:c r="AJ176" s="79" t="str">
        <x:v>روغن</x:v>
      </x:c>
      <x:c r="AK176" s="79"/>
    </x:row>
    <x:row r="177">
      <x:c r="A177" s="79" t="s">
        <x:v>850</x:v>
      </x:c>
      <x:c r="B177" s="79" t="s">
        <x:v>207</x:v>
      </x:c>
      <x:c r="C177" s="79" t="s">
        <x:v>851</x:v>
      </x:c>
      <x:c r="D177" s="79" t="s">
        <x:v>727</x:v>
      </x:c>
      <x:c r="E177" s="79" t="s">
        <x:v>173</x:v>
      </x:c>
      <x:c r="F177" s="79" t="s">
        <x:v>730</x:v>
      </x:c>
      <x:c r="G177" s="79" t="n">
        <x:f>IF(RIGHT($A177,2)="-2",INDEX('قیمت ها'!$E:$E,$J177+2),INDEX('قیمت ها'!$B:$B,$J177+2))</x:f>
        <x:v>195</x:v>
      </x:c>
      <x:c r="H177" s="110">
        <x:f t="shared" si="4"/>
        <x:v>195000</x:v>
      </x:c>
      <x:c r="I177" s="79" t="str">
        <x:f t="shared" si="5"/>
        <x:v>فعال</x:v>
      </x:c>
      <x:c r="J177" s="79">
        <x:v>152</x:v>
      </x:c>
      <x:c r="K177" s="79" t="s">
        <x:v>850</x:v>
      </x:c>
      <x:c r="L177" s="79"/>
      <x:c r="M177" s="79"/>
      <x:c r="N177" s="79"/>
      <x:c r="O177" s="79"/>
      <x:c r="P177" s="79"/>
      <x:c r="Q177" s="79"/>
      <x:c r="R177" s="79"/>
      <x:c r="S177" s="79"/>
      <x:c r="T177" s="79"/>
      <x:c r="U177" s="79"/>
      <x:c r="V177" s="79"/>
      <x:c r="W177" s="79"/>
      <x:c r="X177" s="79"/>
      <x:c r="Y177" s="79"/>
      <x:c r="Z177" s="79"/>
      <x:c r="AA177" s="79" t="str">
        <x:f>IF(AND(LEN($N$2)&gt;=3,ISNUMBER(SEARCH($N$2,$B177))),MAX($AA$1:AA176)+1,"")</x:f>
      </x:c>
      <x:c r="AB177" s="79" t="str">
        <x:v>6a2d446d45c164ce6f28ae30</x:v>
      </x:c>
      <x:c r="AC177" s="79" t="str">
        <x:v>روغن</x:v>
      </x:c>
      <x:c r="AD177" s="79" t="str">
        <x:v>oil</x:v>
      </x:c>
      <x:c r="AE177" s="79" t="str">
        <x:v>EDIBLE</x:v>
      </x:c>
      <x:c r="AF177" s="79" t="str">
        <x:v>بله</x:v>
      </x:c>
      <x:c r="AG177" s="79" t="str">
        <x:v>بله</x:v>
      </x:c>
      <x:c r="AH177" s="79" t="n">
        <x:v>2</x:v>
      </x:c>
      <x:c r="AI177" s="79" t="str">
        <x:v>روغن رازیانه</x:v>
      </x:c>
      <x:c r="AJ177" s="79" t="str">
        <x:v>روغن</x:v>
      </x:c>
      <x:c r="AK177" s="79"/>
    </x:row>
    <x:row r="178">
      <x:c r="A178" s="79" t="s">
        <x:v>852</x:v>
      </x:c>
      <x:c r="B178" s="79" t="s">
        <x:v>209</x:v>
      </x:c>
      <x:c r="C178" s="79" t="s">
        <x:v>853</x:v>
      </x:c>
      <x:c r="D178" s="79" t="s">
        <x:v>727</x:v>
      </x:c>
      <x:c r="E178" s="79" t="s">
        <x:v>172</x:v>
      </x:c>
      <x:c r="F178" s="79" t="s">
        <x:v>730</x:v>
      </x:c>
      <x:c r="G178" s="79" t="n">
        <x:f>IF(RIGHT($A178,2)="-2",INDEX('قیمت ها'!$E:$E,$J178+2),INDEX('قیمت ها'!$B:$B,$J178+2))</x:f>
        <x:v>65</x:v>
      </x:c>
      <x:c r="H178" s="110">
        <x:f t="shared" si="4"/>
        <x:v>65000</x:v>
      </x:c>
      <x:c r="I178" s="79" t="str">
        <x:f t="shared" si="5"/>
        <x:v>فعال</x:v>
      </x:c>
      <x:c r="J178" s="79">
        <x:v>153</x:v>
      </x:c>
      <x:c r="K178" s="79" t="s">
        <x:v>852</x:v>
      </x:c>
      <x:c r="L178" s="79"/>
      <x:c r="M178" s="79"/>
      <x:c r="N178" s="79"/>
      <x:c r="O178" s="79"/>
      <x:c r="P178" s="79"/>
      <x:c r="Q178" s="79"/>
      <x:c r="R178" s="79"/>
      <x:c r="S178" s="79"/>
      <x:c r="T178" s="79"/>
      <x:c r="U178" s="79"/>
      <x:c r="V178" s="79"/>
      <x:c r="W178" s="79"/>
      <x:c r="X178" s="79"/>
      <x:c r="Y178" s="79"/>
      <x:c r="Z178" s="79"/>
      <x:c r="AA178" s="79" t="str">
        <x:f>IF(AND(LEN($N$2)&gt;=3,ISNUMBER(SEARCH($N$2,$B178))),MAX($AA$1:AA177)+1,"")</x:f>
      </x:c>
      <x:c r="AB178" s="79" t="str">
        <x:v>6a2d446d45c164ce6f28ae30</x:v>
      </x:c>
      <x:c r="AC178" s="79" t="str">
        <x:v>روغن</x:v>
      </x:c>
      <x:c r="AD178" s="79" t="str">
        <x:v>oil</x:v>
      </x:c>
      <x:c r="AE178" s="79" t="str">
        <x:v>EDIBLE</x:v>
      </x:c>
      <x:c r="AF178" s="79" t="str">
        <x:v>بله</x:v>
      </x:c>
      <x:c r="AG178" s="79" t="str">
        <x:v>بله</x:v>
      </x:c>
      <x:c r="AH178" s="79" t="n">
        <x:v>2</x:v>
      </x:c>
      <x:c r="AI178" s="79" t="str">
        <x:v>روغن رزماری</x:v>
      </x:c>
      <x:c r="AJ178" s="79" t="str">
        <x:v>روغن</x:v>
      </x:c>
      <x:c r="AK178" s="79" t="str">
        <x:v>MERGED</x:v>
      </x:c>
    </x:row>
    <x:row r="179">
      <x:c r="A179" s="79" t="s">
        <x:v>854</x:v>
      </x:c>
      <x:c r="B179" s="79" t="s">
        <x:v>209</x:v>
      </x:c>
      <x:c r="C179" s="79" t="s">
        <x:v>855</x:v>
      </x:c>
      <x:c r="D179" s="79" t="s">
        <x:v>727</x:v>
      </x:c>
      <x:c r="E179" s="79" t="s">
        <x:v>173</x:v>
      </x:c>
      <x:c r="F179" s="79" t="s">
        <x:v>730</x:v>
      </x:c>
      <x:c r="G179" s="79" t="n">
        <x:f>IF(RIGHT($A179,2)="-2",INDEX('قیمت ها'!$E:$E,$J179+2),INDEX('قیمت ها'!$B:$B,$J179+2))</x:f>
        <x:v>120</x:v>
      </x:c>
      <x:c r="H179" s="110">
        <x:f t="shared" si="4"/>
        <x:v>120000</x:v>
      </x:c>
      <x:c r="I179" s="79" t="str">
        <x:f t="shared" si="5"/>
        <x:v>فعال</x:v>
      </x:c>
      <x:c r="J179" s="79">
        <x:v>153</x:v>
      </x:c>
      <x:c r="K179" s="79" t="s">
        <x:v>854</x:v>
      </x:c>
      <x:c r="L179" s="79"/>
      <x:c r="M179" s="79"/>
      <x:c r="N179" s="79"/>
      <x:c r="O179" s="79"/>
      <x:c r="P179" s="79"/>
      <x:c r="Q179" s="79"/>
      <x:c r="R179" s="79"/>
      <x:c r="S179" s="79"/>
      <x:c r="T179" s="79"/>
      <x:c r="U179" s="79"/>
      <x:c r="V179" s="79"/>
      <x:c r="W179" s="79"/>
      <x:c r="X179" s="79"/>
      <x:c r="Y179" s="79"/>
      <x:c r="Z179" s="79"/>
      <x:c r="AA179" s="79" t="str">
        <x:f>IF(AND(LEN($N$2)&gt;=3,ISNUMBER(SEARCH($N$2,$B179))),MAX($AA$1:AA178)+1,"")</x:f>
      </x:c>
      <x:c r="AB179" s="79" t="str">
        <x:v>6a2d446d45c164ce6f28ae30</x:v>
      </x:c>
      <x:c r="AC179" s="79" t="str">
        <x:v>روغن</x:v>
      </x:c>
      <x:c r="AD179" s="79" t="str">
        <x:v>oil</x:v>
      </x:c>
      <x:c r="AE179" s="79" t="str">
        <x:v>EDIBLE</x:v>
      </x:c>
      <x:c r="AF179" s="79" t="str">
        <x:v>بله</x:v>
      </x:c>
      <x:c r="AG179" s="79" t="str">
        <x:v>بله</x:v>
      </x:c>
      <x:c r="AH179" s="79" t="n">
        <x:v>2</x:v>
      </x:c>
      <x:c r="AI179" s="79" t="str">
        <x:v>روغن رزماری</x:v>
      </x:c>
      <x:c r="AJ179" s="79" t="str">
        <x:v>روغن</x:v>
      </x:c>
      <x:c r="AK179" s="79" t="str">
        <x:v>MERGED</x:v>
      </x:c>
    </x:row>
    <x:row r="180">
      <x:c r="A180" s="79" t="s">
        <x:v>856</x:v>
      </x:c>
      <x:c r="B180" s="79" t="s">
        <x:v>210</x:v>
      </x:c>
      <x:c r="C180" s="79" t="s">
        <x:v>857</x:v>
      </x:c>
      <x:c r="D180" s="79" t="s">
        <x:v>727</x:v>
      </x:c>
      <x:c r="E180" s="79" t="s">
        <x:v>172</x:v>
      </x:c>
      <x:c r="F180" s="79" t="s">
        <x:v>730</x:v>
      </x:c>
      <x:c r="G180" s="79" t="n">
        <x:f>IF(RIGHT($A180,2)="-2",INDEX('قیمت ها'!$E:$E,$J180+2),INDEX('قیمت ها'!$B:$B,$J180+2))</x:f>
        <x:v>65</x:v>
      </x:c>
      <x:c r="H180" s="110">
        <x:f t="shared" si="4"/>
        <x:v>65000</x:v>
      </x:c>
      <x:c r="I180" s="79" t="str">
        <x:f t="shared" si="5"/>
        <x:v>فعال</x:v>
      </x:c>
      <x:c r="J180" s="79">
        <x:v>154</x:v>
      </x:c>
      <x:c r="K180" s="79" t="s">
        <x:v>856</x:v>
      </x:c>
      <x:c r="L180" s="79"/>
      <x:c r="M180" s="79"/>
      <x:c r="N180" s="79"/>
      <x:c r="O180" s="79"/>
      <x:c r="P180" s="79"/>
      <x:c r="Q180" s="79"/>
      <x:c r="R180" s="79"/>
      <x:c r="S180" s="79"/>
      <x:c r="T180" s="79"/>
      <x:c r="U180" s="79"/>
      <x:c r="V180" s="79"/>
      <x:c r="W180" s="79"/>
      <x:c r="X180" s="79"/>
      <x:c r="Y180" s="79"/>
      <x:c r="Z180" s="79"/>
      <x:c r="AA180" s="79" t="str">
        <x:f>IF(AND(LEN($N$2)&gt;=3,ISNUMBER(SEARCH($N$2,$B180))),MAX($AA$1:AA179)+1,"")</x:f>
      </x:c>
      <x:c r="AB180" s="79" t="str">
        <x:v>6a2d446d45c164ce6f28ae30</x:v>
      </x:c>
      <x:c r="AC180" s="79" t="str">
        <x:v>روغن</x:v>
      </x:c>
      <x:c r="AD180" s="79" t="str">
        <x:v>oil</x:v>
      </x:c>
      <x:c r="AE180" s="79" t="str">
        <x:v>EDIBLE</x:v>
      </x:c>
      <x:c r="AF180" s="79" t="str">
        <x:v>بله</x:v>
      </x:c>
      <x:c r="AG180" s="79" t="str">
        <x:v>بله</x:v>
      </x:c>
      <x:c r="AH180" s="79" t="n">
        <x:v>2</x:v>
      </x:c>
      <x:c r="AI180" s="79" t="str">
        <x:v>روغن رزماری</x:v>
      </x:c>
      <x:c r="AJ180" s="79" t="str">
        <x:v>روغن</x:v>
      </x:c>
      <x:c r="AK180" s="79" t="str">
        <x:v>MERGED</x:v>
      </x:c>
    </x:row>
    <x:row r="181">
      <x:c r="A181" s="79" t="s">
        <x:v>858</x:v>
      </x:c>
      <x:c r="B181" s="79" t="s">
        <x:v>210</x:v>
      </x:c>
      <x:c r="C181" s="79" t="s">
        <x:v>859</x:v>
      </x:c>
      <x:c r="D181" s="79" t="s">
        <x:v>727</x:v>
      </x:c>
      <x:c r="E181" s="79" t="s">
        <x:v>173</x:v>
      </x:c>
      <x:c r="F181" s="79" t="s">
        <x:v>730</x:v>
      </x:c>
      <x:c r="G181" s="79" t="n">
        <x:f>IF(RIGHT($A181,2)="-2",INDEX('قیمت ها'!$E:$E,$J181+2),INDEX('قیمت ها'!$B:$B,$J181+2))</x:f>
        <x:v>120</x:v>
      </x:c>
      <x:c r="H181" s="110">
        <x:f t="shared" si="4"/>
        <x:v>120000</x:v>
      </x:c>
      <x:c r="I181" s="79" t="str">
        <x:f t="shared" si="5"/>
        <x:v>فعال</x:v>
      </x:c>
      <x:c r="J181" s="79">
        <x:v>154</x:v>
      </x:c>
      <x:c r="K181" s="79" t="s">
        <x:v>858</x:v>
      </x:c>
      <x:c r="L181" s="79"/>
      <x:c r="M181" s="79"/>
      <x:c r="N181" s="79"/>
      <x:c r="O181" s="79"/>
      <x:c r="P181" s="79"/>
      <x:c r="Q181" s="79"/>
      <x:c r="R181" s="79"/>
      <x:c r="S181" s="79"/>
      <x:c r="T181" s="79"/>
      <x:c r="U181" s="79"/>
      <x:c r="V181" s="79"/>
      <x:c r="W181" s="79"/>
      <x:c r="X181" s="79"/>
      <x:c r="Y181" s="79"/>
      <x:c r="Z181" s="79"/>
      <x:c r="AA181" s="79" t="str">
        <x:f>IF(AND(LEN($N$2)&gt;=3,ISNUMBER(SEARCH($N$2,$B181))),MAX($AA$1:AA180)+1,"")</x:f>
      </x:c>
      <x:c r="AB181" s="79" t="str">
        <x:v>6a2d446d45c164ce6f28ae30</x:v>
      </x:c>
      <x:c r="AC181" s="79" t="str">
        <x:v>روغن</x:v>
      </x:c>
      <x:c r="AD181" s="79" t="str">
        <x:v>oil</x:v>
      </x:c>
      <x:c r="AE181" s="79" t="str">
        <x:v>EDIBLE</x:v>
      </x:c>
      <x:c r="AF181" s="79" t="str">
        <x:v>بله</x:v>
      </x:c>
      <x:c r="AG181" s="79" t="str">
        <x:v>بله</x:v>
      </x:c>
      <x:c r="AH181" s="79" t="n">
        <x:v>2</x:v>
      </x:c>
      <x:c r="AI181" s="79" t="str">
        <x:v>روغن رزماری</x:v>
      </x:c>
      <x:c r="AJ181" s="79" t="str">
        <x:v>روغن</x:v>
      </x:c>
      <x:c r="AK181" s="79" t="str">
        <x:v>MERGED</x:v>
      </x:c>
    </x:row>
    <x:row r="182">
      <x:c r="A182" s="79" t="s">
        <x:v>860</x:v>
      </x:c>
      <x:c r="B182" s="79" t="s">
        <x:v>211</x:v>
      </x:c>
      <x:c r="C182" s="79" t="s">
        <x:v>861</x:v>
      </x:c>
      <x:c r="D182" s="79" t="s">
        <x:v>727</x:v>
      </x:c>
      <x:c r="E182" s="79" t="s">
        <x:v>172</x:v>
      </x:c>
      <x:c r="F182" s="79" t="s">
        <x:v>730</x:v>
      </x:c>
      <x:c r="G182" s="79" t="n">
        <x:f>IF(RIGHT($A182,2)="-2",INDEX('قیمت ها'!$E:$E,$J182+2),INDEX('قیمت ها'!$B:$B,$J182+2))</x:f>
        <x:v>150</x:v>
      </x:c>
      <x:c r="H182" s="110">
        <x:f t="shared" si="4"/>
        <x:v>150000</x:v>
      </x:c>
      <x:c r="I182" s="79" t="str">
        <x:f t="shared" si="5"/>
        <x:v>فعال</x:v>
      </x:c>
      <x:c r="J182" s="79">
        <x:v>155</x:v>
      </x:c>
      <x:c r="K182" s="79" t="s">
        <x:v>860</x:v>
      </x:c>
      <x:c r="L182" s="79"/>
      <x:c r="M182" s="79"/>
      <x:c r="N182" s="79"/>
      <x:c r="O182" s="79"/>
      <x:c r="P182" s="79"/>
      <x:c r="Q182" s="79"/>
      <x:c r="R182" s="79"/>
      <x:c r="S182" s="79"/>
      <x:c r="T182" s="79"/>
      <x:c r="U182" s="79"/>
      <x:c r="V182" s="79"/>
      <x:c r="W182" s="79"/>
      <x:c r="X182" s="79"/>
      <x:c r="Y182" s="79"/>
      <x:c r="Z182" s="79"/>
      <x:c r="AA182" s="79" t="str">
        <x:f>IF(AND(LEN($N$2)&gt;=3,ISNUMBER(SEARCH($N$2,$B182))),MAX($AA$1:AA181)+1,"")</x:f>
      </x:c>
      <x:c r="AB182" s="79" t="str">
        <x:v>6a2d446d45c164ce6f28ae30</x:v>
      </x:c>
      <x:c r="AC182" s="79" t="str">
        <x:v>روغن</x:v>
      </x:c>
      <x:c r="AD182" s="79" t="str">
        <x:v>oil</x:v>
      </x:c>
      <x:c r="AE182" s="79" t="str">
        <x:v>EDIBLE</x:v>
      </x:c>
      <x:c r="AF182" s="79" t="str">
        <x:v>بله</x:v>
      </x:c>
      <x:c r="AG182" s="79" t="str">
        <x:v>بله</x:v>
      </x:c>
      <x:c r="AH182" s="79" t="n">
        <x:v>2</x:v>
      </x:c>
      <x:c r="AI182" s="79" t="str">
        <x:v>روغن زردچوبه</x:v>
      </x:c>
      <x:c r="AJ182" s="79" t="str">
        <x:v>روغن</x:v>
      </x:c>
      <x:c r="AK182" s="79"/>
    </x:row>
    <x:row r="183">
      <x:c r="A183" s="79" t="s">
        <x:v>862</x:v>
      </x:c>
      <x:c r="B183" s="79" t="s">
        <x:v>211</x:v>
      </x:c>
      <x:c r="C183" s="79" t="s">
        <x:v>863</x:v>
      </x:c>
      <x:c r="D183" s="79" t="s">
        <x:v>727</x:v>
      </x:c>
      <x:c r="E183" s="79" t="s">
        <x:v>173</x:v>
      </x:c>
      <x:c r="F183" s="79" t="s">
        <x:v>730</x:v>
      </x:c>
      <x:c r="G183" s="79" t="n">
        <x:f>IF(RIGHT($A183,2)="-2",INDEX('قیمت ها'!$E:$E,$J183+2),INDEX('قیمت ها'!$B:$B,$J183+2))</x:f>
        <x:v>295</x:v>
      </x:c>
      <x:c r="H183" s="110">
        <x:f t="shared" si="4"/>
        <x:v>295000</x:v>
      </x:c>
      <x:c r="I183" s="79" t="str">
        <x:f t="shared" si="5"/>
        <x:v>فعال</x:v>
      </x:c>
      <x:c r="J183" s="79">
        <x:v>155</x:v>
      </x:c>
      <x:c r="K183" s="79" t="s">
        <x:v>862</x:v>
      </x:c>
      <x:c r="L183" s="79"/>
      <x:c r="M183" s="79"/>
      <x:c r="N183" s="79"/>
      <x:c r="O183" s="79"/>
      <x:c r="P183" s="79"/>
      <x:c r="Q183" s="79"/>
      <x:c r="R183" s="79"/>
      <x:c r="S183" s="79"/>
      <x:c r="T183" s="79"/>
      <x:c r="U183" s="79"/>
      <x:c r="V183" s="79"/>
      <x:c r="W183" s="79"/>
      <x:c r="X183" s="79"/>
      <x:c r="Y183" s="79"/>
      <x:c r="Z183" s="79"/>
      <x:c r="AA183" s="79" t="str">
        <x:f>IF(AND(LEN($N$2)&gt;=3,ISNUMBER(SEARCH($N$2,$B183))),MAX($AA$1:AA182)+1,"")</x:f>
      </x:c>
      <x:c r="AB183" s="79" t="str">
        <x:v>6a2d446d45c164ce6f28ae30</x:v>
      </x:c>
      <x:c r="AC183" s="79" t="str">
        <x:v>روغن</x:v>
      </x:c>
      <x:c r="AD183" s="79" t="str">
        <x:v>oil</x:v>
      </x:c>
      <x:c r="AE183" s="79" t="str">
        <x:v>EDIBLE</x:v>
      </x:c>
      <x:c r="AF183" s="79" t="str">
        <x:v>بله</x:v>
      </x:c>
      <x:c r="AG183" s="79" t="str">
        <x:v>بله</x:v>
      </x:c>
      <x:c r="AH183" s="79" t="n">
        <x:v>2</x:v>
      </x:c>
      <x:c r="AI183" s="79" t="str">
        <x:v>روغن زردچوبه</x:v>
      </x:c>
      <x:c r="AJ183" s="79" t="str">
        <x:v>روغن</x:v>
      </x:c>
      <x:c r="AK183" s="79"/>
    </x:row>
    <x:row r="184">
      <x:c r="A184" s="79" t="s">
        <x:v>864</x:v>
      </x:c>
      <x:c r="B184" s="79" t="s">
        <x:v>212</x:v>
      </x:c>
      <x:c r="C184" s="79" t="s">
        <x:v>865</x:v>
      </x:c>
      <x:c r="D184" s="79" t="s">
        <x:v>727</x:v>
      </x:c>
      <x:c r="E184" s="79" t="s">
        <x:v>56</x:v>
      </x:c>
      <x:c r="F184" s="79" t="s">
        <x:v>739</x:v>
      </x:c>
      <x:c r="G184" s="79" t="n">
        <x:f>IF(RIGHT($A184,2)="-2",INDEX('قیمت ها'!$E:$E,$J184+2),INDEX('قیمت ها'!$B:$B,$J184+2))</x:f>
        <x:v>555</x:v>
      </x:c>
      <x:c r="H184" s="110">
        <x:f t="shared" si="4"/>
        <x:v>555000</x:v>
      </x:c>
      <x:c r="I184" s="79" t="str">
        <x:f t="shared" si="5"/>
        <x:v>فعال</x:v>
      </x:c>
      <x:c r="J184" s="79">
        <x:v>156</x:v>
      </x:c>
      <x:c r="K184" s="79" t="s">
        <x:v>864</x:v>
      </x:c>
      <x:c r="L184" s="79"/>
      <x:c r="M184" s="79"/>
      <x:c r="N184" s="79"/>
      <x:c r="O184" s="79"/>
      <x:c r="P184" s="79"/>
      <x:c r="Q184" s="79"/>
      <x:c r="R184" s="79"/>
      <x:c r="S184" s="79"/>
      <x:c r="T184" s="79"/>
      <x:c r="U184" s="79"/>
      <x:c r="V184" s="79"/>
      <x:c r="W184" s="79"/>
      <x:c r="X184" s="79"/>
      <x:c r="Y184" s="79"/>
      <x:c r="Z184" s="79"/>
      <x:c r="AA184" s="79" t="str">
        <x:f>IF(AND(LEN($N$2)&gt;=3,ISNUMBER(SEARCH($N$2,$B184))),MAX($AA$1:AA183)+1,"")</x:f>
      </x:c>
      <x:c r="AB184" s="79" t="str">
        <x:v>6a2d446d45c164ce6f28ae30</x:v>
      </x:c>
      <x:c r="AC184" s="79" t="str">
        <x:v>روغن</x:v>
      </x:c>
      <x:c r="AD184" s="79" t="str">
        <x:v>oil</x:v>
      </x:c>
      <x:c r="AE184" s="79" t="str">
        <x:v>EDIBLE</x:v>
      </x:c>
      <x:c r="AF184" s="79" t="str">
        <x:v>بله</x:v>
      </x:c>
      <x:c r="AG184" s="79" t="str">
        <x:v>بله</x:v>
      </x:c>
      <x:c r="AH184" s="79" t="n">
        <x:v>2</x:v>
      </x:c>
      <x:c r="AI184" s="79" t="str">
        <x:v>روغن زنجبیل</x:v>
      </x:c>
      <x:c r="AJ184" s="79" t="str">
        <x:v>روغن</x:v>
      </x:c>
      <x:c r="AK184" s="79"/>
    </x:row>
    <x:row r="185">
      <x:c r="A185" s="79" t="s">
        <x:v>866</x:v>
      </x:c>
      <x:c r="B185" s="79" t="s">
        <x:v>212</x:v>
      </x:c>
      <x:c r="C185" s="79" t="s">
        <x:v>867</x:v>
      </x:c>
      <x:c r="D185" s="79" t="s">
        <x:v>727</x:v>
      </x:c>
      <x:c r="E185" s="79" t="s">
        <x:v>57</x:v>
      </x:c>
      <x:c r="F185" s="79" t="s">
        <x:v>739</x:v>
      </x:c>
      <x:c r="G185" s="79" t="str">
        <x:f>IF(RIGHT($A185,2)="-2",INDEX('قیمت ها'!$E:$E,$J185+2),INDEX('قیمت ها'!$B:$B,$J185+2))</x:f>
        <x:v>1/100</x:v>
      </x:c>
      <x:c r="H185" s="110">
        <x:f t="shared" si="4"/>
        <x:v>1100000</x:v>
      </x:c>
      <x:c r="I185" s="79" t="str">
        <x:f t="shared" si="5"/>
        <x:v>فعال</x:v>
      </x:c>
      <x:c r="J185" s="79">
        <x:v>156</x:v>
      </x:c>
      <x:c r="K185" s="79" t="s">
        <x:v>866</x:v>
      </x:c>
      <x:c r="L185" s="79"/>
      <x:c r="M185" s="79"/>
      <x:c r="N185" s="79"/>
      <x:c r="O185" s="79"/>
      <x:c r="P185" s="79"/>
      <x:c r="Q185" s="79"/>
      <x:c r="R185" s="79"/>
      <x:c r="S185" s="79"/>
      <x:c r="T185" s="79"/>
      <x:c r="U185" s="79"/>
      <x:c r="V185" s="79"/>
      <x:c r="W185" s="79"/>
      <x:c r="X185" s="79"/>
      <x:c r="Y185" s="79"/>
      <x:c r="Z185" s="79"/>
      <x:c r="AA185" s="79" t="str">
        <x:f>IF(AND(LEN($N$2)&gt;=3,ISNUMBER(SEARCH($N$2,$B185))),MAX($AA$1:AA184)+1,"")</x:f>
      </x:c>
      <x:c r="AB185" s="79" t="str">
        <x:v>6a2d446d45c164ce6f28ae30</x:v>
      </x:c>
      <x:c r="AC185" s="79" t="str">
        <x:v>روغن</x:v>
      </x:c>
      <x:c r="AD185" s="79" t="str">
        <x:v>oil</x:v>
      </x:c>
      <x:c r="AE185" s="79" t="str">
        <x:v>EDIBLE</x:v>
      </x:c>
      <x:c r="AF185" s="79" t="str">
        <x:v>بله</x:v>
      </x:c>
      <x:c r="AG185" s="79" t="str">
        <x:v>بله</x:v>
      </x:c>
      <x:c r="AH185" s="79" t="n">
        <x:v>2</x:v>
      </x:c>
      <x:c r="AI185" s="79" t="str">
        <x:v>روغن زنجبیل</x:v>
      </x:c>
      <x:c r="AJ185" s="79" t="str">
        <x:v>روغن</x:v>
      </x:c>
      <x:c r="AK185" s="79"/>
    </x:row>
    <x:row r="186">
      <x:c r="A186" s="79" t="s">
        <x:v>868</x:v>
      </x:c>
      <x:c r="B186" s="79" t="s">
        <x:v>213</x:v>
      </x:c>
      <x:c r="C186" s="79" t="s">
        <x:v>869</x:v>
      </x:c>
      <x:c r="D186" s="79" t="s">
        <x:v>727</x:v>
      </x:c>
      <x:c r="E186" s="79" t="s">
        <x:v>172</x:v>
      </x:c>
      <x:c r="F186" s="79" t="s">
        <x:v>730</x:v>
      </x:c>
      <x:c r="G186" s="79" t="str">
        <x:f>IF(RIGHT($A186,2)="-2",INDEX('قیمت ها'!$E:$E,$J186+2),INDEX('قیمت ها'!$B:$B,$J186+2))</x:f>
        <x:v>؟</x:v>
      </x:c>
      <x:c r="H186" s="110" t="str">
        <x:f t="shared" si="4"/>
      </x:c>
      <x:c r="I186" s="79" t="str">
        <x:f t="shared" si="5"/>
        <x:v>نیاز به استعلام</x:v>
      </x:c>
      <x:c r="J186" s="79">
        <x:v>157</x:v>
      </x:c>
      <x:c r="K186" s="79" t="s">
        <x:v>868</x:v>
      </x:c>
      <x:c r="L186" s="79"/>
      <x:c r="M186" s="79"/>
      <x:c r="N186" s="79"/>
      <x:c r="O186" s="79"/>
      <x:c r="P186" s="79"/>
      <x:c r="Q186" s="79"/>
      <x:c r="R186" s="79"/>
      <x:c r="S186" s="79"/>
      <x:c r="T186" s="79"/>
      <x:c r="U186" s="79"/>
      <x:c r="V186" s="79"/>
      <x:c r="W186" s="79"/>
      <x:c r="X186" s="79"/>
      <x:c r="Y186" s="79"/>
      <x:c r="Z186" s="79"/>
      <x:c r="AA186" s="79" t="str">
        <x:f>IF(AND(LEN($N$2)&gt;=3,ISNUMBER(SEARCH($N$2,$B186))),MAX($AA$1:AA185)+1,"")</x:f>
      </x:c>
      <x:c r="AB186" s="79" t="str">
        <x:v>6a2d446d45c164ce6f28ae30</x:v>
      </x:c>
      <x:c r="AC186" s="79" t="str">
        <x:v>روغن</x:v>
      </x:c>
      <x:c r="AD186" s="79" t="str">
        <x:v>oil</x:v>
      </x:c>
      <x:c r="AE186" s="79" t="str">
        <x:v>EDIBLE</x:v>
      </x:c>
      <x:c r="AF186" s="79" t="str">
        <x:v>بله</x:v>
      </x:c>
      <x:c r="AG186" s="79" t="str">
        <x:v>بله</x:v>
      </x:c>
      <x:c r="AH186" s="79" t="n">
        <x:v>2</x:v>
      </x:c>
      <x:c r="AI186" s="79" t="str">
        <x:v>روغن زنیان</x:v>
      </x:c>
      <x:c r="AJ186" s="79" t="str">
        <x:v>روغن</x:v>
      </x:c>
      <x:c r="AK186" s="79"/>
    </x:row>
    <x:row r="187">
      <x:c r="A187" s="79" t="s">
        <x:v>870</x:v>
      </x:c>
      <x:c r="B187" s="79" t="s">
        <x:v>213</x:v>
      </x:c>
      <x:c r="C187" s="79" t="s">
        <x:v>871</x:v>
      </x:c>
      <x:c r="D187" s="79" t="s">
        <x:v>727</x:v>
      </x:c>
      <x:c r="E187" s="79" t="s">
        <x:v>173</x:v>
      </x:c>
      <x:c r="F187" s="79" t="s">
        <x:v>730</x:v>
      </x:c>
      <x:c r="G187" s="79" t="n">
        <x:f>IF(RIGHT($A187,2)="-2",INDEX('قیمت ها'!$E:$E,$J187+2),INDEX('قیمت ها'!$B:$B,$J187+2))</x:f>
        <x:v>70</x:v>
      </x:c>
      <x:c r="H187" s="110">
        <x:f t="shared" si="4"/>
        <x:v>70000</x:v>
      </x:c>
      <x:c r="I187" s="79" t="str">
        <x:f t="shared" si="5"/>
        <x:v>فعال</x:v>
      </x:c>
      <x:c r="J187" s="79">
        <x:v>157</x:v>
      </x:c>
      <x:c r="K187" s="79" t="s">
        <x:v>870</x:v>
      </x:c>
      <x:c r="L187" s="79"/>
      <x:c r="M187" s="79"/>
      <x:c r="N187" s="79"/>
      <x:c r="O187" s="79"/>
      <x:c r="P187" s="79"/>
      <x:c r="Q187" s="79"/>
      <x:c r="R187" s="79"/>
      <x:c r="S187" s="79"/>
      <x:c r="T187" s="79"/>
      <x:c r="U187" s="79"/>
      <x:c r="V187" s="79"/>
      <x:c r="W187" s="79"/>
      <x:c r="X187" s="79"/>
      <x:c r="Y187" s="79"/>
      <x:c r="Z187" s="79"/>
      <x:c r="AA187" s="79" t="str">
        <x:f>IF(AND(LEN($N$2)&gt;=3,ISNUMBER(SEARCH($N$2,$B187))),MAX($AA$1:AA186)+1,"")</x:f>
      </x:c>
      <x:c r="AB187" s="79" t="str">
        <x:v>6a2d446d45c164ce6f28ae30</x:v>
      </x:c>
      <x:c r="AC187" s="79" t="str">
        <x:v>روغن</x:v>
      </x:c>
      <x:c r="AD187" s="79" t="str">
        <x:v>oil</x:v>
      </x:c>
      <x:c r="AE187" s="79" t="str">
        <x:v>EDIBLE</x:v>
      </x:c>
      <x:c r="AF187" s="79" t="str">
        <x:v>بله</x:v>
      </x:c>
      <x:c r="AG187" s="79" t="str">
        <x:v>بله</x:v>
      </x:c>
      <x:c r="AH187" s="79" t="n">
        <x:v>2</x:v>
      </x:c>
      <x:c r="AI187" s="79" t="str">
        <x:v>روغن زنیان</x:v>
      </x:c>
      <x:c r="AJ187" s="79" t="str">
        <x:v>روغن</x:v>
      </x:c>
      <x:c r="AK187" s="79"/>
    </x:row>
    <x:row r="188">
      <x:c r="A188" s="79" t="s">
        <x:v>872</x:v>
      </x:c>
      <x:c r="B188" s="79" t="s">
        <x:v>214</x:v>
      </x:c>
      <x:c r="C188" s="79" t="s">
        <x:v>873</x:v>
      </x:c>
      <x:c r="D188" s="79" t="s">
        <x:v>727</x:v>
      </x:c>
      <x:c r="E188" s="79" t="s">
        <x:v>172</x:v>
      </x:c>
      <x:c r="F188" s="79" t="s">
        <x:v>730</x:v>
      </x:c>
      <x:c r="G188" s="79" t="n">
        <x:f>IF(RIGHT($A188,2)="-2",INDEX('قیمت ها'!$E:$E,$J188+2),INDEX('قیمت ها'!$B:$B,$J188+2))</x:f>
        <x:v>90</x:v>
      </x:c>
      <x:c r="H188" s="110">
        <x:f t="shared" si="4"/>
        <x:v>90000</x:v>
      </x:c>
      <x:c r="I188" s="79" t="str">
        <x:f t="shared" si="5"/>
        <x:v>فعال</x:v>
      </x:c>
      <x:c r="J188" s="79">
        <x:v>158</x:v>
      </x:c>
      <x:c r="K188" s="79" t="s">
        <x:v>872</x:v>
      </x:c>
      <x:c r="L188" s="79"/>
      <x:c r="M188" s="79"/>
      <x:c r="N188" s="79"/>
      <x:c r="O188" s="79"/>
      <x:c r="P188" s="79"/>
      <x:c r="Q188" s="79"/>
      <x:c r="R188" s="79"/>
      <x:c r="S188" s="79"/>
      <x:c r="T188" s="79"/>
      <x:c r="U188" s="79"/>
      <x:c r="V188" s="79"/>
      <x:c r="W188" s="79"/>
      <x:c r="X188" s="79"/>
      <x:c r="Y188" s="79"/>
      <x:c r="Z188" s="79"/>
      <x:c r="AA188" s="79" t="str">
        <x:f>IF(AND(LEN($N$2)&gt;=3,ISNUMBER(SEARCH($N$2,$B188))),MAX($AA$1:AA187)+1,"")</x:f>
      </x:c>
      <x:c r="AB188" s="79" t="str">
        <x:v>6a2d446d45c164ce6f28ae30</x:v>
      </x:c>
      <x:c r="AC188" s="79" t="str">
        <x:v>روغن</x:v>
      </x:c>
      <x:c r="AD188" s="79" t="str">
        <x:v>oil</x:v>
      </x:c>
      <x:c r="AE188" s="79" t="str">
        <x:v>EDIBLE</x:v>
      </x:c>
      <x:c r="AF188" s="79" t="str">
        <x:v>بله</x:v>
      </x:c>
      <x:c r="AG188" s="79" t="str">
        <x:v>بله</x:v>
      </x:c>
      <x:c r="AH188" s="79" t="n">
        <x:v>2</x:v>
      </x:c>
      <x:c r="AI188" s="79" t="str">
        <x:v>روغن زیتون</x:v>
      </x:c>
      <x:c r="AJ188" s="79" t="str">
        <x:v>روغن</x:v>
      </x:c>
      <x:c r="AK188" s="79"/>
    </x:row>
    <x:row r="189">
      <x:c r="A189" s="79" t="s">
        <x:v>874</x:v>
      </x:c>
      <x:c r="B189" s="79" t="s">
        <x:v>214</x:v>
      </x:c>
      <x:c r="C189" s="79" t="s">
        <x:v>875</x:v>
      </x:c>
      <x:c r="D189" s="79" t="s">
        <x:v>727</x:v>
      </x:c>
      <x:c r="E189" s="79" t="s">
        <x:v>173</x:v>
      </x:c>
      <x:c r="F189" s="79" t="s">
        <x:v>730</x:v>
      </x:c>
      <x:c r="G189" s="79" t="n">
        <x:f>IF(RIGHT($A189,2)="-2",INDEX('قیمت ها'!$E:$E,$J189+2),INDEX('قیمت ها'!$B:$B,$J189+2))</x:f>
        <x:v>170</x:v>
      </x:c>
      <x:c r="H189" s="110">
        <x:f t="shared" si="4"/>
        <x:v>170000</x:v>
      </x:c>
      <x:c r="I189" s="79" t="str">
        <x:f t="shared" si="5"/>
        <x:v>فعال</x:v>
      </x:c>
      <x:c r="J189" s="79">
        <x:v>158</x:v>
      </x:c>
      <x:c r="K189" s="79" t="s">
        <x:v>874</x:v>
      </x:c>
      <x:c r="L189" s="79"/>
      <x:c r="M189" s="79"/>
      <x:c r="N189" s="79"/>
      <x:c r="O189" s="79"/>
      <x:c r="P189" s="79"/>
      <x:c r="Q189" s="79"/>
      <x:c r="R189" s="79"/>
      <x:c r="S189" s="79"/>
      <x:c r="T189" s="79"/>
      <x:c r="U189" s="79"/>
      <x:c r="V189" s="79"/>
      <x:c r="W189" s="79"/>
      <x:c r="X189" s="79"/>
      <x:c r="Y189" s="79"/>
      <x:c r="Z189" s="79"/>
      <x:c r="AA189" s="79" t="str">
        <x:f>IF(AND(LEN($N$2)&gt;=3,ISNUMBER(SEARCH($N$2,$B189))),MAX($AA$1:AA188)+1,"")</x:f>
      </x:c>
      <x:c r="AB189" s="79" t="str">
        <x:v>6a2d446d45c164ce6f28ae30</x:v>
      </x:c>
      <x:c r="AC189" s="79" t="str">
        <x:v>روغن</x:v>
      </x:c>
      <x:c r="AD189" s="79" t="str">
        <x:v>oil</x:v>
      </x:c>
      <x:c r="AE189" s="79" t="str">
        <x:v>EDIBLE</x:v>
      </x:c>
      <x:c r="AF189" s="79" t="str">
        <x:v>بله</x:v>
      </x:c>
      <x:c r="AG189" s="79" t="str">
        <x:v>بله</x:v>
      </x:c>
      <x:c r="AH189" s="79" t="n">
        <x:v>2</x:v>
      </x:c>
      <x:c r="AI189" s="79" t="str">
        <x:v>روغن زیتون</x:v>
      </x:c>
      <x:c r="AJ189" s="79" t="str">
        <x:v>روغن</x:v>
      </x:c>
      <x:c r="AK189" s="79"/>
    </x:row>
    <x:row r="190">
      <x:c r="A190" s="79" t="s">
        <x:v>876</x:v>
      </x:c>
      <x:c r="B190" s="79" t="s">
        <x:v>215</x:v>
      </x:c>
      <x:c r="C190" s="79" t="s">
        <x:v>877</x:v>
      </x:c>
      <x:c r="D190" s="79" t="s">
        <x:v>727</x:v>
      </x:c>
      <x:c r="E190" s="79" t="s">
        <x:v>172</x:v>
      </x:c>
      <x:c r="F190" s="79" t="s">
        <x:v>730</x:v>
      </x:c>
      <x:c r="G190" s="79" t="n">
        <x:f>IF(RIGHT($A190,2)="-2",INDEX('قیمت ها'!$E:$E,$J190+2),INDEX('قیمت ها'!$B:$B,$J190+2))</x:f>
        <x:v>130</x:v>
      </x:c>
      <x:c r="H190" s="110">
        <x:f t="shared" si="4"/>
        <x:v>130000</x:v>
      </x:c>
      <x:c r="I190" s="79" t="str">
        <x:f t="shared" si="5"/>
        <x:v>فعال</x:v>
      </x:c>
      <x:c r="J190" s="79">
        <x:v>159</x:v>
      </x:c>
      <x:c r="K190" s="79" t="s">
        <x:v>876</x:v>
      </x:c>
      <x:c r="L190" s="79"/>
      <x:c r="M190" s="79"/>
      <x:c r="N190" s="79"/>
      <x:c r="O190" s="79"/>
      <x:c r="P190" s="79"/>
      <x:c r="Q190" s="79"/>
      <x:c r="R190" s="79"/>
      <x:c r="S190" s="79"/>
      <x:c r="T190" s="79"/>
      <x:c r="U190" s="79"/>
      <x:c r="V190" s="79"/>
      <x:c r="W190" s="79"/>
      <x:c r="X190" s="79"/>
      <x:c r="Y190" s="79"/>
      <x:c r="Z190" s="79"/>
      <x:c r="AA190" s="79" t="str">
        <x:f>IF(AND(LEN($N$2)&gt;=3,ISNUMBER(SEARCH($N$2,$B190))),MAX($AA$1:AA189)+1,"")</x:f>
      </x:c>
      <x:c r="AB190" s="79" t="str">
        <x:v>6a2d446d45c164ce6f28ae30</x:v>
      </x:c>
      <x:c r="AC190" s="79" t="str">
        <x:v>روغن</x:v>
      </x:c>
      <x:c r="AD190" s="79" t="str">
        <x:v>oil</x:v>
      </x:c>
      <x:c r="AE190" s="79" t="str">
        <x:v>EDIBLE</x:v>
      </x:c>
      <x:c r="AF190" s="79" t="str">
        <x:v>بله</x:v>
      </x:c>
      <x:c r="AG190" s="79" t="str">
        <x:v>بله</x:v>
      </x:c>
      <x:c r="AH190" s="79" t="n">
        <x:v>2</x:v>
      </x:c>
      <x:c r="AI190" s="79" t="str">
        <x:v>روغن زیتون موضعی</x:v>
      </x:c>
      <x:c r="AJ190" s="79" t="str">
        <x:v>روغن</x:v>
      </x:c>
      <x:c r="AK190" s="79" t="str">
        <x:v>MISSING_PRICE_REVIEW</x:v>
      </x:c>
    </x:row>
    <x:row r="191">
      <x:c r="A191" s="79" t="s">
        <x:v>878</x:v>
      </x:c>
      <x:c r="B191" s="79" t="s">
        <x:v>215</x:v>
      </x:c>
      <x:c r="C191" s="79" t="s">
        <x:v>879</x:v>
      </x:c>
      <x:c r="D191" s="79" t="s">
        <x:v>727</x:v>
      </x:c>
      <x:c r="E191" s="79" t="s">
        <x:v>173</x:v>
      </x:c>
      <x:c r="F191" s="79" t="s">
        <x:v>730</x:v>
      </x:c>
      <x:c r="G191" s="79" t="n">
        <x:f>IF(RIGHT($A191,2)="-2",INDEX('قیمت ها'!$E:$E,$J191+2),INDEX('قیمت ها'!$B:$B,$J191+2))</x:f>
        <x:v>255</x:v>
      </x:c>
      <x:c r="H191" s="110">
        <x:f t="shared" si="4"/>
        <x:v>255000</x:v>
      </x:c>
      <x:c r="I191" s="79" t="str">
        <x:f t="shared" si="5"/>
        <x:v>فعال</x:v>
      </x:c>
      <x:c r="J191" s="79">
        <x:v>159</x:v>
      </x:c>
      <x:c r="K191" s="79" t="s">
        <x:v>878</x:v>
      </x:c>
      <x:c r="L191" s="79"/>
      <x:c r="M191" s="79"/>
      <x:c r="N191" s="79"/>
      <x:c r="O191" s="79"/>
      <x:c r="P191" s="79"/>
      <x:c r="Q191" s="79"/>
      <x:c r="R191" s="79"/>
      <x:c r="S191" s="79"/>
      <x:c r="T191" s="79"/>
      <x:c r="U191" s="79"/>
      <x:c r="V191" s="79"/>
      <x:c r="W191" s="79"/>
      <x:c r="X191" s="79"/>
      <x:c r="Y191" s="79"/>
      <x:c r="Z191" s="79"/>
      <x:c r="AA191" s="79" t="str">
        <x:f>IF(AND(LEN($N$2)&gt;=3,ISNUMBER(SEARCH($N$2,$B191))),MAX($AA$1:AA190)+1,"")</x:f>
      </x:c>
      <x:c r="AB191" s="79" t="str">
        <x:v>6a2d446d45c164ce6f28ae30</x:v>
      </x:c>
      <x:c r="AC191" s="79" t="str">
        <x:v>روغن</x:v>
      </x:c>
      <x:c r="AD191" s="79" t="str">
        <x:v>oil</x:v>
      </x:c>
      <x:c r="AE191" s="79" t="str">
        <x:v>EDIBLE</x:v>
      </x:c>
      <x:c r="AF191" s="79" t="str">
        <x:v>بله</x:v>
      </x:c>
      <x:c r="AG191" s="79" t="str">
        <x:v>بله</x:v>
      </x:c>
      <x:c r="AH191" s="79" t="n">
        <x:v>2</x:v>
      </x:c>
      <x:c r="AI191" s="79" t="str">
        <x:v>روغن زیتون موضعی</x:v>
      </x:c>
      <x:c r="AJ191" s="79" t="str">
        <x:v>روغن</x:v>
      </x:c>
      <x:c r="AK191" s="79" t="str">
        <x:v>MISSING_PRICE_REVIEW</x:v>
      </x:c>
    </x:row>
    <x:row r="192">
      <x:c r="A192" s="79" t="s">
        <x:v>880</x:v>
      </x:c>
      <x:c r="B192" s="79" t="s">
        <x:v>216</x:v>
      </x:c>
      <x:c r="C192" s="79" t="s">
        <x:v>881</x:v>
      </x:c>
      <x:c r="D192" s="79" t="s">
        <x:v>727</x:v>
      </x:c>
      <x:c r="E192" s="79" t="s">
        <x:v>56</x:v>
      </x:c>
      <x:c r="F192" s="79" t="s">
        <x:v>739</x:v>
      </x:c>
      <x:c r="G192" s="79" t="str">
        <x:f>IF(RIGHT($A192,2)="-2",INDEX('قیمت ها'!$E:$E,$J192+2),INDEX('قیمت ها'!$B:$B,$J192+2))</x:f>
        <x:v>1/760</x:v>
      </x:c>
      <x:c r="H192" s="110">
        <x:f t="shared" si="4"/>
        <x:v>1760000</x:v>
      </x:c>
      <x:c r="I192" s="79" t="str">
        <x:f t="shared" si="5"/>
        <x:v>فعال</x:v>
      </x:c>
      <x:c r="J192" s="79">
        <x:v>160</x:v>
      </x:c>
      <x:c r="K192" s="79" t="s">
        <x:v>880</x:v>
      </x:c>
      <x:c r="L192" s="79"/>
      <x:c r="M192" s="79"/>
      <x:c r="N192" s="79"/>
      <x:c r="O192" s="79"/>
      <x:c r="P192" s="79"/>
      <x:c r="Q192" s="79"/>
      <x:c r="R192" s="79"/>
      <x:c r="S192" s="79"/>
      <x:c r="T192" s="79"/>
      <x:c r="U192" s="79"/>
      <x:c r="V192" s="79"/>
      <x:c r="W192" s="79"/>
      <x:c r="X192" s="79"/>
      <x:c r="Y192" s="79"/>
      <x:c r="Z192" s="79"/>
      <x:c r="AA192" s="79" t="str">
        <x:f>IF(AND(LEN($N$2)&gt;=3,ISNUMBER(SEARCH($N$2,$B192))),MAX($AA$1:AA191)+1,"")</x:f>
      </x:c>
      <x:c r="AB192" s="79" t="str">
        <x:v>6a2d446d45c164ce6f28ae30</x:v>
      </x:c>
      <x:c r="AC192" s="79" t="str">
        <x:v>روغن</x:v>
      </x:c>
      <x:c r="AD192" s="79" t="str">
        <x:v>oil</x:v>
      </x:c>
      <x:c r="AE192" s="79" t="str">
        <x:v>EDIBLE</x:v>
      </x:c>
      <x:c r="AF192" s="79" t="str">
        <x:v>بله</x:v>
      </x:c>
      <x:c r="AG192" s="79" t="str">
        <x:v>بله</x:v>
      </x:c>
      <x:c r="AH192" s="79" t="n">
        <x:v>2</x:v>
      </x:c>
      <x:c r="AI192" s="79" t="str">
        <x:v>روغن سقز</x:v>
      </x:c>
      <x:c r="AJ192" s="79" t="str">
        <x:v>روغن</x:v>
      </x:c>
      <x:c r="AK192" s="79"/>
    </x:row>
    <x:row r="193">
      <x:c r="A193" s="79" t="s">
        <x:v>882</x:v>
      </x:c>
      <x:c r="B193" s="79" t="s">
        <x:v>216</x:v>
      </x:c>
      <x:c r="C193" s="79" t="s">
        <x:v>883</x:v>
      </x:c>
      <x:c r="D193" s="79" t="s">
        <x:v>727</x:v>
      </x:c>
      <x:c r="E193" s="79" t="s">
        <x:v>57</x:v>
      </x:c>
      <x:c r="F193" s="79" t="s">
        <x:v>739</x:v>
      </x:c>
      <x:c r="G193" s="79" t="str">
        <x:f>IF(RIGHT($A193,2)="-2",INDEX('قیمت ها'!$E:$E,$J193+2),INDEX('قیمت ها'!$B:$B,$J193+2))</x:f>
        <x:v>3/500</x:v>
      </x:c>
      <x:c r="H193" s="110">
        <x:f t="shared" si="4"/>
        <x:v>3500000</x:v>
      </x:c>
      <x:c r="I193" s="79" t="str">
        <x:f t="shared" si="5"/>
        <x:v>فعال</x:v>
      </x:c>
      <x:c r="J193" s="79">
        <x:v>160</x:v>
      </x:c>
      <x:c r="K193" s="79" t="s">
        <x:v>882</x:v>
      </x:c>
      <x:c r="L193" s="79"/>
      <x:c r="M193" s="79"/>
      <x:c r="N193" s="79"/>
      <x:c r="O193" s="79"/>
      <x:c r="P193" s="79"/>
      <x:c r="Q193" s="79"/>
      <x:c r="R193" s="79"/>
      <x:c r="S193" s="79"/>
      <x:c r="T193" s="79"/>
      <x:c r="U193" s="79"/>
      <x:c r="V193" s="79"/>
      <x:c r="W193" s="79"/>
      <x:c r="X193" s="79"/>
      <x:c r="Y193" s="79"/>
      <x:c r="Z193" s="79"/>
      <x:c r="AA193" s="79" t="str">
        <x:f>IF(AND(LEN($N$2)&gt;=3,ISNUMBER(SEARCH($N$2,$B193))),MAX($AA$1:AA192)+1,"")</x:f>
      </x:c>
      <x:c r="AB193" s="79" t="str">
        <x:v>6a2d446d45c164ce6f28ae30</x:v>
      </x:c>
      <x:c r="AC193" s="79" t="str">
        <x:v>روغن</x:v>
      </x:c>
      <x:c r="AD193" s="79" t="str">
        <x:v>oil</x:v>
      </x:c>
      <x:c r="AE193" s="79" t="str">
        <x:v>EDIBLE</x:v>
      </x:c>
      <x:c r="AF193" s="79" t="str">
        <x:v>بله</x:v>
      </x:c>
      <x:c r="AG193" s="79" t="str">
        <x:v>بله</x:v>
      </x:c>
      <x:c r="AH193" s="79" t="n">
        <x:v>2</x:v>
      </x:c>
      <x:c r="AI193" s="79" t="str">
        <x:v>روغن سقز</x:v>
      </x:c>
      <x:c r="AJ193" s="79" t="str">
        <x:v>روغن</x:v>
      </x:c>
      <x:c r="AK193" s="79"/>
    </x:row>
    <x:row r="194">
      <x:c r="A194" s="79" t="s">
        <x:v>884</x:v>
      </x:c>
      <x:c r="B194" s="79" t="s">
        <x:v>219</x:v>
      </x:c>
      <x:c r="C194" s="79" t="s">
        <x:v>885</x:v>
      </x:c>
      <x:c r="D194" s="79" t="s">
        <x:v>727</x:v>
      </x:c>
      <x:c r="E194" s="79" t="s">
        <x:v>172</x:v>
      </x:c>
      <x:c r="F194" s="79" t="s">
        <x:v>730</x:v>
      </x:c>
      <x:c r="G194" s="79" t="n">
        <x:f>IF(RIGHT($A194,2)="-2",INDEX('قیمت ها'!$E:$E,$J194+2),INDEX('قیمت ها'!$B:$B,$J194+2))</x:f>
        <x:v>65</x:v>
      </x:c>
      <x:c r="H194" s="110" t="n">
        <x:f t="shared" ref="H194:H257" si="6">IF(OR($G194="",$G194="؟"),"",IF(ISNUMBER($G194),$G194*1000,IFERROR((VALUE(LEFT($G194,FIND("/",$G194)-1))*1000+VALUE(MID($G194,FIND("/",$G194)+1,99)))*1000,VALUE($G194)*1000)))</x:f>
        <x:v>65000</x:v>
      </x:c>
      <x:c r="I194" s="79" t="str">
        <x:f t="shared" ref="I194:I257" si="7">IF(OR($G194="",$G194="؟"),"نیاز به استعلام","فعال")</x:f>
        <x:v>فعال</x:v>
      </x:c>
      <x:c r="J194" s="79">
        <x:v>161</x:v>
      </x:c>
      <x:c r="K194" s="79" t="s">
        <x:v>884</x:v>
      </x:c>
      <x:c r="L194" s="79"/>
      <x:c r="M194" s="79"/>
      <x:c r="N194" s="79"/>
      <x:c r="O194" s="79"/>
      <x:c r="P194" s="79"/>
      <x:c r="Q194" s="79"/>
      <x:c r="R194" s="79"/>
      <x:c r="S194" s="79"/>
      <x:c r="T194" s="79"/>
      <x:c r="U194" s="79"/>
      <x:c r="V194" s="79"/>
      <x:c r="W194" s="79"/>
      <x:c r="X194" s="79"/>
      <x:c r="Y194" s="79"/>
      <x:c r="Z194" s="79"/>
      <x:c r="AA194" s="79" t="str">
        <x:f>IF(AND(LEN($N$2)&gt;=3,ISNUMBER(SEARCH($N$2,$B194))),MAX($AA$1:AA193)+1,"")</x:f>
      </x:c>
      <x:c r="AB194" s="79" t="str">
        <x:v>6a2d446d45c164ce6f28ae30</x:v>
      </x:c>
      <x:c r="AC194" s="79" t="str">
        <x:v>روغن</x:v>
      </x:c>
      <x:c r="AD194" s="79" t="str">
        <x:v>oil</x:v>
      </x:c>
      <x:c r="AE194" s="79" t="str">
        <x:v>EDIBLE</x:v>
      </x:c>
      <x:c r="AF194" s="79" t="str">
        <x:v>بله</x:v>
      </x:c>
      <x:c r="AG194" s="79" t="str">
        <x:v>بله</x:v>
      </x:c>
      <x:c r="AH194" s="79" t="n">
        <x:v>2</x:v>
      </x:c>
      <x:c r="AI194" s="79" t="str">
        <x:v>روغن سیاهدانه</x:v>
      </x:c>
      <x:c r="AJ194" s="79" t="str">
        <x:v>روغن</x:v>
      </x:c>
      <x:c r="AK194" s="79" t="str">
        <x:v>MERGED</x:v>
      </x:c>
    </x:row>
    <x:row r="195">
      <x:c r="A195" s="79" t="s">
        <x:v>886</x:v>
      </x:c>
      <x:c r="B195" s="79" t="s">
        <x:v>219</x:v>
      </x:c>
      <x:c r="C195" s="79" t="s">
        <x:v>887</x:v>
      </x:c>
      <x:c r="D195" s="79" t="s">
        <x:v>727</x:v>
      </x:c>
      <x:c r="E195" s="79" t="s">
        <x:v>173</x:v>
      </x:c>
      <x:c r="F195" s="79" t="s">
        <x:v>730</x:v>
      </x:c>
      <x:c r="G195" s="79" t="n">
        <x:f>IF(RIGHT($A195,2)="-2",INDEX('قیمت ها'!$E:$E,$J195+2),INDEX('قیمت ها'!$B:$B,$J195+2))</x:f>
        <x:v>120</x:v>
      </x:c>
      <x:c r="H195" s="110">
        <x:f t="shared" si="6"/>
        <x:v>120000</x:v>
      </x:c>
      <x:c r="I195" s="79" t="str">
        <x:f t="shared" si="7"/>
        <x:v>فعال</x:v>
      </x:c>
      <x:c r="J195" s="79">
        <x:v>161</x:v>
      </x:c>
      <x:c r="K195" s="79" t="s">
        <x:v>886</x:v>
      </x:c>
      <x:c r="L195" s="79"/>
      <x:c r="M195" s="79"/>
      <x:c r="N195" s="79"/>
      <x:c r="O195" s="79"/>
      <x:c r="P195" s="79"/>
      <x:c r="Q195" s="79"/>
      <x:c r="R195" s="79"/>
      <x:c r="S195" s="79"/>
      <x:c r="T195" s="79"/>
      <x:c r="U195" s="79"/>
      <x:c r="V195" s="79"/>
      <x:c r="W195" s="79"/>
      <x:c r="X195" s="79"/>
      <x:c r="Y195" s="79"/>
      <x:c r="Z195" s="79"/>
      <x:c r="AA195" s="79" t="str">
        <x:f>IF(AND(LEN($N$2)&gt;=3,ISNUMBER(SEARCH($N$2,$B195))),MAX($AA$1:AA194)+1,"")</x:f>
      </x:c>
      <x:c r="AB195" s="79" t="str">
        <x:v>6a2d446d45c164ce6f28ae30</x:v>
      </x:c>
      <x:c r="AC195" s="79" t="str">
        <x:v>روغن</x:v>
      </x:c>
      <x:c r="AD195" s="79" t="str">
        <x:v>oil</x:v>
      </x:c>
      <x:c r="AE195" s="79" t="str">
        <x:v>EDIBLE</x:v>
      </x:c>
      <x:c r="AF195" s="79" t="str">
        <x:v>بله</x:v>
      </x:c>
      <x:c r="AG195" s="79" t="str">
        <x:v>بله</x:v>
      </x:c>
      <x:c r="AH195" s="79" t="n">
        <x:v>2</x:v>
      </x:c>
      <x:c r="AI195" s="79" t="str">
        <x:v>روغن سیاهدانه</x:v>
      </x:c>
      <x:c r="AJ195" s="79" t="str">
        <x:v>روغن</x:v>
      </x:c>
      <x:c r="AK195" s="79" t="str">
        <x:v>MERGED</x:v>
      </x:c>
    </x:row>
    <x:row r="196">
      <x:c r="A196" s="79" t="s">
        <x:v>888</x:v>
      </x:c>
      <x:c r="B196" s="79" t="s">
        <x:v>220</x:v>
      </x:c>
      <x:c r="C196" s="79" t="s">
        <x:v>889</x:v>
      </x:c>
      <x:c r="D196" s="79" t="s">
        <x:v>727</x:v>
      </x:c>
      <x:c r="E196" s="79" t="s">
        <x:v>172</x:v>
      </x:c>
      <x:c r="F196" s="79" t="s">
        <x:v>730</x:v>
      </x:c>
      <x:c r="G196" s="79" t="n">
        <x:f>IF(RIGHT($A196,2)="-2",INDEX('قیمت ها'!$E:$E,$J196+2),INDEX('قیمت ها'!$B:$B,$J196+2))</x:f>
        <x:v>90</x:v>
      </x:c>
      <x:c r="H196" s="110">
        <x:f t="shared" si="6"/>
        <x:v>90000</x:v>
      </x:c>
      <x:c r="I196" s="79" t="str">
        <x:f t="shared" si="7"/>
        <x:v>فعال</x:v>
      </x:c>
      <x:c r="J196" s="79">
        <x:v>162</x:v>
      </x:c>
      <x:c r="K196" s="79" t="s">
        <x:v>888</x:v>
      </x:c>
      <x:c r="L196" s="79"/>
      <x:c r="M196" s="79"/>
      <x:c r="N196" s="79"/>
      <x:c r="O196" s="79"/>
      <x:c r="P196" s="79"/>
      <x:c r="Q196" s="79"/>
      <x:c r="R196" s="79"/>
      <x:c r="S196" s="79"/>
      <x:c r="T196" s="79"/>
      <x:c r="U196" s="79"/>
      <x:c r="V196" s="79"/>
      <x:c r="W196" s="79"/>
      <x:c r="X196" s="79"/>
      <x:c r="Y196" s="79"/>
      <x:c r="Z196" s="79"/>
      <x:c r="AA196" s="79" t="str">
        <x:f>IF(AND(LEN($N$2)&gt;=3,ISNUMBER(SEARCH($N$2,$B196))),MAX($AA$1:AA195)+1,"")</x:f>
      </x:c>
      <x:c r="AB196" s="79" t="str">
        <x:v>6a2d446d45c164ce6f28ae30</x:v>
      </x:c>
      <x:c r="AC196" s="79" t="str">
        <x:v>روغن</x:v>
      </x:c>
      <x:c r="AD196" s="79" t="str">
        <x:v>oil</x:v>
      </x:c>
      <x:c r="AE196" s="79" t="str">
        <x:v>EDIBLE</x:v>
      </x:c>
      <x:c r="AF196" s="79" t="str">
        <x:v>بله</x:v>
      </x:c>
      <x:c r="AG196" s="79" t="str">
        <x:v>بله</x:v>
      </x:c>
      <x:c r="AH196" s="79" t="n">
        <x:v>2</x:v>
      </x:c>
      <x:c r="AI196" s="79" t="str">
        <x:v>روغن سیاهدانه</x:v>
      </x:c>
      <x:c r="AJ196" s="79" t="str">
        <x:v>روغن</x:v>
      </x:c>
      <x:c r="AK196" s="79" t="str">
        <x:v>MERGED</x:v>
      </x:c>
    </x:row>
    <x:row r="197">
      <x:c r="A197" s="79" t="s">
        <x:v>890</x:v>
      </x:c>
      <x:c r="B197" s="79" t="s">
        <x:v>220</x:v>
      </x:c>
      <x:c r="C197" s="79" t="s">
        <x:v>891</x:v>
      </x:c>
      <x:c r="D197" s="79" t="s">
        <x:v>727</x:v>
      </x:c>
      <x:c r="E197" s="79" t="s">
        <x:v>173</x:v>
      </x:c>
      <x:c r="F197" s="79" t="s">
        <x:v>730</x:v>
      </x:c>
      <x:c r="G197" s="79" t="n">
        <x:f>IF(RIGHT($A197,2)="-2",INDEX('قیمت ها'!$E:$E,$J197+2),INDEX('قیمت ها'!$B:$B,$J197+2))</x:f>
        <x:v>170</x:v>
      </x:c>
      <x:c r="H197" s="110">
        <x:f t="shared" si="6"/>
        <x:v>170000</x:v>
      </x:c>
      <x:c r="I197" s="79" t="str">
        <x:f t="shared" si="7"/>
        <x:v>فعال</x:v>
      </x:c>
      <x:c r="J197" s="79">
        <x:v>162</x:v>
      </x:c>
      <x:c r="K197" s="79" t="s">
        <x:v>890</x:v>
      </x:c>
      <x:c r="L197" s="79"/>
      <x:c r="M197" s="79"/>
      <x:c r="N197" s="79"/>
      <x:c r="O197" s="79"/>
      <x:c r="P197" s="79"/>
      <x:c r="Q197" s="79"/>
      <x:c r="R197" s="79"/>
      <x:c r="S197" s="79"/>
      <x:c r="T197" s="79"/>
      <x:c r="U197" s="79"/>
      <x:c r="V197" s="79"/>
      <x:c r="W197" s="79"/>
      <x:c r="X197" s="79"/>
      <x:c r="Y197" s="79"/>
      <x:c r="Z197" s="79"/>
      <x:c r="AA197" s="79" t="str">
        <x:f>IF(AND(LEN($N$2)&gt;=3,ISNUMBER(SEARCH($N$2,$B197))),MAX($AA$1:AA196)+1,"")</x:f>
      </x:c>
      <x:c r="AB197" s="79" t="str">
        <x:v>6a2d446d45c164ce6f28ae30</x:v>
      </x:c>
      <x:c r="AC197" s="79" t="str">
        <x:v>روغن</x:v>
      </x:c>
      <x:c r="AD197" s="79" t="str">
        <x:v>oil</x:v>
      </x:c>
      <x:c r="AE197" s="79" t="str">
        <x:v>EDIBLE</x:v>
      </x:c>
      <x:c r="AF197" s="79" t="str">
        <x:v>بله</x:v>
      </x:c>
      <x:c r="AG197" s="79" t="str">
        <x:v>بله</x:v>
      </x:c>
      <x:c r="AH197" s="79" t="n">
        <x:v>2</x:v>
      </x:c>
      <x:c r="AI197" s="79" t="str">
        <x:v>روغن سیاهدانه</x:v>
      </x:c>
      <x:c r="AJ197" s="79" t="str">
        <x:v>روغن</x:v>
      </x:c>
      <x:c r="AK197" s="79" t="str">
        <x:v>MERGED</x:v>
      </x:c>
    </x:row>
    <x:row r="198">
      <x:c r="A198" s="79" t="s">
        <x:v>892</x:v>
      </x:c>
      <x:c r="B198" s="79" t="s">
        <x:v>221</x:v>
      </x:c>
      <x:c r="C198" s="79" t="s">
        <x:v>893</x:v>
      </x:c>
      <x:c r="D198" s="79" t="s">
        <x:v>727</x:v>
      </x:c>
      <x:c r="E198" s="79" t="s">
        <x:v>172</x:v>
      </x:c>
      <x:c r="F198" s="79" t="s">
        <x:v>730</x:v>
      </x:c>
      <x:c r="G198" s="79" t="n">
        <x:f>IF(RIGHT($A198,2)="-2",INDEX('قیمت ها'!$E:$E,$J198+2),INDEX('قیمت ها'!$B:$B,$J198+2))</x:f>
        <x:v>65</x:v>
      </x:c>
      <x:c r="H198" s="110">
        <x:f t="shared" si="6"/>
        <x:v>65000</x:v>
      </x:c>
      <x:c r="I198" s="79" t="str">
        <x:f t="shared" si="7"/>
        <x:v>فعال</x:v>
      </x:c>
      <x:c r="J198" s="79">
        <x:v>163</x:v>
      </x:c>
      <x:c r="K198" s="79" t="s">
        <x:v>892</x:v>
      </x:c>
      <x:c r="L198" s="79"/>
      <x:c r="M198" s="79"/>
      <x:c r="N198" s="79"/>
      <x:c r="O198" s="79"/>
      <x:c r="P198" s="79"/>
      <x:c r="Q198" s="79"/>
      <x:c r="R198" s="79"/>
      <x:c r="S198" s="79"/>
      <x:c r="T198" s="79"/>
      <x:c r="U198" s="79"/>
      <x:c r="V198" s="79"/>
      <x:c r="W198" s="79"/>
      <x:c r="X198" s="79"/>
      <x:c r="Y198" s="79"/>
      <x:c r="Z198" s="79"/>
      <x:c r="AA198" s="79" t="str">
        <x:f>IF(AND(LEN($N$2)&gt;=3,ISNUMBER(SEARCH($N$2,$B198))),MAX($AA$1:AA197)+1,"")</x:f>
      </x:c>
      <x:c r="AB198" s="79" t="str">
        <x:v>6a2d446d45c164ce6f28ae30</x:v>
      </x:c>
      <x:c r="AC198" s="79" t="str">
        <x:v>روغن</x:v>
      </x:c>
      <x:c r="AD198" s="79" t="str">
        <x:v>oil</x:v>
      </x:c>
      <x:c r="AE198" s="79" t="str">
        <x:v>EDIBLE</x:v>
      </x:c>
      <x:c r="AF198" s="79" t="str">
        <x:v>بله</x:v>
      </x:c>
      <x:c r="AG198" s="79" t="str">
        <x:v>بله</x:v>
      </x:c>
      <x:c r="AH198" s="79" t="n">
        <x:v>2</x:v>
      </x:c>
      <x:c r="AI198" s="79" t="str">
        <x:v>روغن سیر</x:v>
      </x:c>
      <x:c r="AJ198" s="79" t="str">
        <x:v>روغن</x:v>
      </x:c>
      <x:c r="AK198" s="79"/>
    </x:row>
    <x:row r="199">
      <x:c r="A199" s="79" t="s">
        <x:v>894</x:v>
      </x:c>
      <x:c r="B199" s="79" t="s">
        <x:v>221</x:v>
      </x:c>
      <x:c r="C199" s="79" t="s">
        <x:v>895</x:v>
      </x:c>
      <x:c r="D199" s="79" t="s">
        <x:v>727</x:v>
      </x:c>
      <x:c r="E199" s="79" t="s">
        <x:v>173</x:v>
      </x:c>
      <x:c r="F199" s="79" t="s">
        <x:v>730</x:v>
      </x:c>
      <x:c r="G199" s="79" t="n">
        <x:f>IF(RIGHT($A199,2)="-2",INDEX('قیمت ها'!$E:$E,$J199+2),INDEX('قیمت ها'!$B:$B,$J199+2))</x:f>
        <x:v>120</x:v>
      </x:c>
      <x:c r="H199" s="110">
        <x:f t="shared" si="6"/>
        <x:v>120000</x:v>
      </x:c>
      <x:c r="I199" s="79" t="str">
        <x:f t="shared" si="7"/>
        <x:v>فعال</x:v>
      </x:c>
      <x:c r="J199" s="79">
        <x:v>163</x:v>
      </x:c>
      <x:c r="K199" s="79" t="s">
        <x:v>894</x:v>
      </x:c>
      <x:c r="L199" s="79"/>
      <x:c r="M199" s="79"/>
      <x:c r="N199" s="79"/>
      <x:c r="O199" s="79"/>
      <x:c r="P199" s="79"/>
      <x:c r="Q199" s="79"/>
      <x:c r="R199" s="79"/>
      <x:c r="S199" s="79"/>
      <x:c r="T199" s="79"/>
      <x:c r="U199" s="79"/>
      <x:c r="V199" s="79"/>
      <x:c r="W199" s="79"/>
      <x:c r="X199" s="79"/>
      <x:c r="Y199" s="79"/>
      <x:c r="Z199" s="79"/>
      <x:c r="AA199" s="79" t="str">
        <x:f>IF(AND(LEN($N$2)&gt;=3,ISNUMBER(SEARCH($N$2,$B199))),MAX($AA$1:AA198)+1,"")</x:f>
      </x:c>
      <x:c r="AB199" s="79" t="str">
        <x:v>6a2d446d45c164ce6f28ae30</x:v>
      </x:c>
      <x:c r="AC199" s="79" t="str">
        <x:v>روغن</x:v>
      </x:c>
      <x:c r="AD199" s="79" t="str">
        <x:v>oil</x:v>
      </x:c>
      <x:c r="AE199" s="79" t="str">
        <x:v>EDIBLE</x:v>
      </x:c>
      <x:c r="AF199" s="79" t="str">
        <x:v>بله</x:v>
      </x:c>
      <x:c r="AG199" s="79" t="str">
        <x:v>بله</x:v>
      </x:c>
      <x:c r="AH199" s="79" t="n">
        <x:v>2</x:v>
      </x:c>
      <x:c r="AI199" s="79" t="str">
        <x:v>روغن سیر</x:v>
      </x:c>
      <x:c r="AJ199" s="79" t="str">
        <x:v>روغن</x:v>
      </x:c>
      <x:c r="AK199" s="79"/>
    </x:row>
    <x:row r="200">
      <x:c r="A200" s="79" t="s">
        <x:v>896</x:v>
      </x:c>
      <x:c r="B200" s="79" t="s">
        <x:v>222</x:v>
      </x:c>
      <x:c r="C200" s="79" t="s">
        <x:v>897</x:v>
      </x:c>
      <x:c r="D200" s="79" t="s">
        <x:v>727</x:v>
      </x:c>
      <x:c r="E200" s="79" t="s">
        <x:v>223</x:v>
      </x:c>
      <x:c r="F200" s="79" t="s">
        <x:v>682</x:v>
      </x:c>
      <x:c r="G200" s="79" t="n">
        <x:f>IF(RIGHT($A200,2)="-2",INDEX('قیمت ها'!$E:$E,$J200+2),INDEX('قیمت ها'!$B:$B,$J200+2))</x:f>
        <x:v>145</x:v>
      </x:c>
      <x:c r="H200" s="110">
        <x:f t="shared" si="6"/>
        <x:v>145000</x:v>
      </x:c>
      <x:c r="I200" s="79" t="str">
        <x:f t="shared" si="7"/>
        <x:v>فعال</x:v>
      </x:c>
      <x:c r="J200" s="79">
        <x:v>164</x:v>
      </x:c>
      <x:c r="K200" s="79" t="s">
        <x:v>896</x:v>
      </x:c>
      <x:c r="L200" s="79"/>
      <x:c r="M200" s="79"/>
      <x:c r="N200" s="79"/>
      <x:c r="O200" s="79"/>
      <x:c r="P200" s="79"/>
      <x:c r="Q200" s="79"/>
      <x:c r="R200" s="79"/>
      <x:c r="S200" s="79"/>
      <x:c r="T200" s="79"/>
      <x:c r="U200" s="79"/>
      <x:c r="V200" s="79"/>
      <x:c r="W200" s="79"/>
      <x:c r="X200" s="79"/>
      <x:c r="Y200" s="79"/>
      <x:c r="Z200" s="79"/>
      <x:c r="AA200" s="79" t="str">
        <x:f>IF(AND(LEN($N$2)&gt;=3,ISNUMBER(SEARCH($N$2,$B200))),MAX($AA$1:AA199)+1,"")</x:f>
      </x:c>
      <x:c r="AB200" s="79" t="str">
        <x:v>6a2d446d45c164ce6f28ae30</x:v>
      </x:c>
      <x:c r="AC200" s="79" t="str">
        <x:v>روغن</x:v>
      </x:c>
      <x:c r="AD200" s="79" t="str">
        <x:v>oil</x:v>
      </x:c>
      <x:c r="AE200" s="79" t="str">
        <x:v>EDIBLE</x:v>
      </x:c>
      <x:c r="AF200" s="79" t="str">
        <x:v>بله</x:v>
      </x:c>
      <x:c r="AG200" s="79" t="str">
        <x:v>بله</x:v>
      </x:c>
      <x:c r="AH200" s="79" t="n">
        <x:v>2</x:v>
      </x:c>
      <x:c r="AI200" s="79" t="str">
        <x:v>روغن شترمرغ</x:v>
      </x:c>
      <x:c r="AJ200" s="79" t="str">
        <x:v>روغن</x:v>
      </x:c>
      <x:c r="AK200" s="79"/>
    </x:row>
    <x:row r="201">
      <x:c r="A201" s="79" t="s">
        <x:v>898</x:v>
      </x:c>
      <x:c r="B201" s="79" t="s">
        <x:v>222</x:v>
      </x:c>
      <x:c r="C201" s="79" t="s">
        <x:v>899</x:v>
      </x:c>
      <x:c r="D201" s="79" t="s">
        <x:v>727</x:v>
      </x:c>
      <x:c r="E201" s="79" t="s">
        <x:v>16</x:v>
      </x:c>
      <x:c r="F201" s="79" t="s">
        <x:v>16</x:v>
      </x:c>
      <x:c r="G201" s="79" t="str">
        <x:f>IF(RIGHT($A201,2)="-2",INDEX('قیمت ها'!$E:$E,$J201+2),INDEX('قیمت ها'!$B:$B,$J201+2))</x:f>
        <x:v>1/500</x:v>
      </x:c>
      <x:c r="H201" s="110">
        <x:f t="shared" si="6"/>
        <x:v>1500000</x:v>
      </x:c>
      <x:c r="I201" s="79" t="str">
        <x:f t="shared" si="7"/>
        <x:v>فعال</x:v>
      </x:c>
      <x:c r="J201" s="79">
        <x:v>164</x:v>
      </x:c>
      <x:c r="K201" s="79" t="s">
        <x:v>898</x:v>
      </x:c>
      <x:c r="L201" s="79"/>
      <x:c r="M201" s="79"/>
      <x:c r="N201" s="79"/>
      <x:c r="O201" s="79"/>
      <x:c r="P201" s="79"/>
      <x:c r="Q201" s="79"/>
      <x:c r="R201" s="79"/>
      <x:c r="S201" s="79"/>
      <x:c r="T201" s="79"/>
      <x:c r="U201" s="79"/>
      <x:c r="V201" s="79"/>
      <x:c r="W201" s="79"/>
      <x:c r="X201" s="79"/>
      <x:c r="Y201" s="79"/>
      <x:c r="Z201" s="79"/>
      <x:c r="AA201" s="79" t="str">
        <x:f>IF(AND(LEN($N$2)&gt;=3,ISNUMBER(SEARCH($N$2,$B201))),MAX($AA$1:AA200)+1,"")</x:f>
      </x:c>
      <x:c r="AB201" s="79" t="str">
        <x:v>6a2d446d45c164ce6f28ae30</x:v>
      </x:c>
      <x:c r="AC201" s="79" t="str">
        <x:v>روغن</x:v>
      </x:c>
      <x:c r="AD201" s="79" t="str">
        <x:v>oil</x:v>
      </x:c>
      <x:c r="AE201" s="79" t="str">
        <x:v>EDIBLE</x:v>
      </x:c>
      <x:c r="AF201" s="79" t="str">
        <x:v>بله</x:v>
      </x:c>
      <x:c r="AG201" s="79" t="str">
        <x:v>بله</x:v>
      </x:c>
      <x:c r="AH201" s="79" t="n">
        <x:v>2</x:v>
      </x:c>
      <x:c r="AI201" s="79" t="str">
        <x:v>روغن شترمرغ</x:v>
      </x:c>
      <x:c r="AJ201" s="79" t="str">
        <x:v>روغن</x:v>
      </x:c>
      <x:c r="AK201" s="79"/>
    </x:row>
    <x:row r="202">
      <x:c r="A202" s="79" t="s">
        <x:v>900</x:v>
      </x:c>
      <x:c r="B202" s="79" t="s">
        <x:v>224</x:v>
      </x:c>
      <x:c r="C202" s="79" t="s">
        <x:v>901</x:v>
      </x:c>
      <x:c r="D202" s="79" t="s">
        <x:v>727</x:v>
      </x:c>
      <x:c r="E202" s="79" t="s">
        <x:v>172</x:v>
      </x:c>
      <x:c r="F202" s="79" t="s">
        <x:v>730</x:v>
      </x:c>
      <x:c r="G202" s="79" t="n">
        <x:f>IF(RIGHT($A202,2)="-2",INDEX('قیمت ها'!$E:$E,$J202+2),INDEX('قیمت ها'!$B:$B,$J202+2))</x:f>
        <x:v>120</x:v>
      </x:c>
      <x:c r="H202" s="110">
        <x:f t="shared" si="6"/>
        <x:v>120000</x:v>
      </x:c>
      <x:c r="I202" s="79" t="str">
        <x:f t="shared" si="7"/>
        <x:v>فعال</x:v>
      </x:c>
      <x:c r="J202" s="79">
        <x:v>165</x:v>
      </x:c>
      <x:c r="K202" s="79" t="s">
        <x:v>900</x:v>
      </x:c>
      <x:c r="L202" s="79"/>
      <x:c r="M202" s="79"/>
      <x:c r="N202" s="79"/>
      <x:c r="O202" s="79"/>
      <x:c r="P202" s="79"/>
      <x:c r="Q202" s="79"/>
      <x:c r="R202" s="79"/>
      <x:c r="S202" s="79"/>
      <x:c r="T202" s="79"/>
      <x:c r="U202" s="79"/>
      <x:c r="V202" s="79"/>
      <x:c r="W202" s="79"/>
      <x:c r="X202" s="79"/>
      <x:c r="Y202" s="79"/>
      <x:c r="Z202" s="79"/>
      <x:c r="AA202" s="79" t="str">
        <x:f>IF(AND(LEN($N$2)&gt;=3,ISNUMBER(SEARCH($N$2,$B202))),MAX($AA$1:AA201)+1,"")</x:f>
      </x:c>
      <x:c r="AB202" s="79" t="str">
        <x:v>6a2d446d45c164ce6f28ae30</x:v>
      </x:c>
      <x:c r="AC202" s="79" t="str">
        <x:v>روغن</x:v>
      </x:c>
      <x:c r="AD202" s="79" t="str">
        <x:v>oil</x:v>
      </x:c>
      <x:c r="AE202" s="79" t="str">
        <x:v>EDIBLE</x:v>
      </x:c>
      <x:c r="AF202" s="79" t="str">
        <x:v>بله</x:v>
      </x:c>
      <x:c r="AG202" s="79" t="str">
        <x:v>بله</x:v>
      </x:c>
      <x:c r="AH202" s="79" t="n">
        <x:v>2</x:v>
      </x:c>
      <x:c r="AI202" s="79" t="str">
        <x:v>روغن شوید</x:v>
      </x:c>
      <x:c r="AJ202" s="79" t="str">
        <x:v>روغن</x:v>
      </x:c>
      <x:c r="AK202" s="79"/>
    </x:row>
    <x:row r="203">
      <x:c r="A203" s="79" t="s">
        <x:v>902</x:v>
      </x:c>
      <x:c r="B203" s="79" t="s">
        <x:v>224</x:v>
      </x:c>
      <x:c r="C203" s="79" t="s">
        <x:v>903</x:v>
      </x:c>
      <x:c r="D203" s="79" t="s">
        <x:v>727</x:v>
      </x:c>
      <x:c r="E203" s="79" t="s">
        <x:v>173</x:v>
      </x:c>
      <x:c r="F203" s="79" t="s">
        <x:v>730</x:v>
      </x:c>
      <x:c r="G203" s="79" t="str">
        <x:f>IF(RIGHT($A203,2)="-2",INDEX('قیمت ها'!$E:$E,$J203+2),INDEX('قیمت ها'!$B:$B,$J203+2))</x:f>
        <x:v>؟</x:v>
      </x:c>
      <x:c r="H203" s="110" t="str">
        <x:f t="shared" si="6"/>
      </x:c>
      <x:c r="I203" s="79" t="str">
        <x:f t="shared" si="7"/>
        <x:v>نیاز به استعلام</x:v>
      </x:c>
      <x:c r="J203" s="79">
        <x:v>165</x:v>
      </x:c>
      <x:c r="K203" s="79" t="s">
        <x:v>902</x:v>
      </x:c>
      <x:c r="L203" s="79"/>
      <x:c r="M203" s="79"/>
      <x:c r="N203" s="79"/>
      <x:c r="O203" s="79"/>
      <x:c r="P203" s="79"/>
      <x:c r="Q203" s="79"/>
      <x:c r="R203" s="79"/>
      <x:c r="S203" s="79"/>
      <x:c r="T203" s="79"/>
      <x:c r="U203" s="79"/>
      <x:c r="V203" s="79"/>
      <x:c r="W203" s="79"/>
      <x:c r="X203" s="79"/>
      <x:c r="Y203" s="79"/>
      <x:c r="Z203" s="79"/>
      <x:c r="AA203" s="79" t="str">
        <x:f>IF(AND(LEN($N$2)&gt;=3,ISNUMBER(SEARCH($N$2,$B203))),MAX($AA$1:AA202)+1,"")</x:f>
      </x:c>
      <x:c r="AB203" s="79" t="str">
        <x:v>6a2d446d45c164ce6f28ae30</x:v>
      </x:c>
      <x:c r="AC203" s="79" t="str">
        <x:v>روغن</x:v>
      </x:c>
      <x:c r="AD203" s="79" t="str">
        <x:v>oil</x:v>
      </x:c>
      <x:c r="AE203" s="79" t="str">
        <x:v>EDIBLE</x:v>
      </x:c>
      <x:c r="AF203" s="79" t="str">
        <x:v>بله</x:v>
      </x:c>
      <x:c r="AG203" s="79" t="str">
        <x:v>بله</x:v>
      </x:c>
      <x:c r="AH203" s="79" t="n">
        <x:v>2</x:v>
      </x:c>
      <x:c r="AI203" s="79" t="str">
        <x:v>روغن شوید</x:v>
      </x:c>
      <x:c r="AJ203" s="79" t="str">
        <x:v>روغن</x:v>
      </x:c>
      <x:c r="AK203" s="79"/>
    </x:row>
    <x:row r="204">
      <x:c r="A204" s="79" t="s">
        <x:v>904</x:v>
      </x:c>
      <x:c r="B204" s="79" t="s">
        <x:v>225</x:v>
      </x:c>
      <x:c r="C204" s="79" t="s">
        <x:v>905</x:v>
      </x:c>
      <x:c r="D204" s="79" t="s">
        <x:v>727</x:v>
      </x:c>
      <x:c r="E204" s="79" t="s">
        <x:v>56</x:v>
      </x:c>
      <x:c r="F204" s="79" t="s">
        <x:v>739</x:v>
      </x:c>
      <x:c r="G204" s="79" t="str">
        <x:f>IF(RIGHT($A204,2)="-2",INDEX('قیمت ها'!$E:$E,$J204+2),INDEX('قیمت ها'!$B:$B,$J204+2))</x:f>
        <x:v>1/475</x:v>
      </x:c>
      <x:c r="H204" s="110">
        <x:f t="shared" si="6"/>
        <x:v>1475000</x:v>
      </x:c>
      <x:c r="I204" s="79" t="str">
        <x:f t="shared" si="7"/>
        <x:v>فعال</x:v>
      </x:c>
      <x:c r="J204" s="79">
        <x:v>166</x:v>
      </x:c>
      <x:c r="K204" s="79" t="s">
        <x:v>904</x:v>
      </x:c>
      <x:c r="L204" s="79"/>
      <x:c r="M204" s="79"/>
      <x:c r="N204" s="79"/>
      <x:c r="O204" s="79"/>
      <x:c r="P204" s="79"/>
      <x:c r="Q204" s="79"/>
      <x:c r="R204" s="79"/>
      <x:c r="S204" s="79"/>
      <x:c r="T204" s="79"/>
      <x:c r="U204" s="79"/>
      <x:c r="V204" s="79"/>
      <x:c r="W204" s="79"/>
      <x:c r="X204" s="79"/>
      <x:c r="Y204" s="79"/>
      <x:c r="Z204" s="79"/>
      <x:c r="AA204" s="79" t="str">
        <x:f>IF(AND(LEN($N$2)&gt;=3,ISNUMBER(SEARCH($N$2,$B204))),MAX($AA$1:AA203)+1,"")</x:f>
      </x:c>
      <x:c r="AB204" s="79" t="str">
        <x:v>6a2d446d45c164ce6f28ae30</x:v>
      </x:c>
      <x:c r="AC204" s="79" t="str">
        <x:v>روغن</x:v>
      </x:c>
      <x:c r="AD204" s="79" t="str">
        <x:v>oil</x:v>
      </x:c>
      <x:c r="AE204" s="79" t="str">
        <x:v>EDIBLE</x:v>
      </x:c>
      <x:c r="AF204" s="79" t="str">
        <x:v>بله</x:v>
      </x:c>
      <x:c r="AG204" s="79" t="str">
        <x:v>بله</x:v>
      </x:c>
      <x:c r="AH204" s="79" t="n">
        <x:v>2</x:v>
      </x:c>
      <x:c r="AI204" s="79" t="str">
        <x:v>روغن شی باتر</x:v>
      </x:c>
      <x:c r="AJ204" s="79" t="str">
        <x:v>روغن</x:v>
      </x:c>
      <x:c r="AK204" s="79"/>
    </x:row>
    <x:row r="205">
      <x:c r="A205" s="79" t="s">
        <x:v>906</x:v>
      </x:c>
      <x:c r="B205" s="79" t="s">
        <x:v>225</x:v>
      </x:c>
      <x:c r="C205" s="79" t="s">
        <x:v>907</x:v>
      </x:c>
      <x:c r="D205" s="79" t="s">
        <x:v>727</x:v>
      </x:c>
      <x:c r="E205" s="79" t="s">
        <x:v>172</x:v>
      </x:c>
      <x:c r="F205" s="79" t="s">
        <x:v>730</x:v>
      </x:c>
      <x:c r="G205" s="79" t="n">
        <x:f>IF(RIGHT($A205,2)="-2",INDEX('قیمت ها'!$E:$E,$J205+2),INDEX('قیمت ها'!$B:$B,$J205+2))</x:f>
        <x:v>100</x:v>
      </x:c>
      <x:c r="H205" s="110">
        <x:f t="shared" si="6"/>
        <x:v>100000</x:v>
      </x:c>
      <x:c r="I205" s="79" t="str">
        <x:f t="shared" si="7"/>
        <x:v>فعال</x:v>
      </x:c>
      <x:c r="J205" s="79">
        <x:v>167</x:v>
      </x:c>
      <x:c r="K205" s="79" t="s">
        <x:v>906</x:v>
      </x:c>
      <x:c r="L205" s="79"/>
      <x:c r="M205" s="79"/>
      <x:c r="N205" s="79"/>
      <x:c r="O205" s="79"/>
      <x:c r="P205" s="79"/>
      <x:c r="Q205" s="79"/>
      <x:c r="R205" s="79"/>
      <x:c r="S205" s="79"/>
      <x:c r="T205" s="79"/>
      <x:c r="U205" s="79"/>
      <x:c r="V205" s="79"/>
      <x:c r="W205" s="79"/>
      <x:c r="X205" s="79"/>
      <x:c r="Y205" s="79"/>
      <x:c r="Z205" s="79"/>
      <x:c r="AA205" s="79" t="str">
        <x:f>IF(AND(LEN($N$2)&gt;=3,ISNUMBER(SEARCH($N$2,$B205))),MAX($AA$1:AA204)+1,"")</x:f>
      </x:c>
      <x:c r="AB205" s="79" t="str">
        <x:v>6a2d446d45c164ce6f28ae30</x:v>
      </x:c>
      <x:c r="AC205" s="79" t="str">
        <x:v>روغن</x:v>
      </x:c>
      <x:c r="AD205" s="79" t="str">
        <x:v>oil</x:v>
      </x:c>
      <x:c r="AE205" s="79" t="str">
        <x:v>EDIBLE</x:v>
      </x:c>
      <x:c r="AF205" s="79" t="str">
        <x:v>بله</x:v>
      </x:c>
      <x:c r="AG205" s="79" t="str">
        <x:v>بله</x:v>
      </x:c>
      <x:c r="AH205" s="79" t="n">
        <x:v>2</x:v>
      </x:c>
      <x:c r="AI205" s="79" t="str">
        <x:v>روغن ضد التهاب</x:v>
      </x:c>
      <x:c r="AJ205" s="79" t="str">
        <x:v>روغن</x:v>
      </x:c>
      <x:c r="AK205" s="79" t="str">
        <x:v>MISSING_PRICE_REVIEW</x:v>
      </x:c>
    </x:row>
    <x:row r="206">
      <x:c r="A206" s="79" t="s">
        <x:v>908</x:v>
      </x:c>
      <x:c r="B206" s="79" t="s">
        <x:v>225</x:v>
      </x:c>
      <x:c r="C206" s="79" t="s">
        <x:v>909</x:v>
      </x:c>
      <x:c r="D206" s="79" t="s">
        <x:v>727</x:v>
      </x:c>
      <x:c r="E206" s="79" t="s">
        <x:v>57</x:v>
      </x:c>
      <x:c r="F206" s="79" t="s">
        <x:v>739</x:v>
      </x:c>
      <x:c r="G206" s="79" t="str">
        <x:f>IF(RIGHT($A206,2)="-2",INDEX('قیمت ها'!$E:$E,$J206+2),INDEX('قیمت ها'!$B:$B,$J206+2))</x:f>
        <x:v>2/950</x:v>
      </x:c>
      <x:c r="H206" s="110">
        <x:f t="shared" si="6"/>
        <x:v>2950000</x:v>
      </x:c>
      <x:c r="I206" s="79" t="str">
        <x:f t="shared" si="7"/>
        <x:v>فعال</x:v>
      </x:c>
      <x:c r="J206" s="79">
        <x:v>166</x:v>
      </x:c>
      <x:c r="K206" s="79" t="s">
        <x:v>908</x:v>
      </x:c>
      <x:c r="L206" s="79"/>
      <x:c r="M206" s="79"/>
      <x:c r="N206" s="79"/>
      <x:c r="O206" s="79"/>
      <x:c r="P206" s="79"/>
      <x:c r="Q206" s="79"/>
      <x:c r="R206" s="79"/>
      <x:c r="S206" s="79"/>
      <x:c r="T206" s="79"/>
      <x:c r="U206" s="79"/>
      <x:c r="V206" s="79"/>
      <x:c r="W206" s="79"/>
      <x:c r="X206" s="79"/>
      <x:c r="Y206" s="79"/>
      <x:c r="Z206" s="79"/>
      <x:c r="AA206" s="79" t="str">
        <x:f>IF(AND(LEN($N$2)&gt;=3,ISNUMBER(SEARCH($N$2,$B206))),MAX($AA$1:AA205)+1,"")</x:f>
      </x:c>
      <x:c r="AB206" s="79" t="str">
        <x:v>6a2d446d45c164ce6f28ae30</x:v>
      </x:c>
      <x:c r="AC206" s="79" t="str">
        <x:v>روغن</x:v>
      </x:c>
      <x:c r="AD206" s="79" t="str">
        <x:v>oil</x:v>
      </x:c>
      <x:c r="AE206" s="79" t="str">
        <x:v>EDIBLE</x:v>
      </x:c>
      <x:c r="AF206" s="79" t="str">
        <x:v>بله</x:v>
      </x:c>
      <x:c r="AG206" s="79" t="str">
        <x:v>بله</x:v>
      </x:c>
      <x:c r="AH206" s="79" t="n">
        <x:v>2</x:v>
      </x:c>
      <x:c r="AI206" s="79" t="str">
        <x:v>روغن شی باتر</x:v>
      </x:c>
      <x:c r="AJ206" s="79" t="str">
        <x:v>روغن</x:v>
      </x:c>
      <x:c r="AK206" s="79"/>
    </x:row>
    <x:row r="207">
      <x:c r="A207" s="79" t="s">
        <x:v>910</x:v>
      </x:c>
      <x:c r="B207" s="79" t="s">
        <x:v>225</x:v>
      </x:c>
      <x:c r="C207" s="79" t="s">
        <x:v>911</x:v>
      </x:c>
      <x:c r="D207" s="79" t="s">
        <x:v>727</x:v>
      </x:c>
      <x:c r="E207" s="79" t="s">
        <x:v>173</x:v>
      </x:c>
      <x:c r="F207" s="79" t="s">
        <x:v>730</x:v>
      </x:c>
      <x:c r="G207" s="79" t="n">
        <x:f>IF(RIGHT($A207,2)="-2",INDEX('قیمت ها'!$E:$E,$J207+2),INDEX('قیمت ها'!$B:$B,$J207+2))</x:f>
        <x:v>195</x:v>
      </x:c>
      <x:c r="H207" s="110">
        <x:f t="shared" si="6"/>
        <x:v>195000</x:v>
      </x:c>
      <x:c r="I207" s="79" t="str">
        <x:f t="shared" si="7"/>
        <x:v>فعال</x:v>
      </x:c>
      <x:c r="J207" s="79">
        <x:v>167</x:v>
      </x:c>
      <x:c r="K207" s="79" t="s">
        <x:v>910</x:v>
      </x:c>
      <x:c r="L207" s="79"/>
      <x:c r="M207" s="79"/>
      <x:c r="N207" s="79"/>
      <x:c r="O207" s="79"/>
      <x:c r="P207" s="79"/>
      <x:c r="Q207" s="79"/>
      <x:c r="R207" s="79"/>
      <x:c r="S207" s="79"/>
      <x:c r="T207" s="79"/>
      <x:c r="U207" s="79"/>
      <x:c r="V207" s="79"/>
      <x:c r="W207" s="79"/>
      <x:c r="X207" s="79"/>
      <x:c r="Y207" s="79"/>
      <x:c r="Z207" s="79"/>
      <x:c r="AA207" s="79" t="str">
        <x:f>IF(AND(LEN($N$2)&gt;=3,ISNUMBER(SEARCH($N$2,$B207))),MAX($AA$1:AA206)+1,"")</x:f>
      </x:c>
      <x:c r="AB207" s="79" t="str">
        <x:v>6a2d446d45c164ce6f28ae30</x:v>
      </x:c>
      <x:c r="AC207" s="79" t="str">
        <x:v>روغن</x:v>
      </x:c>
      <x:c r="AD207" s="79" t="str">
        <x:v>oil</x:v>
      </x:c>
      <x:c r="AE207" s="79" t="str">
        <x:v>EDIBLE</x:v>
      </x:c>
      <x:c r="AF207" s="79" t="str">
        <x:v>بله</x:v>
      </x:c>
      <x:c r="AG207" s="79" t="str">
        <x:v>بله</x:v>
      </x:c>
      <x:c r="AH207" s="79" t="n">
        <x:v>2</x:v>
      </x:c>
      <x:c r="AI207" s="79" t="str">
        <x:v>روغن ضد التهاب</x:v>
      </x:c>
      <x:c r="AJ207" s="79" t="str">
        <x:v>روغن</x:v>
      </x:c>
      <x:c r="AK207" s="79" t="str">
        <x:v>MISSING_PRICE_REVIEW</x:v>
      </x:c>
    </x:row>
    <x:row r="208">
      <x:c r="A208" s="79" t="s">
        <x:v>912</x:v>
      </x:c>
      <x:c r="B208" s="79" t="s">
        <x:v>228</x:v>
      </x:c>
      <x:c r="C208" s="79" t="s">
        <x:v>913</x:v>
      </x:c>
      <x:c r="D208" s="79" t="s">
        <x:v>727</x:v>
      </x:c>
      <x:c r="E208" s="79" t="s">
        <x:v>172</x:v>
      </x:c>
      <x:c r="F208" s="79" t="s">
        <x:v>730</x:v>
      </x:c>
      <x:c r="G208" s="79" t="n">
        <x:f>IF(RIGHT($A208,2)="-2",INDEX('قیمت ها'!$E:$E,$J208+2),INDEX('قیمت ها'!$B:$B,$J208+2))</x:f>
        <x:v>100</x:v>
      </x:c>
      <x:c r="H208" s="110">
        <x:f t="shared" si="6"/>
        <x:v>100000</x:v>
      </x:c>
      <x:c r="I208" s="79" t="str">
        <x:f t="shared" si="7"/>
        <x:v>فعال</x:v>
      </x:c>
      <x:c r="J208" s="79">
        <x:v>168</x:v>
      </x:c>
      <x:c r="K208" s="79" t="s">
        <x:v>912</x:v>
      </x:c>
      <x:c r="L208" s="79"/>
      <x:c r="M208" s="79"/>
      <x:c r="N208" s="79"/>
      <x:c r="O208" s="79"/>
      <x:c r="P208" s="79"/>
      <x:c r="Q208" s="79"/>
      <x:c r="R208" s="79"/>
      <x:c r="S208" s="79"/>
      <x:c r="T208" s="79"/>
      <x:c r="U208" s="79"/>
      <x:c r="V208" s="79"/>
      <x:c r="W208" s="79"/>
      <x:c r="X208" s="79"/>
      <x:c r="Y208" s="79"/>
      <x:c r="Z208" s="79"/>
      <x:c r="AA208" s="79" t="str">
        <x:f>IF(AND(LEN($N$2)&gt;=3,ISNUMBER(SEARCH($N$2,$B208))),MAX($AA$1:AA207)+1,"")</x:f>
      </x:c>
      <x:c r="AB208" s="79" t="str">
        <x:v>6a2d446d45c164ce6f28ae30</x:v>
      </x:c>
      <x:c r="AC208" s="79" t="str">
        <x:v>روغن</x:v>
      </x:c>
      <x:c r="AD208" s="79" t="str">
        <x:v>oil</x:v>
      </x:c>
      <x:c r="AE208" s="79" t="str">
        <x:v>EDIBLE</x:v>
      </x:c>
      <x:c r="AF208" s="79" t="str">
        <x:v>بله</x:v>
      </x:c>
      <x:c r="AG208" s="79" t="str">
        <x:v>بله</x:v>
      </x:c>
      <x:c r="AH208" s="79" t="n">
        <x:v>2</x:v>
      </x:c>
      <x:c r="AI208" s="79" t="str">
        <x:v>روغن ضد درد</x:v>
      </x:c>
      <x:c r="AJ208" s="79" t="str">
        <x:v>روغن</x:v>
      </x:c>
      <x:c r="AK208" s="79" t="str">
        <x:v>MERGED</x:v>
      </x:c>
    </x:row>
    <x:row r="209">
      <x:c r="A209" s="79" t="s">
        <x:v>914</x:v>
      </x:c>
      <x:c r="B209" s="79" t="s">
        <x:v>228</x:v>
      </x:c>
      <x:c r="C209" s="79" t="s">
        <x:v>915</x:v>
      </x:c>
      <x:c r="D209" s="79" t="s">
        <x:v>727</x:v>
      </x:c>
      <x:c r="E209" s="79" t="s">
        <x:v>173</x:v>
      </x:c>
      <x:c r="F209" s="79" t="s">
        <x:v>730</x:v>
      </x:c>
      <x:c r="G209" s="79" t="n">
        <x:f>IF(RIGHT($A209,2)="-2",INDEX('قیمت ها'!$E:$E,$J209+2),INDEX('قیمت ها'!$B:$B,$J209+2))</x:f>
        <x:v>195</x:v>
      </x:c>
      <x:c r="H209" s="110">
        <x:f t="shared" si="6"/>
        <x:v>195000</x:v>
      </x:c>
      <x:c r="I209" s="79" t="str">
        <x:f t="shared" si="7"/>
        <x:v>فعال</x:v>
      </x:c>
      <x:c r="J209" s="79">
        <x:v>168</x:v>
      </x:c>
      <x:c r="K209" s="79" t="s">
        <x:v>914</x:v>
      </x:c>
      <x:c r="L209" s="79"/>
      <x:c r="M209" s="79"/>
      <x:c r="N209" s="79"/>
      <x:c r="O209" s="79"/>
      <x:c r="P209" s="79"/>
      <x:c r="Q209" s="79"/>
      <x:c r="R209" s="79"/>
      <x:c r="S209" s="79"/>
      <x:c r="T209" s="79"/>
      <x:c r="U209" s="79"/>
      <x:c r="V209" s="79"/>
      <x:c r="W209" s="79"/>
      <x:c r="X209" s="79"/>
      <x:c r="Y209" s="79"/>
      <x:c r="Z209" s="79"/>
      <x:c r="AA209" s="79" t="str">
        <x:f>IF(AND(LEN($N$2)&gt;=3,ISNUMBER(SEARCH($N$2,$B209))),MAX($AA$1:AA208)+1,"")</x:f>
      </x:c>
      <x:c r="AB209" s="79" t="str">
        <x:v>6a2d446d45c164ce6f28ae30</x:v>
      </x:c>
      <x:c r="AC209" s="79" t="str">
        <x:v>روغن</x:v>
      </x:c>
      <x:c r="AD209" s="79" t="str">
        <x:v>oil</x:v>
      </x:c>
      <x:c r="AE209" s="79" t="str">
        <x:v>EDIBLE</x:v>
      </x:c>
      <x:c r="AF209" s="79" t="str">
        <x:v>بله</x:v>
      </x:c>
      <x:c r="AG209" s="79" t="str">
        <x:v>بله</x:v>
      </x:c>
      <x:c r="AH209" s="79" t="n">
        <x:v>2</x:v>
      </x:c>
      <x:c r="AI209" s="79" t="str">
        <x:v>روغن ضد درد</x:v>
      </x:c>
      <x:c r="AJ209" s="79" t="str">
        <x:v>روغن</x:v>
      </x:c>
      <x:c r="AK209" s="79" t="str">
        <x:v>MERGED</x:v>
      </x:c>
    </x:row>
    <x:row r="210">
      <x:c r="A210" s="79" t="s">
        <x:v>916</x:v>
      </x:c>
      <x:c r="B210" s="79" t="s">
        <x:v>242</x:v>
      </x:c>
      <x:c r="C210" s="79" t="s">
        <x:v>917</x:v>
      </x:c>
      <x:c r="D210" s="79" t="s">
        <x:v>727</x:v>
      </x:c>
      <x:c r="E210" s="79" t="s">
        <x:v>172</x:v>
      </x:c>
      <x:c r="F210" s="79" t="s">
        <x:v>730</x:v>
      </x:c>
      <x:c r="G210" s="79" t="n">
        <x:f>IF(RIGHT($A210,2)="-2",INDEX('قیمت ها'!$E:$E,$J210+2),INDEX('قیمت ها'!$B:$B,$J210+2))</x:f>
        <x:v>90</x:v>
      </x:c>
      <x:c r="H210" s="110">
        <x:f t="shared" si="6"/>
        <x:v>90000</x:v>
      </x:c>
      <x:c r="I210" s="79" t="str">
        <x:f t="shared" si="7"/>
        <x:v>فعال</x:v>
      </x:c>
      <x:c r="J210" s="79">
        <x:v>183</x:v>
      </x:c>
      <x:c r="K210" s="79" t="s">
        <x:v>916</x:v>
      </x:c>
      <x:c r="L210" s="79"/>
      <x:c r="M210" s="79"/>
      <x:c r="N210" s="79"/>
      <x:c r="O210" s="79"/>
      <x:c r="P210" s="79"/>
      <x:c r="Q210" s="79"/>
      <x:c r="R210" s="79"/>
      <x:c r="S210" s="79"/>
      <x:c r="T210" s="79"/>
      <x:c r="U210" s="79"/>
      <x:c r="V210" s="79"/>
      <x:c r="W210" s="79"/>
      <x:c r="X210" s="79"/>
      <x:c r="Y210" s="79"/>
      <x:c r="Z210" s="79"/>
      <x:c r="AA210" s="79" t="str">
        <x:f>IF(AND(LEN($N$2)&gt;=3,ISNUMBER(SEARCH($N$2,$B210))),MAX($AA$1:AA209)+1,"")</x:f>
      </x:c>
      <x:c r="AB210" s="79" t="str">
        <x:v>6a2d446d45c164ce6f28ae30</x:v>
      </x:c>
      <x:c r="AC210" s="79" t="str">
        <x:v>روغن</x:v>
      </x:c>
      <x:c r="AD210" s="79" t="str">
        <x:v>oil</x:v>
      </x:c>
      <x:c r="AE210" s="79" t="str">
        <x:v>EDIBLE</x:v>
      </x:c>
      <x:c r="AF210" s="79" t="str">
        <x:v>بله</x:v>
      </x:c>
      <x:c r="AG210" s="79" t="str">
        <x:v>بله</x:v>
      </x:c>
      <x:c r="AH210" s="79" t="n">
        <x:v>2</x:v>
      </x:c>
      <x:c r="AI210" s="79" t="str">
        <x:v>روغن گل سرخ</x:v>
      </x:c>
      <x:c r="AJ210" s="79" t="str">
        <x:v>روغن</x:v>
      </x:c>
      <x:c r="AK210" s="79"/>
    </x:row>
    <x:row r="211">
      <x:c r="A211" s="79" t="s">
        <x:v>918</x:v>
      </x:c>
      <x:c r="B211" s="79" t="s">
        <x:v>242</x:v>
      </x:c>
      <x:c r="C211" s="79" t="s">
        <x:v>919</x:v>
      </x:c>
      <x:c r="D211" s="79" t="s">
        <x:v>727</x:v>
      </x:c>
      <x:c r="E211" s="79" t="s">
        <x:v>173</x:v>
      </x:c>
      <x:c r="F211" s="79" t="s">
        <x:v>730</x:v>
      </x:c>
      <x:c r="G211" s="79" t="n">
        <x:f>IF(RIGHT($A211,2)="-2",INDEX('قیمت ها'!$E:$E,$J211+2),INDEX('قیمت ها'!$B:$B,$J211+2))</x:f>
        <x:v>170</x:v>
      </x:c>
      <x:c r="H211" s="110">
        <x:f t="shared" si="6"/>
        <x:v>170000</x:v>
      </x:c>
      <x:c r="I211" s="79" t="str">
        <x:f t="shared" si="7"/>
        <x:v>فعال</x:v>
      </x:c>
      <x:c r="J211" s="79">
        <x:v>183</x:v>
      </x:c>
      <x:c r="K211" s="79" t="s">
        <x:v>918</x:v>
      </x:c>
      <x:c r="L211" s="79"/>
      <x:c r="M211" s="79"/>
      <x:c r="N211" s="79"/>
      <x:c r="O211" s="79"/>
      <x:c r="P211" s="79"/>
      <x:c r="Q211" s="79"/>
      <x:c r="R211" s="79"/>
      <x:c r="S211" s="79"/>
      <x:c r="T211" s="79"/>
      <x:c r="U211" s="79"/>
      <x:c r="V211" s="79"/>
      <x:c r="W211" s="79"/>
      <x:c r="X211" s="79"/>
      <x:c r="Y211" s="79"/>
      <x:c r="Z211" s="79"/>
      <x:c r="AA211" s="79" t="str">
        <x:f>IF(AND(LEN($N$2)&gt;=3,ISNUMBER(SEARCH($N$2,$B211))),MAX($AA$1:AA210)+1,"")</x:f>
      </x:c>
      <x:c r="AB211" s="79" t="str">
        <x:v>6a2d446d45c164ce6f28ae30</x:v>
      </x:c>
      <x:c r="AC211" s="79" t="str">
        <x:v>روغن</x:v>
      </x:c>
      <x:c r="AD211" s="79" t="str">
        <x:v>oil</x:v>
      </x:c>
      <x:c r="AE211" s="79" t="str">
        <x:v>EDIBLE</x:v>
      </x:c>
      <x:c r="AF211" s="79" t="str">
        <x:v>بله</x:v>
      </x:c>
      <x:c r="AG211" s="79" t="str">
        <x:v>بله</x:v>
      </x:c>
      <x:c r="AH211" s="79" t="n">
        <x:v>2</x:v>
      </x:c>
      <x:c r="AI211" s="79" t="str">
        <x:v>روغن گل سرخ</x:v>
      </x:c>
      <x:c r="AJ211" s="79" t="str">
        <x:v>روغن</x:v>
      </x:c>
      <x:c r="AK211" s="79"/>
    </x:row>
    <x:row r="212">
      <x:c r="A212" s="79" t="s">
        <x:v>920</x:v>
      </x:c>
      <x:c r="B212" s="79" t="s">
        <x:v>243</x:v>
      </x:c>
      <x:c r="C212" s="79" t="s">
        <x:v>921</x:v>
      </x:c>
      <x:c r="D212" s="79" t="s">
        <x:v>727</x:v>
      </x:c>
      <x:c r="E212" s="79" t="s">
        <x:v>172</x:v>
      </x:c>
      <x:c r="F212" s="79" t="s">
        <x:v>730</x:v>
      </x:c>
      <x:c r="G212" s="79" t="n">
        <x:f>IF(RIGHT($A212,2)="-2",INDEX('قیمت ها'!$E:$E,$J212+2),INDEX('قیمت ها'!$B:$B,$J212+2))</x:f>
        <x:v>100</x:v>
      </x:c>
      <x:c r="H212" s="110">
        <x:f t="shared" si="6"/>
        <x:v>100000</x:v>
      </x:c>
      <x:c r="I212" s="79" t="str">
        <x:f t="shared" si="7"/>
        <x:v>فعال</x:v>
      </x:c>
      <x:c r="J212" s="79">
        <x:v>184</x:v>
      </x:c>
      <x:c r="K212" s="79" t="s">
        <x:v>920</x:v>
      </x:c>
      <x:c r="L212" s="79"/>
      <x:c r="M212" s="79"/>
      <x:c r="N212" s="79"/>
      <x:c r="O212" s="79"/>
      <x:c r="P212" s="79"/>
      <x:c r="Q212" s="79"/>
      <x:c r="R212" s="79"/>
      <x:c r="S212" s="79"/>
      <x:c r="T212" s="79"/>
      <x:c r="U212" s="79"/>
      <x:c r="V212" s="79"/>
      <x:c r="W212" s="79"/>
      <x:c r="X212" s="79"/>
      <x:c r="Y212" s="79"/>
      <x:c r="Z212" s="79"/>
      <x:c r="AA212" s="79" t="str">
        <x:f>IF(AND(LEN($N$2)&gt;=3,ISNUMBER(SEARCH($N$2,$B212))),MAX($AA$1:AA211)+1,"")</x:f>
      </x:c>
      <x:c r="AB212" s="79" t="str">
        <x:v>6a2d446d45c164ce6f28ae30</x:v>
      </x:c>
      <x:c r="AC212" s="79" t="str">
        <x:v>روغن</x:v>
      </x:c>
      <x:c r="AD212" s="79" t="str">
        <x:v>oil</x:v>
      </x:c>
      <x:c r="AE212" s="79" t="str">
        <x:v>EDIBLE</x:v>
      </x:c>
      <x:c r="AF212" s="79" t="str">
        <x:v>بله</x:v>
      </x:c>
      <x:c r="AG212" s="79" t="str">
        <x:v>بله</x:v>
      </x:c>
      <x:c r="AH212" s="79" t="n">
        <x:v>2</x:v>
      </x:c>
      <x:c r="AI212" s="79" t="str">
        <x:v>روغن گلیسیرین</x:v>
      </x:c>
      <x:c r="AJ212" s="79" t="str">
        <x:v>روغن</x:v>
      </x:c>
      <x:c r="AK212" s="79"/>
    </x:row>
    <x:row r="213">
      <x:c r="A213" s="79" t="s">
        <x:v>922</x:v>
      </x:c>
      <x:c r="B213" s="79" t="s">
        <x:v>243</x:v>
      </x:c>
      <x:c r="C213" s="79" t="s">
        <x:v>923</x:v>
      </x:c>
      <x:c r="D213" s="79" t="s">
        <x:v>727</x:v>
      </x:c>
      <x:c r="E213" s="79" t="s">
        <x:v>173</x:v>
      </x:c>
      <x:c r="F213" s="79" t="s">
        <x:v>730</x:v>
      </x:c>
      <x:c r="G213" s="79" t="n">
        <x:f>IF(RIGHT($A213,2)="-2",INDEX('قیمت ها'!$E:$E,$J213+2),INDEX('قیمت ها'!$B:$B,$J213+2))</x:f>
        <x:v>190</x:v>
      </x:c>
      <x:c r="H213" s="110">
        <x:f t="shared" si="6"/>
        <x:v>190000</x:v>
      </x:c>
      <x:c r="I213" s="79" t="str">
        <x:f t="shared" si="7"/>
        <x:v>فعال</x:v>
      </x:c>
      <x:c r="J213" s="79">
        <x:v>184</x:v>
      </x:c>
      <x:c r="K213" s="79" t="s">
        <x:v>922</x:v>
      </x:c>
      <x:c r="L213" s="79"/>
      <x:c r="M213" s="79"/>
      <x:c r="N213" s="79"/>
      <x:c r="O213" s="79"/>
      <x:c r="P213" s="79"/>
      <x:c r="Q213" s="79"/>
      <x:c r="R213" s="79"/>
      <x:c r="S213" s="79"/>
      <x:c r="T213" s="79"/>
      <x:c r="U213" s="79"/>
      <x:c r="V213" s="79"/>
      <x:c r="W213" s="79"/>
      <x:c r="X213" s="79"/>
      <x:c r="Y213" s="79"/>
      <x:c r="Z213" s="79"/>
      <x:c r="AA213" s="79" t="str">
        <x:f>IF(AND(LEN($N$2)&gt;=3,ISNUMBER(SEARCH($N$2,$B213))),MAX($AA$1:AA212)+1,"")</x:f>
      </x:c>
      <x:c r="AB213" s="79" t="str">
        <x:v>6a2d446d45c164ce6f28ae30</x:v>
      </x:c>
      <x:c r="AC213" s="79" t="str">
        <x:v>روغن</x:v>
      </x:c>
      <x:c r="AD213" s="79" t="str">
        <x:v>oil</x:v>
      </x:c>
      <x:c r="AE213" s="79" t="str">
        <x:v>EDIBLE</x:v>
      </x:c>
      <x:c r="AF213" s="79" t="str">
        <x:v>بله</x:v>
      </x:c>
      <x:c r="AG213" s="79" t="str">
        <x:v>بله</x:v>
      </x:c>
      <x:c r="AH213" s="79" t="n">
        <x:v>2</x:v>
      </x:c>
      <x:c r="AI213" s="79" t="str">
        <x:v>روغن گلیسیرین</x:v>
      </x:c>
      <x:c r="AJ213" s="79" t="str">
        <x:v>روغن</x:v>
      </x:c>
      <x:c r="AK213" s="79"/>
    </x:row>
    <x:row r="214">
      <x:c r="A214" s="79" t="s">
        <x:v>924</x:v>
      </x:c>
      <x:c r="B214" s="79" t="s">
        <x:v>244</x:v>
      </x:c>
      <x:c r="C214" s="79" t="s">
        <x:v>925</x:v>
      </x:c>
      <x:c r="D214" s="79" t="s">
        <x:v>727</x:v>
      </x:c>
      <x:c r="E214" s="79" t="s">
        <x:v>172</x:v>
      </x:c>
      <x:c r="F214" s="79" t="s">
        <x:v>730</x:v>
      </x:c>
      <x:c r="G214" s="79" t="n">
        <x:f>IF(RIGHT($A214,2)="-2",INDEX('قیمت ها'!$E:$E,$J214+2),INDEX('قیمت ها'!$B:$B,$J214+2))</x:f>
        <x:v>90</x:v>
      </x:c>
      <x:c r="H214" s="110">
        <x:f t="shared" si="6"/>
        <x:v>90000</x:v>
      </x:c>
      <x:c r="I214" s="79" t="str">
        <x:f t="shared" si="7"/>
        <x:v>فعال</x:v>
      </x:c>
      <x:c r="J214" s="79">
        <x:v>185</x:v>
      </x:c>
      <x:c r="K214" s="79" t="s">
        <x:v>924</x:v>
      </x:c>
      <x:c r="L214" s="79"/>
      <x:c r="M214" s="79"/>
      <x:c r="N214" s="79"/>
      <x:c r="O214" s="79"/>
      <x:c r="P214" s="79"/>
      <x:c r="Q214" s="79"/>
      <x:c r="R214" s="79"/>
      <x:c r="S214" s="79"/>
      <x:c r="T214" s="79"/>
      <x:c r="U214" s="79"/>
      <x:c r="V214" s="79"/>
      <x:c r="W214" s="79"/>
      <x:c r="X214" s="79"/>
      <x:c r="Y214" s="79"/>
      <x:c r="Z214" s="79"/>
      <x:c r="AA214" s="79" t="str">
        <x:f>IF(AND(LEN($N$2)&gt;=3,ISNUMBER(SEARCH($N$2,$B214))),MAX($AA$1:AA213)+1,"")</x:f>
      </x:c>
      <x:c r="AB214" s="79" t="str">
        <x:v>6a2d446d45c164ce6f28ae30</x:v>
      </x:c>
      <x:c r="AC214" s="79" t="str">
        <x:v>روغن</x:v>
      </x:c>
      <x:c r="AD214" s="79" t="str">
        <x:v>oil</x:v>
      </x:c>
      <x:c r="AE214" s="79" t="str">
        <x:v>EDIBLE</x:v>
      </x:c>
      <x:c r="AF214" s="79" t="str">
        <x:v>بله</x:v>
      </x:c>
      <x:c r="AG214" s="79" t="str">
        <x:v>بله</x:v>
      </x:c>
      <x:c r="AH214" s="79" t="n">
        <x:v>2</x:v>
      </x:c>
      <x:c r="AI214" s="79" t="str">
        <x:v>روغن لیمو</x:v>
      </x:c>
      <x:c r="AJ214" s="79" t="str">
        <x:v>روغن</x:v>
      </x:c>
      <x:c r="AK214" s="79"/>
    </x:row>
    <x:row r="215">
      <x:c r="A215" s="79" t="s">
        <x:v>926</x:v>
      </x:c>
      <x:c r="B215" s="79" t="s">
        <x:v>244</x:v>
      </x:c>
      <x:c r="C215" s="79" t="s">
        <x:v>927</x:v>
      </x:c>
      <x:c r="D215" s="79" t="s">
        <x:v>727</x:v>
      </x:c>
      <x:c r="E215" s="79" t="s">
        <x:v>173</x:v>
      </x:c>
      <x:c r="F215" s="79" t="s">
        <x:v>730</x:v>
      </x:c>
      <x:c r="G215" s="79" t="n">
        <x:f>IF(RIGHT($A215,2)="-2",INDEX('قیمت ها'!$E:$E,$J215+2),INDEX('قیمت ها'!$B:$B,$J215+2))</x:f>
        <x:v>170</x:v>
      </x:c>
      <x:c r="H215" s="110">
        <x:f t="shared" si="6"/>
        <x:v>170000</x:v>
      </x:c>
      <x:c r="I215" s="79" t="str">
        <x:f t="shared" si="7"/>
        <x:v>فعال</x:v>
      </x:c>
      <x:c r="J215" s="79">
        <x:v>185</x:v>
      </x:c>
      <x:c r="K215" s="79" t="s">
        <x:v>926</x:v>
      </x:c>
      <x:c r="L215" s="79"/>
      <x:c r="M215" s="79"/>
      <x:c r="N215" s="79"/>
      <x:c r="O215" s="79"/>
      <x:c r="P215" s="79"/>
      <x:c r="Q215" s="79"/>
      <x:c r="R215" s="79"/>
      <x:c r="S215" s="79"/>
      <x:c r="T215" s="79"/>
      <x:c r="U215" s="79"/>
      <x:c r="V215" s="79"/>
      <x:c r="W215" s="79"/>
      <x:c r="X215" s="79"/>
      <x:c r="Y215" s="79"/>
      <x:c r="Z215" s="79"/>
      <x:c r="AA215" s="79" t="str">
        <x:f>IF(AND(LEN($N$2)&gt;=3,ISNUMBER(SEARCH($N$2,$B215))),MAX($AA$1:AA214)+1,"")</x:f>
      </x:c>
      <x:c r="AB215" s="79" t="str">
        <x:v>6a2d446d45c164ce6f28ae30</x:v>
      </x:c>
      <x:c r="AC215" s="79" t="str">
        <x:v>روغن</x:v>
      </x:c>
      <x:c r="AD215" s="79" t="str">
        <x:v>oil</x:v>
      </x:c>
      <x:c r="AE215" s="79" t="str">
        <x:v>EDIBLE</x:v>
      </x:c>
      <x:c r="AF215" s="79" t="str">
        <x:v>بله</x:v>
      </x:c>
      <x:c r="AG215" s="79" t="str">
        <x:v>بله</x:v>
      </x:c>
      <x:c r="AH215" s="79" t="n">
        <x:v>2</x:v>
      </x:c>
      <x:c r="AI215" s="79" t="str">
        <x:v>روغن لیمو</x:v>
      </x:c>
      <x:c r="AJ215" s="79" t="str">
        <x:v>روغن</x:v>
      </x:c>
      <x:c r="AK215" s="79"/>
    </x:row>
    <x:row r="216">
      <x:c r="A216" s="79" t="s">
        <x:v>928</x:v>
      </x:c>
      <x:c r="B216" s="79" t="s">
        <x:v>245</x:v>
      </x:c>
      <x:c r="C216" s="79" t="s">
        <x:v>929</x:v>
      </x:c>
      <x:c r="D216" s="79" t="s">
        <x:v>727</x:v>
      </x:c>
      <x:c r="E216" s="79" t="s">
        <x:v>172</x:v>
      </x:c>
      <x:c r="F216" s="79" t="s">
        <x:v>730</x:v>
      </x:c>
      <x:c r="G216" s="79" t="n">
        <x:f>IF(RIGHT($A216,2)="-2",INDEX('قیمت ها'!$E:$E,$J216+2),INDEX('قیمت ها'!$B:$B,$J216+2))</x:f>
        <x:v>100</x:v>
      </x:c>
      <x:c r="H216" s="110">
        <x:f t="shared" si="6"/>
        <x:v>100000</x:v>
      </x:c>
      <x:c r="I216" s="79" t="str">
        <x:f t="shared" si="7"/>
        <x:v>فعال</x:v>
      </x:c>
      <x:c r="J216" s="79">
        <x:v>186</x:v>
      </x:c>
      <x:c r="K216" s="79" t="s">
        <x:v>928</x:v>
      </x:c>
      <x:c r="L216" s="79"/>
      <x:c r="M216" s="79"/>
      <x:c r="N216" s="79"/>
      <x:c r="O216" s="79"/>
      <x:c r="P216" s="79"/>
      <x:c r="Q216" s="79"/>
      <x:c r="R216" s="79"/>
      <x:c r="S216" s="79"/>
      <x:c r="T216" s="79"/>
      <x:c r="U216" s="79"/>
      <x:c r="V216" s="79"/>
      <x:c r="W216" s="79"/>
      <x:c r="X216" s="79"/>
      <x:c r="Y216" s="79"/>
      <x:c r="Z216" s="79"/>
      <x:c r="AA216" s="79" t="str">
        <x:f>IF(AND(LEN($N$2)&gt;=3,ISNUMBER(SEARCH($N$2,$B216))),MAX($AA$1:AA215)+1,"")</x:f>
      </x:c>
      <x:c r="AB216" s="79" t="str">
        <x:v>6a2d446d45c164ce6f28ae30</x:v>
      </x:c>
      <x:c r="AC216" s="79" t="str">
        <x:v>روغن</x:v>
      </x:c>
      <x:c r="AD216" s="79" t="str">
        <x:v>oil</x:v>
      </x:c>
      <x:c r="AE216" s="79" t="str">
        <x:v>EDIBLE</x:v>
      </x:c>
      <x:c r="AF216" s="79" t="str">
        <x:v>بله</x:v>
      </x:c>
      <x:c r="AG216" s="79" t="str">
        <x:v>بله</x:v>
      </x:c>
      <x:c r="AH216" s="79" t="n">
        <x:v>2</x:v>
      </x:c>
      <x:c r="AI216" s="79" t="str">
        <x:v>روغن ماکادمیا</x:v>
      </x:c>
      <x:c r="AJ216" s="79" t="str">
        <x:v>روغن</x:v>
      </x:c>
      <x:c r="AK216" s="79"/>
    </x:row>
    <x:row r="217">
      <x:c r="A217" s="79" t="s">
        <x:v>930</x:v>
      </x:c>
      <x:c r="B217" s="79" t="s">
        <x:v>245</x:v>
      </x:c>
      <x:c r="C217" s="79" t="s">
        <x:v>931</x:v>
      </x:c>
      <x:c r="D217" s="79" t="s">
        <x:v>727</x:v>
      </x:c>
      <x:c r="E217" s="79" t="s">
        <x:v>173</x:v>
      </x:c>
      <x:c r="F217" s="79" t="s">
        <x:v>730</x:v>
      </x:c>
      <x:c r="G217" s="79" t="n">
        <x:f>IF(RIGHT($A217,2)="-2",INDEX('قیمت ها'!$E:$E,$J217+2),INDEX('قیمت ها'!$B:$B,$J217+2))</x:f>
        <x:v>190</x:v>
      </x:c>
      <x:c r="H217" s="110">
        <x:f t="shared" si="6"/>
        <x:v>190000</x:v>
      </x:c>
      <x:c r="I217" s="79" t="str">
        <x:f t="shared" si="7"/>
        <x:v>فعال</x:v>
      </x:c>
      <x:c r="J217" s="79">
        <x:v>186</x:v>
      </x:c>
      <x:c r="K217" s="79" t="s">
        <x:v>930</x:v>
      </x:c>
      <x:c r="L217" s="79"/>
      <x:c r="M217" s="79"/>
      <x:c r="N217" s="79"/>
      <x:c r="O217" s="79"/>
      <x:c r="P217" s="79"/>
      <x:c r="Q217" s="79"/>
      <x:c r="R217" s="79"/>
      <x:c r="S217" s="79"/>
      <x:c r="T217" s="79"/>
      <x:c r="U217" s="79"/>
      <x:c r="V217" s="79"/>
      <x:c r="W217" s="79"/>
      <x:c r="X217" s="79"/>
      <x:c r="Y217" s="79"/>
      <x:c r="Z217" s="79"/>
      <x:c r="AA217" s="79" t="str">
        <x:f>IF(AND(LEN($N$2)&gt;=3,ISNUMBER(SEARCH($N$2,$B217))),MAX($AA$1:AA216)+1,"")</x:f>
      </x:c>
      <x:c r="AB217" s="79" t="str">
        <x:v>6a2d446d45c164ce6f28ae30</x:v>
      </x:c>
      <x:c r="AC217" s="79" t="str">
        <x:v>روغن</x:v>
      </x:c>
      <x:c r="AD217" s="79" t="str">
        <x:v>oil</x:v>
      </x:c>
      <x:c r="AE217" s="79" t="str">
        <x:v>EDIBLE</x:v>
      </x:c>
      <x:c r="AF217" s="79" t="str">
        <x:v>بله</x:v>
      </x:c>
      <x:c r="AG217" s="79" t="str">
        <x:v>بله</x:v>
      </x:c>
      <x:c r="AH217" s="79" t="n">
        <x:v>2</x:v>
      </x:c>
      <x:c r="AI217" s="79" t="str">
        <x:v>روغن ماکادمیا</x:v>
      </x:c>
      <x:c r="AJ217" s="79" t="str">
        <x:v>روغن</x:v>
      </x:c>
      <x:c r="AK217" s="79"/>
    </x:row>
    <x:row r="218">
      <x:c r="A218" s="79" t="s">
        <x:v>932</x:v>
      </x:c>
      <x:c r="B218" s="79" t="s">
        <x:v>246</x:v>
      </x:c>
      <x:c r="C218" s="79" t="s">
        <x:v>933</x:v>
      </x:c>
      <x:c r="D218" s="79" t="s">
        <x:v>727</x:v>
      </x:c>
      <x:c r="E218" s="79" t="s">
        <x:v>172</x:v>
      </x:c>
      <x:c r="F218" s="79" t="s">
        <x:v>730</x:v>
      </x:c>
      <x:c r="G218" s="79" t="n">
        <x:f>IF(RIGHT($A218,2)="-2",INDEX('قیمت ها'!$E:$E,$J218+2),INDEX('قیمت ها'!$B:$B,$J218+2))</x:f>
        <x:v>90</x:v>
      </x:c>
      <x:c r="H218" s="110">
        <x:f t="shared" si="6"/>
        <x:v>90000</x:v>
      </x:c>
      <x:c r="I218" s="79" t="str">
        <x:f t="shared" si="7"/>
        <x:v>فعال</x:v>
      </x:c>
      <x:c r="J218" s="79">
        <x:v>187</x:v>
      </x:c>
      <x:c r="K218" s="79" t="s">
        <x:v>932</x:v>
      </x:c>
      <x:c r="L218" s="79"/>
      <x:c r="M218" s="79"/>
      <x:c r="N218" s="79"/>
      <x:c r="O218" s="79"/>
      <x:c r="P218" s="79"/>
      <x:c r="Q218" s="79"/>
      <x:c r="R218" s="79"/>
      <x:c r="S218" s="79"/>
      <x:c r="T218" s="79"/>
      <x:c r="U218" s="79"/>
      <x:c r="V218" s="79"/>
      <x:c r="W218" s="79"/>
      <x:c r="X218" s="79"/>
      <x:c r="Y218" s="79"/>
      <x:c r="Z218" s="79"/>
      <x:c r="AA218" s="79" t="str">
        <x:f>IF(AND(LEN($N$2)&gt;=3,ISNUMBER(SEARCH($N$2,$B218))),MAX($AA$1:AA217)+1,"")</x:f>
      </x:c>
      <x:c r="AB218" s="79" t="str">
        <x:v>6a2d446d45c164ce6f28ae30</x:v>
      </x:c>
      <x:c r="AC218" s="79" t="str">
        <x:v>روغن</x:v>
      </x:c>
      <x:c r="AD218" s="79" t="str">
        <x:v>oil</x:v>
      </x:c>
      <x:c r="AE218" s="79" t="str">
        <x:v>EDIBLE</x:v>
      </x:c>
      <x:c r="AF218" s="79" t="str">
        <x:v>بله</x:v>
      </x:c>
      <x:c r="AG218" s="79" t="str">
        <x:v>بله</x:v>
      </x:c>
      <x:c r="AH218" s="79" t="n">
        <x:v>2</x:v>
      </x:c>
      <x:c r="AI218" s="79" t="str">
        <x:v>روغن مورد</x:v>
      </x:c>
      <x:c r="AJ218" s="79" t="str">
        <x:v>روغن</x:v>
      </x:c>
      <x:c r="AK218" s="79"/>
    </x:row>
    <x:row r="219">
      <x:c r="A219" s="79" t="s">
        <x:v>934</x:v>
      </x:c>
      <x:c r="B219" s="79" t="s">
        <x:v>246</x:v>
      </x:c>
      <x:c r="C219" s="79" t="s">
        <x:v>935</x:v>
      </x:c>
      <x:c r="D219" s="79" t="s">
        <x:v>727</x:v>
      </x:c>
      <x:c r="E219" s="79" t="s">
        <x:v>173</x:v>
      </x:c>
      <x:c r="F219" s="79" t="s">
        <x:v>730</x:v>
      </x:c>
      <x:c r="G219" s="79" t="n">
        <x:f>IF(RIGHT($A219,2)="-2",INDEX('قیمت ها'!$E:$E,$J219+2),INDEX('قیمت ها'!$B:$B,$J219+2))</x:f>
        <x:v>170</x:v>
      </x:c>
      <x:c r="H219" s="110">
        <x:f t="shared" si="6"/>
        <x:v>170000</x:v>
      </x:c>
      <x:c r="I219" s="79" t="str">
        <x:f t="shared" si="7"/>
        <x:v>فعال</x:v>
      </x:c>
      <x:c r="J219" s="79">
        <x:v>187</x:v>
      </x:c>
      <x:c r="K219" s="79" t="s">
        <x:v>934</x:v>
      </x:c>
      <x:c r="L219" s="79"/>
      <x:c r="M219" s="79"/>
      <x:c r="N219" s="79"/>
      <x:c r="O219" s="79"/>
      <x:c r="P219" s="79"/>
      <x:c r="Q219" s="79"/>
      <x:c r="R219" s="79"/>
      <x:c r="S219" s="79"/>
      <x:c r="T219" s="79"/>
      <x:c r="U219" s="79"/>
      <x:c r="V219" s="79"/>
      <x:c r="W219" s="79"/>
      <x:c r="X219" s="79"/>
      <x:c r="Y219" s="79"/>
      <x:c r="Z219" s="79"/>
      <x:c r="AA219" s="79" t="str">
        <x:f>IF(AND(LEN($N$2)&gt;=3,ISNUMBER(SEARCH($N$2,$B219))),MAX($AA$1:AA218)+1,"")</x:f>
      </x:c>
      <x:c r="AB219" s="79" t="str">
        <x:v>6a2d446d45c164ce6f28ae30</x:v>
      </x:c>
      <x:c r="AC219" s="79" t="str">
        <x:v>روغن</x:v>
      </x:c>
      <x:c r="AD219" s="79" t="str">
        <x:v>oil</x:v>
      </x:c>
      <x:c r="AE219" s="79" t="str">
        <x:v>EDIBLE</x:v>
      </x:c>
      <x:c r="AF219" s="79" t="str">
        <x:v>بله</x:v>
      </x:c>
      <x:c r="AG219" s="79" t="str">
        <x:v>بله</x:v>
      </x:c>
      <x:c r="AH219" s="79" t="n">
        <x:v>2</x:v>
      </x:c>
      <x:c r="AI219" s="79" t="str">
        <x:v>روغن مورد</x:v>
      </x:c>
      <x:c r="AJ219" s="79" t="str">
        <x:v>روغن</x:v>
      </x:c>
      <x:c r="AK219" s="79"/>
    </x:row>
    <x:row r="220">
      <x:c r="A220" s="79" t="s">
        <x:v>936</x:v>
      </x:c>
      <x:c r="B220" s="79" t="s">
        <x:v>247</x:v>
      </x:c>
      <x:c r="C220" s="79" t="s">
        <x:v>937</x:v>
      </x:c>
      <x:c r="D220" s="79" t="s">
        <x:v>727</x:v>
      </x:c>
      <x:c r="E220" s="79" t="s">
        <x:v>56</x:v>
      </x:c>
      <x:c r="F220" s="79" t="s">
        <x:v>739</x:v>
      </x:c>
      <x:c r="G220" s="79" t="str">
        <x:f>IF(RIGHT($A220,2)="-2",INDEX('قیمت ها'!$E:$E,$J220+2),INDEX('قیمت ها'!$B:$B,$J220+2))</x:f>
        <x:v>1/100</x:v>
      </x:c>
      <x:c r="H220" s="110">
        <x:f t="shared" si="6"/>
        <x:v>1100000</x:v>
      </x:c>
      <x:c r="I220" s="79" t="str">
        <x:f t="shared" si="7"/>
        <x:v>فعال</x:v>
      </x:c>
      <x:c r="J220" s="79">
        <x:v>188</x:v>
      </x:c>
      <x:c r="K220" s="79" t="s">
        <x:v>936</x:v>
      </x:c>
      <x:c r="L220" s="79"/>
      <x:c r="M220" s="79"/>
      <x:c r="N220" s="79"/>
      <x:c r="O220" s="79"/>
      <x:c r="P220" s="79"/>
      <x:c r="Q220" s="79"/>
      <x:c r="R220" s="79"/>
      <x:c r="S220" s="79"/>
      <x:c r="T220" s="79"/>
      <x:c r="U220" s="79"/>
      <x:c r="V220" s="79"/>
      <x:c r="W220" s="79"/>
      <x:c r="X220" s="79"/>
      <x:c r="Y220" s="79"/>
      <x:c r="Z220" s="79"/>
      <x:c r="AA220" s="79" t="str">
        <x:f>IF(AND(LEN($N$2)&gt;=3,ISNUMBER(SEARCH($N$2,$B220))),MAX($AA$1:AA219)+1,"")</x:f>
      </x:c>
      <x:c r="AB220" s="79" t="str">
        <x:v>6a2d446d45c164ce6f28ae30</x:v>
      </x:c>
      <x:c r="AC220" s="79" t="str">
        <x:v>روغن</x:v>
      </x:c>
      <x:c r="AD220" s="79" t="str">
        <x:v>oil</x:v>
      </x:c>
      <x:c r="AE220" s="79" t="str">
        <x:v>EDIBLE</x:v>
      </x:c>
      <x:c r="AF220" s="79" t="str">
        <x:v>بله</x:v>
      </x:c>
      <x:c r="AG220" s="79" t="str">
        <x:v>بله</x:v>
      </x:c>
      <x:c r="AH220" s="79" t="n">
        <x:v>2</x:v>
      </x:c>
      <x:c r="AI220" s="79" t="str">
        <x:v>روغن مورینگا</x:v>
      </x:c>
      <x:c r="AJ220" s="79" t="str">
        <x:v>روغن</x:v>
      </x:c>
      <x:c r="AK220" s="79"/>
    </x:row>
    <x:row r="221">
      <x:c r="A221" s="79" t="s">
        <x:v>938</x:v>
      </x:c>
      <x:c r="B221" s="79" t="s">
        <x:v>247</x:v>
      </x:c>
      <x:c r="C221" s="79" t="s">
        <x:v>939</x:v>
      </x:c>
      <x:c r="D221" s="79" t="s">
        <x:v>727</x:v>
      </x:c>
      <x:c r="E221" s="79" t="s">
        <x:v>172</x:v>
      </x:c>
      <x:c r="F221" s="79" t="s">
        <x:v>730</x:v>
      </x:c>
      <x:c r="G221" s="79" t="n">
        <x:f>IF(RIGHT($A221,2)="-2",INDEX('قیمت ها'!$E:$E,$J221+2),INDEX('قیمت ها'!$B:$B,$J221+2))</x:f>
        <x:v>90</x:v>
      </x:c>
      <x:c r="H221" s="110">
        <x:f t="shared" si="6"/>
        <x:v>90000</x:v>
      </x:c>
      <x:c r="I221" s="79" t="str">
        <x:f t="shared" si="7"/>
        <x:v>فعال</x:v>
      </x:c>
      <x:c r="J221" s="79">
        <x:v>189</x:v>
      </x:c>
      <x:c r="K221" s="79" t="s">
        <x:v>938</x:v>
      </x:c>
      <x:c r="L221" s="79"/>
      <x:c r="M221" s="79"/>
      <x:c r="N221" s="79"/>
      <x:c r="O221" s="79"/>
      <x:c r="P221" s="79"/>
      <x:c r="Q221" s="79"/>
      <x:c r="R221" s="79"/>
      <x:c r="S221" s="79"/>
      <x:c r="T221" s="79"/>
      <x:c r="U221" s="79"/>
      <x:c r="V221" s="79"/>
      <x:c r="W221" s="79"/>
      <x:c r="X221" s="79"/>
      <x:c r="Y221" s="79"/>
      <x:c r="Z221" s="79"/>
      <x:c r="AA221" s="79" t="str">
        <x:f>IF(AND(LEN($N$2)&gt;=3,ISNUMBER(SEARCH($N$2,$B221))),MAX($AA$1:AA220)+1,"")</x:f>
      </x:c>
      <x:c r="AB221" s="79" t="str">
        <x:v>6a2d446d45c164ce6f28ae30</x:v>
      </x:c>
      <x:c r="AC221" s="79" t="str">
        <x:v>روغن</x:v>
      </x:c>
      <x:c r="AD221" s="79" t="str">
        <x:v>oil</x:v>
      </x:c>
      <x:c r="AE221" s="79" t="str">
        <x:v>EDIBLE</x:v>
      </x:c>
      <x:c r="AF221" s="79" t="str">
        <x:v>بله</x:v>
      </x:c>
      <x:c r="AG221" s="79" t="str">
        <x:v>بله</x:v>
      </x:c>
      <x:c r="AH221" s="79" t="n">
        <x:v>2</x:v>
      </x:c>
      <x:c r="AI221" s="79" t="str">
        <x:v>روغن میخک</x:v>
      </x:c>
      <x:c r="AJ221" s="79" t="str">
        <x:v>روغن</x:v>
      </x:c>
      <x:c r="AK221" s="79"/>
    </x:row>
    <x:row r="222">
      <x:c r="A222" s="79" t="s">
        <x:v>940</x:v>
      </x:c>
      <x:c r="B222" s="79" t="s">
        <x:v>247</x:v>
      </x:c>
      <x:c r="C222" s="79" t="s">
        <x:v>941</x:v>
      </x:c>
      <x:c r="D222" s="79" t="s">
        <x:v>727</x:v>
      </x:c>
      <x:c r="E222" s="79" t="s">
        <x:v>57</x:v>
      </x:c>
      <x:c r="F222" s="79" t="s">
        <x:v>739</x:v>
      </x:c>
      <x:c r="G222" s="79" t="str">
        <x:f>IF(RIGHT($A222,2)="-2",INDEX('قیمت ها'!$E:$E,$J222+2),INDEX('قیمت ها'!$B:$B,$J222+2))</x:f>
        <x:v>2/200</x:v>
      </x:c>
      <x:c r="H222" s="110">
        <x:f t="shared" si="6"/>
        <x:v>2200000</x:v>
      </x:c>
      <x:c r="I222" s="79" t="str">
        <x:f t="shared" si="7"/>
        <x:v>فعال</x:v>
      </x:c>
      <x:c r="J222" s="79">
        <x:v>188</x:v>
      </x:c>
      <x:c r="K222" s="79" t="s">
        <x:v>940</x:v>
      </x:c>
      <x:c r="L222" s="79"/>
      <x:c r="M222" s="79"/>
      <x:c r="N222" s="79"/>
      <x:c r="O222" s="79"/>
      <x:c r="P222" s="79"/>
      <x:c r="Q222" s="79"/>
      <x:c r="R222" s="79"/>
      <x:c r="S222" s="79"/>
      <x:c r="T222" s="79"/>
      <x:c r="U222" s="79"/>
      <x:c r="V222" s="79"/>
      <x:c r="W222" s="79"/>
      <x:c r="X222" s="79"/>
      <x:c r="Y222" s="79"/>
      <x:c r="Z222" s="79"/>
      <x:c r="AA222" s="79" t="str">
        <x:f>IF(AND(LEN($N$2)&gt;=3,ISNUMBER(SEARCH($N$2,$B222))),MAX($AA$1:AA221)+1,"")</x:f>
      </x:c>
      <x:c r="AB222" s="79" t="str">
        <x:v>6a2d446d45c164ce6f28ae30</x:v>
      </x:c>
      <x:c r="AC222" s="79" t="str">
        <x:v>روغن</x:v>
      </x:c>
      <x:c r="AD222" s="79" t="str">
        <x:v>oil</x:v>
      </x:c>
      <x:c r="AE222" s="79" t="str">
        <x:v>EDIBLE</x:v>
      </x:c>
      <x:c r="AF222" s="79" t="str">
        <x:v>بله</x:v>
      </x:c>
      <x:c r="AG222" s="79" t="str">
        <x:v>بله</x:v>
      </x:c>
      <x:c r="AH222" s="79" t="n">
        <x:v>2</x:v>
      </x:c>
      <x:c r="AI222" s="79" t="str">
        <x:v>روغن مورینگا</x:v>
      </x:c>
      <x:c r="AJ222" s="79" t="str">
        <x:v>روغن</x:v>
      </x:c>
      <x:c r="AK222" s="79"/>
    </x:row>
    <x:row r="223">
      <x:c r="A223" s="79" t="s">
        <x:v>942</x:v>
      </x:c>
      <x:c r="B223" s="79" t="s">
        <x:v>247</x:v>
      </x:c>
      <x:c r="C223" s="79" t="s">
        <x:v>943</x:v>
      </x:c>
      <x:c r="D223" s="79" t="s">
        <x:v>727</x:v>
      </x:c>
      <x:c r="E223" s="79" t="s">
        <x:v>173</x:v>
      </x:c>
      <x:c r="F223" s="79" t="s">
        <x:v>730</x:v>
      </x:c>
      <x:c r="G223" s="79" t="n">
        <x:f>IF(RIGHT($A223,2)="-2",INDEX('قیمت ها'!$E:$E,$J223+2),INDEX('قیمت ها'!$B:$B,$J223+2))</x:f>
        <x:v>170</x:v>
      </x:c>
      <x:c r="H223" s="110">
        <x:f t="shared" si="6"/>
        <x:v>170000</x:v>
      </x:c>
      <x:c r="I223" s="79" t="str">
        <x:f t="shared" si="7"/>
        <x:v>فعال</x:v>
      </x:c>
      <x:c r="J223" s="79">
        <x:v>189</x:v>
      </x:c>
      <x:c r="K223" s="79" t="s">
        <x:v>942</x:v>
      </x:c>
      <x:c r="L223" s="79"/>
      <x:c r="M223" s="79"/>
      <x:c r="N223" s="79"/>
      <x:c r="O223" s="79"/>
      <x:c r="P223" s="79"/>
      <x:c r="Q223" s="79"/>
      <x:c r="R223" s="79"/>
      <x:c r="S223" s="79"/>
      <x:c r="T223" s="79"/>
      <x:c r="U223" s="79"/>
      <x:c r="V223" s="79"/>
      <x:c r="W223" s="79"/>
      <x:c r="X223" s="79"/>
      <x:c r="Y223" s="79"/>
      <x:c r="Z223" s="79"/>
      <x:c r="AA223" s="79" t="str">
        <x:f>IF(AND(LEN($N$2)&gt;=3,ISNUMBER(SEARCH($N$2,$B223))),MAX($AA$1:AA222)+1,"")</x:f>
      </x:c>
      <x:c r="AB223" s="79" t="str">
        <x:v>6a2d446d45c164ce6f28ae30</x:v>
      </x:c>
      <x:c r="AC223" s="79" t="str">
        <x:v>روغن</x:v>
      </x:c>
      <x:c r="AD223" s="79" t="str">
        <x:v>oil</x:v>
      </x:c>
      <x:c r="AE223" s="79" t="str">
        <x:v>EDIBLE</x:v>
      </x:c>
      <x:c r="AF223" s="79" t="str">
        <x:v>بله</x:v>
      </x:c>
      <x:c r="AG223" s="79" t="str">
        <x:v>بله</x:v>
      </x:c>
      <x:c r="AH223" s="79" t="n">
        <x:v>2</x:v>
      </x:c>
      <x:c r="AI223" s="79" t="str">
        <x:v>روغن میخک</x:v>
      </x:c>
      <x:c r="AJ223" s="79" t="str">
        <x:v>روغن</x:v>
      </x:c>
      <x:c r="AK223" s="79"/>
    </x:row>
    <x:row r="224">
      <x:c r="A224" s="79" t="s">
        <x:v>944</x:v>
      </x:c>
      <x:c r="B224" s="79" t="s">
        <x:v>249</x:v>
      </x:c>
      <x:c r="C224" s="79" t="s">
        <x:v>945</x:v>
      </x:c>
      <x:c r="D224" s="79" t="s">
        <x:v>727</x:v>
      </x:c>
      <x:c r="E224" s="79" t="s">
        <x:v>172</x:v>
      </x:c>
      <x:c r="F224" s="79" t="s">
        <x:v>730</x:v>
      </x:c>
      <x:c r="G224" s="79" t="n">
        <x:f>IF(RIGHT($A224,2)="-2",INDEX('قیمت ها'!$E:$E,$J224+2),INDEX('قیمت ها'!$B:$B,$J224+2))</x:f>
        <x:v>65</x:v>
      </x:c>
      <x:c r="H224" s="110">
        <x:f t="shared" si="6"/>
        <x:v>65000</x:v>
      </x:c>
      <x:c r="I224" s="79" t="str">
        <x:f t="shared" si="7"/>
        <x:v>فعال</x:v>
      </x:c>
      <x:c r="J224" s="79">
        <x:v>190</x:v>
      </x:c>
      <x:c r="K224" s="79" t="s">
        <x:v>944</x:v>
      </x:c>
      <x:c r="L224" s="79"/>
      <x:c r="M224" s="79"/>
      <x:c r="N224" s="79"/>
      <x:c r="O224" s="79"/>
      <x:c r="P224" s="79"/>
      <x:c r="Q224" s="79"/>
      <x:c r="R224" s="79"/>
      <x:c r="S224" s="79"/>
      <x:c r="T224" s="79"/>
      <x:c r="U224" s="79"/>
      <x:c r="V224" s="79"/>
      <x:c r="W224" s="79"/>
      <x:c r="X224" s="79"/>
      <x:c r="Y224" s="79"/>
      <x:c r="Z224" s="79"/>
      <x:c r="AA224" s="79" t="str">
        <x:f>IF(AND(LEN($N$2)&gt;=3,ISNUMBER(SEARCH($N$2,$B224))),MAX($AA$1:AA223)+1,"")</x:f>
      </x:c>
      <x:c r="AB224" s="79" t="str">
        <x:v>6a2d446d45c164ce6f28ae30</x:v>
      </x:c>
      <x:c r="AC224" s="79" t="str">
        <x:v>روغن</x:v>
      </x:c>
      <x:c r="AD224" s="79" t="str">
        <x:v>oil</x:v>
      </x:c>
      <x:c r="AE224" s="79" t="str">
        <x:v>EDIBLE</x:v>
      </x:c>
      <x:c r="AF224" s="79" t="str">
        <x:v>بله</x:v>
      </x:c>
      <x:c r="AG224" s="79" t="str">
        <x:v>بله</x:v>
      </x:c>
      <x:c r="AH224" s="79" t="n">
        <x:v>2</x:v>
      </x:c>
      <x:c r="AI224" s="79" t="str">
        <x:v>روغن نارگیل</x:v>
      </x:c>
      <x:c r="AJ224" s="79" t="str">
        <x:v>روغن</x:v>
      </x:c>
      <x:c r="AK224" s="79" t="str">
        <x:v>MERGED</x:v>
      </x:c>
    </x:row>
    <x:row r="225">
      <x:c r="A225" s="79" t="s">
        <x:v>946</x:v>
      </x:c>
      <x:c r="B225" s="79" t="s">
        <x:v>249</x:v>
      </x:c>
      <x:c r="C225" s="79" t="s">
        <x:v>947</x:v>
      </x:c>
      <x:c r="D225" s="79" t="s">
        <x:v>727</x:v>
      </x:c>
      <x:c r="E225" s="79" t="s">
        <x:v>173</x:v>
      </x:c>
      <x:c r="F225" s="79" t="s">
        <x:v>730</x:v>
      </x:c>
      <x:c r="G225" s="79" t="n">
        <x:f>IF(RIGHT($A225,2)="-2",INDEX('قیمت ها'!$E:$E,$J225+2),INDEX('قیمت ها'!$B:$B,$J225+2))</x:f>
        <x:v>120</x:v>
      </x:c>
      <x:c r="H225" s="110">
        <x:f t="shared" si="6"/>
        <x:v>120000</x:v>
      </x:c>
      <x:c r="I225" s="79" t="str">
        <x:f t="shared" si="7"/>
        <x:v>فعال</x:v>
      </x:c>
      <x:c r="J225" s="79">
        <x:v>190</x:v>
      </x:c>
      <x:c r="K225" s="79" t="s">
        <x:v>946</x:v>
      </x:c>
      <x:c r="L225" s="79"/>
      <x:c r="M225" s="79"/>
      <x:c r="N225" s="79"/>
      <x:c r="O225" s="79"/>
      <x:c r="P225" s="79"/>
      <x:c r="Q225" s="79"/>
      <x:c r="R225" s="79"/>
      <x:c r="S225" s="79"/>
      <x:c r="T225" s="79"/>
      <x:c r="U225" s="79"/>
      <x:c r="V225" s="79"/>
      <x:c r="W225" s="79"/>
      <x:c r="X225" s="79"/>
      <x:c r="Y225" s="79"/>
      <x:c r="Z225" s="79"/>
      <x:c r="AA225" s="79" t="str">
        <x:f>IF(AND(LEN($N$2)&gt;=3,ISNUMBER(SEARCH($N$2,$B225))),MAX($AA$1:AA224)+1,"")</x:f>
      </x:c>
      <x:c r="AB225" s="79" t="str">
        <x:v>6a2d446d45c164ce6f28ae30</x:v>
      </x:c>
      <x:c r="AC225" s="79" t="str">
        <x:v>روغن</x:v>
      </x:c>
      <x:c r="AD225" s="79" t="str">
        <x:v>oil</x:v>
      </x:c>
      <x:c r="AE225" s="79" t="str">
        <x:v>EDIBLE</x:v>
      </x:c>
      <x:c r="AF225" s="79" t="str">
        <x:v>بله</x:v>
      </x:c>
      <x:c r="AG225" s="79" t="str">
        <x:v>بله</x:v>
      </x:c>
      <x:c r="AH225" s="79" t="n">
        <x:v>2</x:v>
      </x:c>
      <x:c r="AI225" s="79" t="str">
        <x:v>روغن نارگیل</x:v>
      </x:c>
      <x:c r="AJ225" s="79" t="str">
        <x:v>روغن</x:v>
      </x:c>
      <x:c r="AK225" s="79" t="str">
        <x:v>MERGED</x:v>
      </x:c>
    </x:row>
    <x:row r="226">
      <x:c r="A226" s="79" t="s">
        <x:v>948</x:v>
      </x:c>
      <x:c r="B226" s="79" t="s">
        <x:v>250</x:v>
      </x:c>
      <x:c r="C226" s="79" t="s">
        <x:v>949</x:v>
      </x:c>
      <x:c r="D226" s="79" t="s">
        <x:v>727</x:v>
      </x:c>
      <x:c r="E226" s="79" t="s">
        <x:v>172</x:v>
      </x:c>
      <x:c r="F226" s="79" t="s">
        <x:v>730</x:v>
      </x:c>
      <x:c r="G226" s="79" t="n">
        <x:f>IF(RIGHT($A226,2)="-2",INDEX('قیمت ها'!$E:$E,$J226+2),INDEX('قیمت ها'!$B:$B,$J226+2))</x:f>
        <x:v>65</x:v>
      </x:c>
      <x:c r="H226" s="110">
        <x:f t="shared" si="6"/>
        <x:v>65000</x:v>
      </x:c>
      <x:c r="I226" s="79" t="str">
        <x:f t="shared" si="7"/>
        <x:v>فعال</x:v>
      </x:c>
      <x:c r="J226" s="79">
        <x:v>191</x:v>
      </x:c>
      <x:c r="K226" s="79" t="s">
        <x:v>948</x:v>
      </x:c>
      <x:c r="L226" s="79"/>
      <x:c r="M226" s="79"/>
      <x:c r="N226" s="79"/>
      <x:c r="O226" s="79"/>
      <x:c r="P226" s="79"/>
      <x:c r="Q226" s="79"/>
      <x:c r="R226" s="79"/>
      <x:c r="S226" s="79"/>
      <x:c r="T226" s="79"/>
      <x:c r="U226" s="79"/>
      <x:c r="V226" s="79"/>
      <x:c r="W226" s="79"/>
      <x:c r="X226" s="79"/>
      <x:c r="Y226" s="79"/>
      <x:c r="Z226" s="79"/>
      <x:c r="AA226" s="79" t="str">
        <x:f>IF(AND(LEN($N$2)&gt;=3,ISNUMBER(SEARCH($N$2,$B226))),MAX($AA$1:AA225)+1,"")</x:f>
      </x:c>
      <x:c r="AB226" s="79" t="str">
        <x:v>6a2d446d45c164ce6f28ae30</x:v>
      </x:c>
      <x:c r="AC226" s="79" t="str">
        <x:v>روغن</x:v>
      </x:c>
      <x:c r="AD226" s="79" t="str">
        <x:v>oil</x:v>
      </x:c>
      <x:c r="AE226" s="79" t="str">
        <x:v>EDIBLE</x:v>
      </x:c>
      <x:c r="AF226" s="79" t="str">
        <x:v>بله</x:v>
      </x:c>
      <x:c r="AG226" s="79" t="str">
        <x:v>بله</x:v>
      </x:c>
      <x:c r="AH226" s="79" t="n">
        <x:v>2</x:v>
      </x:c>
      <x:c r="AI226" s="79" t="str">
        <x:v>روغن نارگیل</x:v>
      </x:c>
      <x:c r="AJ226" s="79" t="str">
        <x:v>روغن</x:v>
      </x:c>
      <x:c r="AK226" s="79" t="str">
        <x:v>MERGED</x:v>
      </x:c>
    </x:row>
    <x:row r="227">
      <x:c r="A227" s="79" t="s">
        <x:v>950</x:v>
      </x:c>
      <x:c r="B227" s="79" t="s">
        <x:v>250</x:v>
      </x:c>
      <x:c r="C227" s="79" t="s">
        <x:v>951</x:v>
      </x:c>
      <x:c r="D227" s="79" t="s">
        <x:v>727</x:v>
      </x:c>
      <x:c r="E227" s="79" t="s">
        <x:v>173</x:v>
      </x:c>
      <x:c r="F227" s="79" t="s">
        <x:v>730</x:v>
      </x:c>
      <x:c r="G227" s="79" t="str">
        <x:f>IF(RIGHT($A227,2)="-2",INDEX('قیمت ها'!$E:$E,$J227+2),INDEX('قیمت ها'!$B:$B,$J227+2))</x:f>
        <x:v>؟</x:v>
      </x:c>
      <x:c r="H227" s="110" t="str">
        <x:f t="shared" si="6"/>
      </x:c>
      <x:c r="I227" s="79" t="str">
        <x:f t="shared" si="7"/>
        <x:v>نیاز به استعلام</x:v>
      </x:c>
      <x:c r="J227" s="79">
        <x:v>191</x:v>
      </x:c>
      <x:c r="K227" s="79" t="s">
        <x:v>950</x:v>
      </x:c>
      <x:c r="L227" s="79"/>
      <x:c r="M227" s="79"/>
      <x:c r="N227" s="79"/>
      <x:c r="O227" s="79"/>
      <x:c r="P227" s="79"/>
      <x:c r="Q227" s="79"/>
      <x:c r="R227" s="79"/>
      <x:c r="S227" s="79"/>
      <x:c r="T227" s="79"/>
      <x:c r="U227" s="79"/>
      <x:c r="V227" s="79"/>
      <x:c r="W227" s="79"/>
      <x:c r="X227" s="79"/>
      <x:c r="Y227" s="79"/>
      <x:c r="Z227" s="79"/>
      <x:c r="AA227" s="79" t="str">
        <x:f>IF(AND(LEN($N$2)&gt;=3,ISNUMBER(SEARCH($N$2,$B227))),MAX($AA$1:AA226)+1,"")</x:f>
      </x:c>
      <x:c r="AB227" s="79" t="str">
        <x:v>6a2d446d45c164ce6f28ae30</x:v>
      </x:c>
      <x:c r="AC227" s="79" t="str">
        <x:v>روغن</x:v>
      </x:c>
      <x:c r="AD227" s="79" t="str">
        <x:v>oil</x:v>
      </x:c>
      <x:c r="AE227" s="79" t="str">
        <x:v>EDIBLE</x:v>
      </x:c>
      <x:c r="AF227" s="79" t="str">
        <x:v>بله</x:v>
      </x:c>
      <x:c r="AG227" s="79" t="str">
        <x:v>بله</x:v>
      </x:c>
      <x:c r="AH227" s="79" t="n">
        <x:v>2</x:v>
      </x:c>
      <x:c r="AI227" s="79" t="str">
        <x:v>روغن نارگیل</x:v>
      </x:c>
      <x:c r="AJ227" s="79" t="str">
        <x:v>روغن</x:v>
      </x:c>
      <x:c r="AK227" s="79" t="str">
        <x:v>MERGED</x:v>
      </x:c>
    </x:row>
    <x:row r="228">
      <x:c r="A228" s="79" t="s">
        <x:v>952</x:v>
      </x:c>
      <x:c r="B228" s="79" t="s">
        <x:v>195</x:v>
      </x:c>
      <x:c r="C228" s="79" t="s">
        <x:v>953</x:v>
      </x:c>
      <x:c r="D228" s="79" t="s">
        <x:v>727</x:v>
      </x:c>
      <x:c r="E228" s="79" t="s">
        <x:v>172</x:v>
      </x:c>
      <x:c r="F228" s="79" t="s">
        <x:v>730</x:v>
      </x:c>
      <x:c r="G228" s="79" t="n">
        <x:f>IF(RIGHT($A228,2)="-2",INDEX('قیمت ها'!$E:$E,$J228+2),INDEX('قیمت ها'!$B:$B,$J228+2))</x:f>
        <x:v>65</x:v>
      </x:c>
      <x:c r="H228" s="110">
        <x:f t="shared" si="6"/>
        <x:v>65000</x:v>
      </x:c>
      <x:c r="I228" s="79" t="str">
        <x:f t="shared" si="7"/>
        <x:v>فعال</x:v>
      </x:c>
      <x:c r="J228" s="79">
        <x:v>139</x:v>
      </x:c>
      <x:c r="K228" s="79" t="s">
        <x:v>952</x:v>
      </x:c>
      <x:c r="L228" s="79"/>
      <x:c r="M228" s="79"/>
      <x:c r="N228" s="79"/>
      <x:c r="O228" s="79"/>
      <x:c r="P228" s="79"/>
      <x:c r="Q228" s="79"/>
      <x:c r="R228" s="79"/>
      <x:c r="S228" s="79"/>
      <x:c r="T228" s="79"/>
      <x:c r="U228" s="79"/>
      <x:c r="V228" s="79"/>
      <x:c r="W228" s="79"/>
      <x:c r="X228" s="79"/>
      <x:c r="Y228" s="79"/>
      <x:c r="Z228" s="79"/>
      <x:c r="AA228" s="79" t="str">
        <x:f>IF(AND(LEN($N$2)&gt;=3,ISNUMBER(SEARCH($N$2,$B228))),MAX($AA$1:AA227)+1,"")</x:f>
      </x:c>
      <x:c r="AB228" s="79" t="str">
        <x:v>6a2d446d45c164ce6f28ae30</x:v>
      </x:c>
      <x:c r="AC228" s="79" t="str">
        <x:v>روغن</x:v>
      </x:c>
      <x:c r="AD228" s="79" t="str">
        <x:v>oil</x:v>
      </x:c>
      <x:c r="AE228" s="79" t="str">
        <x:v>EDIBLE</x:v>
      </x:c>
      <x:c r="AF228" s="79" t="str">
        <x:v>بله</x:v>
      </x:c>
      <x:c r="AG228" s="79" t="str">
        <x:v>بله</x:v>
      </x:c>
      <x:c r="AH228" s="79" t="n">
        <x:v>2</x:v>
      </x:c>
      <x:c r="AI228" s="79" t="str">
        <x:v>روغن بادام شیرین</x:v>
      </x:c>
      <x:c r="AJ228" s="79" t="str">
        <x:v>روغن</x:v>
      </x:c>
      <x:c r="AK228" s="79" t="str">
        <x:v>MERGED</x:v>
      </x:c>
    </x:row>
    <x:row r="229">
      <x:c r="A229" s="79" t="s">
        <x:v>954</x:v>
      </x:c>
      <x:c r="B229" s="79" t="s">
        <x:v>195</x:v>
      </x:c>
      <x:c r="C229" s="79" t="s">
        <x:v>955</x:v>
      </x:c>
      <x:c r="D229" s="79" t="s">
        <x:v>727</x:v>
      </x:c>
      <x:c r="E229" s="79" t="s">
        <x:v>173</x:v>
      </x:c>
      <x:c r="F229" s="79" t="s">
        <x:v>730</x:v>
      </x:c>
      <x:c r="G229" s="79" t="n">
        <x:f>IF(RIGHT($A229,2)="-2",INDEX('قیمت ها'!$E:$E,$J229+2),INDEX('قیمت ها'!$B:$B,$J229+2))</x:f>
        <x:v>120</x:v>
      </x:c>
      <x:c r="H229" s="110">
        <x:f t="shared" si="6"/>
        <x:v>120000</x:v>
      </x:c>
      <x:c r="I229" s="79" t="str">
        <x:f t="shared" si="7"/>
        <x:v>فعال</x:v>
      </x:c>
      <x:c r="J229" s="79">
        <x:v>139</x:v>
      </x:c>
      <x:c r="K229" s="79" t="s">
        <x:v>954</x:v>
      </x:c>
      <x:c r="L229" s="79"/>
      <x:c r="M229" s="79"/>
      <x:c r="N229" s="79"/>
      <x:c r="O229" s="79"/>
      <x:c r="P229" s="79"/>
      <x:c r="Q229" s="79"/>
      <x:c r="R229" s="79"/>
      <x:c r="S229" s="79"/>
      <x:c r="T229" s="79"/>
      <x:c r="U229" s="79"/>
      <x:c r="V229" s="79"/>
      <x:c r="W229" s="79"/>
      <x:c r="X229" s="79"/>
      <x:c r="Y229" s="79"/>
      <x:c r="Z229" s="79"/>
      <x:c r="AA229" s="79" t="str">
        <x:f>IF(AND(LEN($N$2)&gt;=3,ISNUMBER(SEARCH($N$2,$B229))),MAX($AA$1:AA228)+1,"")</x:f>
      </x:c>
      <x:c r="AB229" s="79" t="str">
        <x:v>6a2d446d45c164ce6f28ae30</x:v>
      </x:c>
      <x:c r="AC229" s="79" t="str">
        <x:v>روغن</x:v>
      </x:c>
      <x:c r="AD229" s="79" t="str">
        <x:v>oil</x:v>
      </x:c>
      <x:c r="AE229" s="79" t="str">
        <x:v>EDIBLE</x:v>
      </x:c>
      <x:c r="AF229" s="79" t="str">
        <x:v>بله</x:v>
      </x:c>
      <x:c r="AG229" s="79" t="str">
        <x:v>بله</x:v>
      </x:c>
      <x:c r="AH229" s="79" t="n">
        <x:v>2</x:v>
      </x:c>
      <x:c r="AI229" s="79" t="str">
        <x:v>روغن بادام شیرین</x:v>
      </x:c>
      <x:c r="AJ229" s="79" t="str">
        <x:v>روغن</x:v>
      </x:c>
      <x:c r="AK229" s="79" t="str">
        <x:v>MERGED</x:v>
      </x:c>
    </x:row>
    <x:row r="230">
      <x:c r="A230" s="79" t="s">
        <x:v>956</x:v>
      </x:c>
      <x:c r="B230" s="79" t="s">
        <x:v>229</x:v>
      </x:c>
      <x:c r="C230" s="79" t="s">
        <x:v>957</x:v>
      </x:c>
      <x:c r="D230" s="79" t="s">
        <x:v>727</x:v>
      </x:c>
      <x:c r="E230" s="79" t="s">
        <x:v>172</x:v>
      </x:c>
      <x:c r="F230" s="79" t="s">
        <x:v>730</x:v>
      </x:c>
      <x:c r="G230" s="79" t="n">
        <x:f>IF(RIGHT($A230,2)="-2",INDEX('قیمت ها'!$E:$E,$J230+2),INDEX('قیمت ها'!$B:$B,$J230+2))</x:f>
        <x:v>90</x:v>
      </x:c>
      <x:c r="H230" s="110">
        <x:f t="shared" si="6"/>
        <x:v>90000</x:v>
      </x:c>
      <x:c r="I230" s="79" t="str">
        <x:f t="shared" si="7"/>
        <x:v>فعال</x:v>
      </x:c>
      <x:c r="J230" s="79">
        <x:v>169</x:v>
      </x:c>
      <x:c r="K230" s="79" t="s">
        <x:v>956</x:v>
      </x:c>
      <x:c r="L230" s="79"/>
      <x:c r="M230" s="79"/>
      <x:c r="N230" s="79"/>
      <x:c r="O230" s="79"/>
      <x:c r="P230" s="79"/>
      <x:c r="Q230" s="79"/>
      <x:c r="R230" s="79"/>
      <x:c r="S230" s="79"/>
      <x:c r="T230" s="79"/>
      <x:c r="U230" s="79"/>
      <x:c r="V230" s="79"/>
      <x:c r="W230" s="79"/>
      <x:c r="X230" s="79"/>
      <x:c r="Y230" s="79"/>
      <x:c r="Z230" s="79"/>
      <x:c r="AA230" s="79" t="str">
        <x:f>IF(AND(LEN($N$2)&gt;=3,ISNUMBER(SEARCH($N$2,$B230))),MAX($AA$1:AA229)+1,"")</x:f>
      </x:c>
      <x:c r="AB230" s="79" t="str">
        <x:v>6a2d446d45c164ce6f28ae30</x:v>
      </x:c>
      <x:c r="AC230" s="79" t="str">
        <x:v>روغن</x:v>
      </x:c>
      <x:c r="AD230" s="79" t="str">
        <x:v>oil</x:v>
      </x:c>
      <x:c r="AE230" s="79" t="str">
        <x:v>EDIBLE</x:v>
      </x:c>
      <x:c r="AF230" s="79" t="str">
        <x:v>بله</x:v>
      </x:c>
      <x:c r="AG230" s="79" t="str">
        <x:v>بله</x:v>
      </x:c>
      <x:c r="AH230" s="79" t="n">
        <x:v>2</x:v>
      </x:c>
      <x:c r="AI230" s="79" t="str">
        <x:v>روغن ضد درد</x:v>
      </x:c>
      <x:c r="AJ230" s="79" t="str">
        <x:v>روغن</x:v>
      </x:c>
      <x:c r="AK230" s="79" t="str">
        <x:v>MERGED</x:v>
      </x:c>
    </x:row>
    <x:row r="231">
      <x:c r="A231" s="79" t="s">
        <x:v>958</x:v>
      </x:c>
      <x:c r="B231" s="79" t="s">
        <x:v>229</x:v>
      </x:c>
      <x:c r="C231" s="79" t="s">
        <x:v>959</x:v>
      </x:c>
      <x:c r="D231" s="79" t="s">
        <x:v>727</x:v>
      </x:c>
      <x:c r="E231" s="79" t="s">
        <x:v>173</x:v>
      </x:c>
      <x:c r="F231" s="79" t="s">
        <x:v>730</x:v>
      </x:c>
      <x:c r="G231" s="79" t="n">
        <x:f>IF(RIGHT($A231,2)="-2",INDEX('قیمت ها'!$E:$E,$J231+2),INDEX('قیمت ها'!$B:$B,$J231+2))</x:f>
        <x:v>170</x:v>
      </x:c>
      <x:c r="H231" s="110">
        <x:f t="shared" si="6"/>
        <x:v>170000</x:v>
      </x:c>
      <x:c r="I231" s="79" t="str">
        <x:f t="shared" si="7"/>
        <x:v>فعال</x:v>
      </x:c>
      <x:c r="J231" s="79">
        <x:v>169</x:v>
      </x:c>
      <x:c r="K231" s="79" t="s">
        <x:v>958</x:v>
      </x:c>
      <x:c r="L231" s="79"/>
      <x:c r="M231" s="79"/>
      <x:c r="N231" s="79"/>
      <x:c r="O231" s="79"/>
      <x:c r="P231" s="79"/>
      <x:c r="Q231" s="79"/>
      <x:c r="R231" s="79"/>
      <x:c r="S231" s="79"/>
      <x:c r="T231" s="79"/>
      <x:c r="U231" s="79"/>
      <x:c r="V231" s="79"/>
      <x:c r="W231" s="79"/>
      <x:c r="X231" s="79"/>
      <x:c r="Y231" s="79"/>
      <x:c r="Z231" s="79"/>
      <x:c r="AA231" s="79" t="str">
        <x:f>IF(AND(LEN($N$2)&gt;=3,ISNUMBER(SEARCH($N$2,$B231))),MAX($AA$1:AA230)+1,"")</x:f>
      </x:c>
      <x:c r="AB231" s="79" t="str">
        <x:v>6a2d446d45c164ce6f28ae30</x:v>
      </x:c>
      <x:c r="AC231" s="79" t="str">
        <x:v>روغن</x:v>
      </x:c>
      <x:c r="AD231" s="79" t="str">
        <x:v>oil</x:v>
      </x:c>
      <x:c r="AE231" s="79" t="str">
        <x:v>EDIBLE</x:v>
      </x:c>
      <x:c r="AF231" s="79" t="str">
        <x:v>بله</x:v>
      </x:c>
      <x:c r="AG231" s="79" t="str">
        <x:v>بله</x:v>
      </x:c>
      <x:c r="AH231" s="79" t="n">
        <x:v>2</x:v>
      </x:c>
      <x:c r="AI231" s="79" t="str">
        <x:v>روغن ضد درد</x:v>
      </x:c>
      <x:c r="AJ231" s="79" t="str">
        <x:v>روغن</x:v>
      </x:c>
      <x:c r="AK231" s="79" t="str">
        <x:v>MERGED</x:v>
      </x:c>
    </x:row>
    <x:row r="232">
      <x:c r="A232" s="79" t="s">
        <x:v>960</x:v>
      </x:c>
      <x:c r="B232" s="79" t="s">
        <x:v>230</x:v>
      </x:c>
      <x:c r="C232" s="79" t="s">
        <x:v>961</x:v>
      </x:c>
      <x:c r="D232" s="79" t="s">
        <x:v>727</x:v>
      </x:c>
      <x:c r="E232" s="79" t="s">
        <x:v>56</x:v>
      </x:c>
      <x:c r="F232" s="79" t="s">
        <x:v>739</x:v>
      </x:c>
      <x:c r="G232" s="79" t="n">
        <x:f>IF(RIGHT($A232,2)="-2",INDEX('قیمت ها'!$E:$E,$J232+2),INDEX('قیمت ها'!$B:$B,$J232+2))</x:f>
        <x:v>500</x:v>
      </x:c>
      <x:c r="H232" s="110">
        <x:f t="shared" si="6"/>
        <x:v>500000</x:v>
      </x:c>
      <x:c r="I232" s="79" t="str">
        <x:f t="shared" si="7"/>
        <x:v>فعال</x:v>
      </x:c>
      <x:c r="J232" s="79">
        <x:v>170</x:v>
      </x:c>
      <x:c r="K232" s="79" t="s">
        <x:v>960</x:v>
      </x:c>
      <x:c r="L232" s="79"/>
      <x:c r="M232" s="79"/>
      <x:c r="N232" s="79"/>
      <x:c r="O232" s="79"/>
      <x:c r="P232" s="79"/>
      <x:c r="Q232" s="79"/>
      <x:c r="R232" s="79"/>
      <x:c r="S232" s="79"/>
      <x:c r="T232" s="79"/>
      <x:c r="U232" s="79"/>
      <x:c r="V232" s="79"/>
      <x:c r="W232" s="79"/>
      <x:c r="X232" s="79"/>
      <x:c r="Y232" s="79"/>
      <x:c r="Z232" s="79"/>
      <x:c r="AA232" s="79" t="str">
        <x:f>IF(AND(LEN($N$2)&gt;=3,ISNUMBER(SEARCH($N$2,$B232))),MAX($AA$1:AA231)+1,"")</x:f>
      </x:c>
      <x:c r="AB232" s="79" t="str">
        <x:v>6a2d446d45c164ce6f28ae30</x:v>
      </x:c>
      <x:c r="AC232" s="79" t="str">
        <x:v>روغن</x:v>
      </x:c>
      <x:c r="AD232" s="79" t="str">
        <x:v>oil</x:v>
      </x:c>
      <x:c r="AE232" s="79" t="str">
        <x:v>EDIBLE</x:v>
      </x:c>
      <x:c r="AF232" s="79" t="str">
        <x:v>بله</x:v>
      </x:c>
      <x:c r="AG232" s="79" t="str">
        <x:v>بله</x:v>
      </x:c>
      <x:c r="AH232" s="79" t="n">
        <x:v>2</x:v>
      </x:c>
      <x:c r="AI232" s="79" t="str">
        <x:v>روغن فندق</x:v>
      </x:c>
      <x:c r="AJ232" s="79" t="str">
        <x:v>روغن</x:v>
      </x:c>
      <x:c r="AK232" s="79"/>
    </x:row>
    <x:row r="233">
      <x:c r="A233" s="79" t="s">
        <x:v>962</x:v>
      </x:c>
      <x:c r="B233" s="79" t="s">
        <x:v>230</x:v>
      </x:c>
      <x:c r="C233" s="79" t="s">
        <x:v>963</x:v>
      </x:c>
      <x:c r="D233" s="79" t="s">
        <x:v>727</x:v>
      </x:c>
      <x:c r="E233" s="79" t="s">
        <x:v>172</x:v>
      </x:c>
      <x:c r="F233" s="79" t="s">
        <x:v>730</x:v>
      </x:c>
      <x:c r="G233" s="79" t="n">
        <x:f>IF(RIGHT($A233,2)="-2",INDEX('قیمت ها'!$E:$E,$J233+2),INDEX('قیمت ها'!$B:$B,$J233+2))</x:f>
        <x:v>65</x:v>
      </x:c>
      <x:c r="H233" s="110">
        <x:f t="shared" si="6"/>
        <x:v>65000</x:v>
      </x:c>
      <x:c r="I233" s="79" t="str">
        <x:f t="shared" si="7"/>
        <x:v>فعال</x:v>
      </x:c>
      <x:c r="J233" s="79">
        <x:v>171</x:v>
      </x:c>
      <x:c r="K233" s="79" t="s">
        <x:v>962</x:v>
      </x:c>
      <x:c r="L233" s="79"/>
      <x:c r="M233" s="79"/>
      <x:c r="N233" s="79"/>
      <x:c r="O233" s="79"/>
      <x:c r="P233" s="79"/>
      <x:c r="Q233" s="79"/>
      <x:c r="R233" s="79"/>
      <x:c r="S233" s="79"/>
      <x:c r="T233" s="79"/>
      <x:c r="U233" s="79"/>
      <x:c r="V233" s="79"/>
      <x:c r="W233" s="79"/>
      <x:c r="X233" s="79"/>
      <x:c r="Y233" s="79"/>
      <x:c r="Z233" s="79"/>
      <x:c r="AA233" s="79" t="str">
        <x:f>IF(AND(LEN($N$2)&gt;=3,ISNUMBER(SEARCH($N$2,$B233))),MAX($AA$1:AA232)+1,"")</x:f>
      </x:c>
      <x:c r="AB233" s="79" t="str">
        <x:v>6a2d446d45c164ce6f28ae30</x:v>
      </x:c>
      <x:c r="AC233" s="79" t="str">
        <x:v>روغن</x:v>
      </x:c>
      <x:c r="AD233" s="79" t="str">
        <x:v>oil</x:v>
      </x:c>
      <x:c r="AE233" s="79" t="str">
        <x:v>EDIBLE</x:v>
      </x:c>
      <x:c r="AF233" s="79" t="str">
        <x:v>بله</x:v>
      </x:c>
      <x:c r="AG233" s="79" t="str">
        <x:v>بله</x:v>
      </x:c>
      <x:c r="AH233" s="79" t="n">
        <x:v>2</x:v>
      </x:c>
      <x:c r="AI233" s="79" t="str">
        <x:v>روغن کدو</x:v>
      </x:c>
      <x:c r="AJ233" s="79" t="str">
        <x:v>روغن</x:v>
      </x:c>
      <x:c r="AK233" s="79"/>
    </x:row>
    <x:row r="234">
      <x:c r="A234" s="79" t="s">
        <x:v>964</x:v>
      </x:c>
      <x:c r="B234" s="79" t="s">
        <x:v>230</x:v>
      </x:c>
      <x:c r="C234" s="79" t="s">
        <x:v>965</x:v>
      </x:c>
      <x:c r="D234" s="79" t="s">
        <x:v>727</x:v>
      </x:c>
      <x:c r="E234" s="79" t="s">
        <x:v>57</x:v>
      </x:c>
      <x:c r="F234" s="79" t="s">
        <x:v>739</x:v>
      </x:c>
      <x:c r="G234" s="79" t="str">
        <x:f>IF(RIGHT($A234,2)="-2",INDEX('قیمت ها'!$E:$E,$J234+2),INDEX('قیمت ها'!$B:$B,$J234+2))</x:f>
        <x:v>1/000</x:v>
      </x:c>
      <x:c r="H234" s="110">
        <x:f t="shared" si="6"/>
        <x:v>1000000</x:v>
      </x:c>
      <x:c r="I234" s="79" t="str">
        <x:f t="shared" si="7"/>
        <x:v>فعال</x:v>
      </x:c>
      <x:c r="J234" s="79">
        <x:v>170</x:v>
      </x:c>
      <x:c r="K234" s="79" t="s">
        <x:v>964</x:v>
      </x:c>
      <x:c r="L234" s="79"/>
      <x:c r="M234" s="79"/>
      <x:c r="N234" s="79"/>
      <x:c r="O234" s="79"/>
      <x:c r="P234" s="79"/>
      <x:c r="Q234" s="79"/>
      <x:c r="R234" s="79"/>
      <x:c r="S234" s="79"/>
      <x:c r="T234" s="79"/>
      <x:c r="U234" s="79"/>
      <x:c r="V234" s="79"/>
      <x:c r="W234" s="79"/>
      <x:c r="X234" s="79"/>
      <x:c r="Y234" s="79"/>
      <x:c r="Z234" s="79"/>
      <x:c r="AA234" s="79" t="str">
        <x:f>IF(AND(LEN($N$2)&gt;=3,ISNUMBER(SEARCH($N$2,$B234))),MAX($AA$1:AA233)+1,"")</x:f>
      </x:c>
      <x:c r="AB234" s="79" t="str">
        <x:v>6a2d446d45c164ce6f28ae30</x:v>
      </x:c>
      <x:c r="AC234" s="79" t="str">
        <x:v>روغن</x:v>
      </x:c>
      <x:c r="AD234" s="79" t="str">
        <x:v>oil</x:v>
      </x:c>
      <x:c r="AE234" s="79" t="str">
        <x:v>EDIBLE</x:v>
      </x:c>
      <x:c r="AF234" s="79" t="str">
        <x:v>بله</x:v>
      </x:c>
      <x:c r="AG234" s="79" t="str">
        <x:v>بله</x:v>
      </x:c>
      <x:c r="AH234" s="79" t="n">
        <x:v>2</x:v>
      </x:c>
      <x:c r="AI234" s="79" t="str">
        <x:v>روغن فندق</x:v>
      </x:c>
      <x:c r="AJ234" s="79" t="str">
        <x:v>روغن</x:v>
      </x:c>
      <x:c r="AK234" s="79"/>
    </x:row>
    <x:row r="235">
      <x:c r="A235" s="79" t="s">
        <x:v>966</x:v>
      </x:c>
      <x:c r="B235" s="79" t="s">
        <x:v>230</x:v>
      </x:c>
      <x:c r="C235" s="79" t="s">
        <x:v>967</x:v>
      </x:c>
      <x:c r="D235" s="79" t="s">
        <x:v>727</x:v>
      </x:c>
      <x:c r="E235" s="79" t="s">
        <x:v>173</x:v>
      </x:c>
      <x:c r="F235" s="79" t="s">
        <x:v>730</x:v>
      </x:c>
      <x:c r="G235" s="79" t="n">
        <x:f>IF(RIGHT($A235,2)="-2",INDEX('قیمت ها'!$E:$E,$J235+2),INDEX('قیمت ها'!$B:$B,$J235+2))</x:f>
        <x:v>120</x:v>
      </x:c>
      <x:c r="H235" s="110">
        <x:f t="shared" si="6"/>
        <x:v>120000</x:v>
      </x:c>
      <x:c r="I235" s="79" t="str">
        <x:f t="shared" si="7"/>
        <x:v>فعال</x:v>
      </x:c>
      <x:c r="J235" s="79">
        <x:v>171</x:v>
      </x:c>
      <x:c r="K235" s="79" t="s">
        <x:v>966</x:v>
      </x:c>
      <x:c r="L235" s="79"/>
      <x:c r="M235" s="79"/>
      <x:c r="N235" s="79"/>
      <x:c r="O235" s="79"/>
      <x:c r="P235" s="79"/>
      <x:c r="Q235" s="79"/>
      <x:c r="R235" s="79"/>
      <x:c r="S235" s="79"/>
      <x:c r="T235" s="79"/>
      <x:c r="U235" s="79"/>
      <x:c r="V235" s="79"/>
      <x:c r="W235" s="79"/>
      <x:c r="X235" s="79"/>
      <x:c r="Y235" s="79"/>
      <x:c r="Z235" s="79"/>
      <x:c r="AA235" s="79" t="str">
        <x:f>IF(AND(LEN($N$2)&gt;=3,ISNUMBER(SEARCH($N$2,$B235))),MAX($AA$1:AA234)+1,"")</x:f>
      </x:c>
      <x:c r="AB235" s="79" t="str">
        <x:v>6a2d446d45c164ce6f28ae30</x:v>
      </x:c>
      <x:c r="AC235" s="79" t="str">
        <x:v>روغن</x:v>
      </x:c>
      <x:c r="AD235" s="79" t="str">
        <x:v>oil</x:v>
      </x:c>
      <x:c r="AE235" s="79" t="str">
        <x:v>EDIBLE</x:v>
      </x:c>
      <x:c r="AF235" s="79" t="str">
        <x:v>بله</x:v>
      </x:c>
      <x:c r="AG235" s="79" t="str">
        <x:v>بله</x:v>
      </x:c>
      <x:c r="AH235" s="79" t="n">
        <x:v>2</x:v>
      </x:c>
      <x:c r="AI235" s="79" t="str">
        <x:v>روغن کدو</x:v>
      </x:c>
      <x:c r="AJ235" s="79" t="str">
        <x:v>روغن</x:v>
      </x:c>
      <x:c r="AK235" s="79"/>
    </x:row>
    <x:row r="236">
      <x:c r="A236" s="79" t="s">
        <x:v>968</x:v>
      </x:c>
      <x:c r="B236" s="79" t="s">
        <x:v>231</x:v>
      </x:c>
      <x:c r="C236" s="79" t="s">
        <x:v>969</x:v>
      </x:c>
      <x:c r="D236" s="79" t="s">
        <x:v>727</x:v>
      </x:c>
      <x:c r="E236" s="79" t="s">
        <x:v>56</x:v>
      </x:c>
      <x:c r="F236" s="79" t="s">
        <x:v>739</x:v>
      </x:c>
      <x:c r="G236" s="79" t="n">
        <x:f>IF(RIGHT($A236,2)="-2",INDEX('قیمت ها'!$E:$E,$J236+2),INDEX('قیمت ها'!$B:$B,$J236+2))</x:f>
        <x:v>400</x:v>
      </x:c>
      <x:c r="H236" s="110">
        <x:f t="shared" si="6"/>
        <x:v>400000</x:v>
      </x:c>
      <x:c r="I236" s="79" t="str">
        <x:f t="shared" si="7"/>
        <x:v>فعال</x:v>
      </x:c>
      <x:c r="J236" s="79">
        <x:v>172</x:v>
      </x:c>
      <x:c r="K236" s="79" t="s">
        <x:v>968</x:v>
      </x:c>
      <x:c r="L236" s="79"/>
      <x:c r="M236" s="79"/>
      <x:c r="N236" s="79"/>
      <x:c r="O236" s="79"/>
      <x:c r="P236" s="79"/>
      <x:c r="Q236" s="79"/>
      <x:c r="R236" s="79"/>
      <x:c r="S236" s="79"/>
      <x:c r="T236" s="79"/>
      <x:c r="U236" s="79"/>
      <x:c r="V236" s="79"/>
      <x:c r="W236" s="79"/>
      <x:c r="X236" s="79"/>
      <x:c r="Y236" s="79"/>
      <x:c r="Z236" s="79"/>
      <x:c r="AA236" s="79" t="str">
        <x:f>IF(AND(LEN($N$2)&gt;=3,ISNUMBER(SEARCH($N$2,$B236))),MAX($AA$1:AA235)+1,"")</x:f>
      </x:c>
      <x:c r="AB236" s="79" t="str">
        <x:v>6a2d446d45c164ce6f28ae30</x:v>
      </x:c>
      <x:c r="AC236" s="79" t="str">
        <x:v>روغن</x:v>
      </x:c>
      <x:c r="AD236" s="79" t="str">
        <x:v>oil</x:v>
      </x:c>
      <x:c r="AE236" s="79" t="str">
        <x:v>EDIBLE</x:v>
      </x:c>
      <x:c r="AF236" s="79" t="str">
        <x:v>بله</x:v>
      </x:c>
      <x:c r="AG236" s="79" t="str">
        <x:v>بله</x:v>
      </x:c>
      <x:c r="AH236" s="79" t="n">
        <x:v>2</x:v>
      </x:c>
      <x:c r="AI236" s="79" t="str">
        <x:v>روغن کرچک</x:v>
      </x:c>
      <x:c r="AJ236" s="79" t="str">
        <x:v>روغن</x:v>
      </x:c>
      <x:c r="AK236" s="79" t="str">
        <x:v>MERGED</x:v>
      </x:c>
    </x:row>
    <x:row r="237">
      <x:c r="A237" s="79" t="s">
        <x:v>970</x:v>
      </x:c>
      <x:c r="B237" s="79" t="s">
        <x:v>231</x:v>
      </x:c>
      <x:c r="C237" s="79" t="s">
        <x:v>971</x:v>
      </x:c>
      <x:c r="D237" s="79" t="s">
        <x:v>727</x:v>
      </x:c>
      <x:c r="E237" s="79" t="s">
        <x:v>57</x:v>
      </x:c>
      <x:c r="F237" s="79" t="s">
        <x:v>739</x:v>
      </x:c>
      <x:c r="G237" s="79" t="n">
        <x:f>IF(RIGHT($A237,2)="-2",INDEX('قیمت ها'!$E:$E,$J237+2),INDEX('قیمت ها'!$B:$B,$J237+2))</x:f>
        <x:v>790</x:v>
      </x:c>
      <x:c r="H237" s="110">
        <x:f t="shared" si="6"/>
        <x:v>790000</x:v>
      </x:c>
      <x:c r="I237" s="79" t="str">
        <x:f t="shared" si="7"/>
        <x:v>فعال</x:v>
      </x:c>
      <x:c r="J237" s="79">
        <x:v>172</x:v>
      </x:c>
      <x:c r="K237" s="79" t="s">
        <x:v>970</x:v>
      </x:c>
      <x:c r="L237" s="79"/>
      <x:c r="M237" s="79"/>
      <x:c r="N237" s="79"/>
      <x:c r="O237" s="79"/>
      <x:c r="P237" s="79"/>
      <x:c r="Q237" s="79"/>
      <x:c r="R237" s="79"/>
      <x:c r="S237" s="79"/>
      <x:c r="T237" s="79"/>
      <x:c r="U237" s="79"/>
      <x:c r="V237" s="79"/>
      <x:c r="W237" s="79"/>
      <x:c r="X237" s="79"/>
      <x:c r="Y237" s="79"/>
      <x:c r="Z237" s="79"/>
      <x:c r="AA237" s="79" t="str">
        <x:f>IF(AND(LEN($N$2)&gt;=3,ISNUMBER(SEARCH($N$2,$B237))),MAX($AA$1:AA236)+1,"")</x:f>
      </x:c>
      <x:c r="AB237" s="79" t="str">
        <x:v>6a2d446d45c164ce6f28ae30</x:v>
      </x:c>
      <x:c r="AC237" s="79" t="str">
        <x:v>روغن</x:v>
      </x:c>
      <x:c r="AD237" s="79" t="str">
        <x:v>oil</x:v>
      </x:c>
      <x:c r="AE237" s="79" t="str">
        <x:v>EDIBLE</x:v>
      </x:c>
      <x:c r="AF237" s="79" t="str">
        <x:v>بله</x:v>
      </x:c>
      <x:c r="AG237" s="79" t="str">
        <x:v>بله</x:v>
      </x:c>
      <x:c r="AH237" s="79" t="n">
        <x:v>2</x:v>
      </x:c>
      <x:c r="AI237" s="79" t="str">
        <x:v>روغن کرچک</x:v>
      </x:c>
      <x:c r="AJ237" s="79" t="str">
        <x:v>روغن</x:v>
      </x:c>
      <x:c r="AK237" s="79" t="str">
        <x:v>MERGED</x:v>
      </x:c>
    </x:row>
    <x:row r="238">
      <x:c r="A238" s="79" t="s">
        <x:v>972</x:v>
      </x:c>
      <x:c r="B238" s="79" t="s">
        <x:v>232</x:v>
      </x:c>
      <x:c r="C238" s="79" t="s">
        <x:v>973</x:v>
      </x:c>
      <x:c r="D238" s="79" t="s">
        <x:v>727</x:v>
      </x:c>
      <x:c r="E238" s="79" t="s">
        <x:v>56</x:v>
      </x:c>
      <x:c r="F238" s="79" t="s">
        <x:v>739</x:v>
      </x:c>
      <x:c r="G238" s="79" t="n">
        <x:f>IF(RIGHT($A238,2)="-2",INDEX('قیمت ها'!$E:$E,$J238+2),INDEX('قیمت ها'!$B:$B,$J238+2))</x:f>
        <x:v>555</x:v>
      </x:c>
      <x:c r="H238" s="110">
        <x:f t="shared" si="6"/>
        <x:v>555000</x:v>
      </x:c>
      <x:c r="I238" s="79" t="str">
        <x:f t="shared" si="7"/>
        <x:v>فعال</x:v>
      </x:c>
      <x:c r="J238" s="79">
        <x:v>173</x:v>
      </x:c>
      <x:c r="K238" s="79" t="s">
        <x:v>972</x:v>
      </x:c>
      <x:c r="L238" s="79"/>
      <x:c r="M238" s="79"/>
      <x:c r="N238" s="79"/>
      <x:c r="O238" s="79"/>
      <x:c r="P238" s="79"/>
      <x:c r="Q238" s="79"/>
      <x:c r="R238" s="79"/>
      <x:c r="S238" s="79"/>
      <x:c r="T238" s="79"/>
      <x:c r="U238" s="79"/>
      <x:c r="V238" s="79"/>
      <x:c r="W238" s="79"/>
      <x:c r="X238" s="79"/>
      <x:c r="Y238" s="79"/>
      <x:c r="Z238" s="79"/>
      <x:c r="AA238" s="79" t="str">
        <x:f>IF(AND(LEN($N$2)&gt;=3,ISNUMBER(SEARCH($N$2,$B238))),MAX($AA$1:AA237)+1,"")</x:f>
      </x:c>
      <x:c r="AB238" s="79" t="str">
        <x:v>6a2d446d45c164ce6f28ae30</x:v>
      </x:c>
      <x:c r="AC238" s="79" t="str">
        <x:v>روغن</x:v>
      </x:c>
      <x:c r="AD238" s="79" t="str">
        <x:v>oil</x:v>
      </x:c>
      <x:c r="AE238" s="79" t="str">
        <x:v>EDIBLE</x:v>
      </x:c>
      <x:c r="AF238" s="79" t="str">
        <x:v>بله</x:v>
      </x:c>
      <x:c r="AG238" s="79" t="str">
        <x:v>بله</x:v>
      </x:c>
      <x:c r="AH238" s="79" t="n">
        <x:v>2</x:v>
      </x:c>
      <x:c r="AI238" s="79" t="str">
        <x:v>روغن کرچک</x:v>
      </x:c>
      <x:c r="AJ238" s="79" t="str">
        <x:v>روغن</x:v>
      </x:c>
      <x:c r="AK238" s="79" t="str">
        <x:v>MERGED</x:v>
      </x:c>
    </x:row>
    <x:row r="239">
      <x:c r="A239" s="79" t="s">
        <x:v>974</x:v>
      </x:c>
      <x:c r="B239" s="79" t="s">
        <x:v>232</x:v>
      </x:c>
      <x:c r="C239" s="79" t="s">
        <x:v>975</x:v>
      </x:c>
      <x:c r="D239" s="79" t="s">
        <x:v>727</x:v>
      </x:c>
      <x:c r="E239" s="79" t="s">
        <x:v>57</x:v>
      </x:c>
      <x:c r="F239" s="79" t="s">
        <x:v>739</x:v>
      </x:c>
      <x:c r="G239" s="79" t="str">
        <x:f>IF(RIGHT($A239,2)="-2",INDEX('قیمت ها'!$E:$E,$J239+2),INDEX('قیمت ها'!$B:$B,$J239+2))</x:f>
        <x:v>1/100</x:v>
      </x:c>
      <x:c r="H239" s="110">
        <x:f t="shared" si="6"/>
        <x:v>1100000</x:v>
      </x:c>
      <x:c r="I239" s="79" t="str">
        <x:f t="shared" si="7"/>
        <x:v>فعال</x:v>
      </x:c>
      <x:c r="J239" s="79">
        <x:v>173</x:v>
      </x:c>
      <x:c r="K239" s="79" t="s">
        <x:v>974</x:v>
      </x:c>
      <x:c r="L239" s="79"/>
      <x:c r="M239" s="79"/>
      <x:c r="N239" s="79"/>
      <x:c r="O239" s="79"/>
      <x:c r="P239" s="79"/>
      <x:c r="Q239" s="79"/>
      <x:c r="R239" s="79"/>
      <x:c r="S239" s="79"/>
      <x:c r="T239" s="79"/>
      <x:c r="U239" s="79"/>
      <x:c r="V239" s="79"/>
      <x:c r="W239" s="79"/>
      <x:c r="X239" s="79"/>
      <x:c r="Y239" s="79"/>
      <x:c r="Z239" s="79"/>
      <x:c r="AA239" s="79" t="str">
        <x:f>IF(AND(LEN($N$2)&gt;=3,ISNUMBER(SEARCH($N$2,$B239))),MAX($AA$1:AA238)+1,"")</x:f>
      </x:c>
      <x:c r="AB239" s="79" t="str">
        <x:v>6a2d446d45c164ce6f28ae30</x:v>
      </x:c>
      <x:c r="AC239" s="79" t="str">
        <x:v>روغن</x:v>
      </x:c>
      <x:c r="AD239" s="79" t="str">
        <x:v>oil</x:v>
      </x:c>
      <x:c r="AE239" s="79" t="str">
        <x:v>EDIBLE</x:v>
      </x:c>
      <x:c r="AF239" s="79" t="str">
        <x:v>بله</x:v>
      </x:c>
      <x:c r="AG239" s="79" t="str">
        <x:v>بله</x:v>
      </x:c>
      <x:c r="AH239" s="79" t="n">
        <x:v>2</x:v>
      </x:c>
      <x:c r="AI239" s="79" t="str">
        <x:v>روغن کرچک</x:v>
      </x:c>
      <x:c r="AJ239" s="79" t="str">
        <x:v>روغن</x:v>
      </x:c>
      <x:c r="AK239" s="79" t="str">
        <x:v>MERGED</x:v>
      </x:c>
    </x:row>
    <x:row r="240">
      <x:c r="A240" s="79" t="s">
        <x:v>976</x:v>
      </x:c>
      <x:c r="B240" s="79" t="s">
        <x:v>233</x:v>
      </x:c>
      <x:c r="C240" s="79" t="s">
        <x:v>977</x:v>
      </x:c>
      <x:c r="D240" s="79" t="s">
        <x:v>727</x:v>
      </x:c>
      <x:c r="E240" s="79" t="s">
        <x:v>16</x:v>
      </x:c>
      <x:c r="F240" s="79" t="s">
        <x:v>16</x:v>
      </x:c>
      <x:c r="G240" s="79" t="str">
        <x:f>IF(RIGHT($A240,2)="-2",INDEX('قیمت ها'!$E:$E,$J240+2),INDEX('قیمت ها'!$B:$B,$J240+2))</x:f>
        <x:v>؟</x:v>
      </x:c>
      <x:c r="H240" s="110" t="str">
        <x:f t="shared" si="6"/>
      </x:c>
      <x:c r="I240" s="79" t="str">
        <x:f t="shared" si="7"/>
        <x:v>نیاز به استعلام</x:v>
      </x:c>
      <x:c r="J240" s="79">
        <x:v>174</x:v>
      </x:c>
      <x:c r="K240" s="79" t="s">
        <x:v>976</x:v>
      </x:c>
      <x:c r="L240" s="79"/>
      <x:c r="M240" s="79"/>
      <x:c r="N240" s="79"/>
      <x:c r="O240" s="79"/>
      <x:c r="P240" s="79"/>
      <x:c r="Q240" s="79"/>
      <x:c r="R240" s="79"/>
      <x:c r="S240" s="79"/>
      <x:c r="T240" s="79"/>
      <x:c r="U240" s="79"/>
      <x:c r="V240" s="79"/>
      <x:c r="W240" s="79"/>
      <x:c r="X240" s="79"/>
      <x:c r="Y240" s="79"/>
      <x:c r="Z240" s="79"/>
      <x:c r="AA240" s="79" t="str">
        <x:f>IF(AND(LEN($N$2)&gt;=3,ISNUMBER(SEARCH($N$2,$B240))),MAX($AA$1:AA239)+1,"")</x:f>
      </x:c>
      <x:c r="AB240" s="79" t="str">
        <x:v>6a2d446d45c164ce6f28ae30</x:v>
      </x:c>
      <x:c r="AC240" s="79" t="str">
        <x:v>روغن</x:v>
      </x:c>
      <x:c r="AD240" s="79" t="str">
        <x:v>oil</x:v>
      </x:c>
      <x:c r="AE240" s="79" t="str">
        <x:v>EDIBLE</x:v>
      </x:c>
      <x:c r="AF240" s="79" t="str">
        <x:v>بله</x:v>
      </x:c>
      <x:c r="AG240" s="79" t="str">
        <x:v>بله</x:v>
      </x:c>
      <x:c r="AH240" s="79" t="n">
        <x:v>2</x:v>
      </x:c>
      <x:c r="AI240" s="79" t="str">
        <x:v>روغن کلزا</x:v>
      </x:c>
      <x:c r="AJ240" s="79" t="str">
        <x:v>روغن</x:v>
      </x:c>
      <x:c r="AK240" s="79"/>
    </x:row>
    <x:row r="241">
      <x:c r="A241" s="79" t="s">
        <x:v>978</x:v>
      </x:c>
      <x:c r="B241" s="79" t="s">
        <x:v>233</x:v>
      </x:c>
      <x:c r="C241" s="79" t="s">
        <x:v>979</x:v>
      </x:c>
      <x:c r="D241" s="79" t="s">
        <x:v>727</x:v>
      </x:c>
      <x:c r="E241" s="79" t="s">
        <x:v>16</x:v>
      </x:c>
      <x:c r="F241" s="79" t="s">
        <x:v>16</x:v>
      </x:c>
      <x:c r="G241" s="79" t="str">
        <x:f>IF(RIGHT($A241,2)="-2",INDEX('قیمت ها'!$E:$E,$J241+2),INDEX('قیمت ها'!$B:$B,$J241+2))</x:f>
        <x:v>؟</x:v>
      </x:c>
      <x:c r="H241" s="110" t="str">
        <x:f t="shared" si="6"/>
      </x:c>
      <x:c r="I241" s="79" t="str">
        <x:f t="shared" si="7"/>
        <x:v>نیاز به استعلام</x:v>
      </x:c>
      <x:c r="J241" s="79">
        <x:v>174</x:v>
      </x:c>
      <x:c r="K241" s="79" t="s">
        <x:v>978</x:v>
      </x:c>
      <x:c r="L241" s="79"/>
      <x:c r="M241" s="79"/>
      <x:c r="N241" s="79"/>
      <x:c r="O241" s="79"/>
      <x:c r="P241" s="79"/>
      <x:c r="Q241" s="79"/>
      <x:c r="R241" s="79"/>
      <x:c r="S241" s="79"/>
      <x:c r="T241" s="79"/>
      <x:c r="U241" s="79"/>
      <x:c r="V241" s="79"/>
      <x:c r="W241" s="79"/>
      <x:c r="X241" s="79"/>
      <x:c r="Y241" s="79"/>
      <x:c r="Z241" s="79"/>
      <x:c r="AA241" s="79" t="str">
        <x:f>IF(AND(LEN($N$2)&gt;=3,ISNUMBER(SEARCH($N$2,$B241))),MAX($AA$1:AA240)+1,"")</x:f>
      </x:c>
      <x:c r="AB241" s="79" t="str">
        <x:v>6a2d446d45c164ce6f28ae30</x:v>
      </x:c>
      <x:c r="AC241" s="79" t="str">
        <x:v>روغن</x:v>
      </x:c>
      <x:c r="AD241" s="79" t="str">
        <x:v>oil</x:v>
      </x:c>
      <x:c r="AE241" s="79" t="str">
        <x:v>EDIBLE</x:v>
      </x:c>
      <x:c r="AF241" s="79" t="str">
        <x:v>بله</x:v>
      </x:c>
      <x:c r="AG241" s="79" t="str">
        <x:v>بله</x:v>
      </x:c>
      <x:c r="AH241" s="79" t="n">
        <x:v>2</x:v>
      </x:c>
      <x:c r="AI241" s="79" t="str">
        <x:v>روغن کلزا</x:v>
      </x:c>
      <x:c r="AJ241" s="79" t="str">
        <x:v>روغن</x:v>
      </x:c>
      <x:c r="AK241" s="79"/>
    </x:row>
    <x:row r="242">
      <x:c r="A242" s="79" t="s">
        <x:v>980</x:v>
      </x:c>
      <x:c r="B242" s="79" t="s">
        <x:v>234</x:v>
      </x:c>
      <x:c r="C242" s="79" t="s">
        <x:v>981</x:v>
      </x:c>
      <x:c r="D242" s="79" t="s">
        <x:v>727</x:v>
      </x:c>
      <x:c r="E242" s="79" t="s">
        <x:v>172</x:v>
      </x:c>
      <x:c r="F242" s="79" t="s">
        <x:v>730</x:v>
      </x:c>
      <x:c r="G242" s="79" t="n">
        <x:f>IF(RIGHT($A242,2)="-2",INDEX('قیمت ها'!$E:$E,$J242+2),INDEX('قیمت ها'!$B:$B,$J242+2))</x:f>
        <x:v>45</x:v>
      </x:c>
      <x:c r="H242" s="110">
        <x:f t="shared" si="6"/>
        <x:v>45000</x:v>
      </x:c>
      <x:c r="I242" s="79" t="str">
        <x:f t="shared" si="7"/>
        <x:v>فعال</x:v>
      </x:c>
      <x:c r="J242" s="79">
        <x:v>175</x:v>
      </x:c>
      <x:c r="K242" s="79" t="s">
        <x:v>980</x:v>
      </x:c>
      <x:c r="L242" s="79"/>
      <x:c r="M242" s="79"/>
      <x:c r="N242" s="79"/>
      <x:c r="O242" s="79"/>
      <x:c r="P242" s="79"/>
      <x:c r="Q242" s="79"/>
      <x:c r="R242" s="79"/>
      <x:c r="S242" s="79"/>
      <x:c r="T242" s="79"/>
      <x:c r="U242" s="79"/>
      <x:c r="V242" s="79"/>
      <x:c r="W242" s="79"/>
      <x:c r="X242" s="79"/>
      <x:c r="Y242" s="79"/>
      <x:c r="Z242" s="79"/>
      <x:c r="AA242" s="79" t="str">
        <x:f>IF(AND(LEN($N$2)&gt;=3,ISNUMBER(SEARCH($N$2,$B242))),MAX($AA$1:AA241)+1,"")</x:f>
      </x:c>
      <x:c r="AB242" s="79" t="str">
        <x:v>6a2d446d45c164ce6f28ae30</x:v>
      </x:c>
      <x:c r="AC242" s="79" t="str">
        <x:v>روغن</x:v>
      </x:c>
      <x:c r="AD242" s="79" t="str">
        <x:v>oil</x:v>
      </x:c>
      <x:c r="AE242" s="79" t="str">
        <x:v>EDIBLE</x:v>
      </x:c>
      <x:c r="AF242" s="79" t="str">
        <x:v>بله</x:v>
      </x:c>
      <x:c r="AG242" s="79" t="str">
        <x:v>بله</x:v>
      </x:c>
      <x:c r="AH242" s="79" t="n">
        <x:v>2</x:v>
      </x:c>
      <x:c r="AI242" s="79" t="str">
        <x:v>روغن کنجد</x:v>
      </x:c>
      <x:c r="AJ242" s="79" t="str">
        <x:v>روغن</x:v>
      </x:c>
      <x:c r="AK242" s="79" t="str">
        <x:v>MERGED</x:v>
      </x:c>
    </x:row>
    <x:row r="243">
      <x:c r="A243" s="79" t="s">
        <x:v>982</x:v>
      </x:c>
      <x:c r="B243" s="79" t="s">
        <x:v>234</x:v>
      </x:c>
      <x:c r="C243" s="79" t="s">
        <x:v>983</x:v>
      </x:c>
      <x:c r="D243" s="79" t="s">
        <x:v>727</x:v>
      </x:c>
      <x:c r="E243" s="79" t="s">
        <x:v>173</x:v>
      </x:c>
      <x:c r="F243" s="79" t="s">
        <x:v>730</x:v>
      </x:c>
      <x:c r="G243" s="79" t="n">
        <x:f>IF(RIGHT($A243,2)="-2",INDEX('قیمت ها'!$E:$E,$J243+2),INDEX('قیمت ها'!$B:$B,$J243+2))</x:f>
        <x:v>80</x:v>
      </x:c>
      <x:c r="H243" s="110">
        <x:f t="shared" si="6"/>
        <x:v>80000</x:v>
      </x:c>
      <x:c r="I243" s="79" t="str">
        <x:f t="shared" si="7"/>
        <x:v>فعال</x:v>
      </x:c>
      <x:c r="J243" s="79">
        <x:v>175</x:v>
      </x:c>
      <x:c r="K243" s="79" t="s">
        <x:v>982</x:v>
      </x:c>
      <x:c r="L243" s="79"/>
      <x:c r="M243" s="79"/>
      <x:c r="N243" s="79"/>
      <x:c r="O243" s="79"/>
      <x:c r="P243" s="79"/>
      <x:c r="Q243" s="79"/>
      <x:c r="R243" s="79"/>
      <x:c r="S243" s="79"/>
      <x:c r="T243" s="79"/>
      <x:c r="U243" s="79"/>
      <x:c r="V243" s="79"/>
      <x:c r="W243" s="79"/>
      <x:c r="X243" s="79"/>
      <x:c r="Y243" s="79"/>
      <x:c r="Z243" s="79"/>
      <x:c r="AA243" s="79" t="str">
        <x:f>IF(AND(LEN($N$2)&gt;=3,ISNUMBER(SEARCH($N$2,$B243))),MAX($AA$1:AA242)+1,"")</x:f>
      </x:c>
      <x:c r="AB243" s="79" t="str">
        <x:v>6a2d446d45c164ce6f28ae30</x:v>
      </x:c>
      <x:c r="AC243" s="79" t="str">
        <x:v>روغن</x:v>
      </x:c>
      <x:c r="AD243" s="79" t="str">
        <x:v>oil</x:v>
      </x:c>
      <x:c r="AE243" s="79" t="str">
        <x:v>EDIBLE</x:v>
      </x:c>
      <x:c r="AF243" s="79" t="str">
        <x:v>بله</x:v>
      </x:c>
      <x:c r="AG243" s="79" t="str">
        <x:v>بله</x:v>
      </x:c>
      <x:c r="AH243" s="79" t="n">
        <x:v>2</x:v>
      </x:c>
      <x:c r="AI243" s="79" t="str">
        <x:v>روغن کنجد</x:v>
      </x:c>
      <x:c r="AJ243" s="79" t="str">
        <x:v>روغن</x:v>
      </x:c>
      <x:c r="AK243" s="79" t="str">
        <x:v>MERGED</x:v>
      </x:c>
    </x:row>
    <x:row r="244">
      <x:c r="A244" s="79" t="s">
        <x:v>984</x:v>
      </x:c>
      <x:c r="B244" s="79" t="s">
        <x:v>235</x:v>
      </x:c>
      <x:c r="C244" s="79" t="s">
        <x:v>985</x:v>
      </x:c>
      <x:c r="D244" s="79" t="s">
        <x:v>727</x:v>
      </x:c>
      <x:c r="E244" s="79" t="s">
        <x:v>172</x:v>
      </x:c>
      <x:c r="F244" s="79" t="s">
        <x:v>730</x:v>
      </x:c>
      <x:c r="G244" s="79" t="n">
        <x:f>IF(RIGHT($A244,2)="-2",INDEX('قیمت ها'!$E:$E,$J244+2),INDEX('قیمت ها'!$B:$B,$J244+2))</x:f>
        <x:v>85</x:v>
      </x:c>
      <x:c r="H244" s="110">
        <x:f t="shared" si="6"/>
        <x:v>85000</x:v>
      </x:c>
      <x:c r="I244" s="79" t="str">
        <x:f t="shared" si="7"/>
        <x:v>فعال</x:v>
      </x:c>
      <x:c r="J244" s="79">
        <x:v>176</x:v>
      </x:c>
      <x:c r="K244" s="79" t="s">
        <x:v>984</x:v>
      </x:c>
      <x:c r="L244" s="79"/>
      <x:c r="M244" s="79"/>
      <x:c r="N244" s="79"/>
      <x:c r="O244" s="79"/>
      <x:c r="P244" s="79"/>
      <x:c r="Q244" s="79"/>
      <x:c r="R244" s="79"/>
      <x:c r="S244" s="79"/>
      <x:c r="T244" s="79"/>
      <x:c r="U244" s="79"/>
      <x:c r="V244" s="79"/>
      <x:c r="W244" s="79"/>
      <x:c r="X244" s="79"/>
      <x:c r="Y244" s="79"/>
      <x:c r="Z244" s="79"/>
      <x:c r="AA244" s="79" t="str">
        <x:f>IF(AND(LEN($N$2)&gt;=3,ISNUMBER(SEARCH($N$2,$B244))),MAX($AA$1:AA243)+1,"")</x:f>
      </x:c>
      <x:c r="AB244" s="79" t="str">
        <x:v>6a2d446d45c164ce6f28ae30</x:v>
      </x:c>
      <x:c r="AC244" s="79" t="str">
        <x:v>روغن</x:v>
      </x:c>
      <x:c r="AD244" s="79" t="str">
        <x:v>oil</x:v>
      </x:c>
      <x:c r="AE244" s="79" t="str">
        <x:v>EDIBLE</x:v>
      </x:c>
      <x:c r="AF244" s="79" t="str">
        <x:v>بله</x:v>
      </x:c>
      <x:c r="AG244" s="79" t="str">
        <x:v>بله</x:v>
      </x:c>
      <x:c r="AH244" s="79" t="n">
        <x:v>2</x:v>
      </x:c>
      <x:c r="AI244" s="79" t="str">
        <x:v>روغن کنجد</x:v>
      </x:c>
      <x:c r="AJ244" s="79" t="str">
        <x:v>روغن</x:v>
      </x:c>
      <x:c r="AK244" s="79" t="str">
        <x:v>MERGED + MISSING_PRICE_REVIEW</x:v>
      </x:c>
    </x:row>
    <x:row r="245">
      <x:c r="A245" s="79" t="s">
        <x:v>986</x:v>
      </x:c>
      <x:c r="B245" s="79" t="s">
        <x:v>235</x:v>
      </x:c>
      <x:c r="C245" s="79" t="s">
        <x:v>987</x:v>
      </x:c>
      <x:c r="D245" s="79" t="s">
        <x:v>727</x:v>
      </x:c>
      <x:c r="E245" s="79" t="s">
        <x:v>173</x:v>
      </x:c>
      <x:c r="F245" s="79" t="s">
        <x:v>730</x:v>
      </x:c>
      <x:c r="G245" s="79" t="n">
        <x:f>IF(RIGHT($A245,2)="-2",INDEX('قیمت ها'!$E:$E,$J245+2),INDEX('قیمت ها'!$B:$B,$J245+2))</x:f>
        <x:v>160</x:v>
      </x:c>
      <x:c r="H245" s="110">
        <x:f t="shared" si="6"/>
        <x:v>160000</x:v>
      </x:c>
      <x:c r="I245" s="79" t="str">
        <x:f t="shared" si="7"/>
        <x:v>فعال</x:v>
      </x:c>
      <x:c r="J245" s="79">
        <x:v>176</x:v>
      </x:c>
      <x:c r="K245" s="79" t="s">
        <x:v>986</x:v>
      </x:c>
      <x:c r="L245" s="79"/>
      <x:c r="M245" s="79"/>
      <x:c r="N245" s="79"/>
      <x:c r="O245" s="79"/>
      <x:c r="P245" s="79"/>
      <x:c r="Q245" s="79"/>
      <x:c r="R245" s="79"/>
      <x:c r="S245" s="79"/>
      <x:c r="T245" s="79"/>
      <x:c r="U245" s="79"/>
      <x:c r="V245" s="79"/>
      <x:c r="W245" s="79"/>
      <x:c r="X245" s="79"/>
      <x:c r="Y245" s="79"/>
      <x:c r="Z245" s="79"/>
      <x:c r="AA245" s="79" t="str">
        <x:f>IF(AND(LEN($N$2)&gt;=3,ISNUMBER(SEARCH($N$2,$B245))),MAX($AA$1:AA244)+1,"")</x:f>
      </x:c>
      <x:c r="AB245" s="79" t="str">
        <x:v>6a2d446d45c164ce6f28ae30</x:v>
      </x:c>
      <x:c r="AC245" s="79" t="str">
        <x:v>روغن</x:v>
      </x:c>
      <x:c r="AD245" s="79" t="str">
        <x:v>oil</x:v>
      </x:c>
      <x:c r="AE245" s="79" t="str">
        <x:v>EDIBLE</x:v>
      </x:c>
      <x:c r="AF245" s="79" t="str">
        <x:v>بله</x:v>
      </x:c>
      <x:c r="AG245" s="79" t="str">
        <x:v>بله</x:v>
      </x:c>
      <x:c r="AH245" s="79" t="n">
        <x:v>2</x:v>
      </x:c>
      <x:c r="AI245" s="79" t="str">
        <x:v>روغن کنجد</x:v>
      </x:c>
      <x:c r="AJ245" s="79" t="str">
        <x:v>روغن</x:v>
      </x:c>
      <x:c r="AK245" s="79" t="str">
        <x:v>MERGED + MISSING_PRICE_REVIEW</x:v>
      </x:c>
    </x:row>
    <x:row r="246">
      <x:c r="A246" s="79" t="s">
        <x:v>988</x:v>
      </x:c>
      <x:c r="B246" s="79" t="s">
        <x:v>236</x:v>
      </x:c>
      <x:c r="C246" s="79" t="s">
        <x:v>989</x:v>
      </x:c>
      <x:c r="D246" s="79" t="s">
        <x:v>727</x:v>
      </x:c>
      <x:c r="E246" s="79" t="s">
        <x:v>172</x:v>
      </x:c>
      <x:c r="F246" s="79" t="s">
        <x:v>730</x:v>
      </x:c>
      <x:c r="G246" s="79" t="n">
        <x:f>IF(RIGHT($A246,2)="-2",INDEX('قیمت ها'!$E:$E,$J246+2),INDEX('قیمت ها'!$B:$B,$J246+2))</x:f>
        <x:v>115</x:v>
      </x:c>
      <x:c r="H246" s="110">
        <x:f t="shared" si="6"/>
        <x:v>115000</x:v>
      </x:c>
      <x:c r="I246" s="79" t="str">
        <x:f t="shared" si="7"/>
        <x:v>فعال</x:v>
      </x:c>
      <x:c r="J246" s="79">
        <x:v>177</x:v>
      </x:c>
      <x:c r="K246" s="79" t="s">
        <x:v>988</x:v>
      </x:c>
      <x:c r="L246" s="79"/>
      <x:c r="M246" s="79"/>
      <x:c r="N246" s="79"/>
      <x:c r="O246" s="79"/>
      <x:c r="P246" s="79"/>
      <x:c r="Q246" s="79"/>
      <x:c r="R246" s="79"/>
      <x:c r="S246" s="79"/>
      <x:c r="T246" s="79"/>
      <x:c r="U246" s="79"/>
      <x:c r="V246" s="79"/>
      <x:c r="W246" s="79"/>
      <x:c r="X246" s="79"/>
      <x:c r="Y246" s="79"/>
      <x:c r="Z246" s="79"/>
      <x:c r="AA246" s="79" t="str">
        <x:f>IF(AND(LEN($N$2)&gt;=3,ISNUMBER(SEARCH($N$2,$B246))),MAX($AA$1:AA245)+1,"")</x:f>
      </x:c>
      <x:c r="AB246" s="79" t="str">
        <x:v>6a2d446d45c164ce6f28ae30</x:v>
      </x:c>
      <x:c r="AC246" s="79" t="str">
        <x:v>روغن</x:v>
      </x:c>
      <x:c r="AD246" s="79" t="str">
        <x:v>oil</x:v>
      </x:c>
      <x:c r="AE246" s="79" t="str">
        <x:v>EDIBLE</x:v>
      </x:c>
      <x:c r="AF246" s="79" t="str">
        <x:v>بله</x:v>
      </x:c>
      <x:c r="AG246" s="79" t="str">
        <x:v>بله</x:v>
      </x:c>
      <x:c r="AH246" s="79" t="n">
        <x:v>2</x:v>
      </x:c>
      <x:c r="AI246" s="79" t="str">
        <x:v>روغن کنجد موضعی</x:v>
      </x:c>
      <x:c r="AJ246" s="79" t="str">
        <x:v>روغن</x:v>
      </x:c>
      <x:c r="AK246" s="79"/>
    </x:row>
    <x:row r="247">
      <x:c r="A247" s="79" t="s">
        <x:v>990</x:v>
      </x:c>
      <x:c r="B247" s="79" t="s">
        <x:v>236</x:v>
      </x:c>
      <x:c r="C247" s="79" t="s">
        <x:v>991</x:v>
      </x:c>
      <x:c r="D247" s="79" t="s">
        <x:v>727</x:v>
      </x:c>
      <x:c r="E247" s="79" t="s">
        <x:v>173</x:v>
      </x:c>
      <x:c r="F247" s="79" t="s">
        <x:v>730</x:v>
      </x:c>
      <x:c r="G247" s="79" t="n">
        <x:f>IF(RIGHT($A247,2)="-2",INDEX('قیمت ها'!$E:$E,$J247+2),INDEX('قیمت ها'!$B:$B,$J247+2))</x:f>
        <x:v>220</x:v>
      </x:c>
      <x:c r="H247" s="110">
        <x:f t="shared" si="6"/>
        <x:v>220000</x:v>
      </x:c>
      <x:c r="I247" s="79" t="str">
        <x:f t="shared" si="7"/>
        <x:v>فعال</x:v>
      </x:c>
      <x:c r="J247" s="79">
        <x:v>177</x:v>
      </x:c>
      <x:c r="K247" s="79" t="s">
        <x:v>990</x:v>
      </x:c>
      <x:c r="L247" s="79"/>
      <x:c r="M247" s="79"/>
      <x:c r="N247" s="79"/>
      <x:c r="O247" s="79"/>
      <x:c r="P247" s="79"/>
      <x:c r="Q247" s="79"/>
      <x:c r="R247" s="79"/>
      <x:c r="S247" s="79"/>
      <x:c r="T247" s="79"/>
      <x:c r="U247" s="79"/>
      <x:c r="V247" s="79"/>
      <x:c r="W247" s="79"/>
      <x:c r="X247" s="79"/>
      <x:c r="Y247" s="79"/>
      <x:c r="Z247" s="79"/>
      <x:c r="AA247" s="79" t="str">
        <x:f>IF(AND(LEN($N$2)&gt;=3,ISNUMBER(SEARCH($N$2,$B247))),MAX($AA$1:AA246)+1,"")</x:f>
      </x:c>
      <x:c r="AB247" s="79" t="str">
        <x:v>6a2d446d45c164ce6f28ae30</x:v>
      </x:c>
      <x:c r="AC247" s="79" t="str">
        <x:v>روغن</x:v>
      </x:c>
      <x:c r="AD247" s="79" t="str">
        <x:v>oil</x:v>
      </x:c>
      <x:c r="AE247" s="79" t="str">
        <x:v>EDIBLE</x:v>
      </x:c>
      <x:c r="AF247" s="79" t="str">
        <x:v>بله</x:v>
      </x:c>
      <x:c r="AG247" s="79" t="str">
        <x:v>بله</x:v>
      </x:c>
      <x:c r="AH247" s="79" t="n">
        <x:v>2</x:v>
      </x:c>
      <x:c r="AI247" s="79" t="str">
        <x:v>روغن کنجد موضعی</x:v>
      </x:c>
      <x:c r="AJ247" s="79" t="str">
        <x:v>روغن</x:v>
      </x:c>
      <x:c r="AK247" s="79"/>
    </x:row>
    <x:row r="248">
      <x:c r="A248" s="79" t="s">
        <x:v>992</x:v>
      </x:c>
      <x:c r="B248" s="79" t="s">
        <x:v>237</x:v>
      </x:c>
      <x:c r="C248" s="79" t="s">
        <x:v>993</x:v>
      </x:c>
      <x:c r="D248" s="79" t="s">
        <x:v>727</x:v>
      </x:c>
      <x:c r="E248" s="79" t="s">
        <x:v>172</x:v>
      </x:c>
      <x:c r="F248" s="79" t="s">
        <x:v>730</x:v>
      </x:c>
      <x:c r="G248" s="79" t="n">
        <x:f>IF(RIGHT($A248,2)="-2",INDEX('قیمت ها'!$E:$E,$J248+2),INDEX('قیمت ها'!$B:$B,$J248+2))</x:f>
        <x:v>90</x:v>
      </x:c>
      <x:c r="H248" s="110">
        <x:f t="shared" si="6"/>
        <x:v>90000</x:v>
      </x:c>
      <x:c r="I248" s="79" t="str">
        <x:f t="shared" si="7"/>
        <x:v>فعال</x:v>
      </x:c>
      <x:c r="J248" s="79">
        <x:v>178</x:v>
      </x:c>
      <x:c r="K248" s="79" t="s">
        <x:v>992</x:v>
      </x:c>
      <x:c r="L248" s="79"/>
      <x:c r="M248" s="79"/>
      <x:c r="N248" s="79"/>
      <x:c r="O248" s="79"/>
      <x:c r="P248" s="79"/>
      <x:c r="Q248" s="79"/>
      <x:c r="R248" s="79"/>
      <x:c r="S248" s="79"/>
      <x:c r="T248" s="79"/>
      <x:c r="U248" s="79"/>
      <x:c r="V248" s="79"/>
      <x:c r="W248" s="79"/>
      <x:c r="X248" s="79"/>
      <x:c r="Y248" s="79"/>
      <x:c r="Z248" s="79"/>
      <x:c r="AA248" s="79" t="str">
        <x:f>IF(AND(LEN($N$2)&gt;=3,ISNUMBER(SEARCH($N$2,$B248))),MAX($AA$1:AA247)+1,"")</x:f>
      </x:c>
      <x:c r="AB248" s="79" t="str">
        <x:v>6a2d446d45c164ce6f28ae30</x:v>
      </x:c>
      <x:c r="AC248" s="79" t="str">
        <x:v>روغن</x:v>
      </x:c>
      <x:c r="AD248" s="79" t="str">
        <x:v>oil</x:v>
      </x:c>
      <x:c r="AE248" s="79" t="str">
        <x:v>EDIBLE</x:v>
      </x:c>
      <x:c r="AF248" s="79" t="str">
        <x:v>بله</x:v>
      </x:c>
      <x:c r="AG248" s="79" t="str">
        <x:v>بله</x:v>
      </x:c>
      <x:c r="AH248" s="79" t="n">
        <x:v>2</x:v>
      </x:c>
      <x:c r="AI248" s="79" t="str">
        <x:v>روغن کندر</x:v>
      </x:c>
      <x:c r="AJ248" s="79" t="str">
        <x:v>روغن</x:v>
      </x:c>
      <x:c r="AK248" s="79"/>
    </x:row>
    <x:row r="249">
      <x:c r="A249" s="79" t="s">
        <x:v>994</x:v>
      </x:c>
      <x:c r="B249" s="79" t="s">
        <x:v>237</x:v>
      </x:c>
      <x:c r="C249" s="79" t="s">
        <x:v>995</x:v>
      </x:c>
      <x:c r="D249" s="79" t="s">
        <x:v>727</x:v>
      </x:c>
      <x:c r="E249" s="79" t="s">
        <x:v>173</x:v>
      </x:c>
      <x:c r="F249" s="79" t="s">
        <x:v>730</x:v>
      </x:c>
      <x:c r="G249" s="79" t="n">
        <x:f>IF(RIGHT($A249,2)="-2",INDEX('قیمت ها'!$E:$E,$J249+2),INDEX('قیمت ها'!$B:$B,$J249+2))</x:f>
        <x:v>170</x:v>
      </x:c>
      <x:c r="H249" s="110">
        <x:f t="shared" si="6"/>
        <x:v>170000</x:v>
      </x:c>
      <x:c r="I249" s="79" t="str">
        <x:f t="shared" si="7"/>
        <x:v>فعال</x:v>
      </x:c>
      <x:c r="J249" s="79">
        <x:v>178</x:v>
      </x:c>
      <x:c r="K249" s="79" t="s">
        <x:v>994</x:v>
      </x:c>
      <x:c r="L249" s="79"/>
      <x:c r="M249" s="79"/>
      <x:c r="N249" s="79"/>
      <x:c r="O249" s="79"/>
      <x:c r="P249" s="79"/>
      <x:c r="Q249" s="79"/>
      <x:c r="R249" s="79"/>
      <x:c r="S249" s="79"/>
      <x:c r="T249" s="79"/>
      <x:c r="U249" s="79"/>
      <x:c r="V249" s="79"/>
      <x:c r="W249" s="79"/>
      <x:c r="X249" s="79"/>
      <x:c r="Y249" s="79"/>
      <x:c r="Z249" s="79"/>
      <x:c r="AA249" s="79" t="str">
        <x:f>IF(AND(LEN($N$2)&gt;=3,ISNUMBER(SEARCH($N$2,$B249))),MAX($AA$1:AA248)+1,"")</x:f>
      </x:c>
      <x:c r="AB249" s="79" t="str">
        <x:v>6a2d446d45c164ce6f28ae30</x:v>
      </x:c>
      <x:c r="AC249" s="79" t="str">
        <x:v>روغن</x:v>
      </x:c>
      <x:c r="AD249" s="79" t="str">
        <x:v>oil</x:v>
      </x:c>
      <x:c r="AE249" s="79" t="str">
        <x:v>EDIBLE</x:v>
      </x:c>
      <x:c r="AF249" s="79" t="str">
        <x:v>بله</x:v>
      </x:c>
      <x:c r="AG249" s="79" t="str">
        <x:v>بله</x:v>
      </x:c>
      <x:c r="AH249" s="79" t="n">
        <x:v>2</x:v>
      </x:c>
      <x:c r="AI249" s="79" t="str">
        <x:v>روغن کندر</x:v>
      </x:c>
      <x:c r="AJ249" s="79" t="str">
        <x:v>روغن</x:v>
      </x:c>
      <x:c r="AK249" s="79"/>
    </x:row>
    <x:row r="250">
      <x:c r="A250" s="79" t="s">
        <x:v>996</x:v>
      </x:c>
      <x:c r="B250" s="79" t="s">
        <x:v>238</x:v>
      </x:c>
      <x:c r="C250" s="79" t="s">
        <x:v>997</x:v>
      </x:c>
      <x:c r="D250" s="79" t="s">
        <x:v>727</x:v>
      </x:c>
      <x:c r="E250" s="79" t="s">
        <x:v>172</x:v>
      </x:c>
      <x:c r="F250" s="79" t="s">
        <x:v>730</x:v>
      </x:c>
      <x:c r="G250" s="79" t="n">
        <x:f>IF(RIGHT($A250,2)="-2",INDEX('قیمت ها'!$E:$E,$J250+2),INDEX('قیمت ها'!$B:$B,$J250+2))</x:f>
        <x:v>90</x:v>
      </x:c>
      <x:c r="H250" s="110">
        <x:f t="shared" si="6"/>
        <x:v>90000</x:v>
      </x:c>
      <x:c r="I250" s="79" t="str">
        <x:f t="shared" si="7"/>
        <x:v>فعال</x:v>
      </x:c>
      <x:c r="J250" s="79">
        <x:v>179</x:v>
      </x:c>
      <x:c r="K250" s="79" t="s">
        <x:v>996</x:v>
      </x:c>
      <x:c r="L250" s="79"/>
      <x:c r="M250" s="79"/>
      <x:c r="N250" s="79"/>
      <x:c r="O250" s="79"/>
      <x:c r="P250" s="79"/>
      <x:c r="Q250" s="79"/>
      <x:c r="R250" s="79"/>
      <x:c r="S250" s="79"/>
      <x:c r="T250" s="79"/>
      <x:c r="U250" s="79"/>
      <x:c r="V250" s="79"/>
      <x:c r="W250" s="79"/>
      <x:c r="X250" s="79"/>
      <x:c r="Y250" s="79"/>
      <x:c r="Z250" s="79"/>
      <x:c r="AA250" s="79" t="str">
        <x:f>IF(AND(LEN($N$2)&gt;=3,ISNUMBER(SEARCH($N$2,$B250))),MAX($AA$1:AA249)+1,"")</x:f>
      </x:c>
      <x:c r="AB250" s="79" t="str">
        <x:v>6a2d446d45c164ce6f28ae30</x:v>
      </x:c>
      <x:c r="AC250" s="79" t="str">
        <x:v>روغن</x:v>
      </x:c>
      <x:c r="AD250" s="79" t="str">
        <x:v>oil</x:v>
      </x:c>
      <x:c r="AE250" s="79" t="str">
        <x:v>EDIBLE</x:v>
      </x:c>
      <x:c r="AF250" s="79" t="str">
        <x:v>بله</x:v>
      </x:c>
      <x:c r="AG250" s="79" t="str">
        <x:v>بله</x:v>
      </x:c>
      <x:c r="AH250" s="79" t="n">
        <x:v>2</x:v>
      </x:c>
      <x:c r="AI250" s="79" t="str">
        <x:v>روغن کندش</x:v>
      </x:c>
      <x:c r="AJ250" s="79" t="str">
        <x:v>روغن</x:v>
      </x:c>
      <x:c r="AK250" s="79"/>
    </x:row>
    <x:row r="251">
      <x:c r="A251" s="79" t="s">
        <x:v>998</x:v>
      </x:c>
      <x:c r="B251" s="79" t="s">
        <x:v>238</x:v>
      </x:c>
      <x:c r="C251" s="79" t="s">
        <x:v>999</x:v>
      </x:c>
      <x:c r="D251" s="79" t="s">
        <x:v>727</x:v>
      </x:c>
      <x:c r="E251" s="79" t="s">
        <x:v>173</x:v>
      </x:c>
      <x:c r="F251" s="79" t="s">
        <x:v>730</x:v>
      </x:c>
      <x:c r="G251" s="79" t="n">
        <x:f>IF(RIGHT($A251,2)="-2",INDEX('قیمت ها'!$E:$E,$J251+2),INDEX('قیمت ها'!$B:$B,$J251+2))</x:f>
        <x:v>170</x:v>
      </x:c>
      <x:c r="H251" s="110">
        <x:f t="shared" si="6"/>
        <x:v>170000</x:v>
      </x:c>
      <x:c r="I251" s="79" t="str">
        <x:f t="shared" si="7"/>
        <x:v>فعال</x:v>
      </x:c>
      <x:c r="J251" s="79">
        <x:v>179</x:v>
      </x:c>
      <x:c r="K251" s="79" t="s">
        <x:v>998</x:v>
      </x:c>
      <x:c r="L251" s="79"/>
      <x:c r="M251" s="79"/>
      <x:c r="N251" s="79"/>
      <x:c r="O251" s="79"/>
      <x:c r="P251" s="79"/>
      <x:c r="Q251" s="79"/>
      <x:c r="R251" s="79"/>
      <x:c r="S251" s="79"/>
      <x:c r="T251" s="79"/>
      <x:c r="U251" s="79"/>
      <x:c r="V251" s="79"/>
      <x:c r="W251" s="79"/>
      <x:c r="X251" s="79"/>
      <x:c r="Y251" s="79"/>
      <x:c r="Z251" s="79"/>
      <x:c r="AA251" s="79" t="str">
        <x:f>IF(AND(LEN($N$2)&gt;=3,ISNUMBER(SEARCH($N$2,$B251))),MAX($AA$1:AA250)+1,"")</x:f>
      </x:c>
      <x:c r="AB251" s="79" t="str">
        <x:v>6a2d446d45c164ce6f28ae30</x:v>
      </x:c>
      <x:c r="AC251" s="79" t="str">
        <x:v>روغن</x:v>
      </x:c>
      <x:c r="AD251" s="79" t="str">
        <x:v>oil</x:v>
      </x:c>
      <x:c r="AE251" s="79" t="str">
        <x:v>EDIBLE</x:v>
      </x:c>
      <x:c r="AF251" s="79" t="str">
        <x:v>بله</x:v>
      </x:c>
      <x:c r="AG251" s="79" t="str">
        <x:v>بله</x:v>
      </x:c>
      <x:c r="AH251" s="79" t="n">
        <x:v>2</x:v>
      </x:c>
      <x:c r="AI251" s="79" t="str">
        <x:v>روغن کندش</x:v>
      </x:c>
      <x:c r="AJ251" s="79" t="str">
        <x:v>روغن</x:v>
      </x:c>
      <x:c r="AK251" s="79"/>
    </x:row>
    <x:row r="252">
      <x:c r="A252" s="79" t="s">
        <x:v>1000</x:v>
      </x:c>
      <x:c r="B252" s="79" t="s">
        <x:v>239</x:v>
      </x:c>
      <x:c r="C252" s="79" t="s">
        <x:v>1001</x:v>
      </x:c>
      <x:c r="D252" s="79" t="s">
        <x:v>727</x:v>
      </x:c>
      <x:c r="E252" s="79" t="s">
        <x:v>172</x:v>
      </x:c>
      <x:c r="F252" s="79" t="s">
        <x:v>730</x:v>
      </x:c>
      <x:c r="G252" s="79" t="n">
        <x:f>IF(RIGHT($A252,2)="-2",INDEX('قیمت ها'!$E:$E,$J252+2),INDEX('قیمت ها'!$B:$B,$J252+2))</x:f>
        <x:v>115</x:v>
      </x:c>
      <x:c r="H252" s="110">
        <x:f t="shared" si="6"/>
        <x:v>115000</x:v>
      </x:c>
      <x:c r="I252" s="79" t="str">
        <x:f t="shared" si="7"/>
        <x:v>فعال</x:v>
      </x:c>
      <x:c r="J252" s="79">
        <x:v>180</x:v>
      </x:c>
      <x:c r="K252" s="79" t="s">
        <x:v>1000</x:v>
      </x:c>
      <x:c r="L252" s="79"/>
      <x:c r="M252" s="79"/>
      <x:c r="N252" s="79"/>
      <x:c r="O252" s="79"/>
      <x:c r="P252" s="79"/>
      <x:c r="Q252" s="79"/>
      <x:c r="R252" s="79"/>
      <x:c r="S252" s="79"/>
      <x:c r="T252" s="79"/>
      <x:c r="U252" s="79"/>
      <x:c r="V252" s="79"/>
      <x:c r="W252" s="79"/>
      <x:c r="X252" s="79"/>
      <x:c r="Y252" s="79"/>
      <x:c r="Z252" s="79"/>
      <x:c r="AA252" s="79" t="str">
        <x:f>IF(AND(LEN($N$2)&gt;=3,ISNUMBER(SEARCH($N$2,$B252))),MAX($AA$1:AA251)+1,"")</x:f>
      </x:c>
      <x:c r="AB252" s="79" t="str">
        <x:v>6a2d446d45c164ce6f28ae30</x:v>
      </x:c>
      <x:c r="AC252" s="79" t="str">
        <x:v>روغن</x:v>
      </x:c>
      <x:c r="AD252" s="79" t="str">
        <x:v>oil</x:v>
      </x:c>
      <x:c r="AE252" s="79" t="str">
        <x:v>EDIBLE</x:v>
      </x:c>
      <x:c r="AF252" s="79" t="str">
        <x:v>بله</x:v>
      </x:c>
      <x:c r="AG252" s="79" t="str">
        <x:v>بله</x:v>
      </x:c>
      <x:c r="AH252" s="79" t="n">
        <x:v>2</x:v>
      </x:c>
      <x:c r="AI252" s="79" t="str">
        <x:v>روغن کوسه</x:v>
      </x:c>
      <x:c r="AJ252" s="79" t="str">
        <x:v>روغن</x:v>
      </x:c>
      <x:c r="AK252" s="79"/>
    </x:row>
    <x:row r="253">
      <x:c r="A253" s="79" t="s">
        <x:v>1002</x:v>
      </x:c>
      <x:c r="B253" s="79" t="s">
        <x:v>239</x:v>
      </x:c>
      <x:c r="C253" s="79" t="s">
        <x:v>1003</x:v>
      </x:c>
      <x:c r="D253" s="79" t="s">
        <x:v>727</x:v>
      </x:c>
      <x:c r="E253" s="79" t="s">
        <x:v>173</x:v>
      </x:c>
      <x:c r="F253" s="79" t="s">
        <x:v>730</x:v>
      </x:c>
      <x:c r="G253" s="79" t="n">
        <x:f>IF(RIGHT($A253,2)="-2",INDEX('قیمت ها'!$E:$E,$J253+2),INDEX('قیمت ها'!$B:$B,$J253+2))</x:f>
        <x:v>220</x:v>
      </x:c>
      <x:c r="H253" s="110">
        <x:f t="shared" si="6"/>
        <x:v>220000</x:v>
      </x:c>
      <x:c r="I253" s="79" t="str">
        <x:f t="shared" si="7"/>
        <x:v>فعال</x:v>
      </x:c>
      <x:c r="J253" s="79">
        <x:v>180</x:v>
      </x:c>
      <x:c r="K253" s="79" t="s">
        <x:v>1002</x:v>
      </x:c>
      <x:c r="L253" s="79"/>
      <x:c r="M253" s="79"/>
      <x:c r="N253" s="79"/>
      <x:c r="O253" s="79"/>
      <x:c r="P253" s="79"/>
      <x:c r="Q253" s="79"/>
      <x:c r="R253" s="79"/>
      <x:c r="S253" s="79"/>
      <x:c r="T253" s="79"/>
      <x:c r="U253" s="79"/>
      <x:c r="V253" s="79"/>
      <x:c r="W253" s="79"/>
      <x:c r="X253" s="79"/>
      <x:c r="Y253" s="79"/>
      <x:c r="Z253" s="79"/>
      <x:c r="AA253" s="79" t="str">
        <x:f>IF(AND(LEN($N$2)&gt;=3,ISNUMBER(SEARCH($N$2,$B253))),MAX($AA$1:AA252)+1,"")</x:f>
      </x:c>
      <x:c r="AB253" s="79" t="str">
        <x:v>6a2d446d45c164ce6f28ae30</x:v>
      </x:c>
      <x:c r="AC253" s="79" t="str">
        <x:v>روغن</x:v>
      </x:c>
      <x:c r="AD253" s="79" t="str">
        <x:v>oil</x:v>
      </x:c>
      <x:c r="AE253" s="79" t="str">
        <x:v>EDIBLE</x:v>
      </x:c>
      <x:c r="AF253" s="79" t="str">
        <x:v>بله</x:v>
      </x:c>
      <x:c r="AG253" s="79" t="str">
        <x:v>بله</x:v>
      </x:c>
      <x:c r="AH253" s="79" t="n">
        <x:v>2</x:v>
      </x:c>
      <x:c r="AI253" s="79" t="str">
        <x:v>روغن کوسه</x:v>
      </x:c>
      <x:c r="AJ253" s="79" t="str">
        <x:v>روغن</x:v>
      </x:c>
      <x:c r="AK253" s="79"/>
    </x:row>
    <x:row r="254">
      <x:c r="A254" s="79" t="s">
        <x:v>1004</x:v>
      </x:c>
      <x:c r="B254" s="79" t="s">
        <x:v>240</x:v>
      </x:c>
      <x:c r="C254" s="79" t="s">
        <x:v>1005</x:v>
      </x:c>
      <x:c r="D254" s="79" t="s">
        <x:v>727</x:v>
      </x:c>
      <x:c r="E254" s="79" t="s">
        <x:v>172</x:v>
      </x:c>
      <x:c r="F254" s="79" t="s">
        <x:v>730</x:v>
      </x:c>
      <x:c r="G254" s="79" t="n">
        <x:f>IF(RIGHT($A254,2)="-2",INDEX('قیمت ها'!$E:$E,$J254+2),INDEX('قیمت ها'!$B:$B,$J254+2))</x:f>
        <x:v>90</x:v>
      </x:c>
      <x:c r="H254" s="110">
        <x:f t="shared" si="6"/>
        <x:v>90000</x:v>
      </x:c>
      <x:c r="I254" s="79" t="str">
        <x:f t="shared" si="7"/>
        <x:v>فعال</x:v>
      </x:c>
      <x:c r="J254" s="79">
        <x:v>181</x:v>
      </x:c>
      <x:c r="K254" s="79" t="s">
        <x:v>1004</x:v>
      </x:c>
      <x:c r="L254" s="79"/>
      <x:c r="M254" s="79"/>
      <x:c r="N254" s="79"/>
      <x:c r="O254" s="79"/>
      <x:c r="P254" s="79"/>
      <x:c r="Q254" s="79"/>
      <x:c r="R254" s="79"/>
      <x:c r="S254" s="79"/>
      <x:c r="T254" s="79"/>
      <x:c r="U254" s="79"/>
      <x:c r="V254" s="79"/>
      <x:c r="W254" s="79"/>
      <x:c r="X254" s="79"/>
      <x:c r="Y254" s="79"/>
      <x:c r="Z254" s="79"/>
      <x:c r="AA254" s="79" t="str">
        <x:f>IF(AND(LEN($N$2)&gt;=3,ISNUMBER(SEARCH($N$2,$B254))),MAX($AA$1:AA253)+1,"")</x:f>
      </x:c>
      <x:c r="AB254" s="79" t="str">
        <x:v>6a2d446d45c164ce6f28ae30</x:v>
      </x:c>
      <x:c r="AC254" s="79" t="str">
        <x:v>روغن</x:v>
      </x:c>
      <x:c r="AD254" s="79" t="str">
        <x:v>oil</x:v>
      </x:c>
      <x:c r="AE254" s="79" t="str">
        <x:v>EDIBLE</x:v>
      </x:c>
      <x:c r="AF254" s="79" t="str">
        <x:v>بله</x:v>
      </x:c>
      <x:c r="AG254" s="79" t="str">
        <x:v>بله</x:v>
      </x:c>
      <x:c r="AH254" s="79" t="n">
        <x:v>2</x:v>
      </x:c>
      <x:c r="AI254" s="79" t="str">
        <x:v>روغن کوهان شتر</x:v>
      </x:c>
      <x:c r="AJ254" s="79" t="str">
        <x:v>روغن</x:v>
      </x:c>
      <x:c r="AK254" s="79"/>
    </x:row>
    <x:row r="255">
      <x:c r="A255" s="79" t="s">
        <x:v>1006</x:v>
      </x:c>
      <x:c r="B255" s="79" t="s">
        <x:v>240</x:v>
      </x:c>
      <x:c r="C255" s="79" t="s">
        <x:v>1007</x:v>
      </x:c>
      <x:c r="D255" s="79" t="s">
        <x:v>727</x:v>
      </x:c>
      <x:c r="E255" s="79" t="s">
        <x:v>173</x:v>
      </x:c>
      <x:c r="F255" s="79" t="s">
        <x:v>730</x:v>
      </x:c>
      <x:c r="G255" s="79" t="n">
        <x:f>IF(RIGHT($A255,2)="-2",INDEX('قیمت ها'!$E:$E,$J255+2),INDEX('قیمت ها'!$B:$B,$J255+2))</x:f>
        <x:v>170</x:v>
      </x:c>
      <x:c r="H255" s="110">
        <x:f t="shared" si="6"/>
        <x:v>170000</x:v>
      </x:c>
      <x:c r="I255" s="79" t="str">
        <x:f t="shared" si="7"/>
        <x:v>فعال</x:v>
      </x:c>
      <x:c r="J255" s="79">
        <x:v>181</x:v>
      </x:c>
      <x:c r="K255" s="79" t="s">
        <x:v>1006</x:v>
      </x:c>
      <x:c r="L255" s="79"/>
      <x:c r="M255" s="79"/>
      <x:c r="N255" s="79"/>
      <x:c r="O255" s="79"/>
      <x:c r="P255" s="79"/>
      <x:c r="Q255" s="79"/>
      <x:c r="R255" s="79"/>
      <x:c r="S255" s="79"/>
      <x:c r="T255" s="79"/>
      <x:c r="U255" s="79"/>
      <x:c r="V255" s="79"/>
      <x:c r="W255" s="79"/>
      <x:c r="X255" s="79"/>
      <x:c r="Y255" s="79"/>
      <x:c r="Z255" s="79"/>
      <x:c r="AA255" s="79" t="str">
        <x:f>IF(AND(LEN($N$2)&gt;=3,ISNUMBER(SEARCH($N$2,$B255))),MAX($AA$1:AA254)+1,"")</x:f>
      </x:c>
      <x:c r="AB255" s="79" t="str">
        <x:v>6a2d446d45c164ce6f28ae30</x:v>
      </x:c>
      <x:c r="AC255" s="79" t="str">
        <x:v>روغن</x:v>
      </x:c>
      <x:c r="AD255" s="79" t="str">
        <x:v>oil</x:v>
      </x:c>
      <x:c r="AE255" s="79" t="str">
        <x:v>EDIBLE</x:v>
      </x:c>
      <x:c r="AF255" s="79" t="str">
        <x:v>بله</x:v>
      </x:c>
      <x:c r="AG255" s="79" t="str">
        <x:v>بله</x:v>
      </x:c>
      <x:c r="AH255" s="79" t="n">
        <x:v>2</x:v>
      </x:c>
      <x:c r="AI255" s="79" t="str">
        <x:v>روغن کوهان شتر</x:v>
      </x:c>
      <x:c r="AJ255" s="79" t="str">
        <x:v>روغن</x:v>
      </x:c>
      <x:c r="AK255" s="79"/>
    </x:row>
    <x:row r="256">
      <x:c r="A256" s="79" t="s">
        <x:v>1008</x:v>
      </x:c>
      <x:c r="B256" s="79" t="s">
        <x:v>241</x:v>
      </x:c>
      <x:c r="C256" s="79" t="s">
        <x:v>1009</x:v>
      </x:c>
      <x:c r="D256" s="79" t="s">
        <x:v>727</x:v>
      </x:c>
      <x:c r="E256" s="79" t="s">
        <x:v>172</x:v>
      </x:c>
      <x:c r="F256" s="79" t="s">
        <x:v>730</x:v>
      </x:c>
      <x:c r="G256" s="79" t="n">
        <x:f>IF(RIGHT($A256,2)="-2",INDEX('قیمت ها'!$E:$E,$J256+2),INDEX('قیمت ها'!$B:$B,$J256+2))</x:f>
        <x:v>75</x:v>
      </x:c>
      <x:c r="H256" s="110">
        <x:f t="shared" si="6"/>
        <x:v>75000</x:v>
      </x:c>
      <x:c r="I256" s="79" t="str">
        <x:f t="shared" si="7"/>
        <x:v>فعال</x:v>
      </x:c>
      <x:c r="J256" s="79">
        <x:v>182</x:v>
      </x:c>
      <x:c r="K256" s="79" t="s">
        <x:v>1008</x:v>
      </x:c>
      <x:c r="L256" s="79"/>
      <x:c r="M256" s="79"/>
      <x:c r="N256" s="79"/>
      <x:c r="O256" s="79"/>
      <x:c r="P256" s="79"/>
      <x:c r="Q256" s="79"/>
      <x:c r="R256" s="79"/>
      <x:c r="S256" s="79"/>
      <x:c r="T256" s="79"/>
      <x:c r="U256" s="79"/>
      <x:c r="V256" s="79"/>
      <x:c r="W256" s="79"/>
      <x:c r="X256" s="79"/>
      <x:c r="Y256" s="79"/>
      <x:c r="Z256" s="79"/>
      <x:c r="AA256" s="79" t="str">
        <x:f>IF(AND(LEN($N$2)&gt;=3,ISNUMBER(SEARCH($N$2,$B256))),MAX($AA$1:AA255)+1,"")</x:f>
      </x:c>
      <x:c r="AB256" s="79" t="str">
        <x:v>6a2d446d45c164ce6f28ae30</x:v>
      </x:c>
      <x:c r="AC256" s="79" t="str">
        <x:v>روغن</x:v>
      </x:c>
      <x:c r="AD256" s="79" t="str">
        <x:v>oil</x:v>
      </x:c>
      <x:c r="AE256" s="79" t="str">
        <x:v>EDIBLE</x:v>
      </x:c>
      <x:c r="AF256" s="79" t="str">
        <x:v>بله</x:v>
      </x:c>
      <x:c r="AG256" s="79" t="str">
        <x:v>بله</x:v>
      </x:c>
      <x:c r="AH256" s="79" t="n">
        <x:v>2</x:v>
      </x:c>
      <x:c r="AI256" s="79" t="str">
        <x:v>روغن گردو</x:v>
      </x:c>
      <x:c r="AJ256" s="79" t="str">
        <x:v>روغن</x:v>
      </x:c>
      <x:c r="AK256" s="79"/>
    </x:row>
    <x:row r="257">
      <x:c r="A257" s="79" t="s">
        <x:v>1010</x:v>
      </x:c>
      <x:c r="B257" s="79" t="s">
        <x:v>241</x:v>
      </x:c>
      <x:c r="C257" s="79" t="s">
        <x:v>1011</x:v>
      </x:c>
      <x:c r="D257" s="79" t="s">
        <x:v>727</x:v>
      </x:c>
      <x:c r="E257" s="79" t="s">
        <x:v>173</x:v>
      </x:c>
      <x:c r="F257" s="79" t="s">
        <x:v>730</x:v>
      </x:c>
      <x:c r="G257" s="79" t="n">
        <x:f>IF(RIGHT($A257,2)="-2",INDEX('قیمت ها'!$E:$E,$J257+2),INDEX('قیمت ها'!$B:$B,$J257+2))</x:f>
        <x:v>140</x:v>
      </x:c>
      <x:c r="H257" s="110">
        <x:f t="shared" si="6"/>
        <x:v>140000</x:v>
      </x:c>
      <x:c r="I257" s="79" t="str">
        <x:f t="shared" si="7"/>
        <x:v>فعال</x:v>
      </x:c>
      <x:c r="J257" s="79">
        <x:v>182</x:v>
      </x:c>
      <x:c r="K257" s="79" t="s">
        <x:v>1010</x:v>
      </x:c>
      <x:c r="L257" s="79"/>
      <x:c r="M257" s="79"/>
      <x:c r="N257" s="79"/>
      <x:c r="O257" s="79"/>
      <x:c r="P257" s="79"/>
      <x:c r="Q257" s="79"/>
      <x:c r="R257" s="79"/>
      <x:c r="S257" s="79"/>
      <x:c r="T257" s="79"/>
      <x:c r="U257" s="79"/>
      <x:c r="V257" s="79"/>
      <x:c r="W257" s="79"/>
      <x:c r="X257" s="79"/>
      <x:c r="Y257" s="79"/>
      <x:c r="Z257" s="79"/>
      <x:c r="AA257" s="79" t="str">
        <x:f>IF(AND(LEN($N$2)&gt;=3,ISNUMBER(SEARCH($N$2,$B257))),MAX($AA$1:AA256)+1,"")</x:f>
      </x:c>
      <x:c r="AB257" s="79" t="str">
        <x:v>6a2d446d45c164ce6f28ae30</x:v>
      </x:c>
      <x:c r="AC257" s="79" t="str">
        <x:v>روغن</x:v>
      </x:c>
      <x:c r="AD257" s="79" t="str">
        <x:v>oil</x:v>
      </x:c>
      <x:c r="AE257" s="79" t="str">
        <x:v>EDIBLE</x:v>
      </x:c>
      <x:c r="AF257" s="79" t="str">
        <x:v>بله</x:v>
      </x:c>
      <x:c r="AG257" s="79" t="str">
        <x:v>بله</x:v>
      </x:c>
      <x:c r="AH257" s="79" t="n">
        <x:v>2</x:v>
      </x:c>
      <x:c r="AI257" s="79" t="str">
        <x:v>روغن گردو</x:v>
      </x:c>
      <x:c r="AJ257" s="79" t="str">
        <x:v>روغن</x:v>
      </x:c>
      <x:c r="AK257" s="79"/>
    </x:row>
    <x:row r="258">
      <x:c r="A258" s="79" t="s">
        <x:v>1012</x:v>
      </x:c>
      <x:c r="B258" s="79" t="s">
        <x:v>51</x:v>
      </x:c>
      <x:c r="C258" s="79" t="s">
        <x:v>1013</x:v>
      </x:c>
      <x:c r="D258" s="79" t="s">
        <x:v>1014</x:v>
      </x:c>
      <x:c r="E258" s="79" t="s">
        <x:v>16</x:v>
      </x:c>
      <x:c r="F258" s="79" t="s">
        <x:v>16</x:v>
      </x:c>
      <x:c r="G258" s="79" t="str">
        <x:f>IF(RIGHT($A258,2)="-2",INDEX('قیمت ها'!$E:$E,$J258+2),INDEX('قیمت ها'!$B:$B,$J258+2))</x:f>
        <x:v>1/100</x:v>
      </x:c>
      <x:c r="H258" s="110" t="n">
        <x:f t="shared" ref="H258:H321" si="8">IF(OR($G258="",$G258="؟"),"",IF(ISNUMBER($G258),$G258*1000,IFERROR((VALUE(LEFT($G258,FIND("/",$G258)-1))*1000+VALUE(MID($G258,FIND("/",$G258)+1,99)))*1000,VALUE($G258)*1000)))</x:f>
        <x:v>1100000</x:v>
      </x:c>
      <x:c r="I258" s="79" t="str">
        <x:f t="shared" ref="I258:I321" si="9">IF(OR($G258="",$G258="؟"),"نیاز به استعلام","فعال")</x:f>
        <x:v>فعال</x:v>
      </x:c>
      <x:c r="J258" s="79">
        <x:v>31</x:v>
      </x:c>
      <x:c r="K258" s="79" t="s">
        <x:v>1012</x:v>
      </x:c>
      <x:c r="L258" s="79"/>
      <x:c r="M258" s="79"/>
      <x:c r="N258" s="79"/>
      <x:c r="O258" s="79"/>
      <x:c r="P258" s="79"/>
      <x:c r="Q258" s="79"/>
      <x:c r="R258" s="79"/>
      <x:c r="S258" s="79"/>
      <x:c r="T258" s="79"/>
      <x:c r="U258" s="79"/>
      <x:c r="V258" s="79"/>
      <x:c r="W258" s="79"/>
      <x:c r="X258" s="79"/>
      <x:c r="Y258" s="79"/>
      <x:c r="Z258" s="79"/>
      <x:c r="AA258" s="79" t="str">
        <x:f>IF(AND(LEN($N$2)&gt;=3,ISNUMBER(SEARCH($N$2,$B258))),MAX($AA$1:AA257)+1,"")</x:f>
      </x:c>
      <x:c r="AB258" s="79" t="str">
        <x:v>6a3782d7df5573f4e676e243</x:v>
      </x:c>
      <x:c r="AC258" s="79" t="str">
        <x:v>گیاهان دارویی</x:v>
      </x:c>
      <x:c r="AD258" s="79" t="str">
        <x:v>medicinal-plants</x:v>
      </x:c>
      <x:c r="AE258" s="79" t="str">
        <x:v>EDIBLE</x:v>
      </x:c>
      <x:c r="AF258" s="79" t="str">
        <x:v>بله</x:v>
      </x:c>
      <x:c r="AG258" s="79" t="str">
        <x:v>خیر</x:v>
      </x:c>
      <x:c r="AH258" s="79" t="n">
        <x:v>1</x:v>
      </x:c>
      <x:c r="AI258" s="79" t="str">
        <x:v>استویا</x:v>
      </x:c>
      <x:c r="AJ258" s="79" t="str">
        <x:v>سایر</x:v>
      </x:c>
      <x:c r="AK258" s="79"/>
    </x:row>
    <x:row r="259">
      <x:c r="A259" s="79" t="s">
        <x:v>1015</x:v>
      </x:c>
      <x:c r="B259" s="79" t="s">
        <x:v>77</x:v>
      </x:c>
      <x:c r="C259" s="79" t="s">
        <x:v>1016</x:v>
      </x:c>
      <x:c r="D259" s="79" t="s">
        <x:v>1014</x:v>
      </x:c>
      <x:c r="E259" s="79" t="s">
        <x:v>16</x:v>
      </x:c>
      <x:c r="F259" s="79" t="s">
        <x:v>16</x:v>
      </x:c>
      <x:c r="G259" s="79" t="str">
        <x:f>IF(RIGHT($A259,2)="-2",INDEX('قیمت ها'!$E:$E,$J259+2),INDEX('قیمت ها'!$B:$B,$J259+2))</x:f>
        <x:v>1/250</x:v>
      </x:c>
      <x:c r="H259" s="110">
        <x:f t="shared" si="8"/>
        <x:v>1250000</x:v>
      </x:c>
      <x:c r="I259" s="79" t="str">
        <x:f t="shared" si="9"/>
        <x:v>فعال</x:v>
      </x:c>
      <x:c r="J259" s="79">
        <x:v>48</x:v>
      </x:c>
      <x:c r="K259" s="79" t="s">
        <x:v>1015</x:v>
      </x:c>
      <x:c r="L259" s="79"/>
      <x:c r="M259" s="79"/>
      <x:c r="N259" s="79"/>
      <x:c r="O259" s="79"/>
      <x:c r="P259" s="79"/>
      <x:c r="Q259" s="79"/>
      <x:c r="R259" s="79"/>
      <x:c r="S259" s="79"/>
      <x:c r="T259" s="79"/>
      <x:c r="U259" s="79"/>
      <x:c r="V259" s="79"/>
      <x:c r="W259" s="79"/>
      <x:c r="X259" s="79"/>
      <x:c r="Y259" s="79"/>
      <x:c r="Z259" s="79"/>
      <x:c r="AA259" s="79" t="str">
        <x:f>IF(AND(LEN($N$2)&gt;=3,ISNUMBER(SEARCH($N$2,$B259))),MAX($AA$1:AA258)+1,"")</x:f>
      </x:c>
      <x:c r="AB259" s="79" t="str">
        <x:v>6a3782d7df5573f4e676e243</x:v>
      </x:c>
      <x:c r="AC259" s="79" t="str">
        <x:v>گیاهان دارویی</x:v>
      </x:c>
      <x:c r="AD259" s="79" t="str">
        <x:v>medicinal-plants</x:v>
      </x:c>
      <x:c r="AE259" s="79" t="str">
        <x:v>EDIBLE</x:v>
      </x:c>
      <x:c r="AF259" s="79" t="str">
        <x:v>بله</x:v>
      </x:c>
      <x:c r="AG259" s="79" t="str">
        <x:v>خیر</x:v>
      </x:c>
      <x:c r="AH259" s="79" t="n">
        <x:v>1</x:v>
      </x:c>
      <x:c r="AI259" s="79" t="str">
        <x:v>بارهنگ</x:v>
      </x:c>
      <x:c r="AJ259" s="79" t="str">
        <x:v>سایر</x:v>
      </x:c>
      <x:c r="AK259" s="79"/>
    </x:row>
    <x:row r="260">
      <x:c r="A260" s="79" t="s">
        <x:v>1017</x:v>
      </x:c>
      <x:c r="B260" s="79" t="s">
        <x:v>82</x:v>
      </x:c>
      <x:c r="C260" s="79" t="s">
        <x:v>1018</x:v>
      </x:c>
      <x:c r="D260" s="79" t="s">
        <x:v>1014</x:v>
      </x:c>
      <x:c r="E260" s="79" t="s">
        <x:v>16</x:v>
      </x:c>
      <x:c r="F260" s="79" t="s">
        <x:v>16</x:v>
      </x:c>
      <x:c r="G260" s="79" t="n">
        <x:f>IF(RIGHT($A260,2)="-2",INDEX('قیمت ها'!$E:$E,$J260+2),INDEX('قیمت ها'!$B:$B,$J260+2))</x:f>
        <x:v>800</x:v>
      </x:c>
      <x:c r="H260" s="110">
        <x:f t="shared" si="8"/>
        <x:v>800000</x:v>
      </x:c>
      <x:c r="I260" s="79" t="str">
        <x:f t="shared" si="9"/>
        <x:v>فعال</x:v>
      </x:c>
      <x:c r="J260" s="79">
        <x:v>51</x:v>
      </x:c>
      <x:c r="K260" s="79" t="s">
        <x:v>1017</x:v>
      </x:c>
      <x:c r="L260" s="79"/>
      <x:c r="M260" s="79"/>
      <x:c r="N260" s="79"/>
      <x:c r="O260" s="79"/>
      <x:c r="P260" s="79"/>
      <x:c r="Q260" s="79"/>
      <x:c r="R260" s="79"/>
      <x:c r="S260" s="79"/>
      <x:c r="T260" s="79"/>
      <x:c r="U260" s="79"/>
      <x:c r="V260" s="79"/>
      <x:c r="W260" s="79"/>
      <x:c r="X260" s="79"/>
      <x:c r="Y260" s="79"/>
      <x:c r="Z260" s="79"/>
      <x:c r="AA260" s="79" t="str">
        <x:f>IF(AND(LEN($N$2)&gt;=3,ISNUMBER(SEARCH($N$2,$B260))),MAX($AA$1:AA259)+1,"")</x:f>
      </x:c>
      <x:c r="AB260" s="79" t="str">
        <x:v>6a3782d7df5573f4e676e243</x:v>
      </x:c>
      <x:c r="AC260" s="79" t="str">
        <x:v>گیاهان دارویی</x:v>
      </x:c>
      <x:c r="AD260" s="79" t="str">
        <x:v>medicinal-plants</x:v>
      </x:c>
      <x:c r="AE260" s="79" t="str">
        <x:v>EDIBLE</x:v>
      </x:c>
      <x:c r="AF260" s="79" t="str">
        <x:v>بله</x:v>
      </x:c>
      <x:c r="AG260" s="79" t="str">
        <x:v>خیر</x:v>
      </x:c>
      <x:c r="AH260" s="79" t="n">
        <x:v>1</x:v>
      </x:c>
      <x:c r="AI260" s="79" t="str">
        <x:v>برگ بو</x:v>
      </x:c>
      <x:c r="AJ260" s="79" t="str">
        <x:v>سایر</x:v>
      </x:c>
      <x:c r="AK260" s="79"/>
    </x:row>
    <x:row r="261">
      <x:c r="A261" s="79" t="s">
        <x:v>1019</x:v>
      </x:c>
      <x:c r="B261" s="79" t="s">
        <x:v>101</x:v>
      </x:c>
      <x:c r="C261" s="79" t="s">
        <x:v>1020</x:v>
      </x:c>
      <x:c r="D261" s="79" t="s">
        <x:v>1014</x:v>
      </x:c>
      <x:c r="E261" s="79" t="s">
        <x:v>16</x:v>
      </x:c>
      <x:c r="F261" s="79" t="s">
        <x:v>16</x:v>
      </x:c>
      <x:c r="G261" s="79" t="n">
        <x:f>IF(RIGHT($A261,2)="-2",INDEX('قیمت ها'!$E:$E,$J261+2),INDEX('قیمت ها'!$B:$B,$J261+2))</x:f>
        <x:v>550</x:v>
      </x:c>
      <x:c r="H261" s="110">
        <x:f t="shared" si="8"/>
        <x:v>550000</x:v>
      </x:c>
      <x:c r="I261" s="79" t="str">
        <x:f t="shared" si="9"/>
        <x:v>فعال</x:v>
      </x:c>
      <x:c r="J261" s="79">
        <x:v>67</x:v>
      </x:c>
      <x:c r="K261" s="79" t="s">
        <x:v>1019</x:v>
      </x:c>
      <x:c r="L261" s="79"/>
      <x:c r="M261" s="79"/>
      <x:c r="N261" s="79"/>
      <x:c r="O261" s="79"/>
      <x:c r="P261" s="79"/>
      <x:c r="Q261" s="79"/>
      <x:c r="R261" s="79"/>
      <x:c r="S261" s="79"/>
      <x:c r="T261" s="79"/>
      <x:c r="U261" s="79"/>
      <x:c r="V261" s="79"/>
      <x:c r="W261" s="79"/>
      <x:c r="X261" s="79"/>
      <x:c r="Y261" s="79"/>
      <x:c r="Z261" s="79"/>
      <x:c r="AA261" s="79" t="str">
        <x:f>IF(AND(LEN($N$2)&gt;=3,ISNUMBER(SEARCH($N$2,$B261))),MAX($AA$1:AA260)+1,"")</x:f>
      </x:c>
      <x:c r="AB261" s="79" t="str">
        <x:v>6a3782d7df5573f4e676e243</x:v>
      </x:c>
      <x:c r="AC261" s="79" t="str">
        <x:v>گیاهان دارویی</x:v>
      </x:c>
      <x:c r="AD261" s="79" t="str">
        <x:v>medicinal-plants</x:v>
      </x:c>
      <x:c r="AE261" s="79" t="str">
        <x:v>EDIBLE</x:v>
      </x:c>
      <x:c r="AF261" s="79" t="str">
        <x:v>بله</x:v>
      </x:c>
      <x:c r="AG261" s="79" t="str">
        <x:v>خیر</x:v>
      </x:c>
      <x:c r="AH261" s="79" t="n">
        <x:v>1</x:v>
      </x:c>
      <x:c r="AI261" s="79" t="str">
        <x:v>پونه خشک</x:v>
      </x:c>
      <x:c r="AJ261" s="79" t="str">
        <x:v>سایر</x:v>
      </x:c>
      <x:c r="AK261" s="79" t="str">
        <x:v>دسته از «نیاز به بررسی» به «گیاهان دارویی» اصلاح شد</x:v>
      </x:c>
    </x:row>
    <x:row r="262">
      <x:c r="A262" s="79" t="s">
        <x:v>1021</x:v>
      </x:c>
      <x:c r="B262" s="79" t="s">
        <x:v>104</x:v>
      </x:c>
      <x:c r="C262" s="79" t="s">
        <x:v>1022</x:v>
      </x:c>
      <x:c r="D262" s="79" t="s">
        <x:v>1014</x:v>
      </x:c>
      <x:c r="E262" s="79" t="s">
        <x:v>16</x:v>
      </x:c>
      <x:c r="F262" s="79" t="s">
        <x:v>16</x:v>
      </x:c>
      <x:c r="G262" s="79" t="str">
        <x:f>IF(RIGHT($A262,2)="-2",INDEX('قیمت ها'!$E:$E,$J262+2),INDEX('قیمت ها'!$B:$B,$J262+2))</x:f>
        <x:v>1/100</x:v>
      </x:c>
      <x:c r="H262" s="110">
        <x:f t="shared" si="8"/>
        <x:v>1100000</x:v>
      </x:c>
      <x:c r="I262" s="79" t="str">
        <x:f t="shared" si="9"/>
        <x:v>فعال</x:v>
      </x:c>
      <x:c r="J262" s="79">
        <x:v>70</x:v>
      </x:c>
      <x:c r="K262" s="79" t="s">
        <x:v>1021</x:v>
      </x:c>
      <x:c r="L262" s="79"/>
      <x:c r="M262" s="79"/>
      <x:c r="N262" s="79"/>
      <x:c r="O262" s="79"/>
      <x:c r="P262" s="79"/>
      <x:c r="Q262" s="79"/>
      <x:c r="R262" s="79"/>
      <x:c r="S262" s="79"/>
      <x:c r="T262" s="79"/>
      <x:c r="U262" s="79"/>
      <x:c r="V262" s="79"/>
      <x:c r="W262" s="79"/>
      <x:c r="X262" s="79"/>
      <x:c r="Y262" s="79"/>
      <x:c r="Z262" s="79"/>
      <x:c r="AA262" s="79" t="str">
        <x:f>IF(AND(LEN($N$2)&gt;=3,ISNUMBER(SEARCH($N$2,$B262))),MAX($AA$1:AA261)+1,"")</x:f>
      </x:c>
      <x:c r="AB262" s="79" t="str">
        <x:v>6a37810ddf5573f4e676e201</x:v>
      </x:c>
      <x:c r="AC262" s="79" t="str">
        <x:v>خشکبار و آجیل</x:v>
      </x:c>
      <x:c r="AD262" s="79" t="str">
        <x:v>dried-fruits-nuts</x:v>
      </x:c>
      <x:c r="AE262" s="79" t="str">
        <x:v>EDIBLE</x:v>
      </x:c>
      <x:c r="AF262" s="79" t="str">
        <x:v>بله</x:v>
      </x:c>
      <x:c r="AG262" s="79" t="str">
        <x:v>خیر</x:v>
      </x:c>
      <x:c r="AH262" s="79" t="n">
        <x:v>1</x:v>
      </x:c>
      <x:c r="AI262" s="79" t="str">
        <x:v>تخم شربتی</x:v>
      </x:c>
      <x:c r="AJ262" s="79" t="str">
        <x:v>سایر</x:v>
      </x:c>
      <x:c r="AK262" s="79"/>
    </x:row>
    <x:row r="263">
      <x:c r="A263" s="79" t="s">
        <x:v>1023</x:v>
      </x:c>
      <x:c r="B263" s="79" t="s">
        <x:v>105</x:v>
      </x:c>
      <x:c r="C263" s="79" t="s">
        <x:v>1024</x:v>
      </x:c>
      <x:c r="D263" s="79" t="s">
        <x:v>1014</x:v>
      </x:c>
      <x:c r="E263" s="79" t="s">
        <x:v>16</x:v>
      </x:c>
      <x:c r="F263" s="79" t="s">
        <x:v>16</x:v>
      </x:c>
      <x:c r="G263" s="79" t="str">
        <x:f>IF(RIGHT($A263,2)="-2",INDEX('قیمت ها'!$E:$E,$J263+2),INDEX('قیمت ها'!$B:$B,$J263+2))</x:f>
        <x:v>1/800</x:v>
      </x:c>
      <x:c r="H263" s="110">
        <x:f t="shared" si="8"/>
        <x:v>1800000</x:v>
      </x:c>
      <x:c r="I263" s="79" t="str">
        <x:f t="shared" si="9"/>
        <x:v>فعال</x:v>
      </x:c>
      <x:c r="J263" s="79">
        <x:v>71</x:v>
      </x:c>
      <x:c r="K263" s="79" t="s">
        <x:v>1023</x:v>
      </x:c>
      <x:c r="L263" s="79"/>
      <x:c r="M263" s="79"/>
      <x:c r="N263" s="79"/>
      <x:c r="O263" s="79"/>
      <x:c r="P263" s="79"/>
      <x:c r="Q263" s="79"/>
      <x:c r="R263" s="79"/>
      <x:c r="S263" s="79"/>
      <x:c r="T263" s="79"/>
      <x:c r="U263" s="79"/>
      <x:c r="V263" s="79"/>
      <x:c r="W263" s="79"/>
      <x:c r="X263" s="79"/>
      <x:c r="Y263" s="79"/>
      <x:c r="Z263" s="79"/>
      <x:c r="AA263" s="79" t="str">
        <x:f>IF(AND(LEN($N$2)&gt;=3,ISNUMBER(SEARCH($N$2,$B263))),MAX($AA$1:AA262)+1,"")</x:f>
      </x:c>
      <x:c r="AB263" s="79" t="str">
        <x:v>6a37810ddf5573f4e676e201</x:v>
      </x:c>
      <x:c r="AC263" s="79" t="str">
        <x:v>خشکبار و آجیل</x:v>
      </x:c>
      <x:c r="AD263" s="79" t="str">
        <x:v>dried-fruits-nuts</x:v>
      </x:c>
      <x:c r="AE263" s="79" t="str">
        <x:v>EDIBLE</x:v>
      </x:c>
      <x:c r="AF263" s="79" t="str">
        <x:v>بله</x:v>
      </x:c>
      <x:c r="AG263" s="79" t="str">
        <x:v>خیر</x:v>
      </x:c>
      <x:c r="AH263" s="79" t="n">
        <x:v>1</x:v>
      </x:c>
      <x:c r="AI263" s="79" t="str">
        <x:v>تخم کتان</x:v>
      </x:c>
      <x:c r="AJ263" s="79" t="str">
        <x:v>سایر</x:v>
      </x:c>
      <x:c r="AK263" s="79"/>
    </x:row>
    <x:row r="264">
      <x:c r="A264" s="79" t="s">
        <x:v>1025</x:v>
      </x:c>
      <x:c r="B264" s="79" t="s">
        <x:v>103</x:v>
      </x:c>
      <x:c r="C264" s="79" t="s">
        <x:v>1026</x:v>
      </x:c>
      <x:c r="D264" s="79" t="s">
        <x:v>1014</x:v>
      </x:c>
      <x:c r="E264" s="79" t="s">
        <x:v>16</x:v>
      </x:c>
      <x:c r="F264" s="79" t="s">
        <x:v>16</x:v>
      </x:c>
      <x:c r="G264" s="79" t="n">
        <x:f>IF(RIGHT($A264,2)="-2",INDEX('قیمت ها'!$E:$E,$J264+2),INDEX('قیمت ها'!$B:$B,$J264+2))</x:f>
        <x:v>400</x:v>
      </x:c>
      <x:c r="H264" s="110">
        <x:f t="shared" si="8"/>
        <x:v>400000</x:v>
      </x:c>
      <x:c r="I264" s="79" t="str">
        <x:f t="shared" si="9"/>
        <x:v>فعال</x:v>
      </x:c>
      <x:c r="J264" s="79">
        <x:v>69</x:v>
      </x:c>
      <x:c r="K264" s="79" t="s">
        <x:v>1025</x:v>
      </x:c>
      <x:c r="L264" s="79"/>
      <x:c r="M264" s="79"/>
      <x:c r="N264" s="79"/>
      <x:c r="O264" s="79"/>
      <x:c r="P264" s="79"/>
      <x:c r="Q264" s="79"/>
      <x:c r="R264" s="79"/>
      <x:c r="S264" s="79"/>
      <x:c r="T264" s="79"/>
      <x:c r="U264" s="79"/>
      <x:c r="V264" s="79"/>
      <x:c r="W264" s="79"/>
      <x:c r="X264" s="79"/>
      <x:c r="Y264" s="79"/>
      <x:c r="Z264" s="79"/>
      <x:c r="AA264" s="79" t="str">
        <x:f>IF(AND(LEN($N$2)&gt;=3,ISNUMBER(SEARCH($N$2,$B264))),MAX($AA$1:AA263)+1,"")</x:f>
      </x:c>
      <x:c r="AB264" s="79" t="str">
        <x:v>6a37810ddf5573f4e676e201</x:v>
      </x:c>
      <x:c r="AC264" s="79" t="str">
        <x:v>خشکبار و آجیل</x:v>
      </x:c>
      <x:c r="AD264" s="79" t="str">
        <x:v>dried-fruits-nuts</x:v>
      </x:c>
      <x:c r="AE264" s="79" t="str">
        <x:v>EDIBLE</x:v>
      </x:c>
      <x:c r="AF264" s="79" t="str">
        <x:v>بله</x:v>
      </x:c>
      <x:c r="AG264" s="79" t="str">
        <x:v>خیر</x:v>
      </x:c>
      <x:c r="AH264" s="79" t="n">
        <x:v>1</x:v>
      </x:c>
      <x:c r="AI264" s="79" t="str">
        <x:v>تخم ریحان</x:v>
      </x:c>
      <x:c r="AJ264" s="79" t="str">
        <x:v>سایر</x:v>
      </x:c>
      <x:c r="AK264" s="79"/>
    </x:row>
    <x:row r="265">
      <x:c r="A265" s="79" t="s">
        <x:v>1027</x:v>
      </x:c>
      <x:c r="B265" s="79" t="s">
        <x:v>106</x:v>
      </x:c>
      <x:c r="C265" s="79" t="s">
        <x:v>1028</x:v>
      </x:c>
      <x:c r="D265" s="79" t="s">
        <x:v>1014</x:v>
      </x:c>
      <x:c r="E265" s="79" t="s">
        <x:v>16</x:v>
      </x:c>
      <x:c r="F265" s="79" t="s">
        <x:v>16</x:v>
      </x:c>
      <x:c r="G265" s="79" t="n">
        <x:f>IF(RIGHT($A265,2)="-2",INDEX('قیمت ها'!$E:$E,$J265+2),INDEX('قیمت ها'!$B:$B,$J265+2))</x:f>
        <x:v>130</x:v>
      </x:c>
      <x:c r="H265" s="110">
        <x:f t="shared" si="8"/>
        <x:v>130000</x:v>
      </x:c>
      <x:c r="I265" s="79" t="str">
        <x:f t="shared" si="9"/>
        <x:v>فعال</x:v>
      </x:c>
      <x:c r="J265" s="79">
        <x:v>72</x:v>
      </x:c>
      <x:c r="K265" s="79" t="s">
        <x:v>1027</x:v>
      </x:c>
      <x:c r="L265" s="79"/>
      <x:c r="M265" s="79"/>
      <x:c r="N265" s="79"/>
      <x:c r="O265" s="79"/>
      <x:c r="P265" s="79"/>
      <x:c r="Q265" s="79"/>
      <x:c r="R265" s="79"/>
      <x:c r="S265" s="79"/>
      <x:c r="T265" s="79"/>
      <x:c r="U265" s="79"/>
      <x:c r="V265" s="79"/>
      <x:c r="W265" s="79"/>
      <x:c r="X265" s="79"/>
      <x:c r="Y265" s="79"/>
      <x:c r="Z265" s="79"/>
      <x:c r="AA265" s="79" t="str">
        <x:f>IF(AND(LEN($N$2)&gt;=3,ISNUMBER(SEARCH($N$2,$B265))),MAX($AA$1:AA264)+1,"")</x:f>
      </x:c>
      <x:c r="AB265" s="79" t="str">
        <x:v>6a37810ddf5573f4e676e201</x:v>
      </x:c>
      <x:c r="AC265" s="79" t="str">
        <x:v>خشکبار و آجیل</x:v>
      </x:c>
      <x:c r="AD265" s="79" t="str">
        <x:v>dried-fruits-nuts</x:v>
      </x:c>
      <x:c r="AE265" s="79" t="str">
        <x:v>EDIBLE</x:v>
      </x:c>
      <x:c r="AF265" s="79" t="str">
        <x:v>بله</x:v>
      </x:c>
      <x:c r="AG265" s="79" t="str">
        <x:v>خیر</x:v>
      </x:c>
      <x:c r="AH265" s="79" t="n">
        <x:v>1</x:v>
      </x:c>
      <x:c r="AI265" s="79" t="str">
        <x:v>تخم مغز آفتابگردان</x:v>
      </x:c>
      <x:c r="AJ265" s="79" t="str">
        <x:v>سایر</x:v>
      </x:c>
      <x:c r="AK265" s="79"/>
    </x:row>
    <x:row r="266">
      <x:c r="A266" s="79" t="s">
        <x:v>1029</x:v>
      </x:c>
      <x:c r="B266" s="79" t="s">
        <x:v>114</x:v>
      </x:c>
      <x:c r="C266" s="79" t="s">
        <x:v>1030</x:v>
      </x:c>
      <x:c r="D266" s="79" t="s">
        <x:v>1014</x:v>
      </x:c>
      <x:c r="E266" s="79" t="s">
        <x:v>16</x:v>
      </x:c>
      <x:c r="F266" s="79" t="s">
        <x:v>16</x:v>
      </x:c>
      <x:c r="G266" s="79" t="str">
        <x:f>IF(RIGHT($A266,2)="-2",INDEX('قیمت ها'!$E:$E,$J266+2),INDEX('قیمت ها'!$B:$B,$J266+2))</x:f>
        <x:v>1/200</x:v>
      </x:c>
      <x:c r="H266" s="110">
        <x:f t="shared" si="8"/>
        <x:v>1200000</x:v>
      </x:c>
      <x:c r="I266" s="79" t="str">
        <x:f t="shared" si="9"/>
        <x:v>فعال</x:v>
      </x:c>
      <x:c r="J266" s="79">
        <x:v>78</x:v>
      </x:c>
      <x:c r="K266" s="79" t="s">
        <x:v>1029</x:v>
      </x:c>
      <x:c r="L266" s="79"/>
      <x:c r="M266" s="79"/>
      <x:c r="N266" s="79"/>
      <x:c r="O266" s="79"/>
      <x:c r="P266" s="79"/>
      <x:c r="Q266" s="79"/>
      <x:c r="R266" s="79"/>
      <x:c r="S266" s="79"/>
      <x:c r="T266" s="79"/>
      <x:c r="U266" s="79"/>
      <x:c r="V266" s="79"/>
      <x:c r="W266" s="79"/>
      <x:c r="X266" s="79"/>
      <x:c r="Y266" s="79"/>
      <x:c r="Z266" s="79"/>
      <x:c r="AA266" s="79" t="str">
        <x:f>IF(AND(LEN($N$2)&gt;=3,ISNUMBER(SEARCH($N$2,$B266))),MAX($AA$1:AA265)+1,"")</x:f>
      </x:c>
      <x:c r="AB266" s="79" t="str">
        <x:v>6a30f5728337d8d2af170bb3</x:v>
      </x:c>
      <x:c r="AC266" s="79" t="str">
        <x:v>چای</x:v>
      </x:c>
      <x:c r="AD266" s="79" t="str">
        <x:v>tea</x:v>
      </x:c>
      <x:c r="AE266" s="79" t="str">
        <x:v>EDIBLE</x:v>
      </x:c>
      <x:c r="AF266" s="79" t="str">
        <x:v>بله</x:v>
      </x:c>
      <x:c r="AG266" s="79" t="str">
        <x:v>خیر</x:v>
      </x:c>
      <x:c r="AH266" s="79" t="n">
        <x:v>1</x:v>
      </x:c>
      <x:c r="AI266" s="79" t="str">
        <x:v>تی بگ ناب سرا</x:v>
      </x:c>
      <x:c r="AJ266" s="79" t="str">
        <x:v>سایر</x:v>
      </x:c>
      <x:c r="AK266" s="79"/>
    </x:row>
    <x:row r="267">
      <x:c r="A267" s="79" t="s">
        <x:v>1031</x:v>
      </x:c>
      <x:c r="B267" s="79" t="s">
        <x:v>153</x:v>
      </x:c>
      <x:c r="C267" s="79" t="s">
        <x:v>1032</x:v>
      </x:c>
      <x:c r="D267" s="79" t="s">
        <x:v>1014</x:v>
      </x:c>
      <x:c r="E267" s="79" t="s">
        <x:v>16</x:v>
      </x:c>
      <x:c r="F267" s="79" t="s">
        <x:v>16</x:v>
      </x:c>
      <x:c r="G267" s="79" t="str">
        <x:f>IF(RIGHT($A267,2)="-2",INDEX('قیمت ها'!$E:$E,$J267+2),INDEX('قیمت ها'!$B:$B,$J267+2))</x:f>
        <x:v>؟</x:v>
      </x:c>
      <x:c r="H267" s="110" t="str">
        <x:f t="shared" si="8"/>
      </x:c>
      <x:c r="I267" s="79" t="str">
        <x:f t="shared" si="9"/>
        <x:v>نیاز به استعلام</x:v>
      </x:c>
      <x:c r="J267" s="79">
        <x:v>107</x:v>
      </x:c>
      <x:c r="K267" s="79" t="s">
        <x:v>1031</x:v>
      </x:c>
      <x:c r="L267" s="79"/>
      <x:c r="M267" s="79"/>
      <x:c r="N267" s="79"/>
      <x:c r="O267" s="79"/>
      <x:c r="P267" s="79"/>
      <x:c r="Q267" s="79"/>
      <x:c r="R267" s="79"/>
      <x:c r="S267" s="79"/>
      <x:c r="T267" s="79"/>
      <x:c r="U267" s="79"/>
      <x:c r="V267" s="79"/>
      <x:c r="W267" s="79"/>
      <x:c r="X267" s="79"/>
      <x:c r="Y267" s="79"/>
      <x:c r="Z267" s="79"/>
      <x:c r="AA267" s="79" t="str">
        <x:f>IF(AND(LEN($N$2)&gt;=3,ISNUMBER(SEARCH($N$2,$B267))),MAX($AA$1:AA266)+1,"")</x:f>
      </x:c>
      <x:c r="AB267" s="79" t="str">
        <x:v>6a3a00000000000000000003</x:v>
      </x:c>
      <x:c r="AC267" s="79" t="str">
        <x:v>قنادی و شیرینی</x:v>
      </x:c>
      <x:c r="AD267" s="79" t="str">
        <x:v>confectionery</x:v>
      </x:c>
      <x:c r="AE267" s="79" t="str">
        <x:v>EDIBLE</x:v>
      </x:c>
      <x:c r="AF267" s="79" t="str">
        <x:v>بله</x:v>
      </x:c>
      <x:c r="AG267" s="79" t="str">
        <x:v>خیر</x:v>
      </x:c>
      <x:c r="AH267" s="79" t="n">
        <x:v>1</x:v>
      </x:c>
      <x:c r="AI267" s="79" t="str">
        <x:v>حلوا طنابی</x:v>
      </x:c>
      <x:c r="AJ267" s="79" t="str">
        <x:v>سایر</x:v>
      </x:c>
      <x:c r="AK267" s="79"/>
    </x:row>
    <x:row r="268">
      <x:c r="A268" s="79" t="s">
        <x:v>1033</x:v>
      </x:c>
      <x:c r="B268" s="79" t="s">
        <x:v>154</x:v>
      </x:c>
      <x:c r="C268" s="79" t="s">
        <x:v>1034</x:v>
      </x:c>
      <x:c r="D268" s="79" t="s">
        <x:v>1014</x:v>
      </x:c>
      <x:c r="E268" s="79" t="s">
        <x:v>155</x:v>
      </x:c>
      <x:c r="F268" s="79" t="s">
        <x:v>682</x:v>
      </x:c>
      <x:c r="G268" s="79" t="n">
        <x:f>IF(RIGHT($A268,2)="-2",INDEX('قیمت ها'!$E:$E,$J268+2),INDEX('قیمت ها'!$B:$B,$J268+2))</x:f>
        <x:v>150</x:v>
      </x:c>
      <x:c r="H268" s="110">
        <x:f t="shared" si="8"/>
        <x:v>150000</x:v>
      </x:c>
      <x:c r="I268" s="79" t="str">
        <x:f t="shared" si="9"/>
        <x:v>فعال</x:v>
      </x:c>
      <x:c r="J268" s="79">
        <x:v>108</x:v>
      </x:c>
      <x:c r="K268" s="79" t="s">
        <x:v>1033</x:v>
      </x:c>
      <x:c r="L268" s="79"/>
      <x:c r="M268" s="79"/>
      <x:c r="N268" s="79"/>
      <x:c r="O268" s="79"/>
      <x:c r="P268" s="79"/>
      <x:c r="Q268" s="79"/>
      <x:c r="R268" s="79"/>
      <x:c r="S268" s="79"/>
      <x:c r="T268" s="79"/>
      <x:c r="U268" s="79"/>
      <x:c r="V268" s="79"/>
      <x:c r="W268" s="79"/>
      <x:c r="X268" s="79"/>
      <x:c r="Y268" s="79"/>
      <x:c r="Z268" s="79"/>
      <x:c r="AA268" s="79" t="str">
        <x:f>IF(AND(LEN($N$2)&gt;=3,ISNUMBER(SEARCH($N$2,$B268))),MAX($AA$1:AA267)+1,"")</x:f>
      </x:c>
      <x:c r="AB268" s="79" t="str">
        <x:v>6a3a00000000000000000003</x:v>
      </x:c>
      <x:c r="AC268" s="79" t="str">
        <x:v>قنادی و شیرینی</x:v>
      </x:c>
      <x:c r="AD268" s="79" t="str">
        <x:v>confectionery</x:v>
      </x:c>
      <x:c r="AE268" s="79" t="str">
        <x:v>EDIBLE</x:v>
      </x:c>
      <x:c r="AF268" s="79" t="str">
        <x:v>بله</x:v>
      </x:c>
      <x:c r="AG268" s="79" t="str">
        <x:v>خیر</x:v>
      </x:c>
      <x:c r="AH268" s="79" t="n">
        <x:v>1</x:v>
      </x:c>
      <x:c r="AI268" s="79" t="str">
        <x:v>حلوا کشی</x:v>
      </x:c>
      <x:c r="AJ268" s="79" t="str">
        <x:v>سایر</x:v>
      </x:c>
      <x:c r="AK268" s="79"/>
    </x:row>
    <x:row r="269">
      <x:c r="A269" s="79" t="s">
        <x:v>1035</x:v>
      </x:c>
      <x:c r="B269" s="79" t="s">
        <x:v>157</x:v>
      </x:c>
      <x:c r="C269" s="79" t="s">
        <x:v>1036</x:v>
      </x:c>
      <x:c r="D269" s="79" t="s">
        <x:v>1014</x:v>
      </x:c>
      <x:c r="E269" s="79" t="s">
        <x:v>16</x:v>
      </x:c>
      <x:c r="F269" s="79" t="s">
        <x:v>16</x:v>
      </x:c>
      <x:c r="G269" s="79" t="n">
        <x:f>IF(RIGHT($A269,2)="-2",INDEX('قیمت ها'!$E:$E,$J269+2),INDEX('قیمت ها'!$B:$B,$J269+2))</x:f>
        <x:v>700</x:v>
      </x:c>
      <x:c r="H269" s="110">
        <x:f t="shared" si="8"/>
        <x:v>700000</x:v>
      </x:c>
      <x:c r="I269" s="79" t="str">
        <x:f t="shared" si="9"/>
        <x:v>فعال</x:v>
      </x:c>
      <x:c r="J269" s="79">
        <x:v>110</x:v>
      </x:c>
      <x:c r="K269" s="79" t="s">
        <x:v>1035</x:v>
      </x:c>
      <x:c r="L269" s="79"/>
      <x:c r="M269" s="79"/>
      <x:c r="N269" s="79"/>
      <x:c r="O269" s="79"/>
      <x:c r="P269" s="79"/>
      <x:c r="Q269" s="79"/>
      <x:c r="R269" s="79"/>
      <x:c r="S269" s="79"/>
      <x:c r="T269" s="79"/>
      <x:c r="U269" s="79"/>
      <x:c r="V269" s="79"/>
      <x:c r="W269" s="79"/>
      <x:c r="X269" s="79"/>
      <x:c r="Y269" s="79"/>
      <x:c r="Z269" s="79"/>
      <x:c r="AA269" s="79" t="str">
        <x:f>IF(AND(LEN($N$2)&gt;=3,ISNUMBER(SEARCH($N$2,$B269))),MAX($AA$1:AA268)+1,"")</x:f>
      </x:c>
      <x:c r="AB269" s="79" t="str">
        <x:v>6a3782d7df5573f4e676e243</x:v>
      </x:c>
      <x:c r="AC269" s="79" t="str">
        <x:v>گیاهان دارویی</x:v>
      </x:c>
      <x:c r="AD269" s="79" t="str">
        <x:v>medicinal-plants</x:v>
      </x:c>
      <x:c r="AE269" s="79" t="str">
        <x:v>TOPICAL</x:v>
      </x:c>
      <x:c r="AF269" s="79" t="str">
        <x:v>خیر</x:v>
      </x:c>
      <x:c r="AG269" s="79" t="str">
        <x:v>خیر</x:v>
      </x:c>
      <x:c r="AH269" s="79" t="n">
        <x:v>1</x:v>
      </x:c>
      <x:c r="AI269" s="79" t="str">
        <x:v>حنا بی رنگ</x:v>
      </x:c>
      <x:c r="AJ269" s="79" t="str">
        <x:v>سایر</x:v>
      </x:c>
      <x:c r="AK26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70">
      <x:c r="A270" s="79" t="s">
        <x:v>1037</x:v>
      </x:c>
      <x:c r="B270" s="79" t="s">
        <x:v>158</x:v>
      </x:c>
      <x:c r="C270" s="79" t="s">
        <x:v>1038</x:v>
      </x:c>
      <x:c r="D270" s="79" t="s">
        <x:v>1014</x:v>
      </x:c>
      <x:c r="E270" s="79" t="s">
        <x:v>16</x:v>
      </x:c>
      <x:c r="F270" s="79" t="s">
        <x:v>16</x:v>
      </x:c>
      <x:c r="G270" s="79" t="n">
        <x:f>IF(RIGHT($A270,2)="-2",INDEX('قیمت ها'!$E:$E,$J270+2),INDEX('قیمت ها'!$B:$B,$J270+2))</x:f>
        <x:v>480</x:v>
      </x:c>
      <x:c r="H270" s="110">
        <x:f t="shared" si="8"/>
        <x:v>480000</x:v>
      </x:c>
      <x:c r="I270" s="79" t="str">
        <x:f t="shared" si="9"/>
        <x:v>فعال</x:v>
      </x:c>
      <x:c r="J270" s="79">
        <x:v>111</x:v>
      </x:c>
      <x:c r="K270" s="79" t="s">
        <x:v>1037</x:v>
      </x:c>
      <x:c r="L270" s="79"/>
      <x:c r="M270" s="79"/>
      <x:c r="N270" s="79"/>
      <x:c r="O270" s="79"/>
      <x:c r="P270" s="79"/>
      <x:c r="Q270" s="79"/>
      <x:c r="R270" s="79"/>
      <x:c r="S270" s="79"/>
      <x:c r="T270" s="79"/>
      <x:c r="U270" s="79"/>
      <x:c r="V270" s="79"/>
      <x:c r="W270" s="79"/>
      <x:c r="X270" s="79"/>
      <x:c r="Y270" s="79"/>
      <x:c r="Z270" s="79"/>
      <x:c r="AA270" s="79" t="str">
        <x:f>IF(AND(LEN($N$2)&gt;=3,ISNUMBER(SEARCH($N$2,$B270))),MAX($AA$1:AA269)+1,"")</x:f>
      </x:c>
      <x:c r="AB270" s="79" t="str">
        <x:v>6a3782d7df5573f4e676e243</x:v>
      </x:c>
      <x:c r="AC270" s="79" t="str">
        <x:v>گیاهان دارویی</x:v>
      </x:c>
      <x:c r="AD270" s="79" t="str">
        <x:v>medicinal-plants</x:v>
      </x:c>
      <x:c r="AE270" s="79" t="str">
        <x:v>EDIBLE</x:v>
      </x:c>
      <x:c r="AF270" s="79" t="str">
        <x:v>بله</x:v>
      </x:c>
      <x:c r="AG270" s="79" t="str">
        <x:v>خیر</x:v>
      </x:c>
      <x:c r="AH270" s="79" t="n">
        <x:v>1</x:v>
      </x:c>
      <x:c r="AI270" s="79" t="str">
        <x:v>خاکشیر همدان</x:v>
      </x:c>
      <x:c r="AJ270" s="79" t="str">
        <x:v>سایر</x:v>
      </x:c>
      <x:c r="AK270" s="79"/>
    </x:row>
    <x:row r="271">
      <x:c r="A271" s="79" t="s">
        <x:v>1039</x:v>
      </x:c>
      <x:c r="B271" s="79" t="s">
        <x:v>167</x:v>
      </x:c>
      <x:c r="C271" s="79" t="s">
        <x:v>1040</x:v>
      </x:c>
      <x:c r="D271" s="79" t="s">
        <x:v>1014</x:v>
      </x:c>
      <x:c r="E271" s="79" t="s">
        <x:v>16</x:v>
      </x:c>
      <x:c r="F271" s="79" t="s">
        <x:v>16</x:v>
      </x:c>
      <x:c r="G271" s="79" t="n">
        <x:f>IF(RIGHT($A271,2)="-2",INDEX('قیمت ها'!$E:$E,$J271+2),INDEX('قیمت ها'!$B:$B,$J271+2))</x:f>
        <x:v>490</x:v>
      </x:c>
      <x:c r="H271" s="110">
        <x:f t="shared" si="8"/>
        <x:v>490000</x:v>
      </x:c>
      <x:c r="I271" s="79" t="str">
        <x:f t="shared" si="9"/>
        <x:v>فعال</x:v>
      </x:c>
      <x:c r="J271" s="79">
        <x:v>119</x:v>
      </x:c>
      <x:c r="K271" s="79" t="s">
        <x:v>1039</x:v>
      </x:c>
      <x:c r="L271" s="79"/>
      <x:c r="M271" s="79"/>
      <x:c r="N271" s="79"/>
      <x:c r="O271" s="79"/>
      <x:c r="P271" s="79"/>
      <x:c r="Q271" s="79"/>
      <x:c r="R271" s="79"/>
      <x:c r="S271" s="79"/>
      <x:c r="T271" s="79"/>
      <x:c r="U271" s="79"/>
      <x:c r="V271" s="79"/>
      <x:c r="W271" s="79"/>
      <x:c r="X271" s="79"/>
      <x:c r="Y271" s="79"/>
      <x:c r="Z271" s="79"/>
      <x:c r="AA271" s="79" t="str">
        <x:f>IF(AND(LEN($N$2)&gt;=3,ISNUMBER(SEARCH($N$2,$B271))),MAX($AA$1:AA270)+1,"")</x:f>
      </x:c>
      <x:c r="AB271" s="79" t="str">
        <x:v>6a3a00000000000000000002</x:v>
      </x:c>
      <x:c r="AC271" s="79" t="str">
        <x:v>حبوبات و غلات</x:v>
      </x:c>
      <x:c r="AD271" s="79" t="str">
        <x:v>legumes-grains</x:v>
      </x:c>
      <x:c r="AE271" s="79" t="str">
        <x:v>EDIBLE</x:v>
      </x:c>
      <x:c r="AF271" s="79" t="str">
        <x:v>بله</x:v>
      </x:c>
      <x:c r="AG271" s="79" t="str">
        <x:v>خیر</x:v>
      </x:c>
      <x:c r="AH271" s="79" t="n">
        <x:v>1</x:v>
      </x:c>
      <x:c r="AI271" s="79" t="str">
        <x:v>ذرت مکزیکی</x:v>
      </x:c>
      <x:c r="AJ271" s="79" t="str">
        <x:v>سایر</x:v>
      </x:c>
      <x:c r="AK271" s="79" t="str">
        <x:v>MISSING_PRICE_REVIEW</x:v>
      </x:c>
    </x:row>
    <x:row r="272">
      <x:c r="A272" s="79" t="s">
        <x:v>1041</x:v>
      </x:c>
      <x:c r="B272" s="79" t="s">
        <x:v>168</x:v>
      </x:c>
      <x:c r="C272" s="79" t="s">
        <x:v>1042</x:v>
      </x:c>
      <x:c r="D272" s="79" t="s">
        <x:v>1014</x:v>
      </x:c>
      <x:c r="E272" s="79" t="s">
        <x:v>169</x:v>
      </x:c>
      <x:c r="F272" s="79" t="s">
        <x:v>16</x:v>
      </x:c>
      <x:c r="G272" s="79" t="n">
        <x:f>IF(RIGHT($A272,2)="-2",INDEX('قیمت ها'!$E:$E,$J272+2),INDEX('قیمت ها'!$B:$B,$J272+2))</x:f>
        <x:v>800</x:v>
      </x:c>
      <x:c r="H272" s="110">
        <x:f t="shared" si="8"/>
        <x:v>800000</x:v>
      </x:c>
      <x:c r="I272" s="79" t="str">
        <x:f t="shared" si="9"/>
        <x:v>فعال</x:v>
      </x:c>
      <x:c r="J272" s="79">
        <x:v>120</x:v>
      </x:c>
      <x:c r="K272" s="79" t="s">
        <x:v>1041</x:v>
      </x:c>
      <x:c r="L272" s="79"/>
      <x:c r="M272" s="79"/>
      <x:c r="N272" s="79"/>
      <x:c r="O272" s="79"/>
      <x:c r="P272" s="79"/>
      <x:c r="Q272" s="79"/>
      <x:c r="R272" s="79"/>
      <x:c r="S272" s="79"/>
      <x:c r="T272" s="79"/>
      <x:c r="U272" s="79"/>
      <x:c r="V272" s="79"/>
      <x:c r="W272" s="79"/>
      <x:c r="X272" s="79"/>
      <x:c r="Y272" s="79"/>
      <x:c r="Z272" s="79"/>
      <x:c r="AA272" s="79" t="str">
        <x:f>IF(AND(LEN($N$2)&gt;=3,ISNUMBER(SEARCH($N$2,$B272))),MAX($AA$1:AA271)+1,"")</x:f>
      </x:c>
      <x:c r="AB272" s="79" t="str">
        <x:v>6a3782d7df5573f4e676e243</x:v>
      </x:c>
      <x:c r="AC272" s="79" t="str">
        <x:v>گیاهان دارویی</x:v>
      </x:c>
      <x:c r="AD272" s="79" t="str">
        <x:v>medicinal-plants</x:v>
      </x:c>
      <x:c r="AE272" s="79" t="str">
        <x:v>EDIBLE</x:v>
      </x:c>
      <x:c r="AF272" s="79" t="str">
        <x:v>بله</x:v>
      </x:c>
      <x:c r="AG272" s="79" t="str">
        <x:v>خیر</x:v>
      </x:c>
      <x:c r="AH272" s="79" t="n">
        <x:v>1</x:v>
      </x:c>
      <x:c r="AI272" s="79" t="str">
        <x:v>رازیانه</x:v>
      </x:c>
      <x:c r="AJ272" s="79" t="str">
        <x:v>سایر</x:v>
      </x:c>
      <x:c r="AK272" s="79"/>
    </x:row>
    <x:row r="273">
      <x:c r="A273" s="79" t="s">
        <x:v>1043</x:v>
      </x:c>
      <x:c r="B273" s="79" t="s">
        <x:v>251</x:v>
      </x:c>
      <x:c r="C273" s="79" t="s">
        <x:v>1044</x:v>
      </x:c>
      <x:c r="D273" s="79" t="s">
        <x:v>1014</x:v>
      </x:c>
      <x:c r="E273" s="79" t="s">
        <x:v>16</x:v>
      </x:c>
      <x:c r="F273" s="79" t="s">
        <x:v>16</x:v>
      </x:c>
      <x:c r="G273" s="79" t="n">
        <x:f>IF(RIGHT($A273,2)="-2",INDEX('قیمت ها'!$E:$E,$J273+2),INDEX('قیمت ها'!$B:$B,$J273+2))</x:f>
        <x:v>500</x:v>
      </x:c>
      <x:c r="H273" s="110">
        <x:f t="shared" si="8"/>
        <x:v>500000</x:v>
      </x:c>
      <x:c r="I273" s="79" t="str">
        <x:f t="shared" si="9"/>
        <x:v>فعال</x:v>
      </x:c>
      <x:c r="J273" s="79">
        <x:v>192</x:v>
      </x:c>
      <x:c r="K273" s="79" t="s">
        <x:v>1043</x:v>
      </x:c>
      <x:c r="L273" s="79"/>
      <x:c r="M273" s="79"/>
      <x:c r="N273" s="79"/>
      <x:c r="O273" s="79"/>
      <x:c r="P273" s="79"/>
      <x:c r="Q273" s="79"/>
      <x:c r="R273" s="79"/>
      <x:c r="S273" s="79"/>
      <x:c r="T273" s="79"/>
      <x:c r="U273" s="79"/>
      <x:c r="V273" s="79"/>
      <x:c r="W273" s="79"/>
      <x:c r="X273" s="79"/>
      <x:c r="Y273" s="79"/>
      <x:c r="Z273" s="79"/>
      <x:c r="AA273" s="79" t="str">
        <x:f>IF(AND(LEN($N$2)&gt;=3,ISNUMBER(SEARCH($N$2,$B273))),MAX($AA$1:AA272)+1,"")</x:f>
      </x:c>
      <x:c r="AB273" s="79" t="str">
        <x:v>6a2d446d45c164ce6f28ae30</x:v>
      </x:c>
      <x:c r="AC273" s="79" t="str">
        <x:v>روغن</x:v>
      </x:c>
      <x:c r="AD273" s="79" t="str">
        <x:v>oil</x:v>
      </x:c>
      <x:c r="AE273" s="79" t="str">
        <x:v>EDIBLE</x:v>
      </x:c>
      <x:c r="AF273" s="79" t="str">
        <x:v>بله</x:v>
      </x:c>
      <x:c r="AG273" s="79" t="str">
        <x:v>بله</x:v>
      </x:c>
      <x:c r="AH273" s="79" t="n">
        <x:v>2</x:v>
      </x:c>
      <x:c r="AI273" s="79" t="str">
        <x:v>روغن هسته انگور</x:v>
      </x:c>
      <x:c r="AJ273" s="79" t="str">
        <x:v>سایر</x:v>
      </x:c>
      <x:c r="AK273" s="79"/>
    </x:row>
    <x:row r="274">
      <x:c r="A274" s="79" t="s">
        <x:v>1045</x:v>
      </x:c>
      <x:c r="B274" s="79" t="s">
        <x:v>263</x:v>
      </x:c>
      <x:c r="C274" s="79" t="s">
        <x:v>1046</x:v>
      </x:c>
      <x:c r="D274" s="79" t="s">
        <x:v>1014</x:v>
      </x:c>
      <x:c r="E274" s="79" t="s">
        <x:v>16</x:v>
      </x:c>
      <x:c r="F274" s="79" t="s">
        <x:v>16</x:v>
      </x:c>
      <x:c r="G274" s="79" t="n">
        <x:f>IF(RIGHT($A274,2)="-2",INDEX('قیمت ها'!$E:$E,$J274+2),INDEX('قیمت ها'!$B:$B,$J274+2))</x:f>
        <x:v>500</x:v>
      </x:c>
      <x:c r="H274" s="110">
        <x:f t="shared" si="8"/>
        <x:v>500000</x:v>
      </x:c>
      <x:c r="I274" s="79" t="str">
        <x:f t="shared" si="9"/>
        <x:v>فعال</x:v>
      </x:c>
      <x:c r="J274" s="79">
        <x:v>203</x:v>
      </x:c>
      <x:c r="K274" s="79" t="s">
        <x:v>1045</x:v>
      </x:c>
      <x:c r="L274" s="79"/>
      <x:c r="M274" s="79"/>
      <x:c r="N274" s="79"/>
      <x:c r="O274" s="79"/>
      <x:c r="P274" s="79"/>
      <x:c r="Q274" s="79"/>
      <x:c r="R274" s="79"/>
      <x:c r="S274" s="79"/>
      <x:c r="T274" s="79"/>
      <x:c r="U274" s="79"/>
      <x:c r="V274" s="79"/>
      <x:c r="W274" s="79"/>
      <x:c r="X274" s="79"/>
      <x:c r="Y274" s="79"/>
      <x:c r="Z274" s="79"/>
      <x:c r="AA274" s="79" t="str">
        <x:f>IF(AND(LEN($N$2)&gt;=3,ISNUMBER(SEARCH($N$2,$B274))),MAX($AA$1:AA273)+1,"")</x:f>
      </x:c>
      <x:c r="AB274" s="79" t="str">
        <x:v>6a3781e4df5573f4e676e226</x:v>
      </x:c>
      <x:c r="AC274" s="79" t="str">
        <x:v>ادویه</x:v>
      </x:c>
      <x:c r="AD274" s="79" t="str">
        <x:v>spice</x:v>
      </x:c>
      <x:c r="AE274" s="79" t="str">
        <x:v>EDIBLE</x:v>
      </x:c>
      <x:c r="AF274" s="79" t="str">
        <x:v>بله</x:v>
      </x:c>
      <x:c r="AG274" s="79" t="str">
        <x:v>خیر</x:v>
      </x:c>
      <x:c r="AH274" s="79" t="n">
        <x:v>1</x:v>
      </x:c>
      <x:c r="AI274" s="79" t="str">
        <x:v>زیره سیاه</x:v>
      </x:c>
      <x:c r="AJ274" s="79" t="str">
        <x:v>سایر</x:v>
      </x:c>
      <x:c r="AK274" s="79"/>
    </x:row>
    <x:row r="275">
      <x:c r="A275" s="79" t="s">
        <x:v>1047</x:v>
      </x:c>
      <x:c r="B275" s="79" t="s">
        <x:v>268</x:v>
      </x:c>
      <x:c r="C275" s="79" t="s">
        <x:v>1048</x:v>
      </x:c>
      <x:c r="D275" s="79" t="s">
        <x:v>1014</x:v>
      </x:c>
      <x:c r="E275" s="79" t="s">
        <x:v>16</x:v>
      </x:c>
      <x:c r="F275" s="79" t="s">
        <x:v>16</x:v>
      </x:c>
      <x:c r="G275" s="79" t="n">
        <x:f>IF(RIGHT($A275,2)="-2",INDEX('قیمت ها'!$E:$E,$J275+2),INDEX('قیمت ها'!$B:$B,$J275+2))</x:f>
        <x:v>80</x:v>
      </x:c>
      <x:c r="H275" s="110">
        <x:f t="shared" si="8"/>
        <x:v>80000</x:v>
      </x:c>
      <x:c r="I275" s="79" t="str">
        <x:f t="shared" si="9"/>
        <x:v>فعال</x:v>
      </x:c>
      <x:c r="J275" s="79">
        <x:v>206</x:v>
      </x:c>
      <x:c r="K275" s="79" t="s">
        <x:v>1047</x:v>
      </x:c>
      <x:c r="L275" s="79"/>
      <x:c r="M275" s="79"/>
      <x:c r="N275" s="79"/>
      <x:c r="O275" s="79"/>
      <x:c r="P275" s="79"/>
      <x:c r="Q275" s="79"/>
      <x:c r="R275" s="79"/>
      <x:c r="S275" s="79"/>
      <x:c r="T275" s="79"/>
      <x:c r="U275" s="79"/>
      <x:c r="V275" s="79"/>
      <x:c r="W275" s="79"/>
      <x:c r="X275" s="79"/>
      <x:c r="Y275" s="79"/>
      <x:c r="Z275" s="79"/>
      <x:c r="AA275" s="79" t="str">
        <x:f>IF(AND(LEN($N$2)&gt;=3,ISNUMBER(SEARCH($N$2,$B275))),MAX($AA$1:AA274)+1,"")</x:f>
      </x:c>
      <x:c r="AB275" s="79" t="str">
        <x:v>6a3782ffdf5573f4e676e24b</x:v>
      </x:c>
      <x:c r="AC275" s="79" t="str">
        <x:v>نوشیدنی‌ها</x:v>
      </x:c>
      <x:c r="AD275" s="79" t="str">
        <x:v>syrup</x:v>
      </x:c>
      <x:c r="AE275" s="79" t="str">
        <x:v>EDIBLE</x:v>
      </x:c>
      <x:c r="AF275" s="79" t="str">
        <x:v>بله</x:v>
      </x:c>
      <x:c r="AG275" s="79" t="str">
        <x:v>بله</x:v>
      </x:c>
      <x:c r="AH275" s="79" t="n">
        <x:v>2</x:v>
      </x:c>
      <x:c r="AI275" s="79" t="str">
        <x:v>سرکه انگور</x:v>
      </x:c>
      <x:c r="AJ275" s="79" t="str">
        <x:v>سایر</x:v>
      </x:c>
      <x:c r="AK275" s="79"/>
    </x:row>
    <x:row r="276">
      <x:c r="A276" s="79" t="s">
        <x:v>1049</x:v>
      </x:c>
      <x:c r="B276" s="79" t="s">
        <x:v>274</x:v>
      </x:c>
      <x:c r="C276" s="79" t="s">
        <x:v>1050</x:v>
      </x:c>
      <x:c r="D276" s="79" t="s">
        <x:v>1014</x:v>
      </x:c>
      <x:c r="E276" s="79" t="s">
        <x:v>16</x:v>
      </x:c>
      <x:c r="F276" s="79" t="s">
        <x:v>16</x:v>
      </x:c>
      <x:c r="G276" s="79" t="n">
        <x:f>IF(RIGHT($A276,2)="-2",INDEX('قیمت ها'!$E:$E,$J276+2),INDEX('قیمت ها'!$B:$B,$J276+2))</x:f>
        <x:v>180</x:v>
      </x:c>
      <x:c r="H276" s="110">
        <x:f t="shared" si="8"/>
        <x:v>180000</x:v>
      </x:c>
      <x:c r="I276" s="79" t="str">
        <x:f t="shared" si="9"/>
        <x:v>فعال</x:v>
      </x:c>
      <x:c r="J276" s="79">
        <x:v>211</x:v>
      </x:c>
      <x:c r="K276" s="79" t="s">
        <x:v>1049</x:v>
      </x:c>
      <x:c r="L276" s="79"/>
      <x:c r="M276" s="79"/>
      <x:c r="N276" s="79"/>
      <x:c r="O276" s="79"/>
      <x:c r="P276" s="79"/>
      <x:c r="Q276" s="79"/>
      <x:c r="R276" s="79"/>
      <x:c r="S276" s="79"/>
      <x:c r="T276" s="79"/>
      <x:c r="U276" s="79"/>
      <x:c r="V276" s="79"/>
      <x:c r="W276" s="79"/>
      <x:c r="X276" s="79"/>
      <x:c r="Y276" s="79"/>
      <x:c r="Z276" s="79"/>
      <x:c r="AA276" s="79" t="str">
        <x:f>IF(AND(LEN($N$2)&gt;=3,ISNUMBER(SEARCH($N$2,$B276))),MAX($AA$1:AA275)+1,"")</x:f>
      </x:c>
      <x:c r="AB276" s="79" t="str">
        <x:v>6a3781e4df5573f4e676e226</x:v>
      </x:c>
      <x:c r="AC276" s="79" t="str">
        <x:v>ادویه</x:v>
      </x:c>
      <x:c r="AD276" s="79" t="str">
        <x:v>spice</x:v>
      </x:c>
      <x:c r="AE276" s="79" t="str">
        <x:v>EDIBLE</x:v>
      </x:c>
      <x:c r="AF276" s="79" t="str">
        <x:v>بله</x:v>
      </x:c>
      <x:c r="AG276" s="79" t="str">
        <x:v>خیر</x:v>
      </x:c>
      <x:c r="AH276" s="79" t="n">
        <x:v>1</x:v>
      </x:c>
      <x:c r="AI276" s="79" t="str">
        <x:v>سماق قهوه ای پودر</x:v>
      </x:c>
      <x:c r="AJ276" s="79" t="str">
        <x:v>سایر</x:v>
      </x:c>
      <x:c r="AK276" s="79"/>
    </x:row>
    <x:row r="277">
      <x:c r="A277" s="79" t="s">
        <x:v>1051</x:v>
      </x:c>
      <x:c r="B277" s="79" t="s">
        <x:v>278</x:v>
      </x:c>
      <x:c r="C277" s="79" t="s">
        <x:v>1052</x:v>
      </x:c>
      <x:c r="D277" s="79" t="s">
        <x:v>1014</x:v>
      </x:c>
      <x:c r="E277" s="79" t="s">
        <x:v>16</x:v>
      </x:c>
      <x:c r="F277" s="79" t="s">
        <x:v>16</x:v>
      </x:c>
      <x:c r="G277" s="79" t="n">
        <x:f>IF(RIGHT($A277,2)="-2",INDEX('قیمت ها'!$E:$E,$J277+2),INDEX('قیمت ها'!$B:$B,$J277+2))</x:f>
        <x:v>500</x:v>
      </x:c>
      <x:c r="H277" s="110">
        <x:f t="shared" si="8"/>
        <x:v>500000</x:v>
      </x:c>
      <x:c r="I277" s="79" t="str">
        <x:f t="shared" si="9"/>
        <x:v>فعال</x:v>
      </x:c>
      <x:c r="J277" s="79">
        <x:v>215</x:v>
      </x:c>
      <x:c r="K277" s="79" t="s">
        <x:v>1051</x:v>
      </x:c>
      <x:c r="L277" s="79"/>
      <x:c r="M277" s="79"/>
      <x:c r="N277" s="79"/>
      <x:c r="O277" s="79"/>
      <x:c r="P277" s="79"/>
      <x:c r="Q277" s="79"/>
      <x:c r="R277" s="79"/>
      <x:c r="S277" s="79"/>
      <x:c r="T277" s="79"/>
      <x:c r="U277" s="79"/>
      <x:c r="V277" s="79"/>
      <x:c r="W277" s="79"/>
      <x:c r="X277" s="79"/>
      <x:c r="Y277" s="79"/>
      <x:c r="Z277" s="79"/>
      <x:c r="AA277" s="79" t="str">
        <x:f>IF(AND(LEN($N$2)&gt;=3,ISNUMBER(SEARCH($N$2,$B277))),MAX($AA$1:AA276)+1,"")</x:f>
      </x:c>
      <x:c r="AB277" s="79" t="str">
        <x:v>6a37810ddf5573f4e676e201</x:v>
      </x:c>
      <x:c r="AC277" s="79" t="str">
        <x:v>خشکبار و آجیل</x:v>
      </x:c>
      <x:c r="AD277" s="79" t="str">
        <x:v>dried-fruits-nuts</x:v>
      </x:c>
      <x:c r="AE277" s="79" t="str">
        <x:v>EDIBLE</x:v>
      </x:c>
      <x:c r="AF277" s="79" t="str">
        <x:v>بله</x:v>
      </x:c>
      <x:c r="AG277" s="79" t="str">
        <x:v>خیر</x:v>
      </x:c>
      <x:c r="AH277" s="79" t="n">
        <x:v>1</x:v>
      </x:c>
      <x:c r="AI277" s="79" t="str">
        <x:v>سنجد</x:v>
      </x:c>
      <x:c r="AJ277" s="79" t="str">
        <x:v>سایر</x:v>
      </x:c>
      <x:c r="AK277" s="79" t="str">
        <x:v>MERGED</x:v>
      </x:c>
    </x:row>
    <x:row r="278">
      <x:c r="A278" s="79" t="s">
        <x:v>1053</x:v>
      </x:c>
      <x:c r="B278" s="79" t="s">
        <x:v>283</x:v>
      </x:c>
      <x:c r="C278" s="79" t="s">
        <x:v>1054</x:v>
      </x:c>
      <x:c r="D278" s="79" t="s">
        <x:v>1014</x:v>
      </x:c>
      <x:c r="E278" s="79" t="s">
        <x:v>16</x:v>
      </x:c>
      <x:c r="F278" s="79" t="s">
        <x:v>16</x:v>
      </x:c>
      <x:c r="G278" s="79" t="str">
        <x:f>IF(RIGHT($A278,2)="-2",INDEX('قیمت ها'!$E:$E,$J278+2),INDEX('قیمت ها'!$B:$B,$J278+2))</x:f>
        <x:v>1/300</x:v>
      </x:c>
      <x:c r="H278" s="110">
        <x:f t="shared" si="8"/>
        <x:v>1300000</x:v>
      </x:c>
      <x:c r="I278" s="79" t="str">
        <x:f t="shared" si="9"/>
        <x:v>فعال</x:v>
      </x:c>
      <x:c r="J278" s="79">
        <x:v>220</x:v>
      </x:c>
      <x:c r="K278" s="79" t="s">
        <x:v>1053</x:v>
      </x:c>
      <x:c r="L278" s="79"/>
      <x:c r="M278" s="79"/>
      <x:c r="N278" s="79"/>
      <x:c r="O278" s="79"/>
      <x:c r="P278" s="79"/>
      <x:c r="Q278" s="79"/>
      <x:c r="R278" s="79"/>
      <x:c r="S278" s="79"/>
      <x:c r="T278" s="79"/>
      <x:c r="U278" s="79"/>
      <x:c r="V278" s="79"/>
      <x:c r="W278" s="79"/>
      <x:c r="X278" s="79"/>
      <x:c r="Y278" s="79"/>
      <x:c r="Z278" s="79"/>
      <x:c r="AA278" s="79" t="str">
        <x:f>IF(AND(LEN($N$2)&gt;=3,ISNUMBER(SEARCH($N$2,$B278))),MAX($AA$1:AA277)+1,"")</x:f>
      </x:c>
      <x:c r="AB278" s="79" t="str">
        <x:v>6a3a00000000000000000002</x:v>
      </x:c>
      <x:c r="AC278" s="79" t="str">
        <x:v>حبوبات و غلات</x:v>
      </x:c>
      <x:c r="AD278" s="79" t="str">
        <x:v>legumes-grains</x:v>
      </x:c>
      <x:c r="AE278" s="79" t="str">
        <x:v>EDIBLE</x:v>
      </x:c>
      <x:c r="AF278" s="79" t="str">
        <x:v>بله</x:v>
      </x:c>
      <x:c r="AG278" s="79" t="str">
        <x:v>خیر</x:v>
      </x:c>
      <x:c r="AH278" s="79" t="n">
        <x:v>1</x:v>
      </x:c>
      <x:c r="AI278" s="79" t="str">
        <x:v>سویق جوانه گندم</x:v>
      </x:c>
      <x:c r="AJ278" s="79" t="str">
        <x:v>سایر</x:v>
      </x:c>
      <x:c r="AK278" s="79"/>
    </x:row>
    <x:row r="279">
      <x:c r="A279" s="79" t="s">
        <x:v>1055</x:v>
      </x:c>
      <x:c r="B279" s="79" t="s">
        <x:v>295</x:v>
      </x:c>
      <x:c r="C279" s="79" t="s">
        <x:v>1056</x:v>
      </x:c>
      <x:c r="D279" s="79" t="s">
        <x:v>1014</x:v>
      </x:c>
      <x:c r="E279" s="79" t="s">
        <x:v>16</x:v>
      </x:c>
      <x:c r="F279" s="79" t="s">
        <x:v>16</x:v>
      </x:c>
      <x:c r="G279" s="79" t="str">
        <x:f>IF(RIGHT($A279,2)="-2",INDEX('قیمت ها'!$E:$E,$J279+2),INDEX('قیمت ها'!$B:$B,$J279+2))</x:f>
        <x:v>؟</x:v>
      </x:c>
      <x:c r="H279" s="110" t="str">
        <x:f t="shared" si="8"/>
      </x:c>
      <x:c r="I279" s="79" t="str">
        <x:f t="shared" si="9"/>
        <x:v>نیاز به استعلام</x:v>
      </x:c>
      <x:c r="J279" s="79">
        <x:v>232</x:v>
      </x:c>
      <x:c r="K279" s="79" t="s">
        <x:v>1055</x:v>
      </x:c>
      <x:c r="L279" s="79"/>
      <x:c r="M279" s="79"/>
      <x:c r="N279" s="79"/>
      <x:c r="O279" s="79"/>
      <x:c r="P279" s="79"/>
      <x:c r="Q279" s="79"/>
      <x:c r="R279" s="79"/>
      <x:c r="S279" s="79"/>
      <x:c r="T279" s="79"/>
      <x:c r="U279" s="79"/>
      <x:c r="V279" s="79"/>
      <x:c r="W279" s="79"/>
      <x:c r="X279" s="79"/>
      <x:c r="Y279" s="79"/>
      <x:c r="Z279" s="79"/>
      <x:c r="AA279" s="79" t="str">
        <x:f>IF(AND(LEN($N$2)&gt;=3,ISNUMBER(SEARCH($N$2,$B279))),MAX($AA$1:AA278)+1,"")</x:f>
      </x:c>
      <x:c r="AB279" s="79" t="str">
        <x:v>6a3a00000000000000000003</x:v>
      </x:c>
      <x:c r="AC279" s="79" t="str">
        <x:v>قنادی و شیرینی</x:v>
      </x:c>
      <x:c r="AD279" s="79" t="str">
        <x:v>confectionery</x:v>
      </x:c>
      <x:c r="AE279" s="79" t="str">
        <x:v>EDIBLE</x:v>
      </x:c>
      <x:c r="AF279" s="79" t="str">
        <x:v>بله</x:v>
      </x:c>
      <x:c r="AG279" s="79" t="str">
        <x:v>خیر</x:v>
      </x:c>
      <x:c r="AH279" s="79" t="n">
        <x:v>1</x:v>
      </x:c>
      <x:c r="AI279" s="79" t="str">
        <x:v>شکلات چیپسی تلخ</x:v>
      </x:c>
      <x:c r="AJ279" s="79" t="str">
        <x:v>سایر</x:v>
      </x:c>
      <x:c r="AK279" s="79"/>
    </x:row>
    <x:row r="280">
      <x:c r="A280" s="79" t="s">
        <x:v>1057</x:v>
      </x:c>
      <x:c r="B280" s="79" t="s">
        <x:v>296</x:v>
      </x:c>
      <x:c r="C280" s="79" t="s">
        <x:v>1058</x:v>
      </x:c>
      <x:c r="D280" s="79" t="s">
        <x:v>1014</x:v>
      </x:c>
      <x:c r="E280" s="79" t="s">
        <x:v>16</x:v>
      </x:c>
      <x:c r="F280" s="79" t="s">
        <x:v>16</x:v>
      </x:c>
      <x:c r="G280" s="79" t="n">
        <x:f>IF(RIGHT($A280,2)="-2",INDEX('قیمت ها'!$E:$E,$J280+2),INDEX('قیمت ها'!$B:$B,$J280+2))</x:f>
        <x:v>650</x:v>
      </x:c>
      <x:c r="H280" s="110">
        <x:f t="shared" si="8"/>
        <x:v>650000</x:v>
      </x:c>
      <x:c r="I280" s="79" t="str">
        <x:f t="shared" si="9"/>
        <x:v>فعال</x:v>
      </x:c>
      <x:c r="J280" s="79">
        <x:v>233</x:v>
      </x:c>
      <x:c r="K280" s="79" t="s">
        <x:v>1057</x:v>
      </x:c>
      <x:c r="L280" s="79"/>
      <x:c r="M280" s="79"/>
      <x:c r="N280" s="79"/>
      <x:c r="O280" s="79"/>
      <x:c r="P280" s="79"/>
      <x:c r="Q280" s="79"/>
      <x:c r="R280" s="79"/>
      <x:c r="S280" s="79"/>
      <x:c r="T280" s="79"/>
      <x:c r="U280" s="79"/>
      <x:c r="V280" s="79"/>
      <x:c r="W280" s="79"/>
      <x:c r="X280" s="79"/>
      <x:c r="Y280" s="79"/>
      <x:c r="Z280" s="79"/>
      <x:c r="AA280" s="79" t="str">
        <x:f>IF(AND(LEN($N$2)&gt;=3,ISNUMBER(SEARCH($N$2,$B280))),MAX($AA$1:AA279)+1,"")</x:f>
      </x:c>
      <x:c r="AB280" s="79" t="str">
        <x:v>6a3a00000000000000000003</x:v>
      </x:c>
      <x:c r="AC280" s="79" t="str">
        <x:v>قنادی و شیرینی</x:v>
      </x:c>
      <x:c r="AD280" s="79" t="str">
        <x:v>confectionery</x:v>
      </x:c>
      <x:c r="AE280" s="79" t="str">
        <x:v>EDIBLE</x:v>
      </x:c>
      <x:c r="AF280" s="79" t="str">
        <x:v>بله</x:v>
      </x:c>
      <x:c r="AG280" s="79" t="str">
        <x:v>خیر</x:v>
      </x:c>
      <x:c r="AH280" s="79" t="n">
        <x:v>1</x:v>
      </x:c>
      <x:c r="AI280" s="79" t="str">
        <x:v>شکلات نسوز کوکی</x:v>
      </x:c>
      <x:c r="AJ280" s="79" t="str">
        <x:v>سایر</x:v>
      </x:c>
      <x:c r="AK280" s="79"/>
    </x:row>
    <x:row r="281">
      <x:c r="A281" s="79" t="s">
        <x:v>1059</x:v>
      </x:c>
      <x:c r="B281" s="79" t="s">
        <x:v>297</x:v>
      </x:c>
      <x:c r="C281" s="79" t="s">
        <x:v>1060</x:v>
      </x:c>
      <x:c r="D281" s="79" t="s">
        <x:v>1014</x:v>
      </x:c>
      <x:c r="E281" s="79" t="s">
        <x:v>16</x:v>
      </x:c>
      <x:c r="F281" s="79" t="s">
        <x:v>16</x:v>
      </x:c>
      <x:c r="G281" s="79" t="n">
        <x:f>IF(RIGHT($A281,2)="-2",INDEX('قیمت ها'!$E:$E,$J281+2),INDEX('قیمت ها'!$B:$B,$J281+2))</x:f>
        <x:v>700</x:v>
      </x:c>
      <x:c r="H281" s="110">
        <x:f t="shared" si="8"/>
        <x:v>700000</x:v>
      </x:c>
      <x:c r="I281" s="79" t="str">
        <x:f t="shared" si="9"/>
        <x:v>فعال</x:v>
      </x:c>
      <x:c r="J281" s="79">
        <x:v>234</x:v>
      </x:c>
      <x:c r="K281" s="79" t="s">
        <x:v>1059</x:v>
      </x:c>
      <x:c r="L281" s="79"/>
      <x:c r="M281" s="79"/>
      <x:c r="N281" s="79"/>
      <x:c r="O281" s="79"/>
      <x:c r="P281" s="79"/>
      <x:c r="Q281" s="79"/>
      <x:c r="R281" s="79"/>
      <x:c r="S281" s="79"/>
      <x:c r="T281" s="79"/>
      <x:c r="U281" s="79"/>
      <x:c r="V281" s="79"/>
      <x:c r="W281" s="79"/>
      <x:c r="X281" s="79"/>
      <x:c r="Y281" s="79"/>
      <x:c r="Z281" s="79"/>
      <x:c r="AA281" s="79" t="str">
        <x:f>IF(AND(LEN($N$2)&gt;=3,ISNUMBER(SEARCH($N$2,$B281))),MAX($AA$1:AA280)+1,"")</x:f>
      </x:c>
      <x:c r="AB281" s="79" t="str">
        <x:v>6a3782d7df5573f4e676e243</x:v>
      </x:c>
      <x:c r="AC281" s="79" t="str">
        <x:v>گیاهان دارویی</x:v>
      </x:c>
      <x:c r="AD281" s="79" t="str">
        <x:v>medicinal-plants</x:v>
      </x:c>
      <x:c r="AE281" s="79" t="str">
        <x:v>EDIBLE</x:v>
      </x:c>
      <x:c r="AF281" s="79" t="str">
        <x:v>بله</x:v>
      </x:c>
      <x:c r="AG281" s="79" t="str">
        <x:v>خیر</x:v>
      </x:c>
      <x:c r="AH281" s="79" t="n">
        <x:v>1</x:v>
      </x:c>
      <x:c r="AI281" s="79" t="str">
        <x:v>شلغم پودر</x:v>
      </x:c>
      <x:c r="AJ281" s="79" t="str">
        <x:v>سایر</x:v>
      </x:c>
      <x:c r="AK281" s="79" t="str">
        <x:v>MISSING_PRICE_REVIEW</x:v>
      </x:c>
    </x:row>
    <x:row r="282">
      <x:c r="A282" s="79" t="s">
        <x:v>1061</x:v>
      </x:c>
      <x:c r="B282" s="79" t="s">
        <x:v>298</x:v>
      </x:c>
      <x:c r="C282" s="79" t="s">
        <x:v>1062</x:v>
      </x:c>
      <x:c r="D282" s="79" t="s">
        <x:v>1014</x:v>
      </x:c>
      <x:c r="E282" s="79" t="s">
        <x:v>16</x:v>
      </x:c>
      <x:c r="F282" s="79" t="s">
        <x:v>16</x:v>
      </x:c>
      <x:c r="G282" s="79" t="n">
        <x:f>IF(RIGHT($A282,2)="-2",INDEX('قیمت ها'!$E:$E,$J282+2),INDEX('قیمت ها'!$B:$B,$J282+2))</x:f>
        <x:v>950</x:v>
      </x:c>
      <x:c r="H282" s="110">
        <x:f t="shared" si="8"/>
        <x:v>950000</x:v>
      </x:c>
      <x:c r="I282" s="79" t="str">
        <x:f t="shared" si="9"/>
        <x:v>فعال</x:v>
      </x:c>
      <x:c r="J282" s="79">
        <x:v>235</x:v>
      </x:c>
      <x:c r="K282" s="79" t="s">
        <x:v>1061</x:v>
      </x:c>
      <x:c r="L282" s="79"/>
      <x:c r="M282" s="79"/>
      <x:c r="N282" s="79"/>
      <x:c r="O282" s="79"/>
      <x:c r="P282" s="79"/>
      <x:c r="Q282" s="79"/>
      <x:c r="R282" s="79"/>
      <x:c r="S282" s="79"/>
      <x:c r="T282" s="79"/>
      <x:c r="U282" s="79"/>
      <x:c r="V282" s="79"/>
      <x:c r="W282" s="79"/>
      <x:c r="X282" s="79"/>
      <x:c r="Y282" s="79"/>
      <x:c r="Z282" s="79"/>
      <x:c r="AA282" s="79" t="str">
        <x:f>IF(AND(LEN($N$2)&gt;=3,ISNUMBER(SEARCH($N$2,$B282))),MAX($AA$1:AA281)+1,"")</x:f>
      </x:c>
      <x:c r="AB282" s="79" t="str">
        <x:v>6a3782d7df5573f4e676e243</x:v>
      </x:c>
      <x:c r="AC282" s="79" t="str">
        <x:v>گیاهان دارویی</x:v>
      </x:c>
      <x:c r="AD282" s="79" t="str">
        <x:v>medicinal-plants</x:v>
      </x:c>
      <x:c r="AE282" s="79" t="str">
        <x:v>EDIBLE</x:v>
      </x:c>
      <x:c r="AF282" s="79" t="str">
        <x:v>بله</x:v>
      </x:c>
      <x:c r="AG282" s="79" t="str">
        <x:v>خیر</x:v>
      </x:c>
      <x:c r="AH282" s="79" t="n">
        <x:v>1</x:v>
      </x:c>
      <x:c r="AI282" s="79" t="str">
        <x:v>شنبلیله</x:v>
      </x:c>
      <x:c r="AJ282" s="79" t="str">
        <x:v>سایر</x:v>
      </x:c>
      <x:c r="AK282" s="79"/>
    </x:row>
    <x:row r="283">
      <x:c r="A283" s="79" t="s">
        <x:v>1063</x:v>
      </x:c>
      <x:c r="B283" s="79" t="s">
        <x:v>299</x:v>
      </x:c>
      <x:c r="C283" s="79" t="s">
        <x:v>1064</x:v>
      </x:c>
      <x:c r="D283" s="79" t="s">
        <x:v>1014</x:v>
      </x:c>
      <x:c r="E283" s="79" t="s">
        <x:v>16</x:v>
      </x:c>
      <x:c r="F283" s="79" t="s">
        <x:v>16</x:v>
      </x:c>
      <x:c r="G283" s="79" t="n">
        <x:f>IF(RIGHT($A283,2)="-2",INDEX('قیمت ها'!$E:$E,$J283+2),INDEX('قیمت ها'!$B:$B,$J283+2))</x:f>
        <x:v>980</x:v>
      </x:c>
      <x:c r="H283" s="110">
        <x:f t="shared" si="8"/>
        <x:v>980000</x:v>
      </x:c>
      <x:c r="I283" s="79" t="str">
        <x:f t="shared" si="9"/>
        <x:v>فعال</x:v>
      </x:c>
      <x:c r="J283" s="79">
        <x:v>236</x:v>
      </x:c>
      <x:c r="K283" s="79" t="s">
        <x:v>1063</x:v>
      </x:c>
      <x:c r="L283" s="79"/>
      <x:c r="M283" s="79"/>
      <x:c r="N283" s="79"/>
      <x:c r="O283" s="79"/>
      <x:c r="P283" s="79"/>
      <x:c r="Q283" s="79"/>
      <x:c r="R283" s="79"/>
      <x:c r="S283" s="79"/>
      <x:c r="T283" s="79"/>
      <x:c r="U283" s="79"/>
      <x:c r="V283" s="79"/>
      <x:c r="W283" s="79"/>
      <x:c r="X283" s="79"/>
      <x:c r="Y283" s="79"/>
      <x:c r="Z283" s="79"/>
      <x:c r="AA283" s="79" t="str">
        <x:f>IF(AND(LEN($N$2)&gt;=3,ISNUMBER(SEARCH($N$2,$B283))),MAX($AA$1:AA282)+1,"")</x:f>
      </x:c>
      <x:c r="AB283" s="79" t="str">
        <x:v>6a3782d7df5573f4e676e243</x:v>
      </x:c>
      <x:c r="AC283" s="79" t="str">
        <x:v>گیاهان دارویی</x:v>
      </x:c>
      <x:c r="AD283" s="79" t="str">
        <x:v>medicinal-plants</x:v>
      </x:c>
      <x:c r="AE283" s="79" t="str">
        <x:v>EDIBLE</x:v>
      </x:c>
      <x:c r="AF283" s="79" t="str">
        <x:v>بله</x:v>
      </x:c>
      <x:c r="AG283" s="79" t="str">
        <x:v>خیر</x:v>
      </x:c>
      <x:c r="AH283" s="79" t="n">
        <x:v>1</x:v>
      </x:c>
      <x:c r="AI283" s="79" t="str">
        <x:v>شنبلیله تخم</x:v>
      </x:c>
      <x:c r="AJ283" s="79" t="str">
        <x:v>سایر</x:v>
      </x:c>
      <x:c r="AK283" s="79" t="str">
        <x:v>دسته از «خشکبار و آجیل» به «گیاهان دارویی» اصلاح شد</x:v>
      </x:c>
    </x:row>
    <x:row r="284">
      <x:c r="A284" s="79" t="s">
        <x:v>1065</x:v>
      </x:c>
      <x:c r="B284" s="79" t="s">
        <x:v>300</x:v>
      </x:c>
      <x:c r="C284" s="79" t="s">
        <x:v>1066</x:v>
      </x:c>
      <x:c r="D284" s="79" t="s">
        <x:v>1014</x:v>
      </x:c>
      <x:c r="E284" s="79" t="s">
        <x:v>301</x:v>
      </x:c>
      <x:c r="F284" s="79" t="s">
        <x:v>682</x:v>
      </x:c>
      <x:c r="G284" s="79" t="n">
        <x:f>IF(RIGHT($A284,2)="-2",INDEX('قیمت ها'!$E:$E,$J284+2),INDEX('قیمت ها'!$B:$B,$J284+2))</x:f>
        <x:v>230</x:v>
      </x:c>
      <x:c r="H284" s="110">
        <x:f t="shared" si="8"/>
        <x:v>230000</x:v>
      </x:c>
      <x:c r="I284" s="79" t="str">
        <x:f t="shared" si="9"/>
        <x:v>فعال</x:v>
      </x:c>
      <x:c r="J284" s="79">
        <x:v>237</x:v>
      </x:c>
      <x:c r="K284" s="79" t="s">
        <x:v>1065</x:v>
      </x:c>
      <x:c r="L284" s="79"/>
      <x:c r="M284" s="79"/>
      <x:c r="N284" s="79"/>
      <x:c r="O284" s="79"/>
      <x:c r="P284" s="79"/>
      <x:c r="Q284" s="79"/>
      <x:c r="R284" s="79"/>
      <x:c r="S284" s="79"/>
      <x:c r="T284" s="79"/>
      <x:c r="U284" s="79"/>
      <x:c r="V284" s="79"/>
      <x:c r="W284" s="79"/>
      <x:c r="X284" s="79"/>
      <x:c r="Y284" s="79"/>
      <x:c r="Z284" s="79"/>
      <x:c r="AA284" s="79" t="str">
        <x:f>IF(AND(LEN($N$2)&gt;=3,ISNUMBER(SEARCH($N$2,$B284))),MAX($AA$1:AA283)+1,"")</x:f>
      </x:c>
      <x:c r="AB284" s="79" t="str">
        <x:v>6a3782d7df5573f4e676e243</x:v>
      </x:c>
      <x:c r="AC284" s="79" t="str">
        <x:v>گیاهان دارویی</x:v>
      </x:c>
      <x:c r="AD284" s="79" t="str">
        <x:v>medicinal-plants</x:v>
      </x:c>
      <x:c r="AE284" s="79" t="str">
        <x:v>EDIBLE</x:v>
      </x:c>
      <x:c r="AF284" s="79" t="str">
        <x:v>بله</x:v>
      </x:c>
      <x:c r="AG284" s="79" t="str">
        <x:v>خیر</x:v>
      </x:c>
      <x:c r="AH284" s="79" t="n">
        <x:v>1</x:v>
      </x:c>
      <x:c r="AI284" s="79" t="str">
        <x:v>شوید خشک</x:v>
      </x:c>
      <x:c r="AJ284" s="79" t="str">
        <x:v>سایر</x:v>
      </x:c>
      <x:c r="AK284" s="79" t="str">
        <x:v>دسته از «نیاز به بررسی» به «گیاهان دارویی» اصلاح شد</x:v>
      </x:c>
    </x:row>
    <x:row r="285">
      <x:c r="A285" s="79" t="s">
        <x:v>1067</x:v>
      </x:c>
      <x:c r="B285" s="79" t="s">
        <x:v>302</x:v>
      </x:c>
      <x:c r="C285" s="79" t="s">
        <x:v>1068</x:v>
      </x:c>
      <x:c r="D285" s="79" t="s">
        <x:v>1014</x:v>
      </x:c>
      <x:c r="E285" s="79" t="s">
        <x:v>301</x:v>
      </x:c>
      <x:c r="F285" s="79" t="s">
        <x:v>682</x:v>
      </x:c>
      <x:c r="G285" s="79" t="n">
        <x:f>IF(RIGHT($A285,2)="-2",INDEX('قیمت ها'!$E:$E,$J285+2),INDEX('قیمت ها'!$B:$B,$J285+2))</x:f>
        <x:v>230</x:v>
      </x:c>
      <x:c r="H285" s="110">
        <x:f t="shared" si="8"/>
        <x:v>230000</x:v>
      </x:c>
      <x:c r="I285" s="79" t="str">
        <x:f t="shared" si="9"/>
        <x:v>فعال</x:v>
      </x:c>
      <x:c r="J285" s="79">
        <x:v>238</x:v>
      </x:c>
      <x:c r="K285" s="79" t="s">
        <x:v>1067</x:v>
      </x:c>
      <x:c r="L285" s="79"/>
      <x:c r="M285" s="79"/>
      <x:c r="N285" s="79"/>
      <x:c r="O285" s="79"/>
      <x:c r="P285" s="79"/>
      <x:c r="Q285" s="79"/>
      <x:c r="R285" s="79"/>
      <x:c r="S285" s="79"/>
      <x:c r="T285" s="79"/>
      <x:c r="U285" s="79"/>
      <x:c r="V285" s="79"/>
      <x:c r="W285" s="79"/>
      <x:c r="X285" s="79"/>
      <x:c r="Y285" s="79"/>
      <x:c r="Z285" s="79"/>
      <x:c r="AA285" s="79" t="str">
        <x:f>IF(AND(LEN($N$2)&gt;=3,ISNUMBER(SEARCH($N$2,$B285))),MAX($AA$1:AA284)+1,"")</x:f>
      </x:c>
      <x:c r="AB285" s="79" t="str">
        <x:v>6a3a00000000000000000003</x:v>
      </x:c>
      <x:c r="AC285" s="79" t="str">
        <x:v>قنادی و شیرینی</x:v>
      </x:c>
      <x:c r="AD285" s="79" t="str">
        <x:v>confectionery</x:v>
      </x:c>
      <x:c r="AE285" s="79" t="str">
        <x:v>EDIBLE</x:v>
      </x:c>
      <x:c r="AF285" s="79" t="str">
        <x:v>بله</x:v>
      </x:c>
      <x:c r="AG285" s="79" t="str">
        <x:v>خیر</x:v>
      </x:c>
      <x:c r="AH285" s="79" t="n">
        <x:v>1</x:v>
      </x:c>
      <x:c r="AI285" s="79" t="str">
        <x:v>شیرخشک قنادی</x:v>
      </x:c>
      <x:c r="AJ285" s="79" t="str">
        <x:v>سایر</x:v>
      </x:c>
      <x:c r="AK285" s="79" t="str">
        <x:v>دسته از «نیاز به بررسی» به «قنادی و شیرینی» اصلاح شد</x:v>
      </x:c>
    </x:row>
    <x:row r="286">
      <x:c r="A286" s="79" t="s">
        <x:v>1069</x:v>
      </x:c>
      <x:c r="B286" s="79" t="s">
        <x:v>304</x:v>
      </x:c>
      <x:c r="C286" s="79" t="s">
        <x:v>1070</x:v>
      </x:c>
      <x:c r="D286" s="79" t="s">
        <x:v>1014</x:v>
      </x:c>
      <x:c r="E286" s="79" t="s">
        <x:v>301</x:v>
      </x:c>
      <x:c r="F286" s="79" t="s">
        <x:v>682</x:v>
      </x:c>
      <x:c r="G286" s="79" t="n">
        <x:f>IF(RIGHT($A286,2)="-2",INDEX('قیمت ها'!$E:$E,$J286+2),INDEX('قیمت ها'!$B:$B,$J286+2))</x:f>
        <x:v>230</x:v>
      </x:c>
      <x:c r="H286" s="110">
        <x:f t="shared" si="8"/>
        <x:v>230000</x:v>
      </x:c>
      <x:c r="I286" s="79" t="str">
        <x:f t="shared" si="9"/>
        <x:v>فعال</x:v>
      </x:c>
      <x:c r="J286" s="79">
        <x:v>240</x:v>
      </x:c>
      <x:c r="K286" s="79" t="s">
        <x:v>1069</x:v>
      </x:c>
      <x:c r="L286" s="79"/>
      <x:c r="M286" s="79"/>
      <x:c r="N286" s="79"/>
      <x:c r="O286" s="79"/>
      <x:c r="P286" s="79"/>
      <x:c r="Q286" s="79"/>
      <x:c r="R286" s="79"/>
      <x:c r="S286" s="79"/>
      <x:c r="T286" s="79"/>
      <x:c r="U286" s="79"/>
      <x:c r="V286" s="79"/>
      <x:c r="W286" s="79"/>
      <x:c r="X286" s="79"/>
      <x:c r="Y286" s="79"/>
      <x:c r="Z286" s="79"/>
      <x:c r="AA286" s="79" t="str">
        <x:f>IF(AND(LEN($N$2)&gt;=3,ISNUMBER(SEARCH($N$2,$B286))),MAX($AA$1:AA285)+1,"")</x:f>
      </x:c>
      <x:c r="AB286" s="79" t="str">
        <x:v>6a3782ffdf5573f4e676e24b</x:v>
      </x:c>
      <x:c r="AC286" s="79" t="str">
        <x:v>نوشیدنی‌ها</x:v>
      </x:c>
      <x:c r="AD286" s="79" t="str">
        <x:v>syrup</x:v>
      </x:c>
      <x:c r="AE286" s="79" t="str">
        <x:v>EDIBLE</x:v>
      </x:c>
      <x:c r="AF286" s="79" t="str">
        <x:v>بله</x:v>
      </x:c>
      <x:c r="AG286" s="79" t="str">
        <x:v>خیر</x:v>
      </x:c>
      <x:c r="AH286" s="79" t="n">
        <x:v>1</x:v>
      </x:c>
      <x:c r="AI286" s="79" t="str">
        <x:v>شیره 4 شیره</x:v>
      </x:c>
      <x:c r="AJ286" s="79" t="str">
        <x:v>سایر</x:v>
      </x:c>
      <x:c r="AK286" s="79" t="str">
        <x:v>دسته از «نیاز به بررسی» به «نوشیدنی‌ها» اصلاح شد</x:v>
      </x:c>
    </x:row>
    <x:row r="287">
      <x:c r="A287" s="79" t="s">
        <x:v>1071</x:v>
      </x:c>
      <x:c r="B287" s="79" t="s">
        <x:v>305</x:v>
      </x:c>
      <x:c r="C287" s="79" t="s">
        <x:v>1072</x:v>
      </x:c>
      <x:c r="D287" s="79" t="s">
        <x:v>1014</x:v>
      </x:c>
      <x:c r="E287" s="79" t="s">
        <x:v>301</x:v>
      </x:c>
      <x:c r="F287" s="79" t="s">
        <x:v>682</x:v>
      </x:c>
      <x:c r="G287" s="79" t="n">
        <x:f>IF(RIGHT($A287,2)="-2",INDEX('قیمت ها'!$E:$E,$J287+2),INDEX('قیمت ها'!$B:$B,$J287+2))</x:f>
        <x:v>230</x:v>
      </x:c>
      <x:c r="H287" s="110">
        <x:f t="shared" si="8"/>
        <x:v>230000</x:v>
      </x:c>
      <x:c r="I287" s="79" t="str">
        <x:f t="shared" si="9"/>
        <x:v>فعال</x:v>
      </x:c>
      <x:c r="J287" s="79">
        <x:v>241</x:v>
      </x:c>
      <x:c r="K287" s="79" t="s">
        <x:v>1071</x:v>
      </x:c>
      <x:c r="L287" s="79"/>
      <x:c r="M287" s="79"/>
      <x:c r="N287" s="79"/>
      <x:c r="O287" s="79"/>
      <x:c r="P287" s="79"/>
      <x:c r="Q287" s="79"/>
      <x:c r="R287" s="79"/>
      <x:c r="S287" s="79"/>
      <x:c r="T287" s="79"/>
      <x:c r="U287" s="79"/>
      <x:c r="V287" s="79"/>
      <x:c r="W287" s="79"/>
      <x:c r="X287" s="79"/>
      <x:c r="Y287" s="79"/>
      <x:c r="Z287" s="79"/>
      <x:c r="AA287" s="79" t="str">
        <x:f>IF(AND(LEN($N$2)&gt;=3,ISNUMBER(SEARCH($N$2,$B287))),MAX($AA$1:AA286)+1,"")</x:f>
      </x:c>
      <x:c r="AB287" s="79" t="str">
        <x:v>6a37810ddf5573f4e676e201</x:v>
      </x:c>
      <x:c r="AC287" s="79" t="str">
        <x:v>خشکبار و آجیل</x:v>
      </x:c>
      <x:c r="AD287" s="79" t="str">
        <x:v>dried-fruits-nuts</x:v>
      </x:c>
      <x:c r="AE287" s="79" t="str">
        <x:v>EDIBLE</x:v>
      </x:c>
      <x:c r="AF287" s="79" t="str">
        <x:v>بله</x:v>
      </x:c>
      <x:c r="AG287" s="79" t="str">
        <x:v>خیر</x:v>
      </x:c>
      <x:c r="AH287" s="79" t="n">
        <x:v>1</x:v>
      </x:c>
      <x:c r="AI287" s="79" t="str">
        <x:v>شیره انجیر</x:v>
      </x:c>
      <x:c r="AJ287" s="79" t="str">
        <x:v>سایر</x:v>
      </x:c>
      <x:c r="AK287" s="79"/>
    </x:row>
    <x:row r="288">
      <x:c r="A288" s="79" t="s">
        <x:v>1073</x:v>
      </x:c>
      <x:c r="B288" s="79" t="s">
        <x:v>307</x:v>
      </x:c>
      <x:c r="C288" s="79" t="s">
        <x:v>1074</x:v>
      </x:c>
      <x:c r="D288" s="79" t="s">
        <x:v>1014</x:v>
      </x:c>
      <x:c r="E288" s="79" t="s">
        <x:v>301</x:v>
      </x:c>
      <x:c r="F288" s="79" t="s">
        <x:v>682</x:v>
      </x:c>
      <x:c r="G288" s="79" t="n">
        <x:f>IF(RIGHT($A288,2)="-2",INDEX('قیمت ها'!$E:$E,$J288+2),INDEX('قیمت ها'!$B:$B,$J288+2))</x:f>
        <x:v>340</x:v>
      </x:c>
      <x:c r="H288" s="110">
        <x:f t="shared" si="8"/>
        <x:v>340000</x:v>
      </x:c>
      <x:c r="I288" s="79" t="str">
        <x:f t="shared" si="9"/>
        <x:v>فعال</x:v>
      </x:c>
      <x:c r="J288" s="79">
        <x:v>243</x:v>
      </x:c>
      <x:c r="K288" s="79" t="s">
        <x:v>1073</x:v>
      </x:c>
      <x:c r="L288" s="79"/>
      <x:c r="M288" s="79"/>
      <x:c r="N288" s="79"/>
      <x:c r="O288" s="79"/>
      <x:c r="P288" s="79"/>
      <x:c r="Q288" s="79"/>
      <x:c r="R288" s="79"/>
      <x:c r="S288" s="79"/>
      <x:c r="T288" s="79"/>
      <x:c r="U288" s="79"/>
      <x:c r="V288" s="79"/>
      <x:c r="W288" s="79"/>
      <x:c r="X288" s="79"/>
      <x:c r="Y288" s="79"/>
      <x:c r="Z288" s="79"/>
      <x:c r="AA288" s="79" t="str">
        <x:f>IF(AND(LEN($N$2)&gt;=3,ISNUMBER(SEARCH($N$2,$B288))),MAX($AA$1:AA287)+1,"")</x:f>
      </x:c>
      <x:c r="AB288" s="79" t="str">
        <x:v>6a3782ffdf5573f4e676e24b</x:v>
      </x:c>
      <x:c r="AC288" s="79" t="str">
        <x:v>نوشیدنی‌ها</x:v>
      </x:c>
      <x:c r="AD288" s="79" t="str">
        <x:v>syrup</x:v>
      </x:c>
      <x:c r="AE288" s="79" t="str">
        <x:v>EDIBLE</x:v>
      </x:c>
      <x:c r="AF288" s="79" t="str">
        <x:v>بله</x:v>
      </x:c>
      <x:c r="AG288" s="79" t="str">
        <x:v>خیر</x:v>
      </x:c>
      <x:c r="AH288" s="79" t="n">
        <x:v>1</x:v>
      </x:c>
      <x:c r="AI288" s="79" t="str">
        <x:v>شیره توت</x:v>
      </x:c>
      <x:c r="AJ288" s="79" t="str">
        <x:v>سایر</x:v>
      </x:c>
      <x:c r="AK288" s="79" t="str">
        <x:v>دسته از «نیاز به بررسی» به «نوشیدنی‌ها» اصلاح شد</x:v>
      </x:c>
    </x:row>
    <x:row r="289">
      <x:c r="A289" s="79" t="s">
        <x:v>1075</x:v>
      </x:c>
      <x:c r="B289" s="79" t="s">
        <x:v>307</x:v>
      </x:c>
      <x:c r="C289" s="79" t="s">
        <x:v>1076</x:v>
      </x:c>
      <x:c r="D289" s="79" t="s">
        <x:v>1014</x:v>
      </x:c>
      <x:c r="E289" s="79" t="s">
        <x:v>308</x:v>
      </x:c>
      <x:c r="F289" s="79" t="s">
        <x:v>16</x:v>
      </x:c>
      <x:c r="G289" s="79" t="n">
        <x:f>IF(RIGHT($A289,2)="-2",INDEX('قیمت ها'!$E:$E,$J289+2),INDEX('قیمت ها'!$B:$B,$J289+2))</x:f>
        <x:v>670</x:v>
      </x:c>
      <x:c r="H289" s="110">
        <x:f t="shared" si="8"/>
        <x:v>670000</x:v>
      </x:c>
      <x:c r="I289" s="79" t="str">
        <x:f t="shared" si="9"/>
        <x:v>فعال</x:v>
      </x:c>
      <x:c r="J289" s="79">
        <x:v>243</x:v>
      </x:c>
      <x:c r="K289" s="79" t="s">
        <x:v>1075</x:v>
      </x:c>
      <x:c r="L289" s="79"/>
      <x:c r="M289" s="79"/>
      <x:c r="N289" s="79"/>
      <x:c r="O289" s="79"/>
      <x:c r="P289" s="79"/>
      <x:c r="Q289" s="79"/>
      <x:c r="R289" s="79"/>
      <x:c r="S289" s="79"/>
      <x:c r="T289" s="79"/>
      <x:c r="U289" s="79"/>
      <x:c r="V289" s="79"/>
      <x:c r="W289" s="79"/>
      <x:c r="X289" s="79"/>
      <x:c r="Y289" s="79"/>
      <x:c r="Z289" s="79"/>
      <x:c r="AA289" s="79" t="str">
        <x:f>IF(AND(LEN($N$2)&gt;=3,ISNUMBER(SEARCH($N$2,$B289))),MAX($AA$1:AA288)+1,"")</x:f>
      </x:c>
      <x:c r="AB289" s="79" t="str">
        <x:v>6a3782ffdf5573f4e676e24b</x:v>
      </x:c>
      <x:c r="AC289" s="79" t="str">
        <x:v>نوشیدنی‌ها</x:v>
      </x:c>
      <x:c r="AD289" s="79" t="str">
        <x:v>syrup</x:v>
      </x:c>
      <x:c r="AE289" s="79" t="str">
        <x:v>EDIBLE</x:v>
      </x:c>
      <x:c r="AF289" s="79" t="str">
        <x:v>بله</x:v>
      </x:c>
      <x:c r="AG289" s="79" t="str">
        <x:v>خیر</x:v>
      </x:c>
      <x:c r="AH289" s="79" t="n">
        <x:v>1</x:v>
      </x:c>
      <x:c r="AI289" s="79" t="str">
        <x:v>شیره توت</x:v>
      </x:c>
      <x:c r="AJ289" s="79" t="str">
        <x:v>سایر</x:v>
      </x:c>
      <x:c r="AK289" s="79" t="str">
        <x:v>دسته از «نیاز به بررسی» به «نوشیدنی‌ها» اصلاح شد</x:v>
      </x:c>
    </x:row>
    <x:row r="290">
      <x:c r="A290" s="79" t="s">
        <x:v>1077</x:v>
      </x:c>
      <x:c r="B290" s="79" t="s">
        <x:v>309</x:v>
      </x:c>
      <x:c r="C290" s="79" t="s">
        <x:v>1078</x:v>
      </x:c>
      <x:c r="D290" s="79" t="s">
        <x:v>1014</x:v>
      </x:c>
      <x:c r="E290" s="79" t="s">
        <x:v>301</x:v>
      </x:c>
      <x:c r="F290" s="79" t="s">
        <x:v>682</x:v>
      </x:c>
      <x:c r="G290" s="79" t="n">
        <x:f>IF(RIGHT($A290,2)="-2",INDEX('قیمت ها'!$E:$E,$J290+2),INDEX('قیمت ها'!$B:$B,$J290+2))</x:f>
        <x:v>300</x:v>
      </x:c>
      <x:c r="H290" s="110">
        <x:f t="shared" si="8"/>
        <x:v>300000</x:v>
      </x:c>
      <x:c r="I290" s="79" t="str">
        <x:f t="shared" si="9"/>
        <x:v>فعال</x:v>
      </x:c>
      <x:c r="J290" s="79">
        <x:v>244</x:v>
      </x:c>
      <x:c r="K290" s="79" t="s">
        <x:v>1077</x:v>
      </x:c>
      <x:c r="L290" s="79"/>
      <x:c r="M290" s="79"/>
      <x:c r="N290" s="79"/>
      <x:c r="O290" s="79"/>
      <x:c r="P290" s="79"/>
      <x:c r="Q290" s="79"/>
      <x:c r="R290" s="79"/>
      <x:c r="S290" s="79"/>
      <x:c r="T290" s="79"/>
      <x:c r="U290" s="79"/>
      <x:c r="V290" s="79"/>
      <x:c r="W290" s="79"/>
      <x:c r="X290" s="79"/>
      <x:c r="Y290" s="79"/>
      <x:c r="Z290" s="79"/>
      <x:c r="AA290" s="79" t="str">
        <x:f>IF(AND(LEN($N$2)&gt;=3,ISNUMBER(SEARCH($N$2,$B290))),MAX($AA$1:AA289)+1,"")</x:f>
      </x:c>
      <x:c r="AB290" s="79" t="str">
        <x:v>6a3a00000000000000000003</x:v>
      </x:c>
      <x:c r="AC290" s="79" t="str">
        <x:v>قنادی و شیرینی</x:v>
      </x:c>
      <x:c r="AD290" s="79" t="str">
        <x:v>confectionery</x:v>
      </x:c>
      <x:c r="AE290" s="79" t="str">
        <x:v>EDIBLE</x:v>
      </x:c>
      <x:c r="AF290" s="79" t="str">
        <x:v>بله</x:v>
      </x:c>
      <x:c r="AG290" s="79" t="str">
        <x:v>خیر</x:v>
      </x:c>
      <x:c r="AH290" s="79" t="n">
        <x:v>1</x:v>
      </x:c>
      <x:c r="AI290" s="79" t="str">
        <x:v>شیره خرما</x:v>
      </x:c>
      <x:c r="AJ290" s="79" t="str">
        <x:v>سایر</x:v>
      </x:c>
      <x:c r="AK290" s="79"/>
    </x:row>
    <x:row r="291">
      <x:c r="A291" s="79" t="s">
        <x:v>1079</x:v>
      </x:c>
      <x:c r="B291" s="79" t="s">
        <x:v>312</x:v>
      </x:c>
      <x:c r="C291" s="79" t="s">
        <x:v>1080</x:v>
      </x:c>
      <x:c r="D291" s="79" t="s">
        <x:v>1014</x:v>
      </x:c>
      <x:c r="E291" s="79" t="s">
        <x:v>16</x:v>
      </x:c>
      <x:c r="F291" s="79" t="s">
        <x:v>16</x:v>
      </x:c>
      <x:c r="G291" s="79" t="n">
        <x:f>IF(RIGHT($A291,2)="-2",INDEX('قیمت ها'!$E:$E,$J291+2),INDEX('قیمت ها'!$B:$B,$J291+2))</x:f>
        <x:v>120</x:v>
      </x:c>
      <x:c r="H291" s="110">
        <x:f t="shared" si="8"/>
        <x:v>120000</x:v>
      </x:c>
      <x:c r="I291" s="79" t="str">
        <x:f t="shared" si="9"/>
        <x:v>فعال</x:v>
      </x:c>
      <x:c r="J291" s="79">
        <x:v>247</x:v>
      </x:c>
      <x:c r="K291" s="79" t="s">
        <x:v>1079</x:v>
      </x:c>
      <x:c r="L291" s="79"/>
      <x:c r="M291" s="79"/>
      <x:c r="N291" s="79"/>
      <x:c r="O291" s="79"/>
      <x:c r="P291" s="79"/>
      <x:c r="Q291" s="79"/>
      <x:c r="R291" s="79"/>
      <x:c r="S291" s="79"/>
      <x:c r="T291" s="79"/>
      <x:c r="U291" s="79"/>
      <x:c r="V291" s="79"/>
      <x:c r="W291" s="79"/>
      <x:c r="X291" s="79"/>
      <x:c r="Y291" s="79"/>
      <x:c r="Z291" s="79"/>
      <x:c r="AA291" s="79" t="str">
        <x:f>IF(AND(LEN($N$2)&gt;=3,ISNUMBER(SEARCH($N$2,$B291))),MAX($AA$1:AA290)+1,"")</x:f>
      </x:c>
      <x:c r="AB291" s="79" t="str">
        <x:v>6a3782d7df5573f4e676e243</x:v>
      </x:c>
      <x:c r="AC291" s="79" t="str">
        <x:v>گیاهان دارویی</x:v>
      </x:c>
      <x:c r="AD291" s="79" t="str">
        <x:v>medicinal-plants</x:v>
      </x:c>
      <x:c r="AE291" s="79" t="str">
        <x:v>EDIBLE</x:v>
      </x:c>
      <x:c r="AF291" s="79" t="str">
        <x:v>بله</x:v>
      </x:c>
      <x:c r="AG291" s="79" t="str">
        <x:v>خیر</x:v>
      </x:c>
      <x:c r="AH291" s="79" t="n">
        <x:v>1</x:v>
      </x:c>
      <x:c r="AI291" s="79" t="str">
        <x:v>شیره شیرین بیان</x:v>
      </x:c>
      <x:c r="AJ291" s="79" t="str">
        <x:v>سایر</x:v>
      </x:c>
      <x:c r="AK291" s="79"/>
    </x:row>
    <x:row r="292">
      <x:c r="A292" s="79" t="s">
        <x:v>1081</x:v>
      </x:c>
      <x:c r="B292" s="79" t="s">
        <x:v>315</x:v>
      </x:c>
      <x:c r="C292" s="79" t="s">
        <x:v>1082</x:v>
      </x:c>
      <x:c r="D292" s="79" t="s">
        <x:v>1014</x:v>
      </x:c>
      <x:c r="E292" s="79" t="s">
        <x:v>16</x:v>
      </x:c>
      <x:c r="F292" s="79" t="s">
        <x:v>16</x:v>
      </x:c>
      <x:c r="G292" s="79" t="n">
        <x:f>IF(RIGHT($A292,2)="-2",INDEX('قیمت ها'!$E:$E,$J292+2),INDEX('قیمت ها'!$B:$B,$J292+2))</x:f>
        <x:v>180</x:v>
      </x:c>
      <x:c r="H292" s="110">
        <x:f t="shared" si="8"/>
        <x:v>180000</x:v>
      </x:c>
      <x:c r="I292" s="79" t="str">
        <x:f t="shared" si="9"/>
        <x:v>فعال</x:v>
      </x:c>
      <x:c r="J292" s="79">
        <x:v>250</x:v>
      </x:c>
      <x:c r="K292" s="79" t="s">
        <x:v>1081</x:v>
      </x:c>
      <x:c r="L292" s="79"/>
      <x:c r="M292" s="79"/>
      <x:c r="N292" s="79"/>
      <x:c r="O292" s="79"/>
      <x:c r="P292" s="79"/>
      <x:c r="Q292" s="79"/>
      <x:c r="R292" s="79"/>
      <x:c r="S292" s="79"/>
      <x:c r="T292" s="79"/>
      <x:c r="U292" s="79"/>
      <x:c r="V292" s="79"/>
      <x:c r="W292" s="79"/>
      <x:c r="X292" s="79"/>
      <x:c r="Y292" s="79"/>
      <x:c r="Z292" s="79"/>
      <x:c r="AA292" s="79" t="str">
        <x:f>IF(AND(LEN($N$2)&gt;=3,ISNUMBER(SEARCH($N$2,$B292))),MAX($AA$1:AA291)+1,"")</x:f>
      </x:c>
      <x:c r="AB292" s="79" t="str">
        <x:v>6a3782d7df5573f4e676e243</x:v>
      </x:c>
      <x:c r="AC292" s="79" t="str">
        <x:v>گیاهان دارویی</x:v>
      </x:c>
      <x:c r="AD292" s="79" t="str">
        <x:v>medicinal-plants</x:v>
      </x:c>
      <x:c r="AE292" s="79" t="str">
        <x:v>TOPICAL</x:v>
      </x:c>
      <x:c r="AF292" s="79" t="str">
        <x:v>خیر</x:v>
      </x:c>
      <x:c r="AG292" s="79" t="str">
        <x:v>خیر</x:v>
      </x:c>
      <x:c r="AH292" s="79" t="n">
        <x:v>1</x:v>
      </x:c>
      <x:c r="AI292" s="79" t="str">
        <x:v>صابون انار</x:v>
      </x:c>
      <x:c r="AJ292" s="79" t="str">
        <x:v>سایر</x:v>
      </x:c>
      <x:c r="AK29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93">
      <x:c r="A293" s="79" t="s">
        <x:v>1083</x:v>
      </x:c>
      <x:c r="B293" s="79" t="s">
        <x:v>316</x:v>
      </x:c>
      <x:c r="C293" s="79" t="s">
        <x:v>1084</x:v>
      </x:c>
      <x:c r="D293" s="79" t="s">
        <x:v>1014</x:v>
      </x:c>
      <x:c r="E293" s="79" t="s">
        <x:v>16</x:v>
      </x:c>
      <x:c r="F293" s="79" t="s">
        <x:v>16</x:v>
      </x:c>
      <x:c r="G293" s="79" t="n">
        <x:f>IF(RIGHT($A293,2)="-2",INDEX('قیمت ها'!$E:$E,$J293+2),INDEX('قیمت ها'!$B:$B,$J293+2))</x:f>
        <x:v>120</x:v>
      </x:c>
      <x:c r="H293" s="110">
        <x:f t="shared" si="8"/>
        <x:v>120000</x:v>
      </x:c>
      <x:c r="I293" s="79" t="str">
        <x:f t="shared" si="9"/>
        <x:v>فعال</x:v>
      </x:c>
      <x:c r="J293" s="79">
        <x:v>251</x:v>
      </x:c>
      <x:c r="K293" s="79" t="s">
        <x:v>1083</x:v>
      </x:c>
      <x:c r="L293" s="79"/>
      <x:c r="M293" s="79"/>
      <x:c r="N293" s="79"/>
      <x:c r="O293" s="79"/>
      <x:c r="P293" s="79"/>
      <x:c r="Q293" s="79"/>
      <x:c r="R293" s="79"/>
      <x:c r="S293" s="79"/>
      <x:c r="T293" s="79"/>
      <x:c r="U293" s="79"/>
      <x:c r="V293" s="79"/>
      <x:c r="W293" s="79"/>
      <x:c r="X293" s="79"/>
      <x:c r="Y293" s="79"/>
      <x:c r="Z293" s="79"/>
      <x:c r="AA293" s="79" t="str">
        <x:f>IF(AND(LEN($N$2)&gt;=3,ISNUMBER(SEARCH($N$2,$B293))),MAX($AA$1:AA292)+1,"")</x:f>
      </x:c>
      <x:c r="AB293" s="79" t="str">
        <x:v>6a3782d7df5573f4e676e243</x:v>
      </x:c>
      <x:c r="AC293" s="79" t="str">
        <x:v>گیاهان دارویی</x:v>
      </x:c>
      <x:c r="AD293" s="79" t="str">
        <x:v>medicinal-plants</x:v>
      </x:c>
      <x:c r="AE293" s="79" t="str">
        <x:v>TOPICAL</x:v>
      </x:c>
      <x:c r="AF293" s="79" t="str">
        <x:v>خیر</x:v>
      </x:c>
      <x:c r="AG293" s="79" t="str">
        <x:v>خیر</x:v>
      </x:c>
      <x:c r="AH293" s="79" t="n">
        <x:v>1</x:v>
      </x:c>
      <x:c r="AI293" s="79" t="str">
        <x:v>صابون انگور</x:v>
      </x:c>
      <x:c r="AJ293" s="79" t="str">
        <x:v>سایر</x:v>
      </x:c>
      <x:c r="AK29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94">
      <x:c r="A294" s="79" t="s">
        <x:v>1085</x:v>
      </x:c>
      <x:c r="B294" s="79" t="s">
        <x:v>313</x:v>
      </x:c>
      <x:c r="C294" s="79" t="s">
        <x:v>1086</x:v>
      </x:c>
      <x:c r="D294" s="79" t="s">
        <x:v>1014</x:v>
      </x:c>
      <x:c r="E294" s="79" t="s">
        <x:v>16</x:v>
      </x:c>
      <x:c r="F294" s="79" t="s">
        <x:v>16</x:v>
      </x:c>
      <x:c r="G294" s="79" t="n">
        <x:f>IF(RIGHT($A294,2)="-2",INDEX('قیمت ها'!$E:$E,$J294+2),INDEX('قیمت ها'!$B:$B,$J294+2))</x:f>
        <x:v>120</x:v>
      </x:c>
      <x:c r="H294" s="110">
        <x:f t="shared" si="8"/>
        <x:v>120000</x:v>
      </x:c>
      <x:c r="I294" s="79" t="str">
        <x:f t="shared" si="9"/>
        <x:v>فعال</x:v>
      </x:c>
      <x:c r="J294" s="79">
        <x:v>248</x:v>
      </x:c>
      <x:c r="K294" s="79" t="s">
        <x:v>1085</x:v>
      </x:c>
      <x:c r="L294" s="79"/>
      <x:c r="M294" s="79"/>
      <x:c r="N294" s="79"/>
      <x:c r="O294" s="79"/>
      <x:c r="P294" s="79"/>
      <x:c r="Q294" s="79"/>
      <x:c r="R294" s="79"/>
      <x:c r="S294" s="79"/>
      <x:c r="T294" s="79"/>
      <x:c r="U294" s="79"/>
      <x:c r="V294" s="79"/>
      <x:c r="W294" s="79"/>
      <x:c r="X294" s="79"/>
      <x:c r="Y294" s="79"/>
      <x:c r="Z294" s="79"/>
      <x:c r="AA294" s="79" t="str">
        <x:f>IF(AND(LEN($N$2)&gt;=3,ISNUMBER(SEARCH($N$2,$B294))),MAX($AA$1:AA293)+1,"")</x:f>
      </x:c>
      <x:c r="AB294" s="79" t="str">
        <x:v>6a3782d7df5573f4e676e243</x:v>
      </x:c>
      <x:c r="AC294" s="79" t="str">
        <x:v>گیاهان دارویی</x:v>
      </x:c>
      <x:c r="AD294" s="79" t="str">
        <x:v>medicinal-plants</x:v>
      </x:c>
      <x:c r="AE294" s="79" t="str">
        <x:v>EDIBLE</x:v>
      </x:c>
      <x:c r="AF294" s="79" t="str">
        <x:v>بله</x:v>
      </x:c>
      <x:c r="AG294" s="79" t="str">
        <x:v>خیر</x:v>
      </x:c>
      <x:c r="AH294" s="79" t="n">
        <x:v>1</x:v>
      </x:c>
      <x:c r="AI294" s="79" t="str">
        <x:v>شیرین بیان چوب</x:v>
      </x:c>
      <x:c r="AJ294" s="79" t="str">
        <x:v>سایر</x:v>
      </x:c>
      <x:c r="AK294" s="79"/>
    </x:row>
    <x:row r="295">
      <x:c r="A295" s="79" t="s">
        <x:v>1087</x:v>
      </x:c>
      <x:c r="B295" s="79" t="s">
        <x:v>314</x:v>
      </x:c>
      <x:c r="C295" s="79" t="s">
        <x:v>1088</x:v>
      </x:c>
      <x:c r="D295" s="79" t="s">
        <x:v>1014</x:v>
      </x:c>
      <x:c r="E295" s="79" t="s">
        <x:v>16</x:v>
      </x:c>
      <x:c r="F295" s="79" t="s">
        <x:v>16</x:v>
      </x:c>
      <x:c r="G295" s="79" t="n">
        <x:f>IF(RIGHT($A295,2)="-2",INDEX('قیمت ها'!$E:$E,$J295+2),INDEX('قیمت ها'!$B:$B,$J295+2))</x:f>
        <x:v>120</x:v>
      </x:c>
      <x:c r="H295" s="110">
        <x:f t="shared" si="8"/>
        <x:v>120000</x:v>
      </x:c>
      <x:c r="I295" s="79" t="str">
        <x:f t="shared" si="9"/>
        <x:v>فعال</x:v>
      </x:c>
      <x:c r="J295" s="79">
        <x:v>249</x:v>
      </x:c>
      <x:c r="K295" s="79" t="s">
        <x:v>1087</x:v>
      </x:c>
      <x:c r="L295" s="79"/>
      <x:c r="M295" s="79"/>
      <x:c r="N295" s="79"/>
      <x:c r="O295" s="79"/>
      <x:c r="P295" s="79"/>
      <x:c r="Q295" s="79"/>
      <x:c r="R295" s="79"/>
      <x:c r="S295" s="79"/>
      <x:c r="T295" s="79"/>
      <x:c r="U295" s="79"/>
      <x:c r="V295" s="79"/>
      <x:c r="W295" s="79"/>
      <x:c r="X295" s="79"/>
      <x:c r="Y295" s="79"/>
      <x:c r="Z295" s="79"/>
      <x:c r="AA295" s="79" t="str">
        <x:f>IF(AND(LEN($N$2)&gt;=3,ISNUMBER(SEARCH($N$2,$B295))),MAX($AA$1:AA294)+1,"")</x:f>
      </x:c>
      <x:c r="AB295" s="79" t="str">
        <x:v>6a3782d7df5573f4e676e243</x:v>
      </x:c>
      <x:c r="AC295" s="79" t="str">
        <x:v>گیاهان دارویی</x:v>
      </x:c>
      <x:c r="AD295" s="79" t="str">
        <x:v>medicinal-plants</x:v>
      </x:c>
      <x:c r="AE295" s="79" t="str">
        <x:v>TOPICAL</x:v>
      </x:c>
      <x:c r="AF295" s="79" t="str">
        <x:v>خیر</x:v>
      </x:c>
      <x:c r="AG295" s="79" t="str">
        <x:v>خیر</x:v>
      </x:c>
      <x:c r="AH295" s="79" t="n">
        <x:v>1</x:v>
      </x:c>
      <x:c r="AI295" s="79" t="str">
        <x:v>صابون 7 گیاه</x:v>
      </x:c>
      <x:c r="AJ295" s="79" t="str">
        <x:v>سایر</x:v>
      </x:c>
      <x:c r="AK295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96">
      <x:c r="A296" s="79" t="s">
        <x:v>1089</x:v>
      </x:c>
      <x:c r="B296" s="79" t="s">
        <x:v>317</x:v>
      </x:c>
      <x:c r="C296" s="79" t="s">
        <x:v>1090</x:v>
      </x:c>
      <x:c r="D296" s="79" t="s">
        <x:v>1014</x:v>
      </x:c>
      <x:c r="E296" s="79" t="s">
        <x:v>16</x:v>
      </x:c>
      <x:c r="F296" s="79" t="s">
        <x:v>16</x:v>
      </x:c>
      <x:c r="G296" s="79" t="n">
        <x:f>IF(RIGHT($A296,2)="-2",INDEX('قیمت ها'!$E:$E,$J296+2),INDEX('قیمت ها'!$B:$B,$J296+2))</x:f>
        <x:v>250</x:v>
      </x:c>
      <x:c r="H296" s="110">
        <x:f t="shared" si="8"/>
        <x:v>250000</x:v>
      </x:c>
      <x:c r="I296" s="79" t="str">
        <x:f t="shared" si="9"/>
        <x:v>فعال</x:v>
      </x:c>
      <x:c r="J296" s="79">
        <x:v>252</x:v>
      </x:c>
      <x:c r="K296" s="79" t="s">
        <x:v>1089</x:v>
      </x:c>
      <x:c r="L296" s="79"/>
      <x:c r="M296" s="79"/>
      <x:c r="N296" s="79"/>
      <x:c r="O296" s="79"/>
      <x:c r="P296" s="79"/>
      <x:c r="Q296" s="79"/>
      <x:c r="R296" s="79"/>
      <x:c r="S296" s="79"/>
      <x:c r="T296" s="79"/>
      <x:c r="U296" s="79"/>
      <x:c r="V296" s="79"/>
      <x:c r="W296" s="79"/>
      <x:c r="X296" s="79"/>
      <x:c r="Y296" s="79"/>
      <x:c r="Z296" s="79"/>
      <x:c r="AA296" s="79" t="str">
        <x:f>IF(AND(LEN($N$2)&gt;=3,ISNUMBER(SEARCH($N$2,$B296))),MAX($AA$1:AA295)+1,"")</x:f>
      </x:c>
      <x:c r="AB296" s="79" t="str">
        <x:v>6a3782d7df5573f4e676e243</x:v>
      </x:c>
      <x:c r="AC296" s="79" t="str">
        <x:v>گیاهان دارویی</x:v>
      </x:c>
      <x:c r="AD296" s="79" t="str">
        <x:v>medicinal-plants</x:v>
      </x:c>
      <x:c r="AE296" s="79" t="str">
        <x:v>TOPICAL</x:v>
      </x:c>
      <x:c r="AF296" s="79" t="str">
        <x:v>خیر</x:v>
      </x:c>
      <x:c r="AG296" s="79" t="str">
        <x:v>خیر</x:v>
      </x:c>
      <x:c r="AH296" s="79" t="n">
        <x:v>1</x:v>
      </x:c>
      <x:c r="AI296" s="79" t="str">
        <x:v>صابون آرگان</x:v>
      </x:c>
      <x:c r="AJ296" s="79" t="str">
        <x:v>سایر</x:v>
      </x:c>
      <x:c r="AK296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97">
      <x:c r="A297" s="79" t="s">
        <x:v>1091</x:v>
      </x:c>
      <x:c r="B297" s="79" t="s">
        <x:v>319</x:v>
      </x:c>
      <x:c r="C297" s="79" t="s">
        <x:v>1092</x:v>
      </x:c>
      <x:c r="D297" s="79" t="s">
        <x:v>1014</x:v>
      </x:c>
      <x:c r="E297" s="79" t="s">
        <x:v>16</x:v>
      </x:c>
      <x:c r="F297" s="79" t="s">
        <x:v>16</x:v>
      </x:c>
      <x:c r="G297" s="79" t="n">
        <x:f>IF(RIGHT($A297,2)="-2",INDEX('قیمت ها'!$E:$E,$J297+2),INDEX('قیمت ها'!$B:$B,$J297+2))</x:f>
        <x:v>120</x:v>
      </x:c>
      <x:c r="H297" s="110">
        <x:f t="shared" si="8"/>
        <x:v>120000</x:v>
      </x:c>
      <x:c r="I297" s="79" t="str">
        <x:f t="shared" si="9"/>
        <x:v>فعال</x:v>
      </x:c>
      <x:c r="J297" s="79">
        <x:v>254</x:v>
      </x:c>
      <x:c r="K297" s="79" t="s">
        <x:v>1091</x:v>
      </x:c>
      <x:c r="L297" s="79"/>
      <x:c r="M297" s="79"/>
      <x:c r="N297" s="79"/>
      <x:c r="O297" s="79"/>
      <x:c r="P297" s="79"/>
      <x:c r="Q297" s="79"/>
      <x:c r="R297" s="79"/>
      <x:c r="S297" s="79"/>
      <x:c r="T297" s="79"/>
      <x:c r="U297" s="79"/>
      <x:c r="V297" s="79"/>
      <x:c r="W297" s="79"/>
      <x:c r="X297" s="79"/>
      <x:c r="Y297" s="79"/>
      <x:c r="Z297" s="79"/>
      <x:c r="AA297" s="79" t="str">
        <x:f>IF(AND(LEN($N$2)&gt;=3,ISNUMBER(SEARCH($N$2,$B297))),MAX($AA$1:AA296)+1,"")</x:f>
      </x:c>
      <x:c r="AB297" s="79" t="str">
        <x:v>6a3782d7df5573f4e676e243</x:v>
      </x:c>
      <x:c r="AC297" s="79" t="str">
        <x:v>گیاهان دارویی</x:v>
      </x:c>
      <x:c r="AD297" s="79" t="str">
        <x:v>medicinal-plants</x:v>
      </x:c>
      <x:c r="AE297" s="79" t="str">
        <x:v>TOPICAL</x:v>
      </x:c>
      <x:c r="AF297" s="79" t="str">
        <x:v>خیر</x:v>
      </x:c>
      <x:c r="AG297" s="79" t="str">
        <x:v>خیر</x:v>
      </x:c>
      <x:c r="AH297" s="79" t="n">
        <x:v>1</x:v>
      </x:c>
      <x:c r="AI297" s="79" t="str">
        <x:v>صابون تریاک</x:v>
      </x:c>
      <x:c r="AJ297" s="79" t="str">
        <x:v>سایر</x:v>
      </x:c>
      <x:c r="AK297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98">
      <x:c r="A298" s="79" t="s">
        <x:v>1093</x:v>
      </x:c>
      <x:c r="B298" s="79" t="s">
        <x:v>322</x:v>
      </x:c>
      <x:c r="C298" s="79" t="s">
        <x:v>1094</x:v>
      </x:c>
      <x:c r="D298" s="79" t="s">
        <x:v>1014</x:v>
      </x:c>
      <x:c r="E298" s="79" t="s">
        <x:v>16</x:v>
      </x:c>
      <x:c r="F298" s="79" t="s">
        <x:v>16</x:v>
      </x:c>
      <x:c r="G298" s="79" t="n">
        <x:f>IF(RIGHT($A298,2)="-2",INDEX('قیمت ها'!$E:$E,$J298+2),INDEX('قیمت ها'!$B:$B,$J298+2))</x:f>
        <x:v>120</x:v>
      </x:c>
      <x:c r="H298" s="110">
        <x:f t="shared" si="8"/>
        <x:v>120000</x:v>
      </x:c>
      <x:c r="I298" s="79" t="str">
        <x:f t="shared" si="9"/>
        <x:v>فعال</x:v>
      </x:c>
      <x:c r="J298" s="79">
        <x:v>257</x:v>
      </x:c>
      <x:c r="K298" s="79" t="s">
        <x:v>1093</x:v>
      </x:c>
      <x:c r="L298" s="79"/>
      <x:c r="M298" s="79"/>
      <x:c r="N298" s="79"/>
      <x:c r="O298" s="79"/>
      <x:c r="P298" s="79"/>
      <x:c r="Q298" s="79"/>
      <x:c r="R298" s="79"/>
      <x:c r="S298" s="79"/>
      <x:c r="T298" s="79"/>
      <x:c r="U298" s="79"/>
      <x:c r="V298" s="79"/>
      <x:c r="W298" s="79"/>
      <x:c r="X298" s="79"/>
      <x:c r="Y298" s="79"/>
      <x:c r="Z298" s="79"/>
      <x:c r="AA298" s="79" t="str">
        <x:f>IF(AND(LEN($N$2)&gt;=3,ISNUMBER(SEARCH($N$2,$B298))),MAX($AA$1:AA297)+1,"")</x:f>
      </x:c>
      <x:c r="AB298" s="79" t="str">
        <x:v>6a3782d7df5573f4e676e243</x:v>
      </x:c>
      <x:c r="AC298" s="79" t="str">
        <x:v>گیاهان دارویی</x:v>
      </x:c>
      <x:c r="AD298" s="79" t="str">
        <x:v>medicinal-plants</x:v>
      </x:c>
      <x:c r="AE298" s="79" t="str">
        <x:v>TOPICAL</x:v>
      </x:c>
      <x:c r="AF298" s="79" t="str">
        <x:v>خیر</x:v>
      </x:c>
      <x:c r="AG298" s="79" t="str">
        <x:v>خیر</x:v>
      </x:c>
      <x:c r="AH298" s="79" t="n">
        <x:v>1</x:v>
      </x:c>
      <x:c r="AI298" s="79" t="str">
        <x:v>صابون زردآلو</x:v>
      </x:c>
      <x:c r="AJ298" s="79" t="str">
        <x:v>سایر</x:v>
      </x:c>
      <x:c r="AK298" s="79" t="str">
        <x:v>دسته از «خشکبار و آجیل» به «گیاهان دارویی» اصلاح شد | نوع مصرف به موضعی/غیرخوراکی اصلاح شد</x:v>
      </x:c>
    </x:row>
    <x:row r="299">
      <x:c r="A299" s="79" t="s">
        <x:v>1095</x:v>
      </x:c>
      <x:c r="B299" s="79" t="s">
        <x:v>323</x:v>
      </x:c>
      <x:c r="C299" s="79" t="s">
        <x:v>1096</x:v>
      </x:c>
      <x:c r="D299" s="79" t="s">
        <x:v>1014</x:v>
      </x:c>
      <x:c r="E299" s="79" t="s">
        <x:v>16</x:v>
      </x:c>
      <x:c r="F299" s="79" t="s">
        <x:v>16</x:v>
      </x:c>
      <x:c r="G299" s="79" t="n">
        <x:f>IF(RIGHT($A299,2)="-2",INDEX('قیمت ها'!$E:$E,$J299+2),INDEX('قیمت ها'!$B:$B,$J299+2))</x:f>
        <x:v>90</x:v>
      </x:c>
      <x:c r="H299" s="110">
        <x:f t="shared" si="8"/>
        <x:v>90000</x:v>
      </x:c>
      <x:c r="I299" s="79" t="str">
        <x:f t="shared" si="9"/>
        <x:v>فعال</x:v>
      </x:c>
      <x:c r="J299" s="79">
        <x:v>258</x:v>
      </x:c>
      <x:c r="K299" s="79" t="s">
        <x:v>1095</x:v>
      </x:c>
      <x:c r="L299" s="79"/>
      <x:c r="M299" s="79"/>
      <x:c r="N299" s="79"/>
      <x:c r="O299" s="79"/>
      <x:c r="P299" s="79"/>
      <x:c r="Q299" s="79"/>
      <x:c r="R299" s="79"/>
      <x:c r="S299" s="79"/>
      <x:c r="T299" s="79"/>
      <x:c r="U299" s="79"/>
      <x:c r="V299" s="79"/>
      <x:c r="W299" s="79"/>
      <x:c r="X299" s="79"/>
      <x:c r="Y299" s="79"/>
      <x:c r="Z299" s="79"/>
      <x:c r="AA299" s="79" t="str">
        <x:f>IF(AND(LEN($N$2)&gt;=3,ISNUMBER(SEARCH($N$2,$B299))),MAX($AA$1:AA298)+1,"")</x:f>
      </x:c>
      <x:c r="AB299" s="79" t="str">
        <x:v>6a3782d7df5573f4e676e243</x:v>
      </x:c>
      <x:c r="AC299" s="79" t="str">
        <x:v>گیاهان دارویی</x:v>
      </x:c>
      <x:c r="AD299" s="79" t="str">
        <x:v>medicinal-plants</x:v>
      </x:c>
      <x:c r="AE299" s="79" t="str">
        <x:v>TOPICAL</x:v>
      </x:c>
      <x:c r="AF299" s="79" t="str">
        <x:v>خیر</x:v>
      </x:c>
      <x:c r="AG299" s="79" t="str">
        <x:v>خیر</x:v>
      </x:c>
      <x:c r="AH299" s="79" t="n">
        <x:v>1</x:v>
      </x:c>
      <x:c r="AI299" s="79" t="str">
        <x:v>صابون زردچوبه</x:v>
      </x:c>
      <x:c r="AJ299" s="79" t="str">
        <x:v>سایر</x:v>
      </x:c>
      <x:c r="AK299" s="79" t="str">
        <x:v>دسته از «ادویه» به «گیاهان دارویی» اصلاح شد | نوع مصرف به موضعی/غیرخوراکی اصلاح شد</x:v>
      </x:c>
    </x:row>
    <x:row r="300">
      <x:c r="A300" s="79" t="s">
        <x:v>1097</x:v>
      </x:c>
      <x:c r="B300" s="79" t="s">
        <x:v>324</x:v>
      </x:c>
      <x:c r="C300" s="79" t="s">
        <x:v>1098</x:v>
      </x:c>
      <x:c r="D300" s="79" t="s">
        <x:v>1014</x:v>
      </x:c>
      <x:c r="E300" s="79" t="s">
        <x:v>16</x:v>
      </x:c>
      <x:c r="F300" s="79" t="s">
        <x:v>16</x:v>
      </x:c>
      <x:c r="G300" s="79" t="n">
        <x:f>IF(RIGHT($A300,2)="-2",INDEX('قیمت ها'!$E:$E,$J300+2),INDEX('قیمت ها'!$B:$B,$J300+2))</x:f>
        <x:v>120</x:v>
      </x:c>
      <x:c r="H300" s="110">
        <x:f t="shared" si="8"/>
        <x:v>120000</x:v>
      </x:c>
      <x:c r="I300" s="79" t="str">
        <x:f t="shared" si="9"/>
        <x:v>فعال</x:v>
      </x:c>
      <x:c r="J300" s="79">
        <x:v>259</x:v>
      </x:c>
      <x:c r="K300" s="79" t="s">
        <x:v>1097</x:v>
      </x:c>
      <x:c r="L300" s="79"/>
      <x:c r="M300" s="79"/>
      <x:c r="N300" s="79"/>
      <x:c r="O300" s="79"/>
      <x:c r="P300" s="79"/>
      <x:c r="Q300" s="79"/>
      <x:c r="R300" s="79"/>
      <x:c r="S300" s="79"/>
      <x:c r="T300" s="79"/>
      <x:c r="U300" s="79"/>
      <x:c r="V300" s="79"/>
      <x:c r="W300" s="79"/>
      <x:c r="X300" s="79"/>
      <x:c r="Y300" s="79"/>
      <x:c r="Z300" s="79"/>
      <x:c r="AA300" s="79" t="str">
        <x:f>IF(AND(LEN($N$2)&gt;=3,ISNUMBER(SEARCH($N$2,$B300))),MAX($AA$1:AA299)+1,"")</x:f>
      </x:c>
      <x:c r="AB300" s="79" t="str">
        <x:v>6a3782d7df5573f4e676e243</x:v>
      </x:c>
      <x:c r="AC300" s="79" t="str">
        <x:v>گیاهان دارویی</x:v>
      </x:c>
      <x:c r="AD300" s="79" t="str">
        <x:v>medicinal-plants</x:v>
      </x:c>
      <x:c r="AE300" s="79" t="str">
        <x:v>TOPICAL</x:v>
      </x:c>
      <x:c r="AF300" s="79" t="str">
        <x:v>خیر</x:v>
      </x:c>
      <x:c r="AG300" s="79" t="str">
        <x:v>خیر</x:v>
      </x:c>
      <x:c r="AH300" s="79" t="n">
        <x:v>1</x:v>
      </x:c>
      <x:c r="AI300" s="79" t="str">
        <x:v>صابون زیتون</x:v>
      </x:c>
      <x:c r="AJ300" s="79" t="str">
        <x:v>سایر</x:v>
      </x:c>
      <x:c r="AK30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01">
      <x:c r="A301" s="79" t="s">
        <x:v>1099</x:v>
      </x:c>
      <x:c r="B301" s="79" t="s">
        <x:v>325</x:v>
      </x:c>
      <x:c r="C301" s="79" t="s">
        <x:v>1100</x:v>
      </x:c>
      <x:c r="D301" s="79" t="s">
        <x:v>1014</x:v>
      </x:c>
      <x:c r="E301" s="79" t="s">
        <x:v>16</x:v>
      </x:c>
      <x:c r="F301" s="79" t="s">
        <x:v>16</x:v>
      </x:c>
      <x:c r="G301" s="79" t="n">
        <x:f>IF(RIGHT($A301,2)="-2",INDEX('قیمت ها'!$E:$E,$J301+2),INDEX('قیمت ها'!$B:$B,$J301+2))</x:f>
        <x:v>180</x:v>
      </x:c>
      <x:c r="H301" s="110">
        <x:f t="shared" si="8"/>
        <x:v>180000</x:v>
      </x:c>
      <x:c r="I301" s="79" t="str">
        <x:f t="shared" si="9"/>
        <x:v>فعال</x:v>
      </x:c>
      <x:c r="J301" s="79">
        <x:v>260</x:v>
      </x:c>
      <x:c r="K301" s="79" t="s">
        <x:v>1099</x:v>
      </x:c>
      <x:c r="L301" s="79"/>
      <x:c r="M301" s="79"/>
      <x:c r="N301" s="79"/>
      <x:c r="O301" s="79"/>
      <x:c r="P301" s="79"/>
      <x:c r="Q301" s="79"/>
      <x:c r="R301" s="79"/>
      <x:c r="S301" s="79"/>
      <x:c r="T301" s="79"/>
      <x:c r="U301" s="79"/>
      <x:c r="V301" s="79"/>
      <x:c r="W301" s="79"/>
      <x:c r="X301" s="79"/>
      <x:c r="Y301" s="79"/>
      <x:c r="Z301" s="79"/>
      <x:c r="AA301" s="79" t="str">
        <x:f>IF(AND(LEN($N$2)&gt;=3,ISNUMBER(SEARCH($N$2,$B301))),MAX($AA$1:AA300)+1,"")</x:f>
      </x:c>
      <x:c r="AB301" s="79" t="str">
        <x:v>6a3782d7df5573f4e676e243</x:v>
      </x:c>
      <x:c r="AC301" s="79" t="str">
        <x:v>گیاهان دارویی</x:v>
      </x:c>
      <x:c r="AD301" s="79" t="str">
        <x:v>medicinal-plants</x:v>
      </x:c>
      <x:c r="AE301" s="79" t="str">
        <x:v>TOPICAL</x:v>
      </x:c>
      <x:c r="AF301" s="79" t="str">
        <x:v>خیر</x:v>
      </x:c>
      <x:c r="AG301" s="79" t="str">
        <x:v>خیر</x:v>
      </x:c>
      <x:c r="AH301" s="79" t="n">
        <x:v>1</x:v>
      </x:c>
      <x:c r="AI301" s="79" t="str">
        <x:v>صابون سفیداب</x:v>
      </x:c>
      <x:c r="AJ301" s="79" t="str">
        <x:v>سایر</x:v>
      </x:c>
      <x:c r="AK301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02">
      <x:c r="A302" s="79" t="s">
        <x:v>1101</x:v>
      </x:c>
      <x:c r="B302" s="79" t="s">
        <x:v>327</x:v>
      </x:c>
      <x:c r="C302" s="79" t="s">
        <x:v>1102</x:v>
      </x:c>
      <x:c r="D302" s="79" t="s">
        <x:v>1014</x:v>
      </x:c>
      <x:c r="E302" s="79" t="s">
        <x:v>16</x:v>
      </x:c>
      <x:c r="F302" s="79" t="s">
        <x:v>16</x:v>
      </x:c>
      <x:c r="G302" s="79" t="n">
        <x:f>IF(RIGHT($A302,2)="-2",INDEX('قیمت ها'!$E:$E,$J302+2),INDEX('قیمت ها'!$B:$B,$J302+2))</x:f>
        <x:v>180</x:v>
      </x:c>
      <x:c r="H302" s="110">
        <x:f t="shared" si="8"/>
        <x:v>180000</x:v>
      </x:c>
      <x:c r="I302" s="79" t="str">
        <x:f t="shared" si="9"/>
        <x:v>فعال</x:v>
      </x:c>
      <x:c r="J302" s="79">
        <x:v>262</x:v>
      </x:c>
      <x:c r="K302" s="79" t="s">
        <x:v>1101</x:v>
      </x:c>
      <x:c r="L302" s="79"/>
      <x:c r="M302" s="79"/>
      <x:c r="N302" s="79"/>
      <x:c r="O302" s="79"/>
      <x:c r="P302" s="79"/>
      <x:c r="Q302" s="79"/>
      <x:c r="R302" s="79"/>
      <x:c r="S302" s="79"/>
      <x:c r="T302" s="79"/>
      <x:c r="U302" s="79"/>
      <x:c r="V302" s="79"/>
      <x:c r="W302" s="79"/>
      <x:c r="X302" s="79"/>
      <x:c r="Y302" s="79"/>
      <x:c r="Z302" s="79"/>
      <x:c r="AA302" s="79" t="str">
        <x:f>IF(AND(LEN($N$2)&gt;=3,ISNUMBER(SEARCH($N$2,$B302))),MAX($AA$1:AA301)+1,"")</x:f>
      </x:c>
      <x:c r="AB302" s="79" t="str">
        <x:v>6a3782d7df5573f4e676e243</x:v>
      </x:c>
      <x:c r="AC302" s="79" t="str">
        <x:v>گیاهان دارویی</x:v>
      </x:c>
      <x:c r="AD302" s="79" t="str">
        <x:v>medicinal-plants</x:v>
      </x:c>
      <x:c r="AE302" s="79" t="str">
        <x:v>TOPICAL</x:v>
      </x:c>
      <x:c r="AF302" s="79" t="str">
        <x:v>خیر</x:v>
      </x:c>
      <x:c r="AG302" s="79" t="str">
        <x:v>خیر</x:v>
      </x:c>
      <x:c r="AH302" s="79" t="n">
        <x:v>1</x:v>
      </x:c>
      <x:c r="AI302" s="79" t="str">
        <x:v>صابون شیرالاغ</x:v>
      </x:c>
      <x:c r="AJ302" s="79" t="str">
        <x:v>سایر</x:v>
      </x:c>
      <x:c r="AK30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03">
      <x:c r="A303" s="79" t="s">
        <x:v>1103</x:v>
      </x:c>
      <x:c r="B303" s="79" t="s">
        <x:v>328</x:v>
      </x:c>
      <x:c r="C303" s="79" t="s">
        <x:v>1104</x:v>
      </x:c>
      <x:c r="D303" s="79" t="s">
        <x:v>1014</x:v>
      </x:c>
      <x:c r="E303" s="79" t="s">
        <x:v>16</x:v>
      </x:c>
      <x:c r="F303" s="79" t="s">
        <x:v>16</x:v>
      </x:c>
      <x:c r="G303" s="79" t="n">
        <x:f>IF(RIGHT($A303,2)="-2",INDEX('قیمت ها'!$E:$E,$J303+2),INDEX('قیمت ها'!$B:$B,$J303+2))</x:f>
        <x:v>500</x:v>
      </x:c>
      <x:c r="H303" s="110">
        <x:f t="shared" si="8"/>
        <x:v>500000</x:v>
      </x:c>
      <x:c r="I303" s="79" t="str">
        <x:f t="shared" si="9"/>
        <x:v>فعال</x:v>
      </x:c>
      <x:c r="J303" s="79">
        <x:v>263</x:v>
      </x:c>
      <x:c r="K303" s="79" t="s">
        <x:v>1103</x:v>
      </x:c>
      <x:c r="L303" s="79"/>
      <x:c r="M303" s="79"/>
      <x:c r="N303" s="79"/>
      <x:c r="O303" s="79"/>
      <x:c r="P303" s="79"/>
      <x:c r="Q303" s="79"/>
      <x:c r="R303" s="79"/>
      <x:c r="S303" s="79"/>
      <x:c r="T303" s="79"/>
      <x:c r="U303" s="79"/>
      <x:c r="V303" s="79"/>
      <x:c r="W303" s="79"/>
      <x:c r="X303" s="79"/>
      <x:c r="Y303" s="79"/>
      <x:c r="Z303" s="79"/>
      <x:c r="AA303" s="79" t="str">
        <x:f>IF(AND(LEN($N$2)&gt;=3,ISNUMBER(SEARCH($N$2,$B303))),MAX($AA$1:AA302)+1,"")</x:f>
      </x:c>
      <x:c r="AB303" s="79" t="str">
        <x:v>6a3782d7df5573f4e676e243</x:v>
      </x:c>
      <x:c r="AC303" s="79" t="str">
        <x:v>گیاهان دارویی</x:v>
      </x:c>
      <x:c r="AD303" s="79" t="str">
        <x:v>medicinal-plants</x:v>
      </x:c>
      <x:c r="AE303" s="79" t="str">
        <x:v>TOPICAL</x:v>
      </x:c>
      <x:c r="AF303" s="79" t="str">
        <x:v>خیر</x:v>
      </x:c>
      <x:c r="AG303" s="79" t="str">
        <x:v>خیر</x:v>
      </x:c>
      <x:c r="AH303" s="79" t="n">
        <x:v>1</x:v>
      </x:c>
      <x:c r="AI303" s="79" t="str">
        <x:v>صابون فندق</x:v>
      </x:c>
      <x:c r="AJ303" s="79" t="str">
        <x:v>سایر</x:v>
      </x:c>
      <x:c r="AK303" s="79" t="str">
        <x:v>دسته از «خشکبار و آجیل» به «گیاهان دارویی» اصلاح شد | نوع مصرف به موضعی/غیرخوراکی اصلاح شد</x:v>
      </x:c>
    </x:row>
    <x:row r="304">
      <x:c r="A304" s="79" t="s">
        <x:v>1105</x:v>
      </x:c>
      <x:c r="B304" s="79" t="s">
        <x:v>392</x:v>
      </x:c>
      <x:c r="C304" s="79" t="s">
        <x:v>1106</x:v>
      </x:c>
      <x:c r="D304" s="79" t="s">
        <x:v>1014</x:v>
      </x:c>
      <x:c r="E304" s="79" t="s">
        <x:v>393</x:v>
      </x:c>
      <x:c r="F304" s="79" t="s">
        <x:v>16</x:v>
      </x:c>
      <x:c r="G304" s="79" t="n">
        <x:f>IF(RIGHT($A304,2)="-2",INDEX('قیمت ها'!$E:$E,$J304+2),INDEX('قیمت ها'!$B:$B,$J304+2))</x:f>
        <x:v>30</x:v>
      </x:c>
      <x:c r="H304" s="110">
        <x:f t="shared" si="8"/>
        <x:v>30000</x:v>
      </x:c>
      <x:c r="I304" s="79" t="str">
        <x:f t="shared" si="9"/>
        <x:v>فعال</x:v>
      </x:c>
      <x:c r="J304" s="79">
        <x:v>315</x:v>
      </x:c>
      <x:c r="K304" s="79" t="s">
        <x:v>1105</x:v>
      </x:c>
      <x:c r="L304" s="79"/>
      <x:c r="M304" s="79"/>
      <x:c r="N304" s="79"/>
      <x:c r="O304" s="79"/>
      <x:c r="P304" s="79"/>
      <x:c r="Q304" s="79"/>
      <x:c r="R304" s="79"/>
      <x:c r="S304" s="79"/>
      <x:c r="T304" s="79"/>
      <x:c r="U304" s="79"/>
      <x:c r="V304" s="79"/>
      <x:c r="W304" s="79"/>
      <x:c r="X304" s="79"/>
      <x:c r="Y304" s="79"/>
      <x:c r="Z304" s="79"/>
      <x:c r="AA304" s="79" t="str">
        <x:f>IF(AND(LEN($N$2)&gt;=3,ISNUMBER(SEARCH($N$2,$B304))),MAX($AA$1:AA303)+1,"")</x:f>
      </x:c>
      <x:c r="AB304" s="79" t="str">
        <x:v>6a37810ddf5573f4e676e201</x:v>
      </x:c>
      <x:c r="AC304" s="79" t="str">
        <x:v>خشکبار و آجیل</x:v>
      </x:c>
      <x:c r="AD304" s="79" t="str">
        <x:v>dried-fruits-nuts</x:v>
      </x:c>
      <x:c r="AE304" s="79" t="str">
        <x:v>EDIBLE</x:v>
      </x:c>
      <x:c r="AF304" s="79" t="str">
        <x:v>بله</x:v>
      </x:c>
      <x:c r="AG304" s="79" t="str">
        <x:v>بله</x:v>
      </x:c>
      <x:c r="AH304" s="79" t="n">
        <x:v>2</x:v>
      </x:c>
      <x:c r="AI304" s="79" t="str">
        <x:v>عناب خشک</x:v>
      </x:c>
      <x:c r="AJ304" s="79" t="str">
        <x:v>سایر</x:v>
      </x:c>
      <x:c r="AK304" s="79" t="str">
        <x:v>MERGED</x:v>
      </x:c>
    </x:row>
    <x:row r="305">
      <x:c r="A305" s="79" t="s">
        <x:v>1107</x:v>
      </x:c>
      <x:c r="B305" s="79" t="s">
        <x:v>394</x:v>
      </x:c>
      <x:c r="C305" s="79" t="s">
        <x:v>1108</x:v>
      </x:c>
      <x:c r="D305" s="79" t="s">
        <x:v>1014</x:v>
      </x:c>
      <x:c r="E305" s="79" t="s">
        <x:v>16</x:v>
      </x:c>
      <x:c r="F305" s="79" t="s">
        <x:v>16</x:v>
      </x:c>
      <x:c r="G305" s="79" t="str">
        <x:f>IF(RIGHT($A305,2)="-2",INDEX('قیمت ها'!$E:$E,$J305+2),INDEX('قیمت ها'!$B:$B,$J305+2))</x:f>
        <x:v>؟</x:v>
      </x:c>
      <x:c r="H305" s="110" t="str">
        <x:f t="shared" si="8"/>
      </x:c>
      <x:c r="I305" s="79" t="str">
        <x:f t="shared" si="9"/>
        <x:v>نیاز به استعلام</x:v>
      </x:c>
      <x:c r="J305" s="79">
        <x:v>316</x:v>
      </x:c>
      <x:c r="K305" s="79" t="s">
        <x:v>1107</x:v>
      </x:c>
      <x:c r="L305" s="79"/>
      <x:c r="M305" s="79"/>
      <x:c r="N305" s="79"/>
      <x:c r="O305" s="79"/>
      <x:c r="P305" s="79"/>
      <x:c r="Q305" s="79"/>
      <x:c r="R305" s="79"/>
      <x:c r="S305" s="79"/>
      <x:c r="T305" s="79"/>
      <x:c r="U305" s="79"/>
      <x:c r="V305" s="79"/>
      <x:c r="W305" s="79"/>
      <x:c r="X305" s="79"/>
      <x:c r="Y305" s="79"/>
      <x:c r="Z305" s="79"/>
      <x:c r="AA305" s="79" t="str">
        <x:f>IF(AND(LEN($N$2)&gt;=3,ISNUMBER(SEARCH($N$2,$B305))),MAX($AA$1:AA304)+1,"")</x:f>
      </x:c>
      <x:c r="AB305" s="79" t="str">
        <x:v>6a37810ddf5573f4e676e201</x:v>
      </x:c>
      <x:c r="AC305" s="79" t="str">
        <x:v>خشکبار و آجیل</x:v>
      </x:c>
      <x:c r="AD305" s="79" t="str">
        <x:v>dried-fruits-nuts</x:v>
      </x:c>
      <x:c r="AE305" s="79" t="str">
        <x:v>EDIBLE</x:v>
      </x:c>
      <x:c r="AF305" s="79" t="str">
        <x:v>بله</x:v>
      </x:c>
      <x:c r="AG305" s="79" t="str">
        <x:v>بله</x:v>
      </x:c>
      <x:c r="AH305" s="79" t="n">
        <x:v>2</x:v>
      </x:c>
      <x:c r="AI305" s="79" t="str">
        <x:v>عناب خشک</x:v>
      </x:c>
      <x:c r="AJ305" s="79" t="str">
        <x:v>سایر</x:v>
      </x:c>
      <x:c r="AK305" s="79" t="str">
        <x:v>MERGED</x:v>
      </x:c>
    </x:row>
    <x:row r="306">
      <x:c r="A306" s="79" t="s">
        <x:v>1109</x:v>
      </x:c>
      <x:c r="B306" s="79" t="s">
        <x:v>401</x:v>
      </x:c>
      <x:c r="C306" s="79" t="s">
        <x:v>1110</x:v>
      </x:c>
      <x:c r="D306" s="79" t="s">
        <x:v>1014</x:v>
      </x:c>
      <x:c r="E306" s="79" t="s">
        <x:v>16</x:v>
      </x:c>
      <x:c r="F306" s="79" t="s">
        <x:v>16</x:v>
      </x:c>
      <x:c r="G306" s="79" t="n">
        <x:f>IF(RIGHT($A306,2)="-2",INDEX('قیمت ها'!$E:$E,$J306+2),INDEX('قیمت ها'!$B:$B,$J306+2))</x:f>
        <x:v>500</x:v>
      </x:c>
      <x:c r="H306" s="110">
        <x:f t="shared" si="8"/>
        <x:v>500000</x:v>
      </x:c>
      <x:c r="I306" s="79" t="str">
        <x:f t="shared" si="9"/>
        <x:v>فعال</x:v>
      </x:c>
      <x:c r="J306" s="79">
        <x:v>322</x:v>
      </x:c>
      <x:c r="K306" s="79" t="s">
        <x:v>1109</x:v>
      </x:c>
      <x:c r="L306" s="79"/>
      <x:c r="M306" s="79"/>
      <x:c r="N306" s="79"/>
      <x:c r="O306" s="79"/>
      <x:c r="P306" s="79"/>
      <x:c r="Q306" s="79"/>
      <x:c r="R306" s="79"/>
      <x:c r="S306" s="79"/>
      <x:c r="T306" s="79"/>
      <x:c r="U306" s="79"/>
      <x:c r="V306" s="79"/>
      <x:c r="W306" s="79"/>
      <x:c r="X306" s="79"/>
      <x:c r="Y306" s="79"/>
      <x:c r="Z306" s="79"/>
      <x:c r="AA306" s="79" t="str">
        <x:f>IF(AND(LEN($N$2)&gt;=3,ISNUMBER(SEARCH($N$2,$B306))),MAX($AA$1:AA305)+1,"")</x:f>
      </x:c>
      <x:c r="AB306" s="79" t="str">
        <x:v>6a3781e4df5573f4e676e226</x:v>
      </x:c>
      <x:c r="AC306" s="79" t="str">
        <x:v>ادویه</x:v>
      </x:c>
      <x:c r="AD306" s="79" t="str">
        <x:v>spice</x:v>
      </x:c>
      <x:c r="AE306" s="79" t="str">
        <x:v>EDIBLE</x:v>
      </x:c>
      <x:c r="AF306" s="79" t="str">
        <x:v>بله</x:v>
      </x:c>
      <x:c r="AG306" s="79" t="str">
        <x:v>خیر</x:v>
      </x:c>
      <x:c r="AH306" s="79" t="n">
        <x:v>1</x:v>
      </x:c>
      <x:c r="AI306" s="79" t="str">
        <x:v>فلفل قرمز هندی (رنگ)</x:v>
      </x:c>
      <x:c r="AJ306" s="79" t="str">
        <x:v>سایر</x:v>
      </x:c>
      <x:c r="AK306" s="79"/>
    </x:row>
    <x:row r="307">
      <x:c r="A307" s="79" t="s">
        <x:v>1111</x:v>
      </x:c>
      <x:c r="B307" s="79" t="s">
        <x:v>402</x:v>
      </x:c>
      <x:c r="C307" s="79" t="s">
        <x:v>1112</x:v>
      </x:c>
      <x:c r="D307" s="79" t="s">
        <x:v>1014</x:v>
      </x:c>
      <x:c r="E307" s="79" t="s">
        <x:v>16</x:v>
      </x:c>
      <x:c r="F307" s="79" t="s">
        <x:v>16</x:v>
      </x:c>
      <x:c r="G307" s="79" t="n">
        <x:f>IF(RIGHT($A307,2)="-2",INDEX('قیمت ها'!$E:$E,$J307+2),INDEX('قیمت ها'!$B:$B,$J307+2))</x:f>
        <x:v>250</x:v>
      </x:c>
      <x:c r="H307" s="110">
        <x:f t="shared" si="8"/>
        <x:v>250000</x:v>
      </x:c>
      <x:c r="I307" s="79" t="str">
        <x:f t="shared" si="9"/>
        <x:v>فعال</x:v>
      </x:c>
      <x:c r="J307" s="79">
        <x:v>323</x:v>
      </x:c>
      <x:c r="K307" s="79" t="s">
        <x:v>1111</x:v>
      </x:c>
      <x:c r="L307" s="79"/>
      <x:c r="M307" s="79"/>
      <x:c r="N307" s="79"/>
      <x:c r="O307" s="79"/>
      <x:c r="P307" s="79"/>
      <x:c r="Q307" s="79"/>
      <x:c r="R307" s="79"/>
      <x:c r="S307" s="79"/>
      <x:c r="T307" s="79"/>
      <x:c r="U307" s="79"/>
      <x:c r="V307" s="79"/>
      <x:c r="W307" s="79"/>
      <x:c r="X307" s="79"/>
      <x:c r="Y307" s="79"/>
      <x:c r="Z307" s="79"/>
      <x:c r="AA307" s="79" t="str">
        <x:f>IF(AND(LEN($N$2)&gt;=3,ISNUMBER(SEARCH($N$2,$B307))),MAX($AA$1:AA306)+1,"")</x:f>
      </x:c>
      <x:c r="AB307" s="79" t="str">
        <x:v>6a3781e4df5573f4e676e226</x:v>
      </x:c>
      <x:c r="AC307" s="79" t="str">
        <x:v>ادویه</x:v>
      </x:c>
      <x:c r="AD307" s="79" t="str">
        <x:v>spice</x:v>
      </x:c>
      <x:c r="AE307" s="79" t="str">
        <x:v>EDIBLE</x:v>
      </x:c>
      <x:c r="AF307" s="79" t="str">
        <x:v>بله</x:v>
      </x:c>
      <x:c r="AG307" s="79" t="str">
        <x:v>خیر</x:v>
      </x:c>
      <x:c r="AH307" s="79" t="n">
        <x:v>1</x:v>
      </x:c>
      <x:c r="AI307" s="79" t="str">
        <x:v>فلفل قرمز هندی</x:v>
      </x:c>
      <x:c r="AJ307" s="79" t="str">
        <x:v>سایر</x:v>
      </x:c>
      <x:c r="AK307" s="79"/>
    </x:row>
    <x:row r="308">
      <x:c r="A308" s="79" t="s">
        <x:v>1113</x:v>
      </x:c>
      <x:c r="B308" s="79" t="s">
        <x:v>403</x:v>
      </x:c>
      <x:c r="C308" s="79" t="s">
        <x:v>1114</x:v>
      </x:c>
      <x:c r="D308" s="79" t="s">
        <x:v>1014</x:v>
      </x:c>
      <x:c r="E308" s="79" t="s">
        <x:v>16</x:v>
      </x:c>
      <x:c r="F308" s="79" t="s">
        <x:v>16</x:v>
      </x:c>
      <x:c r="G308" s="79" t="str">
        <x:f>IF(RIGHT($A308,2)="-2",INDEX('قیمت ها'!$E:$E,$J308+2),INDEX('قیمت ها'!$B:$B,$J308+2))</x:f>
        <x:v>1/850</x:v>
      </x:c>
      <x:c r="H308" s="110">
        <x:f t="shared" si="8"/>
        <x:v>1850000</x:v>
      </x:c>
      <x:c r="I308" s="79" t="str">
        <x:f t="shared" si="9"/>
        <x:v>فعال</x:v>
      </x:c>
      <x:c r="J308" s="79">
        <x:v>324</x:v>
      </x:c>
      <x:c r="K308" s="79" t="s">
        <x:v>1113</x:v>
      </x:c>
      <x:c r="L308" s="79"/>
      <x:c r="M308" s="79"/>
      <x:c r="N308" s="79"/>
      <x:c r="O308" s="79"/>
      <x:c r="P308" s="79"/>
      <x:c r="Q308" s="79"/>
      <x:c r="R308" s="79"/>
      <x:c r="S308" s="79"/>
      <x:c r="T308" s="79"/>
      <x:c r="U308" s="79"/>
      <x:c r="V308" s="79"/>
      <x:c r="W308" s="79"/>
      <x:c r="X308" s="79"/>
      <x:c r="Y308" s="79"/>
      <x:c r="Z308" s="79"/>
      <x:c r="AA308" s="79" t="str">
        <x:f>IF(AND(LEN($N$2)&gt;=3,ISNUMBER(SEARCH($N$2,$B308))),MAX($AA$1:AA307)+1,"")</x:f>
      </x:c>
      <x:c r="AB308" s="79" t="str">
        <x:v>6a3782d7df5573f4e676e243</x:v>
      </x:c>
      <x:c r="AC308" s="79" t="str">
        <x:v>گیاهان دارویی</x:v>
      </x:c>
      <x:c r="AD308" s="79" t="str">
        <x:v>medicinal-plants</x:v>
      </x:c>
      <x:c r="AE308" s="79" t="str">
        <x:v>REVIEW</x:v>
      </x:c>
      <x:c r="AF308" s="79" t="str">
        <x:v>نیاز به بررسی</x:v>
      </x:c>
      <x:c r="AG308" s="79" t="str">
        <x:v>خیر</x:v>
      </x:c>
      <x:c r="AH308" s="79" t="n">
        <x:v>1</x:v>
      </x:c>
      <x:c r="AI308" s="79" t="str">
        <x:v>قرص کمر</x:v>
      </x:c>
      <x:c r="AJ308" s="79" t="str">
        <x:v>سایر</x:v>
      </x:c>
      <x:c r="AK308" s="79" t="str">
        <x:v>دسته با اطمینان متوسط اصلاح شد؛ در صورت حساسیت دستی بازبینی شود | نوع مصرف نیازمند بررسی دستی</x:v>
      </x:c>
    </x:row>
    <x:row r="309">
      <x:c r="A309" s="79" t="s">
        <x:v>1115</x:v>
      </x:c>
      <x:c r="B309" s="79" t="s">
        <x:v>403</x:v>
      </x:c>
      <x:c r="C309" s="79" t="s">
        <x:v>1116</x:v>
      </x:c>
      <x:c r="D309" s="79" t="s">
        <x:v>1014</x:v>
      </x:c>
      <x:c r="E309" s="79" t="s">
        <x:v>404</x:v>
      </x:c>
      <x:c r="F309" s="79" t="s">
        <x:v>16</x:v>
      </x:c>
      <x:c r="G309" s="79" t="n">
        <x:f>IF(RIGHT($A309,2)="-2",INDEX('قیمت ها'!$E:$E,$J309+2),INDEX('قیمت ها'!$B:$B,$J309+2))</x:f>
        <x:v>220</x:v>
      </x:c>
      <x:c r="H309" s="110">
        <x:f t="shared" si="8"/>
        <x:v>220000</x:v>
      </x:c>
      <x:c r="I309" s="79" t="str">
        <x:f t="shared" si="9"/>
        <x:v>فعال</x:v>
      </x:c>
      <x:c r="J309" s="79">
        <x:v>324</x:v>
      </x:c>
      <x:c r="K309" s="79" t="s">
        <x:v>1115</x:v>
      </x:c>
      <x:c r="L309" s="79"/>
      <x:c r="M309" s="79"/>
      <x:c r="N309" s="79"/>
      <x:c r="O309" s="79"/>
      <x:c r="P309" s="79"/>
      <x:c r="Q309" s="79"/>
      <x:c r="R309" s="79"/>
      <x:c r="S309" s="79"/>
      <x:c r="T309" s="79"/>
      <x:c r="U309" s="79"/>
      <x:c r="V309" s="79"/>
      <x:c r="W309" s="79"/>
      <x:c r="X309" s="79"/>
      <x:c r="Y309" s="79"/>
      <x:c r="Z309" s="79"/>
      <x:c r="AA309" s="79" t="str">
        <x:f>IF(AND(LEN($N$2)&gt;=3,ISNUMBER(SEARCH($N$2,$B309))),MAX($AA$1:AA308)+1,"")</x:f>
      </x:c>
      <x:c r="AB309" s="79" t="str">
        <x:v>6a3782d7df5573f4e676e243</x:v>
      </x:c>
      <x:c r="AC309" s="79" t="str">
        <x:v>گیاهان دارویی</x:v>
      </x:c>
      <x:c r="AD309" s="79" t="str">
        <x:v>medicinal-plants</x:v>
      </x:c>
      <x:c r="AE309" s="79" t="str">
        <x:v>REVIEW</x:v>
      </x:c>
      <x:c r="AF309" s="79" t="str">
        <x:v>نیاز به بررسی</x:v>
      </x:c>
      <x:c r="AG309" s="79" t="str">
        <x:v>خیر</x:v>
      </x:c>
      <x:c r="AH309" s="79" t="n">
        <x:v>1</x:v>
      </x:c>
      <x:c r="AI309" s="79" t="str">
        <x:v>قرص کمر</x:v>
      </x:c>
      <x:c r="AJ309" s="79" t="str">
        <x:v>سایر</x:v>
      </x:c>
      <x:c r="AK309" s="79" t="str">
        <x:v>دسته با اطمینان متوسط اصلاح شد؛ در صورت حساسیت دستی بازبینی شود | نوع مصرف نیازمند بررسی دستی</x:v>
      </x:c>
    </x:row>
    <x:row r="310">
      <x:c r="A310" s="79" t="s">
        <x:v>1117</x:v>
      </x:c>
      <x:c r="B310" s="79" t="s">
        <x:v>405</x:v>
      </x:c>
      <x:c r="C310" s="79" t="s">
        <x:v>1118</x:v>
      </x:c>
      <x:c r="D310" s="79" t="s">
        <x:v>1014</x:v>
      </x:c>
      <x:c r="E310" s="79" t="s">
        <x:v>16</x:v>
      </x:c>
      <x:c r="F310" s="79" t="s">
        <x:v>16</x:v>
      </x:c>
      <x:c r="G310" s="79" t="str">
        <x:f>IF(RIGHT($A310,2)="-2",INDEX('قیمت ها'!$E:$E,$J310+2),INDEX('قیمت ها'!$B:$B,$J310+2))</x:f>
        <x:v>1/850</x:v>
      </x:c>
      <x:c r="H310" s="110">
        <x:f t="shared" si="8"/>
        <x:v>1850000</x:v>
      </x:c>
      <x:c r="I310" s="79" t="str">
        <x:f t="shared" si="9"/>
        <x:v>فعال</x:v>
      </x:c>
      <x:c r="J310" s="79">
        <x:v>325</x:v>
      </x:c>
      <x:c r="K310" s="79" t="s">
        <x:v>1117</x:v>
      </x:c>
      <x:c r="L310" s="79"/>
      <x:c r="M310" s="79"/>
      <x:c r="N310" s="79"/>
      <x:c r="O310" s="79"/>
      <x:c r="P310" s="79"/>
      <x:c r="Q310" s="79"/>
      <x:c r="R310" s="79"/>
      <x:c r="S310" s="79"/>
      <x:c r="T310" s="79"/>
      <x:c r="U310" s="79"/>
      <x:c r="V310" s="79"/>
      <x:c r="W310" s="79"/>
      <x:c r="X310" s="79"/>
      <x:c r="Y310" s="79"/>
      <x:c r="Z310" s="79"/>
      <x:c r="AA310" s="79" t="str">
        <x:f>IF(AND(LEN($N$2)&gt;=3,ISNUMBER(SEARCH($N$2,$B310))),MAX($AA$1:AA309)+1,"")</x:f>
      </x:c>
      <x:c r="AB310" s="79" t="str">
        <x:v>6a3a00000000000000000003</x:v>
      </x:c>
      <x:c r="AC310" s="79" t="str">
        <x:v>قنادی و شیرینی</x:v>
      </x:c>
      <x:c r="AD310" s="79" t="str">
        <x:v>confectionery</x:v>
      </x:c>
      <x:c r="AE310" s="79" t="str">
        <x:v>EDIBLE</x:v>
      </x:c>
      <x:c r="AF310" s="79" t="str">
        <x:v>بله</x:v>
      </x:c>
      <x:c r="AG310" s="79" t="str">
        <x:v>خیر</x:v>
      </x:c>
      <x:c r="AH310" s="79" t="n">
        <x:v>1</x:v>
      </x:c>
      <x:c r="AI310" s="79" t="str">
        <x:v>قره قروت</x:v>
      </x:c>
      <x:c r="AJ310" s="79" t="str">
        <x:v>سایر</x:v>
      </x:c>
      <x:c r="AK310" s="79" t="str">
        <x:v>دسته از «نیاز به بررسی» به «قنادی و شیرینی» اصلاح شد</x:v>
      </x:c>
    </x:row>
    <x:row r="311">
      <x:c r="A311" s="79" t="s">
        <x:v>1119</x:v>
      </x:c>
      <x:c r="B311" s="79" t="s">
        <x:v>405</x:v>
      </x:c>
      <x:c r="C311" s="79" t="s">
        <x:v>1120</x:v>
      </x:c>
      <x:c r="D311" s="79" t="s">
        <x:v>1014</x:v>
      </x:c>
      <x:c r="E311" s="79" t="s">
        <x:v>404</x:v>
      </x:c>
      <x:c r="F311" s="79" t="s">
        <x:v>16</x:v>
      </x:c>
      <x:c r="G311" s="79" t="n">
        <x:f>IF(RIGHT($A311,2)="-2",INDEX('قیمت ها'!$E:$E,$J311+2),INDEX('قیمت ها'!$B:$B,$J311+2))</x:f>
        <x:v>220</x:v>
      </x:c>
      <x:c r="H311" s="110">
        <x:f t="shared" si="8"/>
        <x:v>220000</x:v>
      </x:c>
      <x:c r="I311" s="79" t="str">
        <x:f t="shared" si="9"/>
        <x:v>فعال</x:v>
      </x:c>
      <x:c r="J311" s="79">
        <x:v>325</x:v>
      </x:c>
      <x:c r="K311" s="79" t="s">
        <x:v>1119</x:v>
      </x:c>
      <x:c r="L311" s="79"/>
      <x:c r="M311" s="79"/>
      <x:c r="N311" s="79"/>
      <x:c r="O311" s="79"/>
      <x:c r="P311" s="79"/>
      <x:c r="Q311" s="79"/>
      <x:c r="R311" s="79"/>
      <x:c r="S311" s="79"/>
      <x:c r="T311" s="79"/>
      <x:c r="U311" s="79"/>
      <x:c r="V311" s="79"/>
      <x:c r="W311" s="79"/>
      <x:c r="X311" s="79"/>
      <x:c r="Y311" s="79"/>
      <x:c r="Z311" s="79"/>
      <x:c r="AA311" s="79" t="str">
        <x:f>IF(AND(LEN($N$2)&gt;=3,ISNUMBER(SEARCH($N$2,$B311))),MAX($AA$1:AA310)+1,"")</x:f>
      </x:c>
      <x:c r="AB311" s="79" t="str">
        <x:v>6a3a00000000000000000003</x:v>
      </x:c>
      <x:c r="AC311" s="79" t="str">
        <x:v>قنادی و شیرینی</x:v>
      </x:c>
      <x:c r="AD311" s="79" t="str">
        <x:v>confectionery</x:v>
      </x:c>
      <x:c r="AE311" s="79" t="str">
        <x:v>EDIBLE</x:v>
      </x:c>
      <x:c r="AF311" s="79" t="str">
        <x:v>بله</x:v>
      </x:c>
      <x:c r="AG311" s="79" t="str">
        <x:v>خیر</x:v>
      </x:c>
      <x:c r="AH311" s="79" t="n">
        <x:v>1</x:v>
      </x:c>
      <x:c r="AI311" s="79" t="str">
        <x:v>قره قروت</x:v>
      </x:c>
      <x:c r="AJ311" s="79" t="str">
        <x:v>سایر</x:v>
      </x:c>
      <x:c r="AK311" s="79" t="str">
        <x:v>دسته از «نیاز به بررسی» به «قنادی و شیرینی» اصلاح شد</x:v>
      </x:c>
    </x:row>
    <x:row r="312">
      <x:c r="A312" s="79" t="s">
        <x:v>1121</x:v>
      </x:c>
      <x:c r="B312" s="79" t="s">
        <x:v>406</x:v>
      </x:c>
      <x:c r="C312" s="79" t="s">
        <x:v>1122</x:v>
      </x:c>
      <x:c r="D312" s="79" t="s">
        <x:v>1014</x:v>
      </x:c>
      <x:c r="E312" s="79" t="s">
        <x:v>16</x:v>
      </x:c>
      <x:c r="F312" s="79" t="s">
        <x:v>16</x:v>
      </x:c>
      <x:c r="G312" s="79" t="str">
        <x:f>IF(RIGHT($A312,2)="-2",INDEX('قیمت ها'!$E:$E,$J312+2),INDEX('قیمت ها'!$B:$B,$J312+2))</x:f>
        <x:v>4/900</x:v>
      </x:c>
      <x:c r="H312" s="110">
        <x:f t="shared" si="8"/>
        <x:v>4900000</x:v>
      </x:c>
      <x:c r="I312" s="79" t="str">
        <x:f t="shared" si="9"/>
        <x:v>فعال</x:v>
      </x:c>
      <x:c r="J312" s="79">
        <x:v>326</x:v>
      </x:c>
      <x:c r="K312" s="79" t="s">
        <x:v>1121</x:v>
      </x:c>
      <x:c r="L312" s="79"/>
      <x:c r="M312" s="79"/>
      <x:c r="N312" s="79"/>
      <x:c r="O312" s="79"/>
      <x:c r="P312" s="79"/>
      <x:c r="Q312" s="79"/>
      <x:c r="R312" s="79"/>
      <x:c r="S312" s="79"/>
      <x:c r="T312" s="79"/>
      <x:c r="U312" s="79"/>
      <x:c r="V312" s="79"/>
      <x:c r="W312" s="79"/>
      <x:c r="X312" s="79"/>
      <x:c r="Y312" s="79"/>
      <x:c r="Z312" s="79"/>
      <x:c r="AA312" s="79" t="str">
        <x:f>IF(AND(LEN($N$2)&gt;=3,ISNUMBER(SEARCH($N$2,$B312))),MAX($AA$1:AA311)+1,"")</x:f>
      </x:c>
      <x:c r="AB312" s="79" t="str">
        <x:v>6a3782ffdf5573f4e676e24b</x:v>
      </x:c>
      <x:c r="AC312" s="79" t="str">
        <x:v>نوشیدنی‌ها</x:v>
      </x:c>
      <x:c r="AD312" s="79" t="str">
        <x:v>syrup</x:v>
      </x:c>
      <x:c r="AE312" s="79" t="str">
        <x:v>EDIBLE</x:v>
      </x:c>
      <x:c r="AF312" s="79" t="str">
        <x:v>بله</x:v>
      </x:c>
      <x:c r="AG312" s="79" t="str">
        <x:v>بله</x:v>
      </x:c>
      <x:c r="AH312" s="79" t="n">
        <x:v>2</x:v>
      </x:c>
      <x:c r="AI312" s="79" t="str">
        <x:v>قهوه اسپرسو</x:v>
      </x:c>
      <x:c r="AJ312" s="79" t="str">
        <x:v>سایر</x:v>
      </x:c>
      <x:c r="AK312" s="79" t="str">
        <x:v>دسته از «نیاز به بررسی» به «نوشیدنی‌ها» اصلاح شد</x:v>
      </x:c>
    </x:row>
    <x:row r="313">
      <x:c r="A313" s="79" t="s">
        <x:v>1123</x:v>
      </x:c>
      <x:c r="B313" s="79" t="s">
        <x:v>451</x:v>
      </x:c>
      <x:c r="C313" s="79" t="s">
        <x:v>1124</x:v>
      </x:c>
      <x:c r="D313" s="79" t="s">
        <x:v>1014</x:v>
      </x:c>
      <x:c r="E313" s="79" t="s">
        <x:v>16</x:v>
      </x:c>
      <x:c r="F313" s="79" t="s">
        <x:v>16</x:v>
      </x:c>
      <x:c r="G313" s="79" t="str">
        <x:f>IF(RIGHT($A313,2)="-2",INDEX('قیمت ها'!$E:$E,$J313+2),INDEX('قیمت ها'!$B:$B,$J313+2))</x:f>
        <x:v>؟</x:v>
      </x:c>
      <x:c r="H313" s="110" t="str">
        <x:f t="shared" si="8"/>
      </x:c>
      <x:c r="I313" s="79" t="str">
        <x:f t="shared" si="9"/>
        <x:v>نیاز به استعلام</x:v>
      </x:c>
      <x:c r="J313" s="79">
        <x:v>363</x:v>
      </x:c>
      <x:c r="K313" s="79" t="s">
        <x:v>1123</x:v>
      </x:c>
      <x:c r="L313" s="79"/>
      <x:c r="M313" s="79"/>
      <x:c r="N313" s="79"/>
      <x:c r="O313" s="79"/>
      <x:c r="P313" s="79"/>
      <x:c r="Q313" s="79"/>
      <x:c r="R313" s="79"/>
      <x:c r="S313" s="79"/>
      <x:c r="T313" s="79"/>
      <x:c r="U313" s="79"/>
      <x:c r="V313" s="79"/>
      <x:c r="W313" s="79"/>
      <x:c r="X313" s="79"/>
      <x:c r="Y313" s="79"/>
      <x:c r="Z313" s="79"/>
      <x:c r="AA313" s="79" t="str">
        <x:f>IF(AND(LEN($N$2)&gt;=3,ISNUMBER(SEARCH($N$2,$B313))),MAX($AA$1:AA312)+1,"")</x:f>
      </x:c>
      <x:c r="AB313" s="79" t="str">
        <x:v>6a3a00000000000000000002</x:v>
      </x:c>
      <x:c r="AC313" s="79" t="str">
        <x:v>حبوبات و غلات</x:v>
      </x:c>
      <x:c r="AD313" s="79" t="str">
        <x:v>legumes-grains</x:v>
      </x:c>
      <x:c r="AE313" s="79" t="str">
        <x:v>EDIBLE</x:v>
      </x:c>
      <x:c r="AF313" s="79" t="str">
        <x:v>بله</x:v>
      </x:c>
      <x:c r="AG313" s="79" t="str">
        <x:v>خیر</x:v>
      </x:c>
      <x:c r="AH313" s="79" t="n">
        <x:v>1</x:v>
      </x:c>
      <x:c r="AI313" s="79" t="str">
        <x:v>گندم</x:v>
      </x:c>
      <x:c r="AJ313" s="79" t="str">
        <x:v>سایر</x:v>
      </x:c>
      <x:c r="AK313" s="79"/>
    </x:row>
    <x:row r="314">
      <x:c r="A314" s="79" t="s">
        <x:v>1125</x:v>
      </x:c>
      <x:c r="B314" s="79" t="s">
        <x:v>452</x:v>
      </x:c>
      <x:c r="C314" s="79" t="s">
        <x:v>1126</x:v>
      </x:c>
      <x:c r="D314" s="79" t="s">
        <x:v>1014</x:v>
      </x:c>
      <x:c r="E314" s="79" t="s">
        <x:v>16</x:v>
      </x:c>
      <x:c r="F314" s="79" t="s">
        <x:v>16</x:v>
      </x:c>
      <x:c r="G314" s="79" t="str">
        <x:f>IF(RIGHT($A314,2)="-2",INDEX('قیمت ها'!$E:$E,$J314+2),INDEX('قیمت ها'!$B:$B,$J314+2))</x:f>
        <x:v>؟</x:v>
      </x:c>
      <x:c r="H314" s="110" t="str">
        <x:f t="shared" si="8"/>
      </x:c>
      <x:c r="I314" s="79" t="str">
        <x:f t="shared" si="9"/>
        <x:v>نیاز به استعلام</x:v>
      </x:c>
      <x:c r="J314" s="79">
        <x:v>364</x:v>
      </x:c>
      <x:c r="K314" s="79" t="s">
        <x:v>1125</x:v>
      </x:c>
      <x:c r="L314" s="79"/>
      <x:c r="M314" s="79"/>
      <x:c r="N314" s="79"/>
      <x:c r="O314" s="79"/>
      <x:c r="P314" s="79"/>
      <x:c r="Q314" s="79"/>
      <x:c r="R314" s="79"/>
      <x:c r="S314" s="79"/>
      <x:c r="T314" s="79"/>
      <x:c r="U314" s="79"/>
      <x:c r="V314" s="79"/>
      <x:c r="W314" s="79"/>
      <x:c r="X314" s="79"/>
      <x:c r="Y314" s="79"/>
      <x:c r="Z314" s="79"/>
      <x:c r="AA314" s="79" t="str">
        <x:f>IF(AND(LEN($N$2)&gt;=3,ISNUMBER(SEARCH($N$2,$B314))),MAX($AA$1:AA313)+1,"")</x:f>
      </x:c>
      <x:c r="AB314" s="79" t="str">
        <x:v>6a3781e4df5573f4e676e226</x:v>
      </x:c>
      <x:c r="AC314" s="79" t="str">
        <x:v>ادویه</x:v>
      </x:c>
      <x:c r="AD314" s="79" t="str">
        <x:v>spice</x:v>
      </x:c>
      <x:c r="AE314" s="79" t="str">
        <x:v>EDIBLE</x:v>
      </x:c>
      <x:c r="AF314" s="79" t="str">
        <x:v>بله</x:v>
      </x:c>
      <x:c r="AG314" s="79" t="str">
        <x:v>خیر</x:v>
      </x:c>
      <x:c r="AH314" s="79" t="n">
        <x:v>1</x:v>
      </x:c>
      <x:c r="AI314" s="79" t="str">
        <x:v>گوجه پودر</x:v>
      </x:c>
      <x:c r="AJ314" s="79" t="str">
        <x:v>سایر</x:v>
      </x:c>
      <x:c r="AK314" s="79"/>
    </x:row>
    <x:row r="315">
      <x:c r="A315" s="79" t="s">
        <x:v>1127</x:v>
      </x:c>
      <x:c r="B315" s="79" t="s">
        <x:v>453</x:v>
      </x:c>
      <x:c r="C315" s="79" t="s">
        <x:v>1128</x:v>
      </x:c>
      <x:c r="D315" s="79" t="s">
        <x:v>1014</x:v>
      </x:c>
      <x:c r="E315" s="79" t="s">
        <x:v>16</x:v>
      </x:c>
      <x:c r="F315" s="79" t="s">
        <x:v>16</x:v>
      </x:c>
      <x:c r="G315" s="79" t="n">
        <x:f>IF(RIGHT($A315,2)="-2",INDEX('قیمت ها'!$E:$E,$J315+2),INDEX('قیمت ها'!$B:$B,$J315+2))</x:f>
        <x:v>900</x:v>
      </x:c>
      <x:c r="H315" s="110">
        <x:f t="shared" si="8"/>
        <x:v>900000</x:v>
      </x:c>
      <x:c r="I315" s="79" t="str">
        <x:f t="shared" si="9"/>
        <x:v>فعال</x:v>
      </x:c>
      <x:c r="J315" s="79">
        <x:v>365</x:v>
      </x:c>
      <x:c r="K315" s="79" t="s">
        <x:v>1127</x:v>
      </x:c>
      <x:c r="L315" s="79"/>
      <x:c r="M315" s="79"/>
      <x:c r="N315" s="79"/>
      <x:c r="O315" s="79"/>
      <x:c r="P315" s="79"/>
      <x:c r="Q315" s="79"/>
      <x:c r="R315" s="79"/>
      <x:c r="S315" s="79"/>
      <x:c r="T315" s="79"/>
      <x:c r="U315" s="79"/>
      <x:c r="V315" s="79"/>
      <x:c r="W315" s="79"/>
      <x:c r="X315" s="79"/>
      <x:c r="Y315" s="79"/>
      <x:c r="Z315" s="79"/>
      <x:c r="AA315" s="79" t="str">
        <x:f>IF(AND(LEN($N$2)&gt;=3,ISNUMBER(SEARCH($N$2,$B315))),MAX($AA$1:AA314)+1,"")</x:f>
      </x:c>
      <x:c r="AB315" s="79" t="str">
        <x:v>6a3782ffdf5573f4e676e24b</x:v>
      </x:c>
      <x:c r="AC315" s="79" t="str">
        <x:v>نوشیدنی‌ها</x:v>
      </x:c>
      <x:c r="AD315" s="79" t="str">
        <x:v>syrup</x:v>
      </x:c>
      <x:c r="AE315" s="79" t="str">
        <x:v>EDIBLE</x:v>
      </x:c>
      <x:c r="AF315" s="79" t="str">
        <x:v>بله</x:v>
      </x:c>
      <x:c r="AG315" s="79" t="str">
        <x:v>خیر</x:v>
      </x:c>
      <x:c r="AH315" s="79" t="n">
        <x:v>1</x:v>
      </x:c>
      <x:c r="AI315" s="79" t="str">
        <x:v>لبو</x:v>
      </x:c>
      <x:c r="AJ315" s="79" t="str">
        <x:v>سایر</x:v>
      </x:c>
      <x:c r="AK315" s="79" t="str">
        <x:v>MISSING_PRICE_REVIEW</x:v>
      </x:c>
    </x:row>
    <x:row r="316">
      <x:c r="A316" s="79" t="s">
        <x:v>1129</x:v>
      </x:c>
      <x:c r="B316" s="79" t="s">
        <x:v>454</x:v>
      </x:c>
      <x:c r="C316" s="79" t="s">
        <x:v>1130</x:v>
      </x:c>
      <x:c r="D316" s="79" t="s">
        <x:v>1014</x:v>
      </x:c>
      <x:c r="E316" s="79" t="s">
        <x:v>16</x:v>
      </x:c>
      <x:c r="F316" s="79" t="s">
        <x:v>16</x:v>
      </x:c>
      <x:c r="G316" s="79" t="str">
        <x:f>IF(RIGHT($A316,2)="-2",INDEX('قیمت ها'!$E:$E,$J316+2),INDEX('قیمت ها'!$B:$B,$J316+2))</x:f>
        <x:v>2/200</x:v>
      </x:c>
      <x:c r="H316" s="110">
        <x:f t="shared" si="8"/>
        <x:v>2200000</x:v>
      </x:c>
      <x:c r="I316" s="79" t="str">
        <x:f t="shared" si="9"/>
        <x:v>فعال</x:v>
      </x:c>
      <x:c r="J316" s="79">
        <x:v>366</x:v>
      </x:c>
      <x:c r="K316" s="79" t="s">
        <x:v>1129</x:v>
      </x:c>
      <x:c r="L316" s="79"/>
      <x:c r="M316" s="79"/>
      <x:c r="N316" s="79"/>
      <x:c r="O316" s="79"/>
      <x:c r="P316" s="79"/>
      <x:c r="Q316" s="79"/>
      <x:c r="R316" s="79"/>
      <x:c r="S316" s="79"/>
      <x:c r="T316" s="79"/>
      <x:c r="U316" s="79"/>
      <x:c r="V316" s="79"/>
      <x:c r="W316" s="79"/>
      <x:c r="X316" s="79"/>
      <x:c r="Y316" s="79"/>
      <x:c r="Z316" s="79"/>
      <x:c r="AA316" s="79" t="str">
        <x:f>IF(AND(LEN($N$2)&gt;=3,ISNUMBER(SEARCH($N$2,$B316))),MAX($AA$1:AA315)+1,"")</x:f>
      </x:c>
      <x:c r="AB316" s="79" t="str">
        <x:v>6a37810ddf5573f4e676e201</x:v>
      </x:c>
      <x:c r="AC316" s="79" t="str">
        <x:v>خشکبار و آجیل</x:v>
      </x:c>
      <x:c r="AD316" s="79" t="str">
        <x:v>dried-fruits-nuts</x:v>
      </x:c>
      <x:c r="AE316" s="79" t="str">
        <x:v>EDIBLE</x:v>
      </x:c>
      <x:c r="AF316" s="79" t="str">
        <x:v>بله</x:v>
      </x:c>
      <x:c r="AG316" s="79" t="str">
        <x:v>خیر</x:v>
      </x:c>
      <x:c r="AH316" s="79" t="n">
        <x:v>1</x:v>
      </x:c>
      <x:c r="AI316" s="79" t="str">
        <x:v>لواشک</x:v>
      </x:c>
      <x:c r="AJ316" s="79" t="str">
        <x:v>سایر</x:v>
      </x:c>
      <x:c r="AK316" s="79" t="str">
        <x:v>MISSING_PRICE_REVIEW</x:v>
      </x:c>
    </x:row>
    <x:row r="317">
      <x:c r="A317" s="79" t="s">
        <x:v>1131</x:v>
      </x:c>
      <x:c r="B317" s="79" t="s">
        <x:v>456</x:v>
      </x:c>
      <x:c r="C317" s="79" t="s">
        <x:v>1132</x:v>
      </x:c>
      <x:c r="D317" s="79" t="s">
        <x:v>1014</x:v>
      </x:c>
      <x:c r="E317" s="79" t="s">
        <x:v>16</x:v>
      </x:c>
      <x:c r="F317" s="79" t="s">
        <x:v>16</x:v>
      </x:c>
      <x:c r="G317" s="79" t="str">
        <x:f>IF(RIGHT($A317,2)="-2",INDEX('قیمت ها'!$E:$E,$J317+2),INDEX('قیمت ها'!$B:$B,$J317+2))</x:f>
        <x:v>؟</x:v>
      </x:c>
      <x:c r="H317" s="110" t="str">
        <x:f t="shared" si="8"/>
      </x:c>
      <x:c r="I317" s="79" t="str">
        <x:f t="shared" si="9"/>
        <x:v>نیاز به استعلام</x:v>
      </x:c>
      <x:c r="J317" s="79">
        <x:v>368</x:v>
      </x:c>
      <x:c r="K317" s="79" t="s">
        <x:v>1131</x:v>
      </x:c>
      <x:c r="L317" s="79"/>
      <x:c r="M317" s="79"/>
      <x:c r="N317" s="79"/>
      <x:c r="O317" s="79"/>
      <x:c r="P317" s="79"/>
      <x:c r="Q317" s="79"/>
      <x:c r="R317" s="79"/>
      <x:c r="S317" s="79"/>
      <x:c r="T317" s="79"/>
      <x:c r="U317" s="79"/>
      <x:c r="V317" s="79"/>
      <x:c r="W317" s="79"/>
      <x:c r="X317" s="79"/>
      <x:c r="Y317" s="79"/>
      <x:c r="Z317" s="79"/>
      <x:c r="AA317" s="79" t="str">
        <x:f>IF(AND(LEN($N$2)&gt;=3,ISNUMBER(SEARCH($N$2,$B317))),MAX($AA$1:AA316)+1,"")</x:f>
      </x:c>
      <x:c r="AB317" s="79" t="str">
        <x:v>6a3781e4df5573f4e676e226</x:v>
      </x:c>
      <x:c r="AC317" s="79" t="str">
        <x:v>ادویه</x:v>
      </x:c>
      <x:c r="AD317" s="79" t="str">
        <x:v>spice</x:v>
      </x:c>
      <x:c r="AE317" s="79" t="str">
        <x:v>EDIBLE</x:v>
      </x:c>
      <x:c r="AF317" s="79" t="str">
        <x:v>بله</x:v>
      </x:c>
      <x:c r="AG317" s="79" t="str">
        <x:v>خیر</x:v>
      </x:c>
      <x:c r="AH317" s="79" t="n">
        <x:v>1</x:v>
      </x:c>
      <x:c r="AI317" s="79" t="str">
        <x:v>لیمو ببری</x:v>
      </x:c>
      <x:c r="AJ317" s="79" t="str">
        <x:v>سایر</x:v>
      </x:c>
      <x:c r="AK317" s="79" t="str">
        <x:v>دسته از «نیاز به بررسی» به «ادویه» اصلاح شد</x:v>
      </x:c>
    </x:row>
    <x:row r="318">
      <x:c r="A318" s="79" t="s">
        <x:v>1133</x:v>
      </x:c>
      <x:c r="B318" s="79" t="s">
        <x:v>460</x:v>
      </x:c>
      <x:c r="C318" s="79" t="s">
        <x:v>1134</x:v>
      </x:c>
      <x:c r="D318" s="79" t="s">
        <x:v>1014</x:v>
      </x:c>
      <x:c r="E318" s="79" t="s">
        <x:v>16</x:v>
      </x:c>
      <x:c r="F318" s="79" t="s">
        <x:v>16</x:v>
      </x:c>
      <x:c r="G318" s="79" t="str">
        <x:f>IF(RIGHT($A318,2)="-2",INDEX('قیمت ها'!$E:$E,$J318+2),INDEX('قیمت ها'!$B:$B,$J318+2))</x:f>
        <x:v>1/750</x:v>
      </x:c>
      <x:c r="H318" s="110">
        <x:f t="shared" si="8"/>
        <x:v>1750000</x:v>
      </x:c>
      <x:c r="I318" s="79" t="str">
        <x:f t="shared" si="9"/>
        <x:v>فعال</x:v>
      </x:c>
      <x:c r="J318" s="79">
        <x:v>371</x:v>
      </x:c>
      <x:c r="K318" s="79" t="s">
        <x:v>1133</x:v>
      </x:c>
      <x:c r="L318" s="79"/>
      <x:c r="M318" s="79"/>
      <x:c r="N318" s="79"/>
      <x:c r="O318" s="79"/>
      <x:c r="P318" s="79"/>
      <x:c r="Q318" s="79"/>
      <x:c r="R318" s="79"/>
      <x:c r="S318" s="79"/>
      <x:c r="T318" s="79"/>
      <x:c r="U318" s="79"/>
      <x:c r="V318" s="79"/>
      <x:c r="W318" s="79"/>
      <x:c r="X318" s="79"/>
      <x:c r="Y318" s="79"/>
      <x:c r="Z318" s="79"/>
      <x:c r="AA318" s="79" t="str">
        <x:f>IF(AND(LEN($N$2)&gt;=3,ISNUMBER(SEARCH($N$2,$B318))),MAX($AA$1:AA317)+1,"")</x:f>
      </x:c>
      <x:c r="AB318" s="79" t="str">
        <x:v>6a3781e4df5573f4e676e226</x:v>
      </x:c>
      <x:c r="AC318" s="79" t="str">
        <x:v>ادویه</x:v>
      </x:c>
      <x:c r="AD318" s="79" t="str">
        <x:v>spice</x:v>
      </x:c>
      <x:c r="AE318" s="79" t="str">
        <x:v>EDIBLE</x:v>
      </x:c>
      <x:c r="AF318" s="79" t="str">
        <x:v>بله</x:v>
      </x:c>
      <x:c r="AG318" s="79" t="str">
        <x:v>خیر</x:v>
      </x:c>
      <x:c r="AH318" s="79" t="n">
        <x:v>1</x:v>
      </x:c>
      <x:c r="AI318" s="79" t="str">
        <x:v>موسیر</x:v>
      </x:c>
      <x:c r="AJ318" s="79" t="str">
        <x:v>سایر</x:v>
      </x:c>
      <x:c r="AK318" s="79"/>
    </x:row>
    <x:row r="319">
      <x:c r="A319" s="79" t="s">
        <x:v>1135</x:v>
      </x:c>
      <x:c r="B319" s="79" t="s">
        <x:v>475</x:v>
      </x:c>
      <x:c r="C319" s="79" t="s">
        <x:v>1136</x:v>
      </x:c>
      <x:c r="D319" s="79" t="s">
        <x:v>1014</x:v>
      </x:c>
      <x:c r="E319" s="79" t="s">
        <x:v>265</x:v>
      </x:c>
      <x:c r="F319" s="79" t="s">
        <x:v>16</x:v>
      </x:c>
      <x:c r="G319" s="79" t="n">
        <x:f>IF(RIGHT($A319,2)="-2",INDEX('قیمت ها'!$E:$E,$J319+2),INDEX('قیمت ها'!$B:$B,$J319+2))</x:f>
        <x:v>110</x:v>
      </x:c>
      <x:c r="H319" s="110">
        <x:f t="shared" si="8"/>
        <x:v>110000</x:v>
      </x:c>
      <x:c r="I319" s="79" t="str">
        <x:f t="shared" si="9"/>
        <x:v>فعال</x:v>
      </x:c>
      <x:c r="J319" s="79">
        <x:v>384</x:v>
      </x:c>
      <x:c r="K319" s="79" t="s">
        <x:v>1135</x:v>
      </x:c>
      <x:c r="L319" s="79"/>
      <x:c r="M319" s="79"/>
      <x:c r="N319" s="79"/>
      <x:c r="O319" s="79"/>
      <x:c r="P319" s="79"/>
      <x:c r="Q319" s="79"/>
      <x:c r="R319" s="79"/>
      <x:c r="S319" s="79"/>
      <x:c r="T319" s="79"/>
      <x:c r="U319" s="79"/>
      <x:c r="V319" s="79"/>
      <x:c r="W319" s="79"/>
      <x:c r="X319" s="79"/>
      <x:c r="Y319" s="79"/>
      <x:c r="Z319" s="79"/>
      <x:c r="AA319" s="79" t="str">
        <x:f>IF(AND(LEN($N$2)&gt;=3,ISNUMBER(SEARCH($N$2,$B319))),MAX($AA$1:AA318)+1,"")</x:f>
      </x:c>
      <x:c r="AB319" s="79" t="str">
        <x:v>6a3a00000000000000000003</x:v>
      </x:c>
      <x:c r="AC319" s="79" t="str">
        <x:v>قنادی و شیرینی</x:v>
      </x:c>
      <x:c r="AD319" s="79" t="str">
        <x:v>confectionery</x:v>
      </x:c>
      <x:c r="AE319" s="79" t="str">
        <x:v>EDIBLE</x:v>
      </x:c>
      <x:c r="AF319" s="79" t="str">
        <x:v>بله</x:v>
      </x:c>
      <x:c r="AG319" s="79" t="str">
        <x:v>خیر</x:v>
      </x:c>
      <x:c r="AH319" s="79" t="n">
        <x:v>1</x:v>
      </x:c>
      <x:c r="AI319" s="79" t="str">
        <x:v>نوتلا ناب سرا</x:v>
      </x:c>
      <x:c r="AJ319" s="79" t="str">
        <x:v>سایر</x:v>
      </x:c>
      <x:c r="AK319" s="79" t="str">
        <x:v>MERGED + MISSING_PRICE_REVIEW</x:v>
      </x:c>
    </x:row>
    <x:row r="320">
      <x:c r="A320" s="79" t="s">
        <x:v>1137</x:v>
      </x:c>
      <x:c r="B320" s="79" t="s">
        <x:v>86</x:v>
      </x:c>
      <x:c r="C320" s="79" t="s">
        <x:v>1138</x:v>
      </x:c>
      <x:c r="D320" s="79" t="s">
        <x:v>1014</x:v>
      </x:c>
      <x:c r="E320" s="79" t="s">
        <x:v>87</x:v>
      </x:c>
      <x:c r="F320" s="79" t="s">
        <x:v>682</x:v>
      </x:c>
      <x:c r="G320" s="79" t="n">
        <x:f>IF(RIGHT($A320,2)="-2",INDEX('قیمت ها'!$E:$E,$J320+2),INDEX('قیمت ها'!$B:$B,$J320+2))</x:f>
        <x:v>250</x:v>
      </x:c>
      <x:c r="H320" s="110">
        <x:f t="shared" si="8"/>
        <x:v>250000</x:v>
      </x:c>
      <x:c r="I320" s="79" t="str">
        <x:f t="shared" si="9"/>
        <x:v>فعال</x:v>
      </x:c>
      <x:c r="J320" s="79">
        <x:v>55</x:v>
      </x:c>
      <x:c r="K320" s="79" t="s">
        <x:v>1137</x:v>
      </x:c>
      <x:c r="L320" s="79"/>
      <x:c r="M320" s="79"/>
      <x:c r="N320" s="79"/>
      <x:c r="O320" s="79"/>
      <x:c r="P320" s="79"/>
      <x:c r="Q320" s="79"/>
      <x:c r="R320" s="79"/>
      <x:c r="S320" s="79"/>
      <x:c r="T320" s="79"/>
      <x:c r="U320" s="79"/>
      <x:c r="V320" s="79"/>
      <x:c r="W320" s="79"/>
      <x:c r="X320" s="79"/>
      <x:c r="Y320" s="79"/>
      <x:c r="Z320" s="79"/>
      <x:c r="AA320" s="79" t="str">
        <x:f>IF(AND(LEN($N$2)&gt;=3,ISNUMBER(SEARCH($N$2,$B320))),MAX($AA$1:AA319)+1,"")</x:f>
      </x:c>
      <x:c r="AB320" s="79" t="str">
        <x:v>6a3781e4df5573f4e676e226</x:v>
      </x:c>
      <x:c r="AC320" s="79" t="str">
        <x:v>ادویه</x:v>
      </x:c>
      <x:c r="AD320" s="79" t="str">
        <x:v>spice</x:v>
      </x:c>
      <x:c r="AE320" s="79" t="str">
        <x:v>EDIBLE</x:v>
      </x:c>
      <x:c r="AF320" s="79" t="str">
        <x:v>بله</x:v>
      </x:c>
      <x:c r="AG320" s="79" t="str">
        <x:v>خیر</x:v>
      </x:c>
      <x:c r="AH320" s="79" t="n">
        <x:v>1</x:v>
      </x:c>
      <x:c r="AI320" s="79" t="str">
        <x:v>پاپریکا</x:v>
      </x:c>
      <x:c r="AJ320" s="79" t="str">
        <x:v>سایر</x:v>
      </x:c>
      <x:c r="AK320" s="79"/>
    </x:row>
    <x:row r="321">
      <x:c r="A321" s="79" t="s">
        <x:v>1139</x:v>
      </x:c>
      <x:c r="B321" s="79" t="s">
        <x:v>86</x:v>
      </x:c>
      <x:c r="C321" s="79" t="s">
        <x:v>1140</x:v>
      </x:c>
      <x:c r="D321" s="79" t="s">
        <x:v>1014</x:v>
      </x:c>
      <x:c r="E321" s="79" t="s">
        <x:v>88</x:v>
      </x:c>
      <x:c r="F321" s="79" t="s">
        <x:v>682</x:v>
      </x:c>
      <x:c r="G321" s="79" t="n">
        <x:f>IF(RIGHT($A321,2)="-2",INDEX('قیمت ها'!$E:$E,$J321+2),INDEX('قیمت ها'!$B:$B,$J321+2))</x:f>
        <x:v>360</x:v>
      </x:c>
      <x:c r="H321" s="110">
        <x:f t="shared" si="8"/>
        <x:v>360000</x:v>
      </x:c>
      <x:c r="I321" s="79" t="str">
        <x:f t="shared" si="9"/>
        <x:v>فعال</x:v>
      </x:c>
      <x:c r="J321" s="79">
        <x:v>55</x:v>
      </x:c>
      <x:c r="K321" s="79" t="s">
        <x:v>1139</x:v>
      </x:c>
      <x:c r="L321" s="79"/>
      <x:c r="M321" s="79"/>
      <x:c r="N321" s="79"/>
      <x:c r="O321" s="79"/>
      <x:c r="P321" s="79"/>
      <x:c r="Q321" s="79"/>
      <x:c r="R321" s="79"/>
      <x:c r="S321" s="79"/>
      <x:c r="T321" s="79"/>
      <x:c r="U321" s="79"/>
      <x:c r="V321" s="79"/>
      <x:c r="W321" s="79"/>
      <x:c r="X321" s="79"/>
      <x:c r="Y321" s="79"/>
      <x:c r="Z321" s="79"/>
      <x:c r="AA321" s="79" t="str">
        <x:f>IF(AND(LEN($N$2)&gt;=3,ISNUMBER(SEARCH($N$2,$B321))),MAX($AA$1:AA320)+1,"")</x:f>
      </x:c>
      <x:c r="AB321" s="79" t="str">
        <x:v>6a3781e4df5573f4e676e226</x:v>
      </x:c>
      <x:c r="AC321" s="79" t="str">
        <x:v>ادویه</x:v>
      </x:c>
      <x:c r="AD321" s="79" t="str">
        <x:v>spice</x:v>
      </x:c>
      <x:c r="AE321" s="79" t="str">
        <x:v>EDIBLE</x:v>
      </x:c>
      <x:c r="AF321" s="79" t="str">
        <x:v>بله</x:v>
      </x:c>
      <x:c r="AG321" s="79" t="str">
        <x:v>خیر</x:v>
      </x:c>
      <x:c r="AH321" s="79" t="n">
        <x:v>1</x:v>
      </x:c>
      <x:c r="AI321" s="79" t="str">
        <x:v>پاپریکا</x:v>
      </x:c>
      <x:c r="AJ321" s="79" t="str">
        <x:v>سایر</x:v>
      </x:c>
      <x:c r="AK321" s="79"/>
    </x:row>
    <x:row r="322">
      <x:c r="A322" s="79" t="s">
        <x:v>1141</x:v>
      </x:c>
      <x:c r="B322" s="79" t="s">
        <x:v>89</x:v>
      </x:c>
      <x:c r="C322" s="79" t="s">
        <x:v>1142</x:v>
      </x:c>
      <x:c r="D322" s="79" t="s">
        <x:v>1014</x:v>
      </x:c>
      <x:c r="E322" s="79" t="s">
        <x:v>16</x:v>
      </x:c>
      <x:c r="F322" s="79" t="s">
        <x:v>16</x:v>
      </x:c>
      <x:c r="G322" s="79" t="n">
        <x:f>IF(RIGHT($A322,2)="-2",INDEX('قیمت ها'!$E:$E,$J322+2),INDEX('قیمت ها'!$B:$B,$J322+2))</x:f>
        <x:v>120</x:v>
      </x:c>
      <x:c r="H322" s="110" t="n">
        <x:f t="shared" ref="H322:H385" si="10">IF(OR($G322="",$G322="؟"),"",IF(ISNUMBER($G322),$G322*1000,IFERROR((VALUE(LEFT($G322,FIND("/",$G322)-1))*1000+VALUE(MID($G322,FIND("/",$G322)+1,99)))*1000,VALUE($G322)*1000)))</x:f>
        <x:v>120000</x:v>
      </x:c>
      <x:c r="I322" s="79" t="str">
        <x:f t="shared" ref="I322:I385" si="11">IF(OR($G322="",$G322="؟"),"نیاز به استعلام","فعال")</x:f>
        <x:v>فعال</x:v>
      </x:c>
      <x:c r="J322" s="79">
        <x:v>56</x:v>
      </x:c>
      <x:c r="K322" s="79" t="s">
        <x:v>1141</x:v>
      </x:c>
      <x:c r="L322" s="79"/>
      <x:c r="M322" s="79"/>
      <x:c r="N322" s="79"/>
      <x:c r="O322" s="79"/>
      <x:c r="P322" s="79"/>
      <x:c r="Q322" s="79"/>
      <x:c r="R322" s="79"/>
      <x:c r="S322" s="79"/>
      <x:c r="T322" s="79"/>
      <x:c r="U322" s="79"/>
      <x:c r="V322" s="79"/>
      <x:c r="W322" s="79"/>
      <x:c r="X322" s="79"/>
      <x:c r="Y322" s="79"/>
      <x:c r="Z322" s="79"/>
      <x:c r="AA322" s="79" t="str">
        <x:f>IF(AND(LEN($N$2)&gt;=3,ISNUMBER(SEARCH($N$2,$B322))),MAX($AA$1:AA321)+1,"")</x:f>
      </x:c>
      <x:c r="AB322" s="79"/>
      <x:c r="AC322" s="79" t="str">
        <x:v>عدم ایمپورت</x:v>
      </x:c>
      <x:c r="AD322" s="79" t="str">
        <x:v>SKIP</x:v>
      </x:c>
      <x:c r="AE322" s="79" t="str">
        <x:v>NON_PRODUCT</x:v>
      </x:c>
      <x:c r="AF322" s="79" t="str">
        <x:v>خیر</x:v>
      </x:c>
      <x:c r="AG322" s="79" t="str">
        <x:v>خیر</x:v>
      </x:c>
      <x:c r="AH322" s="79" t="n">
        <x:v>1</x:v>
      </x:c>
      <x:c r="AI322" s="79" t="str">
        <x:v>پاکت</x:v>
      </x:c>
      <x:c r="AJ322" s="79" t="str">
        <x:v>سایر</x:v>
      </x:c>
      <x:c r="AK322" s="79" t="str">
        <x:v>SKIP_NON_PRODUCT</x:v>
      </x:c>
    </x:row>
    <x:row r="323">
      <x:c r="A323" s="79" t="s">
        <x:v>1143</x:v>
      </x:c>
      <x:c r="B323" s="79" t="s">
        <x:v>91</x:v>
      </x:c>
      <x:c r="C323" s="79" t="s">
        <x:v>1144</x:v>
      </x:c>
      <x:c r="D323" s="79" t="s">
        <x:v>1014</x:v>
      </x:c>
      <x:c r="E323" s="79" t="s">
        <x:v>88</x:v>
      </x:c>
      <x:c r="F323" s="79" t="s">
        <x:v>682</x:v>
      </x:c>
      <x:c r="G323" s="79" t="n">
        <x:f>IF(RIGHT($A323,2)="-2",INDEX('قیمت ها'!$E:$E,$J323+2),INDEX('قیمت ها'!$B:$B,$J323+2))</x:f>
        <x:v>250</x:v>
      </x:c>
      <x:c r="H323" s="110">
        <x:f t="shared" si="10"/>
        <x:v>250000</x:v>
      </x:c>
      <x:c r="I323" s="79" t="str">
        <x:f t="shared" si="11"/>
        <x:v>فعال</x:v>
      </x:c>
      <x:c r="J323" s="79">
        <x:v>58</x:v>
      </x:c>
      <x:c r="K323" s="79" t="s">
        <x:v>1143</x:v>
      </x:c>
      <x:c r="L323" s="79"/>
      <x:c r="M323" s="79"/>
      <x:c r="N323" s="79"/>
      <x:c r="O323" s="79"/>
      <x:c r="P323" s="79"/>
      <x:c r="Q323" s="79"/>
      <x:c r="R323" s="79"/>
      <x:c r="S323" s="79"/>
      <x:c r="T323" s="79"/>
      <x:c r="U323" s="79"/>
      <x:c r="V323" s="79"/>
      <x:c r="W323" s="79"/>
      <x:c r="X323" s="79"/>
      <x:c r="Y323" s="79"/>
      <x:c r="Z323" s="79"/>
      <x:c r="AA323" s="79" t="str">
        <x:f>IF(AND(LEN($N$2)&gt;=3,ISNUMBER(SEARCH($N$2,$B323))),MAX($AA$1:AA322)+1,"")</x:f>
      </x:c>
      <x:c r="AB323" s="79" t="str">
        <x:v>6a3782d7df5573f4e676e243</x:v>
      </x:c>
      <x:c r="AC323" s="79" t="str">
        <x:v>گیاهان دارویی</x:v>
      </x:c>
      <x:c r="AD323" s="79" t="str">
        <x:v>medicinal-plants</x:v>
      </x:c>
      <x:c r="AE323" s="79" t="str">
        <x:v>TOPICAL</x:v>
      </x:c>
      <x:c r="AF323" s="79" t="str">
        <x:v>خیر</x:v>
      </x:c>
      <x:c r="AG323" s="79" t="str">
        <x:v>خیر</x:v>
      </x:c>
      <x:c r="AH323" s="79" t="n">
        <x:v>1</x:v>
      </x:c>
      <x:c r="AI323" s="79" t="str">
        <x:v>پماد سیاه</x:v>
      </x:c>
      <x:c r="AJ323" s="79" t="str">
        <x:v>سایر</x:v>
      </x:c>
      <x:c r="AK32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24">
      <x:c r="A324" s="79" t="s">
        <x:v>1145</x:v>
      </x:c>
      <x:c r="B324" s="79" t="s">
        <x:v>91</x:v>
      </x:c>
      <x:c r="C324" s="79" t="s">
        <x:v>1146</x:v>
      </x:c>
      <x:c r="D324" s="79" t="s">
        <x:v>1014</x:v>
      </x:c>
      <x:c r="E324" s="79" t="s">
        <x:v>92</x:v>
      </x:c>
      <x:c r="F324" s="79" t="s">
        <x:v>682</x:v>
      </x:c>
      <x:c r="G324" s="79" t="n">
        <x:f>IF(RIGHT($A324,2)="-2",INDEX('قیمت ها'!$E:$E,$J324+2),INDEX('قیمت ها'!$B:$B,$J324+2))</x:f>
        <x:v>360</x:v>
      </x:c>
      <x:c r="H324" s="110">
        <x:f t="shared" si="10"/>
        <x:v>360000</x:v>
      </x:c>
      <x:c r="I324" s="79" t="str">
        <x:f t="shared" si="11"/>
        <x:v>فعال</x:v>
      </x:c>
      <x:c r="J324" s="79">
        <x:v>58</x:v>
      </x:c>
      <x:c r="K324" s="79" t="s">
        <x:v>1145</x:v>
      </x:c>
      <x:c r="L324" s="79"/>
      <x:c r="M324" s="79"/>
      <x:c r="N324" s="79"/>
      <x:c r="O324" s="79"/>
      <x:c r="P324" s="79"/>
      <x:c r="Q324" s="79"/>
      <x:c r="R324" s="79"/>
      <x:c r="S324" s="79"/>
      <x:c r="T324" s="79"/>
      <x:c r="U324" s="79"/>
      <x:c r="V324" s="79"/>
      <x:c r="W324" s="79"/>
      <x:c r="X324" s="79"/>
      <x:c r="Y324" s="79"/>
      <x:c r="Z324" s="79"/>
      <x:c r="AA324" s="79" t="str">
        <x:f>IF(AND(LEN($N$2)&gt;=3,ISNUMBER(SEARCH($N$2,$B324))),MAX($AA$1:AA323)+1,"")</x:f>
      </x:c>
      <x:c r="AB324" s="79" t="str">
        <x:v>6a3782d7df5573f4e676e243</x:v>
      </x:c>
      <x:c r="AC324" s="79" t="str">
        <x:v>گیاهان دارویی</x:v>
      </x:c>
      <x:c r="AD324" s="79" t="str">
        <x:v>medicinal-plants</x:v>
      </x:c>
      <x:c r="AE324" s="79" t="str">
        <x:v>TOPICAL</x:v>
      </x:c>
      <x:c r="AF324" s="79" t="str">
        <x:v>خیر</x:v>
      </x:c>
      <x:c r="AG324" s="79" t="str">
        <x:v>خیر</x:v>
      </x:c>
      <x:c r="AH324" s="79" t="n">
        <x:v>1</x:v>
      </x:c>
      <x:c r="AI324" s="79" t="str">
        <x:v>پماد سیاه</x:v>
      </x:c>
      <x:c r="AJ324" s="79" t="str">
        <x:v>سایر</x:v>
      </x:c>
      <x:c r="AK324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25">
      <x:c r="A325" s="79" t="s">
        <x:v>1147</x:v>
      </x:c>
      <x:c r="B325" s="79" t="s">
        <x:v>90</x:v>
      </x:c>
      <x:c r="C325" s="79" t="s">
        <x:v>1148</x:v>
      </x:c>
      <x:c r="D325" s="79" t="s">
        <x:v>1014</x:v>
      </x:c>
      <x:c r="E325" s="79" t="s">
        <x:v>87</x:v>
      </x:c>
      <x:c r="F325" s="79" t="s">
        <x:v>682</x:v>
      </x:c>
      <x:c r="G325" s="79" t="n">
        <x:f>IF(RIGHT($A325,2)="-2",INDEX('قیمت ها'!$E:$E,$J325+2),INDEX('قیمت ها'!$B:$B,$J325+2))</x:f>
        <x:v>250</x:v>
      </x:c>
      <x:c r="H325" s="110">
        <x:f t="shared" si="10"/>
        <x:v>250000</x:v>
      </x:c>
      <x:c r="I325" s="79" t="str">
        <x:f t="shared" si="11"/>
        <x:v>فعال</x:v>
      </x:c>
      <x:c r="J325" s="79">
        <x:v>57</x:v>
      </x:c>
      <x:c r="K325" s="79" t="s">
        <x:v>1147</x:v>
      </x:c>
      <x:c r="L325" s="79"/>
      <x:c r="M325" s="79"/>
      <x:c r="N325" s="79"/>
      <x:c r="O325" s="79"/>
      <x:c r="P325" s="79"/>
      <x:c r="Q325" s="79"/>
      <x:c r="R325" s="79"/>
      <x:c r="S325" s="79"/>
      <x:c r="T325" s="79"/>
      <x:c r="U325" s="79"/>
      <x:c r="V325" s="79"/>
      <x:c r="W325" s="79"/>
      <x:c r="X325" s="79"/>
      <x:c r="Y325" s="79"/>
      <x:c r="Z325" s="79"/>
      <x:c r="AA325" s="79" t="str">
        <x:f>IF(AND(LEN($N$2)&gt;=3,ISNUMBER(SEARCH($N$2,$B325))),MAX($AA$1:AA324)+1,"")</x:f>
      </x:c>
      <x:c r="AB325" s="79" t="str">
        <x:v>6a3782d7df5573f4e676e243</x:v>
      </x:c>
      <x:c r="AC325" s="79" t="str">
        <x:v>گیاهان دارویی</x:v>
      </x:c>
      <x:c r="AD325" s="79" t="str">
        <x:v>medicinal-plants</x:v>
      </x:c>
      <x:c r="AE325" s="79" t="str">
        <x:v>TOPICAL</x:v>
      </x:c>
      <x:c r="AF325" s="79" t="str">
        <x:v>خیر</x:v>
      </x:c>
      <x:c r="AG325" s="79" t="str">
        <x:v>بله</x:v>
      </x:c>
      <x:c r="AH325" s="79" t="n">
        <x:v>2</x:v>
      </x:c>
      <x:c r="AI325" s="79" t="str">
        <x:v>پماد سرد</x:v>
      </x:c>
      <x:c r="AJ325" s="79" t="str">
        <x:v>سایر</x:v>
      </x:c>
      <x:c r="AK325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26">
      <x:c r="A326" s="79" t="s">
        <x:v>1149</x:v>
      </x:c>
      <x:c r="B326" s="79" t="s">
        <x:v>90</x:v>
      </x:c>
      <x:c r="C326" s="79" t="s">
        <x:v>1150</x:v>
      </x:c>
      <x:c r="D326" s="79" t="s">
        <x:v>1014</x:v>
      </x:c>
      <x:c r="E326" s="79" t="s">
        <x:v>88</x:v>
      </x:c>
      <x:c r="F326" s="79" t="s">
        <x:v>682</x:v>
      </x:c>
      <x:c r="G326" s="79" t="n">
        <x:f>IF(RIGHT($A326,2)="-2",INDEX('قیمت ها'!$E:$E,$J326+2),INDEX('قیمت ها'!$B:$B,$J326+2))</x:f>
        <x:v>360</x:v>
      </x:c>
      <x:c r="H326" s="110">
        <x:f t="shared" si="10"/>
        <x:v>360000</x:v>
      </x:c>
      <x:c r="I326" s="79" t="str">
        <x:f t="shared" si="11"/>
        <x:v>فعال</x:v>
      </x:c>
      <x:c r="J326" s="79">
        <x:v>57</x:v>
      </x:c>
      <x:c r="K326" s="79" t="s">
        <x:v>1149</x:v>
      </x:c>
      <x:c r="L326" s="79"/>
      <x:c r="M326" s="79"/>
      <x:c r="N326" s="79"/>
      <x:c r="O326" s="79"/>
      <x:c r="P326" s="79"/>
      <x:c r="Q326" s="79"/>
      <x:c r="R326" s="79"/>
      <x:c r="S326" s="79"/>
      <x:c r="T326" s="79"/>
      <x:c r="U326" s="79"/>
      <x:c r="V326" s="79"/>
      <x:c r="W326" s="79"/>
      <x:c r="X326" s="79"/>
      <x:c r="Y326" s="79"/>
      <x:c r="Z326" s="79"/>
      <x:c r="AA326" s="79" t="str">
        <x:f>IF(AND(LEN($N$2)&gt;=3,ISNUMBER(SEARCH($N$2,$B326))),MAX($AA$1:AA325)+1,"")</x:f>
      </x:c>
      <x:c r="AB326" s="79" t="str">
        <x:v>6a3782d7df5573f4e676e243</x:v>
      </x:c>
      <x:c r="AC326" s="79" t="str">
        <x:v>گیاهان دارویی</x:v>
      </x:c>
      <x:c r="AD326" s="79" t="str">
        <x:v>medicinal-plants</x:v>
      </x:c>
      <x:c r="AE326" s="79" t="str">
        <x:v>TOPICAL</x:v>
      </x:c>
      <x:c r="AF326" s="79" t="str">
        <x:v>خیر</x:v>
      </x:c>
      <x:c r="AG326" s="79" t="str">
        <x:v>بله</x:v>
      </x:c>
      <x:c r="AH326" s="79" t="n">
        <x:v>2</x:v>
      </x:c>
      <x:c r="AI326" s="79" t="str">
        <x:v>پماد سرد</x:v>
      </x:c>
      <x:c r="AJ326" s="79" t="str">
        <x:v>سایر</x:v>
      </x:c>
      <x:c r="AK326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27">
      <x:c r="A327" s="79" t="s">
        <x:v>1151</x:v>
      </x:c>
      <x:c r="B327" s="79" t="s">
        <x:v>93</x:v>
      </x:c>
      <x:c r="C327" s="79" t="s">
        <x:v>1152</x:v>
      </x:c>
      <x:c r="D327" s="79" t="s">
        <x:v>1014</x:v>
      </x:c>
      <x:c r="E327" s="79" t="s">
        <x:v>87</x:v>
      </x:c>
      <x:c r="F327" s="79" t="s">
        <x:v>682</x:v>
      </x:c>
      <x:c r="G327" s="79" t="n">
        <x:f>IF(RIGHT($A327,2)="-2",INDEX('قیمت ها'!$E:$E,$J327+2),INDEX('قیمت ها'!$B:$B,$J327+2))</x:f>
        <x:v>250</x:v>
      </x:c>
      <x:c r="H327" s="110">
        <x:f t="shared" si="10"/>
        <x:v>250000</x:v>
      </x:c>
      <x:c r="I327" s="79" t="str">
        <x:f t="shared" si="11"/>
        <x:v>فعال</x:v>
      </x:c>
      <x:c r="J327" s="79">
        <x:v>59</x:v>
      </x:c>
      <x:c r="K327" s="79" t="s">
        <x:v>1151</x:v>
      </x:c>
      <x:c r="L327" s="79"/>
      <x:c r="M327" s="79"/>
      <x:c r="N327" s="79"/>
      <x:c r="O327" s="79"/>
      <x:c r="P327" s="79"/>
      <x:c r="Q327" s="79"/>
      <x:c r="R327" s="79"/>
      <x:c r="S327" s="79"/>
      <x:c r="T327" s="79"/>
      <x:c r="U327" s="79"/>
      <x:c r="V327" s="79"/>
      <x:c r="W327" s="79"/>
      <x:c r="X327" s="79"/>
      <x:c r="Y327" s="79"/>
      <x:c r="Z327" s="79"/>
      <x:c r="AA327" s="79" t="str">
        <x:f>IF(AND(LEN($N$2)&gt;=3,ISNUMBER(SEARCH($N$2,$B327))),MAX($AA$1:AA326)+1,"")</x:f>
      </x:c>
      <x:c r="AB327" s="79" t="str">
        <x:v>6a3782d7df5573f4e676e243</x:v>
      </x:c>
      <x:c r="AC327" s="79" t="str">
        <x:v>گیاهان دارویی</x:v>
      </x:c>
      <x:c r="AD327" s="79" t="str">
        <x:v>medicinal-plants</x:v>
      </x:c>
      <x:c r="AE327" s="79" t="str">
        <x:v>TOPICAL</x:v>
      </x:c>
      <x:c r="AF327" s="79" t="str">
        <x:v>خیر</x:v>
      </x:c>
      <x:c r="AG327" s="79" t="str">
        <x:v>بله</x:v>
      </x:c>
      <x:c r="AH327" s="79" t="n">
        <x:v>2</x:v>
      </x:c>
      <x:c r="AI327" s="79" t="str">
        <x:v>پماد گرم</x:v>
      </x:c>
      <x:c r="AJ327" s="79" t="str">
        <x:v>سایر</x:v>
      </x:c>
      <x:c r="AK327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28">
      <x:c r="A328" s="79" t="s">
        <x:v>1153</x:v>
      </x:c>
      <x:c r="B328" s="79" t="s">
        <x:v>93</x:v>
      </x:c>
      <x:c r="C328" s="79" t="s">
        <x:v>1154</x:v>
      </x:c>
      <x:c r="D328" s="79" t="s">
        <x:v>1014</x:v>
      </x:c>
      <x:c r="E328" s="79" t="s">
        <x:v>88</x:v>
      </x:c>
      <x:c r="F328" s="79" t="s">
        <x:v>682</x:v>
      </x:c>
      <x:c r="G328" s="79" t="n">
        <x:f>IF(RIGHT($A328,2)="-2",INDEX('قیمت ها'!$E:$E,$J328+2),INDEX('قیمت ها'!$B:$B,$J328+2))</x:f>
        <x:v>360</x:v>
      </x:c>
      <x:c r="H328" s="110">
        <x:f t="shared" si="10"/>
        <x:v>360000</x:v>
      </x:c>
      <x:c r="I328" s="79" t="str">
        <x:f t="shared" si="11"/>
        <x:v>فعال</x:v>
      </x:c>
      <x:c r="J328" s="79">
        <x:v>59</x:v>
      </x:c>
      <x:c r="K328" s="79" t="s">
        <x:v>1153</x:v>
      </x:c>
      <x:c r="L328" s="79"/>
      <x:c r="M328" s="79"/>
      <x:c r="N328" s="79"/>
      <x:c r="O328" s="79"/>
      <x:c r="P328" s="79"/>
      <x:c r="Q328" s="79"/>
      <x:c r="R328" s="79"/>
      <x:c r="S328" s="79"/>
      <x:c r="T328" s="79"/>
      <x:c r="U328" s="79"/>
      <x:c r="V328" s="79"/>
      <x:c r="W328" s="79"/>
      <x:c r="X328" s="79"/>
      <x:c r="Y328" s="79"/>
      <x:c r="Z328" s="79"/>
      <x:c r="AA328" s="79" t="str">
        <x:f>IF(AND(LEN($N$2)&gt;=3,ISNUMBER(SEARCH($N$2,$B328))),MAX($AA$1:AA327)+1,"")</x:f>
      </x:c>
      <x:c r="AB328" s="79" t="str">
        <x:v>6a3782d7df5573f4e676e243</x:v>
      </x:c>
      <x:c r="AC328" s="79" t="str">
        <x:v>گیاهان دارویی</x:v>
      </x:c>
      <x:c r="AD328" s="79" t="str">
        <x:v>medicinal-plants</x:v>
      </x:c>
      <x:c r="AE328" s="79" t="str">
        <x:v>TOPICAL</x:v>
      </x:c>
      <x:c r="AF328" s="79" t="str">
        <x:v>خیر</x:v>
      </x:c>
      <x:c r="AG328" s="79" t="str">
        <x:v>بله</x:v>
      </x:c>
      <x:c r="AH328" s="79" t="n">
        <x:v>2</x:v>
      </x:c>
      <x:c r="AI328" s="79" t="str">
        <x:v>پماد گرم</x:v>
      </x:c>
      <x:c r="AJ328" s="79" t="str">
        <x:v>سایر</x:v>
      </x:c>
      <x:c r="AK32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29">
      <x:c r="A329" s="79" t="s">
        <x:v>1155</x:v>
      </x:c>
      <x:c r="B329" s="79" t="s">
        <x:v>94</x:v>
      </x:c>
      <x:c r="C329" s="79" t="s">
        <x:v>1156</x:v>
      </x:c>
      <x:c r="D329" s="79" t="s">
        <x:v>1014</x:v>
      </x:c>
      <x:c r="E329" s="79" t="s">
        <x:v>16</x:v>
      </x:c>
      <x:c r="F329" s="79" t="s">
        <x:v>16</x:v>
      </x:c>
      <x:c r="G329" s="79" t="n">
        <x:f>IF(RIGHT($A329,2)="-2",INDEX('قیمت ها'!$E:$E,$J329+2),INDEX('قیمت ها'!$B:$B,$J329+2))</x:f>
        <x:v>240</x:v>
      </x:c>
      <x:c r="H329" s="110">
        <x:f t="shared" si="10"/>
        <x:v>240000</x:v>
      </x:c>
      <x:c r="I329" s="79" t="str">
        <x:f t="shared" si="11"/>
        <x:v>فعال</x:v>
      </x:c>
      <x:c r="J329" s="79">
        <x:v>60</x:v>
      </x:c>
      <x:c r="K329" s="79" t="s">
        <x:v>1155</x:v>
      </x:c>
      <x:c r="L329" s="79"/>
      <x:c r="M329" s="79"/>
      <x:c r="N329" s="79"/>
      <x:c r="O329" s="79"/>
      <x:c r="P329" s="79"/>
      <x:c r="Q329" s="79"/>
      <x:c r="R329" s="79"/>
      <x:c r="S329" s="79"/>
      <x:c r="T329" s="79"/>
      <x:c r="U329" s="79"/>
      <x:c r="V329" s="79"/>
      <x:c r="W329" s="79"/>
      <x:c r="X329" s="79"/>
      <x:c r="Y329" s="79"/>
      <x:c r="Z329" s="79"/>
      <x:c r="AA329" s="79" t="str">
        <x:f>IF(AND(LEN($N$2)&gt;=3,ISNUMBER(SEARCH($N$2,$B329))),MAX($AA$1:AA328)+1,"")</x:f>
      </x:c>
      <x:c r="AB329" s="79" t="str">
        <x:v>6a3782d7df5573f4e676e243</x:v>
      </x:c>
      <x:c r="AC329" s="79" t="str">
        <x:v>گیاهان دارویی</x:v>
      </x:c>
      <x:c r="AD329" s="79" t="str">
        <x:v>medicinal-plants</x:v>
      </x:c>
      <x:c r="AE329" s="79" t="str">
        <x:v>TOPICAL</x:v>
      </x:c>
      <x:c r="AF329" s="79" t="str">
        <x:v>خیر</x:v>
      </x:c>
      <x:c r="AG329" s="79" t="str">
        <x:v>بله</x:v>
      </x:c>
      <x:c r="AH329" s="79" t="n">
        <x:v>2</x:v>
      </x:c>
      <x:c r="AI329" s="79" t="str">
        <x:v>پماد لطیف</x:v>
      </x:c>
      <x:c r="AJ329" s="79" t="str">
        <x:v>سایر</x:v>
      </x:c>
      <x:c r="AK32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30">
      <x:c r="A330" s="79" t="s">
        <x:v>1157</x:v>
      </x:c>
      <x:c r="B330" s="79" t="s">
        <x:v>95</x:v>
      </x:c>
      <x:c r="C330" s="79" t="s">
        <x:v>1158</x:v>
      </x:c>
      <x:c r="D330" s="79" t="s">
        <x:v>1014</x:v>
      </x:c>
      <x:c r="E330" s="79" t="s">
        <x:v>16</x:v>
      </x:c>
      <x:c r="F330" s="79" t="s">
        <x:v>16</x:v>
      </x:c>
      <x:c r="G330" s="79" t="str">
        <x:f>IF(RIGHT($A330,2)="-2",INDEX('قیمت ها'!$E:$E,$J330+2),INDEX('قیمت ها'!$B:$B,$J330+2))</x:f>
        <x:v>؟</x:v>
      </x:c>
      <x:c r="H330" s="110" t="str">
        <x:f t="shared" si="10"/>
      </x:c>
      <x:c r="I330" s="79" t="str">
        <x:f t="shared" si="11"/>
        <x:v>نیاز به استعلام</x:v>
      </x:c>
      <x:c r="J330" s="79">
        <x:v>61</x:v>
      </x:c>
      <x:c r="K330" s="79" t="s">
        <x:v>1157</x:v>
      </x:c>
      <x:c r="L330" s="79"/>
      <x:c r="M330" s="79"/>
      <x:c r="N330" s="79"/>
      <x:c r="O330" s="79"/>
      <x:c r="P330" s="79"/>
      <x:c r="Q330" s="79"/>
      <x:c r="R330" s="79"/>
      <x:c r="S330" s="79"/>
      <x:c r="T330" s="79"/>
      <x:c r="U330" s="79"/>
      <x:c r="V330" s="79"/>
      <x:c r="W330" s="79"/>
      <x:c r="X330" s="79"/>
      <x:c r="Y330" s="79"/>
      <x:c r="Z330" s="79"/>
      <x:c r="AA330" s="79" t="str">
        <x:f>IF(AND(LEN($N$2)&gt;=3,ISNUMBER(SEARCH($N$2,$B330))),MAX($AA$1:AA329)+1,"")</x:f>
      </x:c>
      <x:c r="AB330" s="79" t="str">
        <x:v>6a3782d7df5573f4e676e243</x:v>
      </x:c>
      <x:c r="AC330" s="79" t="str">
        <x:v>گیاهان دارویی</x:v>
      </x:c>
      <x:c r="AD330" s="79" t="str">
        <x:v>medicinal-plants</x:v>
      </x:c>
      <x:c r="AE330" s="79" t="str">
        <x:v>TOPICAL</x:v>
      </x:c>
      <x:c r="AF330" s="79" t="str">
        <x:v>خیر</x:v>
      </x:c>
      <x:c r="AG330" s="79" t="str">
        <x:v>بله</x:v>
      </x:c>
      <x:c r="AH330" s="79" t="n">
        <x:v>2</x:v>
      </x:c>
      <x:c r="AI330" s="79" t="str">
        <x:v>پمادر درد (پماد ویکس)</x:v>
      </x:c>
      <x:c r="AJ330" s="79" t="str">
        <x:v>سایر</x:v>
      </x:c>
      <x:c r="AK33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31">
      <x:c r="A331" s="79" t="s">
        <x:v>1159</x:v>
      </x:c>
      <x:c r="B331" s="79" t="s">
        <x:v>96</x:v>
      </x:c>
      <x:c r="C331" s="79" t="s">
        <x:v>1160</x:v>
      </x:c>
      <x:c r="D331" s="79" t="s">
        <x:v>1014</x:v>
      </x:c>
      <x:c r="E331" s="79" t="s">
        <x:v>16</x:v>
      </x:c>
      <x:c r="F331" s="79" t="s">
        <x:v>16</x:v>
      </x:c>
      <x:c r="G331" s="79" t="n">
        <x:f>IF(RIGHT($A331,2)="-2",INDEX('قیمت ها'!$E:$E,$J331+2),INDEX('قیمت ها'!$B:$B,$J331+2))</x:f>
        <x:v>320</x:v>
      </x:c>
      <x:c r="H331" s="110">
        <x:f t="shared" si="10"/>
        <x:v>320000</x:v>
      </x:c>
      <x:c r="I331" s="79" t="str">
        <x:f t="shared" si="11"/>
        <x:v>فعال</x:v>
      </x:c>
      <x:c r="J331" s="79">
        <x:v>62</x:v>
      </x:c>
      <x:c r="K331" s="79" t="s">
        <x:v>1159</x:v>
      </x:c>
      <x:c r="L331" s="79"/>
      <x:c r="M331" s="79"/>
      <x:c r="N331" s="79"/>
      <x:c r="O331" s="79"/>
      <x:c r="P331" s="79"/>
      <x:c r="Q331" s="79"/>
      <x:c r="R331" s="79"/>
      <x:c r="S331" s="79"/>
      <x:c r="T331" s="79"/>
      <x:c r="U331" s="79"/>
      <x:c r="V331" s="79"/>
      <x:c r="W331" s="79"/>
      <x:c r="X331" s="79"/>
      <x:c r="Y331" s="79"/>
      <x:c r="Z331" s="79"/>
      <x:c r="AA331" s="79" t="str">
        <x:f>IF(AND(LEN($N$2)&gt;=3,ISNUMBER(SEARCH($N$2,$B331))),MAX($AA$1:AA330)+1,"")</x:f>
      </x:c>
      <x:c r="AB331" s="79" t="str">
        <x:v>6a3782d7df5573f4e676e243</x:v>
      </x:c>
      <x:c r="AC331" s="79" t="str">
        <x:v>گیاهان دارویی</x:v>
      </x:c>
      <x:c r="AD331" s="79" t="str">
        <x:v>medicinal-plants</x:v>
      </x:c>
      <x:c r="AE331" s="79" t="str">
        <x:v>TOPICAL</x:v>
      </x:c>
      <x:c r="AF331" s="79" t="str">
        <x:v>خیر</x:v>
      </x:c>
      <x:c r="AG331" s="79" t="str">
        <x:v>خیر</x:v>
      </x:c>
      <x:c r="AH331" s="79" t="n">
        <x:v>1</x:v>
      </x:c>
      <x:c r="AI331" s="79" t="str">
        <x:v>پمادر درد (پماد ویکس) 55 گرمی</x:v>
      </x:c>
      <x:c r="AJ331" s="79" t="str">
        <x:v>سایر</x:v>
      </x:c>
      <x:c r="AK331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32">
      <x:c r="A332" s="79" t="s">
        <x:v>1161</x:v>
      </x:c>
      <x:c r="B332" s="79" t="s">
        <x:v>98</x:v>
      </x:c>
      <x:c r="C332" s="79" t="s">
        <x:v>1162</x:v>
      </x:c>
      <x:c r="D332" s="79" t="s">
        <x:v>1014</x:v>
      </x:c>
      <x:c r="E332" s="79" t="s">
        <x:v>16</x:v>
      </x:c>
      <x:c r="F332" s="79" t="s">
        <x:v>16</x:v>
      </x:c>
      <x:c r="G332" s="79" t="str">
        <x:f>IF(RIGHT($A332,2)="-2",INDEX('قیمت ها'!$E:$E,$J332+2),INDEX('قیمت ها'!$B:$B,$J332+2))</x:f>
        <x:v>1/100</x:v>
      </x:c>
      <x:c r="H332" s="110">
        <x:f t="shared" si="10"/>
        <x:v>1100000</x:v>
      </x:c>
      <x:c r="I332" s="79" t="str">
        <x:f t="shared" si="11"/>
        <x:v>فعال</x:v>
      </x:c>
      <x:c r="J332" s="79">
        <x:v>64</x:v>
      </x:c>
      <x:c r="K332" s="79" t="s">
        <x:v>1161</x:v>
      </x:c>
      <x:c r="L332" s="79"/>
      <x:c r="M332" s="79"/>
      <x:c r="N332" s="79"/>
      <x:c r="O332" s="79"/>
      <x:c r="P332" s="79"/>
      <x:c r="Q332" s="79"/>
      <x:c r="R332" s="79"/>
      <x:c r="S332" s="79"/>
      <x:c r="T332" s="79"/>
      <x:c r="U332" s="79"/>
      <x:c r="V332" s="79"/>
      <x:c r="W332" s="79"/>
      <x:c r="X332" s="79"/>
      <x:c r="Y332" s="79"/>
      <x:c r="Z332" s="79"/>
      <x:c r="AA332" s="79" t="str">
        <x:f>IF(AND(LEN($N$2)&gt;=3,ISNUMBER(SEARCH($N$2,$B332))),MAX($AA$1:AA331)+1,"")</x:f>
      </x:c>
      <x:c r="AB332" s="79" t="str">
        <x:v>6a3a00000000000000000004</x:v>
      </x:c>
      <x:c r="AC332" s="79" t="str">
        <x:v>آرد و قنادی</x:v>
      </x:c>
      <x:c r="AD332" s="79" t="str">
        <x:v>flour-confectionery</x:v>
      </x:c>
      <x:c r="AE332" s="79" t="str">
        <x:v>EDIBLE</x:v>
      </x:c>
      <x:c r="AF332" s="79" t="str">
        <x:v>بله</x:v>
      </x:c>
      <x:c r="AG332" s="79" t="str">
        <x:v>خیر</x:v>
      </x:c>
      <x:c r="AH332" s="79" t="n">
        <x:v>1</x:v>
      </x:c>
      <x:c r="AI332" s="79" t="str">
        <x:v>پودر سوخاری دانه درشت نارنجی</x:v>
      </x:c>
      <x:c r="AJ332" s="79" t="str">
        <x:v>سایر</x:v>
      </x:c>
      <x:c r="AK332" s="79" t="str">
        <x:v>دسته از «نیاز به بررسی» به «آرد و قنادی» اصلاح شد</x:v>
      </x:c>
    </x:row>
    <x:row r="333">
      <x:c r="A333" s="79" t="s">
        <x:v>1163</x:v>
      </x:c>
      <x:c r="B333" s="79" t="s">
        <x:v>99</x:v>
      </x:c>
      <x:c r="C333" s="79" t="s">
        <x:v>1164</x:v>
      </x:c>
      <x:c r="D333" s="79" t="s">
        <x:v>1014</x:v>
      </x:c>
      <x:c r="E333" s="79" t="s">
        <x:v>16</x:v>
      </x:c>
      <x:c r="F333" s="79" t="s">
        <x:v>16</x:v>
      </x:c>
      <x:c r="G333" s="79" t="n">
        <x:f>IF(RIGHT($A333,2)="-2",INDEX('قیمت ها'!$E:$E,$J333+2),INDEX('قیمت ها'!$B:$B,$J333+2))</x:f>
        <x:v>700</x:v>
      </x:c>
      <x:c r="H333" s="110">
        <x:f t="shared" si="10"/>
        <x:v>700000</x:v>
      </x:c>
      <x:c r="I333" s="79" t="str">
        <x:f t="shared" si="11"/>
        <x:v>فعال</x:v>
      </x:c>
      <x:c r="J333" s="79">
        <x:v>65</x:v>
      </x:c>
      <x:c r="K333" s="79" t="s">
        <x:v>1163</x:v>
      </x:c>
      <x:c r="L333" s="79"/>
      <x:c r="M333" s="79"/>
      <x:c r="N333" s="79"/>
      <x:c r="O333" s="79"/>
      <x:c r="P333" s="79"/>
      <x:c r="Q333" s="79"/>
      <x:c r="R333" s="79"/>
      <x:c r="S333" s="79"/>
      <x:c r="T333" s="79"/>
      <x:c r="U333" s="79"/>
      <x:c r="V333" s="79"/>
      <x:c r="W333" s="79"/>
      <x:c r="X333" s="79"/>
      <x:c r="Y333" s="79"/>
      <x:c r="Z333" s="79"/>
      <x:c r="AA333" s="79" t="str">
        <x:f>IF(AND(LEN($N$2)&gt;=3,ISNUMBER(SEARCH($N$2,$B333))),MAX($AA$1:AA332)+1,"")</x:f>
      </x:c>
      <x:c r="AB333" s="79" t="str">
        <x:v>6a3782ffdf5573f4e676e24b</x:v>
      </x:c>
      <x:c r="AC333" s="79" t="str">
        <x:v>نوشیدنی‌ها</x:v>
      </x:c>
      <x:c r="AD333" s="79" t="str">
        <x:v>syrup</x:v>
      </x:c>
      <x:c r="AE333" s="79" t="str">
        <x:v>EDIBLE</x:v>
      </x:c>
      <x:c r="AF333" s="79" t="str">
        <x:v>بله</x:v>
      </x:c>
      <x:c r="AG333" s="79" t="str">
        <x:v>خیر</x:v>
      </x:c>
      <x:c r="AH333" s="79" t="n">
        <x:v>1</x:v>
      </x:c>
      <x:c r="AI333" s="79" t="str">
        <x:v>پودر شربت</x:v>
      </x:c>
      <x:c r="AJ333" s="79" t="str">
        <x:v>سایر</x:v>
      </x:c>
      <x:c r="AK333" s="79"/>
    </x:row>
    <x:row r="334">
      <x:c r="A334" s="79" t="s">
        <x:v>1165</x:v>
      </x:c>
      <x:c r="B334" s="79" t="s">
        <x:v>142</x:v>
      </x:c>
      <x:c r="C334" s="79" t="s">
        <x:v>1166</x:v>
      </x:c>
      <x:c r="D334" s="79" t="s">
        <x:v>1014</x:v>
      </x:c>
      <x:c r="E334" s="79" t="s">
        <x:v>16</x:v>
      </x:c>
      <x:c r="F334" s="79" t="s">
        <x:v>16</x:v>
      </x:c>
      <x:c r="G334" s="79" t="n">
        <x:f>IF(RIGHT($A334,2)="-2",INDEX('قیمت ها'!$E:$E,$J334+2),INDEX('قیمت ها'!$B:$B,$J334+2))</x:f>
        <x:v>950</x:v>
      </x:c>
      <x:c r="H334" s="110">
        <x:f t="shared" si="10"/>
        <x:v>950000</x:v>
      </x:c>
      <x:c r="I334" s="79" t="str">
        <x:f t="shared" si="11"/>
        <x:v>فعال</x:v>
      </x:c>
      <x:c r="J334" s="79">
        <x:v>98</x:v>
      </x:c>
      <x:c r="K334" s="79" t="s">
        <x:v>1165</x:v>
      </x:c>
      <x:c r="L334" s="79"/>
      <x:c r="M334" s="79"/>
      <x:c r="N334" s="79"/>
      <x:c r="O334" s="79"/>
      <x:c r="P334" s="79"/>
      <x:c r="Q334" s="79"/>
      <x:c r="R334" s="79"/>
      <x:c r="S334" s="79"/>
      <x:c r="T334" s="79"/>
      <x:c r="U334" s="79"/>
      <x:c r="V334" s="79"/>
      <x:c r="W334" s="79"/>
      <x:c r="X334" s="79"/>
      <x:c r="Y334" s="79"/>
      <x:c r="Z334" s="79"/>
      <x:c r="AA334" s="79" t="str">
        <x:f>IF(AND(LEN($N$2)&gt;=3,ISNUMBER(SEARCH($N$2,$B334))),MAX($AA$1:AA333)+1,"")</x:f>
      </x:c>
      <x:c r="AB334" s="79" t="str">
        <x:v>6a30f5728337d8d2af170bb3</x:v>
      </x:c>
      <x:c r="AC334" s="79" t="str">
        <x:v>چای</x:v>
      </x:c>
      <x:c r="AD334" s="79" t="str">
        <x:v>tea</x:v>
      </x:c>
      <x:c r="AE334" s="79" t="str">
        <x:v>EDIBLE</x:v>
      </x:c>
      <x:c r="AF334" s="79" t="str">
        <x:v>بله</x:v>
      </x:c>
      <x:c r="AG334" s="79" t="str">
        <x:v>خیر</x:v>
      </x:c>
      <x:c r="AH334" s="79" t="n">
        <x:v>1</x:v>
      </x:c>
      <x:c r="AI334" s="79" t="str">
        <x:v>چای مراکش</x:v>
      </x:c>
      <x:c r="AJ334" s="79" t="str">
        <x:v>سایر</x:v>
      </x:c>
      <x:c r="AK334" s="79"/>
    </x:row>
    <x:row r="335">
      <x:c r="A335" s="79" t="s">
        <x:v>1167</x:v>
      </x:c>
      <x:c r="B335" s="79" t="s">
        <x:v>143</x:v>
      </x:c>
      <x:c r="C335" s="79" t="s">
        <x:v>1168</x:v>
      </x:c>
      <x:c r="D335" s="79" t="s">
        <x:v>1014</x:v>
      </x:c>
      <x:c r="E335" s="79" t="s">
        <x:v>144</x:v>
      </x:c>
      <x:c r="F335" s="79" t="s">
        <x:v>16</x:v>
      </x:c>
      <x:c r="G335" s="79" t="n">
        <x:f>IF(RIGHT($A335,2)="-2",INDEX('قیمت ها'!$E:$E,$J335+2),INDEX('قیمت ها'!$B:$B,$J335+2))</x:f>
        <x:v>900</x:v>
      </x:c>
      <x:c r="H335" s="110">
        <x:f t="shared" si="10"/>
        <x:v>900000</x:v>
      </x:c>
      <x:c r="I335" s="79" t="str">
        <x:f t="shared" si="11"/>
        <x:v>فعال</x:v>
      </x:c>
      <x:c r="J335" s="79">
        <x:v>99</x:v>
      </x:c>
      <x:c r="K335" s="79" t="s">
        <x:v>1167</x:v>
      </x:c>
      <x:c r="L335" s="79"/>
      <x:c r="M335" s="79"/>
      <x:c r="N335" s="79"/>
      <x:c r="O335" s="79"/>
      <x:c r="P335" s="79"/>
      <x:c r="Q335" s="79"/>
      <x:c r="R335" s="79"/>
      <x:c r="S335" s="79"/>
      <x:c r="T335" s="79"/>
      <x:c r="U335" s="79"/>
      <x:c r="V335" s="79"/>
      <x:c r="W335" s="79"/>
      <x:c r="X335" s="79"/>
      <x:c r="Y335" s="79"/>
      <x:c r="Z335" s="79"/>
      <x:c r="AA335" s="79" t="str">
        <x:f>IF(AND(LEN($N$2)&gt;=3,ISNUMBER(SEARCH($N$2,$B335))),MAX($AA$1:AA334)+1,"")</x:f>
      </x:c>
      <x:c r="AB335" s="79" t="str">
        <x:v>6a30f5728337d8d2af170bb3</x:v>
      </x:c>
      <x:c r="AC335" s="79" t="str">
        <x:v>چای</x:v>
      </x:c>
      <x:c r="AD335" s="79" t="str">
        <x:v>tea</x:v>
      </x:c>
      <x:c r="AE335" s="79" t="str">
        <x:v>EDIBLE</x:v>
      </x:c>
      <x:c r="AF335" s="79" t="str">
        <x:v>بله</x:v>
      </x:c>
      <x:c r="AG335" s="79" t="str">
        <x:v>خیر</x:v>
      </x:c>
      <x:c r="AH335" s="79" t="n">
        <x:v>1</x:v>
      </x:c>
      <x:c r="AI335" s="79" t="str">
        <x:v>چای میوه ای</x:v>
      </x:c>
      <x:c r="AJ335" s="79" t="str">
        <x:v>سایر</x:v>
      </x:c>
      <x:c r="AK335" s="79"/>
    </x:row>
    <x:row r="336">
      <x:c r="A336" s="79" t="s">
        <x:v>1169</x:v>
      </x:c>
      <x:c r="B336" s="79" t="s">
        <x:v>145</x:v>
      </x:c>
      <x:c r="C336" s="79" t="s">
        <x:v>1170</x:v>
      </x:c>
      <x:c r="D336" s="79" t="s">
        <x:v>1014</x:v>
      </x:c>
      <x:c r="E336" s="79" t="s">
        <x:v>16</x:v>
      </x:c>
      <x:c r="F336" s="79" t="s">
        <x:v>16</x:v>
      </x:c>
      <x:c r="G336" s="79" t="str">
        <x:f>IF(RIGHT($A336,2)="-2",INDEX('قیمت ها'!$E:$E,$J336+2),INDEX('قیمت ها'!$B:$B,$J336+2))</x:f>
        <x:v>1/100</x:v>
      </x:c>
      <x:c r="H336" s="110">
        <x:f t="shared" si="10"/>
        <x:v>1100000</x:v>
      </x:c>
      <x:c r="I336" s="79" t="str">
        <x:f t="shared" si="11"/>
        <x:v>فعال</x:v>
      </x:c>
      <x:c r="J336" s="79">
        <x:v>100</x:v>
      </x:c>
      <x:c r="K336" s="79" t="s">
        <x:v>1169</x:v>
      </x:c>
      <x:c r="L336" s="79"/>
      <x:c r="M336" s="79"/>
      <x:c r="N336" s="79"/>
      <x:c r="O336" s="79"/>
      <x:c r="P336" s="79"/>
      <x:c r="Q336" s="79"/>
      <x:c r="R336" s="79"/>
      <x:c r="S336" s="79"/>
      <x:c r="T336" s="79"/>
      <x:c r="U336" s="79"/>
      <x:c r="V336" s="79"/>
      <x:c r="W336" s="79"/>
      <x:c r="X336" s="79"/>
      <x:c r="Y336" s="79"/>
      <x:c r="Z336" s="79"/>
      <x:c r="AA336" s="79" t="str">
        <x:f>IF(AND(LEN($N$2)&gt;=3,ISNUMBER(SEARCH($N$2,$B336))),MAX($AA$1:AA335)+1,"")</x:f>
      </x:c>
      <x:c r="AB336" s="79" t="str">
        <x:v>6a37810ddf5573f4e676e201</x:v>
      </x:c>
      <x:c r="AC336" s="79" t="str">
        <x:v>خشکبار و آجیل</x:v>
      </x:c>
      <x:c r="AD336" s="79" t="str">
        <x:v>dried-fruits-nuts</x:v>
      </x:c>
      <x:c r="AE336" s="79" t="str">
        <x:v>EDIBLE</x:v>
      </x:c>
      <x:c r="AF336" s="79" t="str">
        <x:v>بله</x:v>
      </x:c>
      <x:c r="AG336" s="79" t="str">
        <x:v>خیر</x:v>
      </x:c>
      <x:c r="AH336" s="79" t="n">
        <x:v>1</x:v>
      </x:c>
      <x:c r="AI336" s="79" t="str">
        <x:v>چهار تخم</x:v>
      </x:c>
      <x:c r="AJ336" s="79" t="str">
        <x:v>سایر</x:v>
      </x:c>
      <x:c r="AK336" s="79"/>
    </x:row>
    <x:row r="337">
      <x:c r="A337" s="79" t="s">
        <x:v>1171</x:v>
      </x:c>
      <x:c r="B337" s="79" t="s">
        <x:v>424</x:v>
      </x:c>
      <x:c r="C337" s="79" t="s">
        <x:v>1172</x:v>
      </x:c>
      <x:c r="D337" s="79" t="s">
        <x:v>1014</x:v>
      </x:c>
      <x:c r="E337" s="79" t="s">
        <x:v>421</x:v>
      </x:c>
      <x:c r="F337" s="79" t="s">
        <x:v>682</x:v>
      </x:c>
      <x:c r="G337" s="79" t="n">
        <x:f>IF(RIGHT($A337,2)="-2",INDEX('قیمت ها'!$E:$E,$J337+2),INDEX('قیمت ها'!$B:$B,$J337+2))</x:f>
        <x:v>350</x:v>
      </x:c>
      <x:c r="H337" s="110">
        <x:f t="shared" si="10"/>
        <x:v>350000</x:v>
      </x:c>
      <x:c r="I337" s="79" t="str">
        <x:f t="shared" si="11"/>
        <x:v>فعال</x:v>
      </x:c>
      <x:c r="J337" s="79">
        <x:v>340</x:v>
      </x:c>
      <x:c r="K337" s="79" t="s">
        <x:v>1171</x:v>
      </x:c>
      <x:c r="L337" s="79"/>
      <x:c r="M337" s="79"/>
      <x:c r="N337" s="79"/>
      <x:c r="O337" s="79"/>
      <x:c r="P337" s="79"/>
      <x:c r="Q337" s="79"/>
      <x:c r="R337" s="79"/>
      <x:c r="S337" s="79"/>
      <x:c r="T337" s="79"/>
      <x:c r="U337" s="79"/>
      <x:c r="V337" s="79"/>
      <x:c r="W337" s="79"/>
      <x:c r="X337" s="79"/>
      <x:c r="Y337" s="79"/>
      <x:c r="Z337" s="79"/>
      <x:c r="AA337" s="79" t="str">
        <x:f>IF(AND(LEN($N$2)&gt;=3,ISNUMBER(SEARCH($N$2,$B337))),MAX($AA$1:AA336)+1,"")</x:f>
      </x:c>
      <x:c r="AB337" s="79" t="str">
        <x:v>6a37810ddf5573f4e676e201</x:v>
      </x:c>
      <x:c r="AC337" s="79" t="str">
        <x:v>خشکبار و آجیل</x:v>
      </x:c>
      <x:c r="AD337" s="79" t="str">
        <x:v>dried-fruits-nuts</x:v>
      </x:c>
      <x:c r="AE337" s="79" t="str">
        <x:v>EDIBLE</x:v>
      </x:c>
      <x:c r="AF337" s="79" t="str">
        <x:v>بله</x:v>
      </x:c>
      <x:c r="AG337" s="79" t="str">
        <x:v>خیر</x:v>
      </x:c>
      <x:c r="AH337" s="79" t="n">
        <x:v>1</x:v>
      </x:c>
      <x:c r="AI337" s="79" t="str">
        <x:v>کره فندق</x:v>
      </x:c>
      <x:c r="AJ337" s="79" t="str">
        <x:v>سایر</x:v>
      </x:c>
      <x:c r="AK337" s="79"/>
    </x:row>
    <x:row r="338">
      <x:c r="A338" s="79" t="s">
        <x:v>1173</x:v>
      </x:c>
      <x:c r="B338" s="79" t="s">
        <x:v>424</x:v>
      </x:c>
      <x:c r="C338" s="79" t="s">
        <x:v>1174</x:v>
      </x:c>
      <x:c r="D338" s="79" t="s">
        <x:v>1014</x:v>
      </x:c>
      <x:c r="E338" s="79" t="s">
        <x:v>425</x:v>
      </x:c>
      <x:c r="F338" s="79" t="s">
        <x:v>682</x:v>
      </x:c>
      <x:c r="G338" s="79" t="n">
        <x:f>IF(RIGHT($A338,2)="-2",INDEX('قیمت ها'!$E:$E,$J338+2),INDEX('قیمت ها'!$B:$B,$J338+2))</x:f>
        <x:v>460</x:v>
      </x:c>
      <x:c r="H338" s="110">
        <x:f t="shared" si="10"/>
        <x:v>460000</x:v>
      </x:c>
      <x:c r="I338" s="79" t="str">
        <x:f t="shared" si="11"/>
        <x:v>فعال</x:v>
      </x:c>
      <x:c r="J338" s="79">
        <x:v>340</x:v>
      </x:c>
      <x:c r="K338" s="79" t="s">
        <x:v>1173</x:v>
      </x:c>
      <x:c r="L338" s="79"/>
      <x:c r="M338" s="79"/>
      <x:c r="N338" s="79"/>
      <x:c r="O338" s="79"/>
      <x:c r="P338" s="79"/>
      <x:c r="Q338" s="79"/>
      <x:c r="R338" s="79"/>
      <x:c r="S338" s="79"/>
      <x:c r="T338" s="79"/>
      <x:c r="U338" s="79"/>
      <x:c r="V338" s="79"/>
      <x:c r="W338" s="79"/>
      <x:c r="X338" s="79"/>
      <x:c r="Y338" s="79"/>
      <x:c r="Z338" s="79"/>
      <x:c r="AA338" s="79" t="str">
        <x:f>IF(AND(LEN($N$2)&gt;=3,ISNUMBER(SEARCH($N$2,$B338))),MAX($AA$1:AA337)+1,"")</x:f>
      </x:c>
      <x:c r="AB338" s="79" t="str">
        <x:v>6a37810ddf5573f4e676e201</x:v>
      </x:c>
      <x:c r="AC338" s="79" t="str">
        <x:v>خشکبار و آجیل</x:v>
      </x:c>
      <x:c r="AD338" s="79" t="str">
        <x:v>dried-fruits-nuts</x:v>
      </x:c>
      <x:c r="AE338" s="79" t="str">
        <x:v>EDIBLE</x:v>
      </x:c>
      <x:c r="AF338" s="79" t="str">
        <x:v>بله</x:v>
      </x:c>
      <x:c r="AG338" s="79" t="str">
        <x:v>خیر</x:v>
      </x:c>
      <x:c r="AH338" s="79" t="n">
        <x:v>1</x:v>
      </x:c>
      <x:c r="AI338" s="79" t="str">
        <x:v>کره فندق</x:v>
      </x:c>
      <x:c r="AJ338" s="79" t="str">
        <x:v>سایر</x:v>
      </x:c>
      <x:c r="AK338" s="79"/>
    </x:row>
    <x:row r="339">
      <x:c r="A339" s="79" t="s">
        <x:v>1175</x:v>
      </x:c>
      <x:c r="B339" s="79" t="s">
        <x:v>420</x:v>
      </x:c>
      <x:c r="C339" s="79" t="s">
        <x:v>1176</x:v>
      </x:c>
      <x:c r="D339" s="79" t="s">
        <x:v>1014</x:v>
      </x:c>
      <x:c r="E339" s="79" t="s">
        <x:v>421</x:v>
      </x:c>
      <x:c r="F339" s="79" t="s">
        <x:v>682</x:v>
      </x:c>
      <x:c r="G339" s="79" t="n">
        <x:f>IF(RIGHT($A339,2)="-2",INDEX('قیمت ها'!$E:$E,$J339+2),INDEX('قیمت ها'!$B:$B,$J339+2))</x:f>
        <x:v>500</x:v>
      </x:c>
      <x:c r="H339" s="110">
        <x:f t="shared" si="10"/>
        <x:v>500000</x:v>
      </x:c>
      <x:c r="I339" s="79" t="str">
        <x:f t="shared" si="11"/>
        <x:v>فعال</x:v>
      </x:c>
      <x:c r="J339" s="79">
        <x:v>337</x:v>
      </x:c>
      <x:c r="K339" s="79" t="s">
        <x:v>1175</x:v>
      </x:c>
      <x:c r="L339" s="79"/>
      <x:c r="M339" s="79"/>
      <x:c r="N339" s="79"/>
      <x:c r="O339" s="79"/>
      <x:c r="P339" s="79"/>
      <x:c r="Q339" s="79"/>
      <x:c r="R339" s="79"/>
      <x:c r="S339" s="79"/>
      <x:c r="T339" s="79"/>
      <x:c r="U339" s="79"/>
      <x:c r="V339" s="79"/>
      <x:c r="W339" s="79"/>
      <x:c r="X339" s="79"/>
      <x:c r="Y339" s="79"/>
      <x:c r="Z339" s="79"/>
      <x:c r="AA339" s="79" t="str">
        <x:f>IF(AND(LEN($N$2)&gt;=3,ISNUMBER(SEARCH($N$2,$B339))),MAX($AA$1:AA338)+1,"")</x:f>
      </x:c>
      <x:c r="AB339" s="79" t="str">
        <x:v>6a37810ddf5573f4e676e201</x:v>
      </x:c>
      <x:c r="AC339" s="79" t="str">
        <x:v>خشکبار و آجیل</x:v>
      </x:c>
      <x:c r="AD339" s="79" t="str">
        <x:v>dried-fruits-nuts</x:v>
      </x:c>
      <x:c r="AE339" s="79" t="str">
        <x:v>EDIBLE</x:v>
      </x:c>
      <x:c r="AF339" s="79" t="str">
        <x:v>بله</x:v>
      </x:c>
      <x:c r="AG339" s="79" t="str">
        <x:v>خیر</x:v>
      </x:c>
      <x:c r="AH339" s="79" t="n">
        <x:v>1</x:v>
      </x:c>
      <x:c r="AI339" s="79" t="str">
        <x:v>کره بادام هندی</x:v>
      </x:c>
      <x:c r="AJ339" s="79" t="str">
        <x:v>سایر</x:v>
      </x:c>
      <x:c r="AK339" s="79" t="str">
        <x:v>MISSING_PRICE_REVIEW</x:v>
      </x:c>
    </x:row>
    <x:row r="340">
      <x:c r="A340" s="79" t="s">
        <x:v>1177</x:v>
      </x:c>
      <x:c r="B340" s="79" t="s">
        <x:v>423</x:v>
      </x:c>
      <x:c r="C340" s="79" t="s">
        <x:v>1178</x:v>
      </x:c>
      <x:c r="D340" s="79" t="s">
        <x:v>1014</x:v>
      </x:c>
      <x:c r="E340" s="79" t="s">
        <x:v>16</x:v>
      </x:c>
      <x:c r="F340" s="79" t="s">
        <x:v>16</x:v>
      </x:c>
      <x:c r="G340" s="79" t="str">
        <x:f>IF(RIGHT($A340,2)="-2",INDEX('قیمت ها'!$E:$E,$J340+2),INDEX('قیمت ها'!$B:$B,$J340+2))</x:f>
        <x:v>؟</x:v>
      </x:c>
      <x:c r="H340" s="110" t="str">
        <x:f t="shared" si="10"/>
      </x:c>
      <x:c r="I340" s="79" t="str">
        <x:f t="shared" si="11"/>
        <x:v>نیاز به استعلام</x:v>
      </x:c>
      <x:c r="J340" s="79">
        <x:v>339</x:v>
      </x:c>
      <x:c r="K340" s="79" t="s">
        <x:v>1177</x:v>
      </x:c>
      <x:c r="L340" s="79"/>
      <x:c r="M340" s="79"/>
      <x:c r="N340" s="79"/>
      <x:c r="O340" s="79"/>
      <x:c r="P340" s="79"/>
      <x:c r="Q340" s="79"/>
      <x:c r="R340" s="79"/>
      <x:c r="S340" s="79"/>
      <x:c r="T340" s="79"/>
      <x:c r="U340" s="79"/>
      <x:c r="V340" s="79"/>
      <x:c r="W340" s="79"/>
      <x:c r="X340" s="79"/>
      <x:c r="Y340" s="79"/>
      <x:c r="Z340" s="79"/>
      <x:c r="AA340" s="79" t="str">
        <x:f>IF(AND(LEN($N$2)&gt;=3,ISNUMBER(SEARCH($N$2,$B340))),MAX($AA$1:AA339)+1,"")</x:f>
      </x:c>
      <x:c r="AB340" s="79" t="str">
        <x:v>6a37810ddf5573f4e676e201</x:v>
      </x:c>
      <x:c r="AC340" s="79" t="str">
        <x:v>خشکبار و آجیل</x:v>
      </x:c>
      <x:c r="AD340" s="79" t="str">
        <x:v>dried-fruits-nuts</x:v>
      </x:c>
      <x:c r="AE340" s="79" t="str">
        <x:v>EDIBLE</x:v>
      </x:c>
      <x:c r="AF340" s="79" t="str">
        <x:v>بله</x:v>
      </x:c>
      <x:c r="AG340" s="79" t="str">
        <x:v>خیر</x:v>
      </x:c>
      <x:c r="AH340" s="79" t="n">
        <x:v>1</x:v>
      </x:c>
      <x:c r="AI340" s="79" t="str">
        <x:v>کره پنج مغز</x:v>
      </x:c>
      <x:c r="AJ340" s="79" t="str">
        <x:v>سایر</x:v>
      </x:c>
      <x:c r="AK340" s="79" t="str">
        <x:v>دسته از «نیاز به بررسی» به «خشکبار و آجیل» اصلاح شد</x:v>
      </x:c>
    </x:row>
    <x:row r="341">
      <x:c r="A341" s="79" t="s">
        <x:v>1179</x:v>
      </x:c>
      <x:c r="B341" s="79" t="s">
        <x:v>430</x:v>
      </x:c>
      <x:c r="C341" s="79" t="s">
        <x:v>1180</x:v>
      </x:c>
      <x:c r="D341" s="79" t="s">
        <x:v>1014</x:v>
      </x:c>
      <x:c r="E341" s="79" t="s">
        <x:v>431</x:v>
      </x:c>
      <x:c r="F341" s="79" t="s">
        <x:v>16</x:v>
      </x:c>
      <x:c r="G341" s="79" t="n">
        <x:f>IF(RIGHT($A341,2)="-2",INDEX('قیمت ها'!$E:$E,$J341+2),INDEX('قیمت ها'!$B:$B,$J341+2))</x:f>
        <x:v>25</x:v>
      </x:c>
      <x:c r="H341" s="110">
        <x:f t="shared" si="10"/>
        <x:v>25000</x:v>
      </x:c>
      <x:c r="I341" s="79" t="str">
        <x:f t="shared" si="11"/>
        <x:v>فعال</x:v>
      </x:c>
      <x:c r="J341" s="79">
        <x:v>345</x:v>
      </x:c>
      <x:c r="K341" s="79" t="s">
        <x:v>1179</x:v>
      </x:c>
      <x:c r="L341" s="79"/>
      <x:c r="M341" s="79"/>
      <x:c r="N341" s="79"/>
      <x:c r="O341" s="79"/>
      <x:c r="P341" s="79"/>
      <x:c r="Q341" s="79"/>
      <x:c r="R341" s="79"/>
      <x:c r="S341" s="79"/>
      <x:c r="T341" s="79"/>
      <x:c r="U341" s="79"/>
      <x:c r="V341" s="79"/>
      <x:c r="W341" s="79"/>
      <x:c r="X341" s="79"/>
      <x:c r="Y341" s="79"/>
      <x:c r="Z341" s="79"/>
      <x:c r="AA341" s="79" t="str">
        <x:f>IF(AND(LEN($N$2)&gt;=3,ISNUMBER(SEARCH($N$2,$B341))),MAX($AA$1:AA340)+1,"")</x:f>
      </x:c>
      <x:c r="AB341" s="79" t="str">
        <x:v>6a3a00000000000000000003</x:v>
      </x:c>
      <x:c r="AC341" s="79" t="str">
        <x:v>قنادی و شیرینی</x:v>
      </x:c>
      <x:c r="AD341" s="79" t="str">
        <x:v>confectionery</x:v>
      </x:c>
      <x:c r="AE341" s="79" t="str">
        <x:v>EDIBLE</x:v>
      </x:c>
      <x:c r="AF341" s="79" t="str">
        <x:v>بله</x:v>
      </x:c>
      <x:c r="AG341" s="79" t="str">
        <x:v>خیر</x:v>
      </x:c>
      <x:c r="AH341" s="79" t="n">
        <x:v>1</x:v>
      </x:c>
      <x:c r="AI341" s="79" t="str">
        <x:v>کلوچه زنجبیلی با شکر قهوه ای</x:v>
      </x:c>
      <x:c r="AJ341" s="79" t="str">
        <x:v>سایر</x:v>
      </x:c>
      <x:c r="AK341" s="79"/>
    </x:row>
    <x:row r="342">
      <x:c r="A342" s="79" t="s">
        <x:v>1181</x:v>
      </x:c>
      <x:c r="B342" s="79" t="s">
        <x:v>437</x:v>
      </x:c>
      <x:c r="C342" s="79" t="s">
        <x:v>1182</x:v>
      </x:c>
      <x:c r="D342" s="79" t="s">
        <x:v>1014</x:v>
      </x:c>
      <x:c r="E342" s="79" t="s">
        <x:v>16</x:v>
      </x:c>
      <x:c r="F342" s="79" t="s">
        <x:v>16</x:v>
      </x:c>
      <x:c r="G342" s="79" t="str">
        <x:f>IF(RIGHT($A342,2)="-2",INDEX('قیمت ها'!$E:$E,$J342+2),INDEX('قیمت ها'!$B:$B,$J342+2))</x:f>
        <x:v>4/400</x:v>
      </x:c>
      <x:c r="H342" s="110">
        <x:f t="shared" si="10"/>
        <x:v>4400000</x:v>
      </x:c>
      <x:c r="I342" s="79" t="str">
        <x:f t="shared" si="11"/>
        <x:v>فعال</x:v>
      </x:c>
      <x:c r="J342" s="79">
        <x:v>351</x:v>
      </x:c>
      <x:c r="K342" s="79" t="s">
        <x:v>1181</x:v>
      </x:c>
      <x:c r="L342" s="79"/>
      <x:c r="M342" s="79"/>
      <x:c r="N342" s="79"/>
      <x:c r="O342" s="79"/>
      <x:c r="P342" s="79"/>
      <x:c r="Q342" s="79"/>
      <x:c r="R342" s="79"/>
      <x:c r="S342" s="79"/>
      <x:c r="T342" s="79"/>
      <x:c r="U342" s="79"/>
      <x:c r="V342" s="79"/>
      <x:c r="W342" s="79"/>
      <x:c r="X342" s="79"/>
      <x:c r="Y342" s="79"/>
      <x:c r="Z342" s="79"/>
      <x:c r="AA342" s="79" t="str">
        <x:f>IF(AND(LEN($N$2)&gt;=3,ISNUMBER(SEARCH($N$2,$B342))),MAX($AA$1:AA341)+1,"")</x:f>
      </x:c>
      <x:c r="AB342" s="79" t="str">
        <x:v>6a37810ddf5573f4e676e201</x:v>
      </x:c>
      <x:c r="AC342" s="79" t="str">
        <x:v>خشکبار و آجیل</x:v>
      </x:c>
      <x:c r="AD342" s="79" t="str">
        <x:v>dried-fruits-nuts</x:v>
      </x:c>
      <x:c r="AE342" s="79" t="str">
        <x:v>EDIBLE</x:v>
      </x:c>
      <x:c r="AF342" s="79" t="str">
        <x:v>بله</x:v>
      </x:c>
      <x:c r="AG342" s="79" t="str">
        <x:v>خیر</x:v>
      </x:c>
      <x:c r="AH342" s="79" t="n">
        <x:v>1</x:v>
      </x:c>
      <x:c r="AI342" s="79" t="str">
        <x:v>کنجد</x:v>
      </x:c>
      <x:c r="AJ342" s="79" t="str">
        <x:v>سایر</x:v>
      </x:c>
      <x:c r="AK342" s="79" t="str">
        <x:v>MERGED</x:v>
      </x:c>
    </x:row>
    <x:row r="343">
      <x:c r="A343" s="79" t="s">
        <x:v>1183</x:v>
      </x:c>
      <x:c r="B343" s="79" t="s">
        <x:v>409</x:v>
      </x:c>
      <x:c r="C343" s="79" t="s">
        <x:v>1184</x:v>
      </x:c>
      <x:c r="D343" s="79" t="s">
        <x:v>1014</x:v>
      </x:c>
      <x:c r="E343" s="79" t="s">
        <x:v>410</x:v>
      </x:c>
      <x:c r="F343" s="79" t="s">
        <x:v>16</x:v>
      </x:c>
      <x:c r="G343" s="79" t="n">
        <x:f>IF(RIGHT($A343,2)="-2",INDEX('قیمت ها'!$E:$E,$J343+2),INDEX('قیمت ها'!$B:$B,$J343+2))</x:f>
        <x:v>50</x:v>
      </x:c>
      <x:c r="H343" s="110">
        <x:f t="shared" si="10"/>
        <x:v>50000</x:v>
      </x:c>
      <x:c r="I343" s="79" t="str">
        <x:f t="shared" si="11"/>
        <x:v>فعال</x:v>
      </x:c>
      <x:c r="J343" s="79">
        <x:v>328</x:v>
      </x:c>
      <x:c r="K343" s="79" t="s">
        <x:v>1183</x:v>
      </x:c>
      <x:c r="L343" s="79"/>
      <x:c r="M343" s="79"/>
      <x:c r="N343" s="79"/>
      <x:c r="O343" s="79"/>
      <x:c r="P343" s="79"/>
      <x:c r="Q343" s="79"/>
      <x:c r="R343" s="79"/>
      <x:c r="S343" s="79"/>
      <x:c r="T343" s="79"/>
      <x:c r="U343" s="79"/>
      <x:c r="V343" s="79"/>
      <x:c r="W343" s="79"/>
      <x:c r="X343" s="79"/>
      <x:c r="Y343" s="79"/>
      <x:c r="Z343" s="79"/>
      <x:c r="AA343" s="79" t="str">
        <x:f>IF(AND(LEN($N$2)&gt;=3,ISNUMBER(SEARCH($N$2,$B343))),MAX($AA$1:AA342)+1,"")</x:f>
      </x:c>
      <x:c r="AB343" s="79" t="str">
        <x:v>6a3782ffdf5573f4e676e24b</x:v>
      </x:c>
      <x:c r="AC343" s="79" t="str">
        <x:v>نوشیدنی‌ها</x:v>
      </x:c>
      <x:c r="AD343" s="79" t="str">
        <x:v>syrup</x:v>
      </x:c>
      <x:c r="AE343" s="79" t="str">
        <x:v>EDIBLE</x:v>
      </x:c>
      <x:c r="AF343" s="79" t="str">
        <x:v>بله</x:v>
      </x:c>
      <x:c r="AG343" s="79" t="str">
        <x:v>خیر</x:v>
      </x:c>
      <x:c r="AH343" s="79" t="n">
        <x:v>1</x:v>
      </x:c>
      <x:c r="AI343" s="79" t="str">
        <x:v>قهوه فوری</x:v>
      </x:c>
      <x:c r="AJ343" s="79" t="str">
        <x:v>سایر</x:v>
      </x:c>
      <x:c r="AK343" s="79" t="str">
        <x:v>دسته از «نیاز به بررسی» به «نوشیدنی‌ها» اصلاح شد</x:v>
      </x:c>
    </x:row>
    <x:row r="344">
      <x:c r="A344" s="79" t="s">
        <x:v>1185</x:v>
      </x:c>
      <x:c r="B344" s="79" t="s">
        <x:v>440</x:v>
      </x:c>
      <x:c r="C344" s="79" t="s">
        <x:v>1186</x:v>
      </x:c>
      <x:c r="D344" s="79" t="s">
        <x:v>1014</x:v>
      </x:c>
      <x:c r="E344" s="79" t="s">
        <x:v>16</x:v>
      </x:c>
      <x:c r="F344" s="79" t="s">
        <x:v>16</x:v>
      </x:c>
      <x:c r="G344" s="79" t="str">
        <x:f>IF(RIGHT($A344,2)="-2",INDEX('قیمت ها'!$E:$E,$J344+2),INDEX('قیمت ها'!$B:$B,$J344+2))</x:f>
        <x:v>1/200</x:v>
      </x:c>
      <x:c r="H344" s="110">
        <x:f t="shared" si="10"/>
        <x:v>1200000</x:v>
      </x:c>
      <x:c r="I344" s="79" t="str">
        <x:f t="shared" si="11"/>
        <x:v>فعال</x:v>
      </x:c>
      <x:c r="J344" s="79">
        <x:v>353</x:v>
      </x:c>
      <x:c r="K344" s="79" t="s">
        <x:v>1185</x:v>
      </x:c>
      <x:c r="L344" s="79"/>
      <x:c r="M344" s="79"/>
      <x:c r="N344" s="79"/>
      <x:c r="O344" s="79"/>
      <x:c r="P344" s="79"/>
      <x:c r="Q344" s="79"/>
      <x:c r="R344" s="79"/>
      <x:c r="S344" s="79"/>
      <x:c r="T344" s="79"/>
      <x:c r="U344" s="79"/>
      <x:c r="V344" s="79"/>
      <x:c r="W344" s="79"/>
      <x:c r="X344" s="79"/>
      <x:c r="Y344" s="79"/>
      <x:c r="Z344" s="79"/>
      <x:c r="AA344" s="79" t="str">
        <x:f>IF(AND(LEN($N$2)&gt;=3,ISNUMBER(SEARCH($N$2,$B344))),MAX($AA$1:AA343)+1,"")</x:f>
      </x:c>
      <x:c r="AB344" s="79" t="str">
        <x:v>6a3782d7df5573f4e676e243</x:v>
      </x:c>
      <x:c r="AC344" s="79" t="str">
        <x:v>گیاهان دارویی</x:v>
      </x:c>
      <x:c r="AD344" s="79" t="str">
        <x:v>medicinal-plants</x:v>
      </x:c>
      <x:c r="AE344" s="79" t="str">
        <x:v>EDIBLE</x:v>
      </x:c>
      <x:c r="AF344" s="79" t="str">
        <x:v>بله</x:v>
      </x:c>
      <x:c r="AG344" s="79" t="str">
        <x:v>خیر</x:v>
      </x:c>
      <x:c r="AH344" s="79" t="n">
        <x:v>1</x:v>
      </x:c>
      <x:c r="AI344" s="79" t="str">
        <x:v>کندر خوراکی</x:v>
      </x:c>
      <x:c r="AJ344" s="79" t="str">
        <x:v>سایر</x:v>
      </x:c>
      <x:c r="AK344" s="79" t="str">
        <x:v>دسته از «نیاز به بررسی» به «گیاهان دارویی» اصلاح شد</x:v>
      </x:c>
    </x:row>
    <x:row r="345">
      <x:c r="A345" s="79" t="s">
        <x:v>1187</x:v>
      </x:c>
      <x:c r="B345" s="79" t="s">
        <x:v>441</x:v>
      </x:c>
      <x:c r="C345" s="79" t="s">
        <x:v>1188</x:v>
      </x:c>
      <x:c r="D345" s="79" t="s">
        <x:v>1014</x:v>
      </x:c>
      <x:c r="E345" s="79" t="s">
        <x:v>16</x:v>
      </x:c>
      <x:c r="F345" s="79" t="s">
        <x:v>16</x:v>
      </x:c>
      <x:c r="G345" s="79" t="n">
        <x:f>IF(RIGHT($A345,2)="-2",INDEX('قیمت ها'!$E:$E,$J345+2),INDEX('قیمت ها'!$B:$B,$J345+2))</x:f>
        <x:v>450</x:v>
      </x:c>
      <x:c r="H345" s="110">
        <x:f t="shared" si="10"/>
        <x:v>450000</x:v>
      </x:c>
      <x:c r="I345" s="79" t="str">
        <x:f t="shared" si="11"/>
        <x:v>فعال</x:v>
      </x:c>
      <x:c r="J345" s="79">
        <x:v>354</x:v>
      </x:c>
      <x:c r="K345" s="79" t="s">
        <x:v>1187</x:v>
      </x:c>
      <x:c r="L345" s="79"/>
      <x:c r="M345" s="79"/>
      <x:c r="N345" s="79"/>
      <x:c r="O345" s="79"/>
      <x:c r="P345" s="79"/>
      <x:c r="Q345" s="79"/>
      <x:c r="R345" s="79"/>
      <x:c r="S345" s="79"/>
      <x:c r="T345" s="79"/>
      <x:c r="U345" s="79"/>
      <x:c r="V345" s="79"/>
      <x:c r="W345" s="79"/>
      <x:c r="X345" s="79"/>
      <x:c r="Y345" s="79"/>
      <x:c r="Z345" s="79"/>
      <x:c r="AA345" s="79" t="str">
        <x:f>IF(AND(LEN($N$2)&gt;=3,ISNUMBER(SEARCH($N$2,$B345))),MAX($AA$1:AA344)+1,"")</x:f>
      </x:c>
      <x:c r="AB345" s="79" t="str">
        <x:v>6a3a00000000000000000002</x:v>
      </x:c>
      <x:c r="AC345" s="79" t="str">
        <x:v>حبوبات و غلات</x:v>
      </x:c>
      <x:c r="AD345" s="79" t="str">
        <x:v>legumes-grains</x:v>
      </x:c>
      <x:c r="AE345" s="79" t="str">
        <x:v>EDIBLE</x:v>
      </x:c>
      <x:c r="AF345" s="79" t="str">
        <x:v>بله</x:v>
      </x:c>
      <x:c r="AG345" s="79" t="str">
        <x:v>خیر</x:v>
      </x:c>
      <x:c r="AH345" s="79" t="n">
        <x:v>1</x:v>
      </x:c>
      <x:c r="AI345" s="79" t="str">
        <x:v>کینوا سفید</x:v>
      </x:c>
      <x:c r="AJ345" s="79" t="str">
        <x:v>سایر</x:v>
      </x:c>
      <x:c r="AK345" s="79"/>
    </x:row>
    <x:row r="346">
      <x:c r="A346" s="79" t="s">
        <x:v>1189</x:v>
      </x:c>
      <x:c r="B346" s="79" t="s">
        <x:v>444</x:v>
      </x:c>
      <x:c r="C346" s="79" t="s">
        <x:v>1190</x:v>
      </x:c>
      <x:c r="D346" s="79" t="s">
        <x:v>1014</x:v>
      </x:c>
      <x:c r="E346" s="79" t="s">
        <x:v>16</x:v>
      </x:c>
      <x:c r="F346" s="79" t="s">
        <x:v>16</x:v>
      </x:c>
      <x:c r="G346" s="79" t="str">
        <x:f>IF(RIGHT($A346,2)="-2",INDEX('قیمت ها'!$E:$E,$J346+2),INDEX('قیمت ها'!$B:$B,$J346+2))</x:f>
        <x:v>4/900</x:v>
      </x:c>
      <x:c r="H346" s="110">
        <x:f t="shared" si="10"/>
        <x:v>4900000</x:v>
      </x:c>
      <x:c r="I346" s="79" t="str">
        <x:f t="shared" si="11"/>
        <x:v>فعال</x:v>
      </x:c>
      <x:c r="J346" s="79">
        <x:v>357</x:v>
      </x:c>
      <x:c r="K346" s="79" t="s">
        <x:v>1189</x:v>
      </x:c>
      <x:c r="L346" s="79"/>
      <x:c r="M346" s="79"/>
      <x:c r="N346" s="79"/>
      <x:c r="O346" s="79"/>
      <x:c r="P346" s="79"/>
      <x:c r="Q346" s="79"/>
      <x:c r="R346" s="79"/>
      <x:c r="S346" s="79"/>
      <x:c r="T346" s="79"/>
      <x:c r="U346" s="79"/>
      <x:c r="V346" s="79"/>
      <x:c r="W346" s="79"/>
      <x:c r="X346" s="79"/>
      <x:c r="Y346" s="79"/>
      <x:c r="Z346" s="79"/>
      <x:c r="AA346" s="79" t="str">
        <x:f>IF(AND(LEN($N$2)&gt;=3,ISNUMBER(SEARCH($N$2,$B346))),MAX($AA$1:AA345)+1,"")</x:f>
      </x:c>
      <x:c r="AB346" s="79" t="str">
        <x:v>6a3782d7df5573f4e676e243</x:v>
      </x:c>
      <x:c r="AC346" s="79" t="str">
        <x:v>گیاهان دارویی</x:v>
      </x:c>
      <x:c r="AD346" s="79" t="str">
        <x:v>medicinal-plants</x:v>
      </x:c>
      <x:c r="AE346" s="79" t="str">
        <x:v>EDIBLE</x:v>
      </x:c>
      <x:c r="AF346" s="79" t="str">
        <x:v>بله</x:v>
      </x:c>
      <x:c r="AG346" s="79" t="str">
        <x:v>خیر</x:v>
      </x:c>
      <x:c r="AH346" s="79" t="n">
        <x:v>1</x:v>
      </x:c>
      <x:c r="AI346" s="79" t="str">
        <x:v>گل ختمی</x:v>
      </x:c>
      <x:c r="AJ346" s="79" t="str">
        <x:v>سایر</x:v>
      </x:c>
      <x:c r="AK346" s="79"/>
    </x:row>
    <x:row r="347">
      <x:c r="A347" s="79" t="s">
        <x:v>1191</x:v>
      </x:c>
      <x:c r="B347" s="79" t="s">
        <x:v>443</x:v>
      </x:c>
      <x:c r="C347" s="79" t="s">
        <x:v>1192</x:v>
      </x:c>
      <x:c r="D347" s="79" t="s">
        <x:v>1014</x:v>
      </x:c>
      <x:c r="E347" s="79" t="s">
        <x:v>16</x:v>
      </x:c>
      <x:c r="F347" s="79" t="s">
        <x:v>16</x:v>
      </x:c>
      <x:c r="G347" s="79" t="str">
        <x:f>IF(RIGHT($A347,2)="-2",INDEX('قیمت ها'!$E:$E,$J347+2),INDEX('قیمت ها'!$B:$B,$J347+2))</x:f>
        <x:v>4/500</x:v>
      </x:c>
      <x:c r="H347" s="110">
        <x:f t="shared" si="10"/>
        <x:v>4500000</x:v>
      </x:c>
      <x:c r="I347" s="79" t="str">
        <x:f t="shared" si="11"/>
        <x:v>فعال</x:v>
      </x:c>
      <x:c r="J347" s="79">
        <x:v>356</x:v>
      </x:c>
      <x:c r="K347" s="79" t="s">
        <x:v>1191</x:v>
      </x:c>
      <x:c r="L347" s="79"/>
      <x:c r="M347" s="79"/>
      <x:c r="N347" s="79"/>
      <x:c r="O347" s="79"/>
      <x:c r="P347" s="79"/>
      <x:c r="Q347" s="79"/>
      <x:c r="R347" s="79"/>
      <x:c r="S347" s="79"/>
      <x:c r="T347" s="79"/>
      <x:c r="U347" s="79"/>
      <x:c r="V347" s="79"/>
      <x:c r="W347" s="79"/>
      <x:c r="X347" s="79"/>
      <x:c r="Y347" s="79"/>
      <x:c r="Z347" s="79"/>
      <x:c r="AA347" s="79" t="str">
        <x:f>IF(AND(LEN($N$2)&gt;=3,ISNUMBER(SEARCH($N$2,$B347))),MAX($AA$1:AA346)+1,"")</x:f>
      </x:c>
      <x:c r="AB347" s="79" t="str">
        <x:v>6a3781e4df5573f4e676e226</x:v>
      </x:c>
      <x:c r="AC347" s="79" t="str">
        <x:v>ادویه</x:v>
      </x:c>
      <x:c r="AD347" s="79" t="str">
        <x:v>spice</x:v>
      </x:c>
      <x:c r="AE347" s="79" t="str">
        <x:v>EDIBLE</x:v>
      </x:c>
      <x:c r="AF347" s="79" t="str">
        <x:v>بله</x:v>
      </x:c>
      <x:c r="AG347" s="79" t="str">
        <x:v>خیر</x:v>
      </x:c>
      <x:c r="AH347" s="79" t="n">
        <x:v>1</x:v>
      </x:c>
      <x:c r="AI347" s="79" t="str">
        <x:v>گشنیز</x:v>
      </x:c>
      <x:c r="AJ347" s="79" t="str">
        <x:v>سایر</x:v>
      </x:c>
      <x:c r="AK347" s="79" t="str">
        <x:v>دسته از «نیاز به بررسی» به «ادویه» اصلاح شد</x:v>
      </x:c>
    </x:row>
    <x:row r="348">
      <x:c r="A348" s="79" t="s">
        <x:v>1193</x:v>
      </x:c>
      <x:c r="B348" s="79" t="s">
        <x:v>447</x:v>
      </x:c>
      <x:c r="C348" s="79" t="s">
        <x:v>1194</x:v>
      </x:c>
      <x:c r="D348" s="79" t="s">
        <x:v>1014</x:v>
      </x:c>
      <x:c r="E348" s="79" t="s">
        <x:v>16</x:v>
      </x:c>
      <x:c r="F348" s="79" t="s">
        <x:v>16</x:v>
      </x:c>
      <x:c r="G348" s="79" t="str">
        <x:f>IF(RIGHT($A348,2)="-2",INDEX('قیمت ها'!$E:$E,$J348+2),INDEX('قیمت ها'!$B:$B,$J348+2))</x:f>
        <x:v>3/200</x:v>
      </x:c>
      <x:c r="H348" s="110">
        <x:f t="shared" si="10"/>
        <x:v>3200000</x:v>
      </x:c>
      <x:c r="I348" s="79" t="str">
        <x:f t="shared" si="11"/>
        <x:v>فعال</x:v>
      </x:c>
      <x:c r="J348" s="79">
        <x:v>360</x:v>
      </x:c>
      <x:c r="K348" s="79" t="s">
        <x:v>1193</x:v>
      </x:c>
      <x:c r="L348" s="79"/>
      <x:c r="M348" s="79"/>
      <x:c r="N348" s="79"/>
      <x:c r="O348" s="79"/>
      <x:c r="P348" s="79"/>
      <x:c r="Q348" s="79"/>
      <x:c r="R348" s="79"/>
      <x:c r="S348" s="79"/>
      <x:c r="T348" s="79"/>
      <x:c r="U348" s="79"/>
      <x:c r="V348" s="79"/>
      <x:c r="W348" s="79"/>
      <x:c r="X348" s="79"/>
      <x:c r="Y348" s="79"/>
      <x:c r="Z348" s="79"/>
      <x:c r="AA348" s="79" t="str">
        <x:f>IF(AND(LEN($N$2)&gt;=3,ISNUMBER(SEARCH($N$2,$B348))),MAX($AA$1:AA347)+1,"")</x:f>
      </x:c>
      <x:c r="AB348" s="79" t="str">
        <x:v>6a3782d7df5573f4e676e243</x:v>
      </x:c>
      <x:c r="AC348" s="79" t="str">
        <x:v>گیاهان دارویی</x:v>
      </x:c>
      <x:c r="AD348" s="79" t="str">
        <x:v>medicinal-plants</x:v>
      </x:c>
      <x:c r="AE348" s="79" t="str">
        <x:v>EDIBLE</x:v>
      </x:c>
      <x:c r="AF348" s="79" t="str">
        <x:v>بله</x:v>
      </x:c>
      <x:c r="AG348" s="79" t="str">
        <x:v>خیر</x:v>
      </x:c>
      <x:c r="AH348" s="79" t="n">
        <x:v>1</x:v>
      </x:c>
      <x:c r="AI348" s="79" t="str">
        <x:v>گل گاوزبان</x:v>
      </x:c>
      <x:c r="AJ348" s="79" t="str">
        <x:v>سایر</x:v>
      </x:c>
      <x:c r="AK348" s="79"/>
    </x:row>
    <x:row r="349">
      <x:c r="A349" s="79" t="s">
        <x:v>1195</x:v>
      </x:c>
      <x:c r="B349" s="79" t="s">
        <x:v>450</x:v>
      </x:c>
      <x:c r="C349" s="79" t="s">
        <x:v>1196</x:v>
      </x:c>
      <x:c r="D349" s="79" t="s">
        <x:v>1014</x:v>
      </x:c>
      <x:c r="E349" s="79" t="s">
        <x:v>16</x:v>
      </x:c>
      <x:c r="F349" s="79" t="s">
        <x:v>16</x:v>
      </x:c>
      <x:c r="G349" s="79" t="n">
        <x:f>IF(RIGHT($A349,2)="-2",INDEX('قیمت ها'!$E:$E,$J349+2),INDEX('قیمت ها'!$B:$B,$J349+2))</x:f>
        <x:v>790</x:v>
      </x:c>
      <x:c r="H349" s="110">
        <x:f t="shared" si="10"/>
        <x:v>790000</x:v>
      </x:c>
      <x:c r="I349" s="79" t="str">
        <x:f t="shared" si="11"/>
        <x:v>فعال</x:v>
      </x:c>
      <x:c r="J349" s="79">
        <x:v>362</x:v>
      </x:c>
      <x:c r="K349" s="79" t="s">
        <x:v>1195</x:v>
      </x:c>
      <x:c r="L349" s="79"/>
      <x:c r="M349" s="79"/>
      <x:c r="N349" s="79"/>
      <x:c r="O349" s="79"/>
      <x:c r="P349" s="79"/>
      <x:c r="Q349" s="79"/>
      <x:c r="R349" s="79"/>
      <x:c r="S349" s="79"/>
      <x:c r="T349" s="79"/>
      <x:c r="U349" s="79"/>
      <x:c r="V349" s="79"/>
      <x:c r="W349" s="79"/>
      <x:c r="X349" s="79"/>
      <x:c r="Y349" s="79"/>
      <x:c r="Z349" s="79"/>
      <x:c r="AA349" s="79" t="str">
        <x:f>IF(AND(LEN($N$2)&gt;=3,ISNUMBER(SEARCH($N$2,$B349))),MAX($AA$1:AA348)+1,"")</x:f>
      </x:c>
      <x:c r="AB349" s="79" t="str">
        <x:v>6a3782d7df5573f4e676e243</x:v>
      </x:c>
      <x:c r="AC349" s="79" t="str">
        <x:v>گیاهان دارویی</x:v>
      </x:c>
      <x:c r="AD349" s="79" t="str">
        <x:v>medicinal-plants</x:v>
      </x:c>
      <x:c r="AE349" s="79" t="str">
        <x:v>EDIBLE</x:v>
      </x:c>
      <x:c r="AF349" s="79" t="str">
        <x:v>بله</x:v>
      </x:c>
      <x:c r="AG349" s="79" t="str">
        <x:v>خیر</x:v>
      </x:c>
      <x:c r="AH349" s="79" t="n">
        <x:v>1</x:v>
      </x:c>
      <x:c r="AI349" s="79" t="str">
        <x:v>گلرنگ</x:v>
      </x:c>
      <x:c r="AJ349" s="79" t="str">
        <x:v>سایر</x:v>
      </x:c>
      <x:c r="AK349" s="79" t="str">
        <x:v>دسته از «نیاز به بررسی» به «گیاهان دارویی» اصلاح شد</x:v>
      </x:c>
    </x:row>
    <x:row r="350">
      <x:c r="A350" s="79" t="s">
        <x:v>1197</x:v>
      </x:c>
      <x:c r="B350" s="79" t="s">
        <x:v>43</x:v>
      </x:c>
      <x:c r="C350" s="79" t="s">
        <x:v>1198</x:v>
      </x:c>
      <x:c r="D350" s="79" t="s">
        <x:v>1199</x:v>
      </x:c>
      <x:c r="E350" s="79" t="s">
        <x:v>16</x:v>
      </x:c>
      <x:c r="F350" s="79" t="s">
        <x:v>16</x:v>
      </x:c>
      <x:c r="G350" s="79" t="n">
        <x:f>IF(RIGHT($A350,2)="-2",INDEX('قیمت ها'!$E:$E,$J350+2),INDEX('قیمت ها'!$B:$B,$J350+2))</x:f>
        <x:v>710</x:v>
      </x:c>
      <x:c r="H350" s="110">
        <x:f t="shared" si="10"/>
        <x:v>710000</x:v>
      </x:c>
      <x:c r="I350" s="79" t="str">
        <x:f t="shared" si="11"/>
        <x:v>فعال</x:v>
      </x:c>
      <x:c r="J350" s="79">
        <x:v>25</x:v>
      </x:c>
      <x:c r="K350" s="79" t="s">
        <x:v>1197</x:v>
      </x:c>
      <x:c r="L350" s="79"/>
      <x:c r="M350" s="79"/>
      <x:c r="N350" s="79"/>
      <x:c r="O350" s="79"/>
      <x:c r="P350" s="79"/>
      <x:c r="Q350" s="79"/>
      <x:c r="R350" s="79"/>
      <x:c r="S350" s="79"/>
      <x:c r="T350" s="79"/>
      <x:c r="U350" s="79"/>
      <x:c r="V350" s="79"/>
      <x:c r="W350" s="79"/>
      <x:c r="X350" s="79"/>
      <x:c r="Y350" s="79"/>
      <x:c r="Z350" s="79"/>
      <x:c r="AA350" s="79" t="str">
        <x:f>IF(AND(LEN($N$2)&gt;=3,ISNUMBER(SEARCH($N$2,$B350))),MAX($AA$1:AA349)+1,"")</x:f>
      </x:c>
      <x:c r="AB350" s="79" t="str">
        <x:v>6a3781e4df5573f4e676e226</x:v>
      </x:c>
      <x:c r="AC350" s="79" t="str">
        <x:v>ادویه</x:v>
      </x:c>
      <x:c r="AD350" s="79" t="str">
        <x:v>spice</x:v>
      </x:c>
      <x:c r="AE350" s="79" t="str">
        <x:v>EDIBLE</x:v>
      </x:c>
      <x:c r="AF350" s="79" t="str">
        <x:v>بله</x:v>
      </x:c>
      <x:c r="AG350" s="79" t="str">
        <x:v>خیر</x:v>
      </x:c>
      <x:c r="AH350" s="79" t="n">
        <x:v>1</x:v>
      </x:c>
      <x:c r="AI350" s="79" t="str">
        <x:v>ادویه ماهی</x:v>
      </x:c>
      <x:c r="AJ350" s="79" t="str">
        <x:v>قنادی و شیرینی</x:v>
      </x:c>
      <x:c r="AK350" s="79"/>
    </x:row>
    <x:row r="351">
      <x:c r="A351" s="79" t="s">
        <x:v>1200</x:v>
      </x:c>
      <x:c r="B351" s="79" t="s">
        <x:v>148</x:v>
      </x:c>
      <x:c r="C351" s="79" t="s">
        <x:v>1201</x:v>
      </x:c>
      <x:c r="D351" s="79" t="s">
        <x:v>1199</x:v>
      </x:c>
      <x:c r="E351" s="79" t="s">
        <x:v>147</x:v>
      </x:c>
      <x:c r="F351" s="79" t="s">
        <x:v>682</x:v>
      </x:c>
      <x:c r="G351" s="79" t="n">
        <x:f>IF(RIGHT($A351,2)="-2",INDEX('قیمت ها'!$E:$E,$J351+2),INDEX('قیمت ها'!$B:$B,$J351+2))</x:f>
        <x:v>350</x:v>
      </x:c>
      <x:c r="H351" s="110">
        <x:f t="shared" si="10"/>
        <x:v>350000</x:v>
      </x:c>
      <x:c r="I351" s="79" t="str">
        <x:f t="shared" si="11"/>
        <x:v>فعال</x:v>
      </x:c>
      <x:c r="J351" s="79">
        <x:v>102</x:v>
      </x:c>
      <x:c r="K351" s="79" t="s">
        <x:v>1200</x:v>
      </x:c>
      <x:c r="L351" s="79"/>
      <x:c r="M351" s="79"/>
      <x:c r="N351" s="79"/>
      <x:c r="O351" s="79"/>
      <x:c r="P351" s="79"/>
      <x:c r="Q351" s="79"/>
      <x:c r="R351" s="79"/>
      <x:c r="S351" s="79"/>
      <x:c r="T351" s="79"/>
      <x:c r="U351" s="79"/>
      <x:c r="V351" s="79"/>
      <x:c r="W351" s="79"/>
      <x:c r="X351" s="79"/>
      <x:c r="Y351" s="79"/>
      <x:c r="Z351" s="79"/>
      <x:c r="AA351" s="79" t="str">
        <x:f>IF(AND(LEN($N$2)&gt;=3,ISNUMBER(SEARCH($N$2,$B351))),MAX($AA$1:AA350)+1,"")</x:f>
      </x:c>
      <x:c r="AB351" s="79" t="str">
        <x:v>6a37810ddf5573f4e676e201</x:v>
      </x:c>
      <x:c r="AC351" s="79" t="str">
        <x:v>خشکبار و آجیل</x:v>
      </x:c>
      <x:c r="AD351" s="79" t="str">
        <x:v>dried-fruits-nuts</x:v>
      </x:c>
      <x:c r="AE351" s="79" t="str">
        <x:v>EDIBLE</x:v>
      </x:c>
      <x:c r="AF351" s="79" t="str">
        <x:v>بله</x:v>
      </x:c>
      <x:c r="AG351" s="79" t="str">
        <x:v>خیر</x:v>
      </x:c>
      <x:c r="AH351" s="79" t="n">
        <x:v>1</x:v>
      </x:c>
      <x:c r="AI351" s="79" t="str">
        <x:v>چیاسید</x:v>
      </x:c>
      <x:c r="AJ351" s="79" t="str">
        <x:v>قنادی و شیرینی</x:v>
      </x:c>
      <x:c r="AK351" s="79" t="str">
        <x:v>دسته از «نیاز به بررسی» به «خشکبار و آجیل» اصلاح شد</x:v>
      </x:c>
    </x:row>
    <x:row r="352">
      <x:c r="A352" s="79" t="s">
        <x:v>1202</x:v>
      </x:c>
      <x:c r="B352" s="79" t="s">
        <x:v>146</x:v>
      </x:c>
      <x:c r="C352" s="79" t="s">
        <x:v>1203</x:v>
      </x:c>
      <x:c r="D352" s="79" t="s">
        <x:v>1199</x:v>
      </x:c>
      <x:c r="E352" s="79" t="s">
        <x:v>147</x:v>
      </x:c>
      <x:c r="F352" s="79" t="s">
        <x:v>682</x:v>
      </x:c>
      <x:c r="G352" s="79" t="n">
        <x:f>IF(RIGHT($A352,2)="-2",INDEX('قیمت ها'!$E:$E,$J352+2),INDEX('قیمت ها'!$B:$B,$J352+2))</x:f>
        <x:v>430</x:v>
      </x:c>
      <x:c r="H352" s="110">
        <x:f t="shared" si="10"/>
        <x:v>430000</x:v>
      </x:c>
      <x:c r="I352" s="79" t="str">
        <x:f t="shared" si="11"/>
        <x:v>فعال</x:v>
      </x:c>
      <x:c r="J352" s="79">
        <x:v>101</x:v>
      </x:c>
      <x:c r="K352" s="79" t="s">
        <x:v>1202</x:v>
      </x:c>
      <x:c r="L352" s="79"/>
      <x:c r="M352" s="79"/>
      <x:c r="N352" s="79"/>
      <x:c r="O352" s="79"/>
      <x:c r="P352" s="79"/>
      <x:c r="Q352" s="79"/>
      <x:c r="R352" s="79"/>
      <x:c r="S352" s="79"/>
      <x:c r="T352" s="79"/>
      <x:c r="U352" s="79"/>
      <x:c r="V352" s="79"/>
      <x:c r="W352" s="79"/>
      <x:c r="X352" s="79"/>
      <x:c r="Y352" s="79"/>
      <x:c r="Z352" s="79"/>
      <x:c r="AA352" s="79" t="str">
        <x:f>IF(AND(LEN($N$2)&gt;=3,ISNUMBER(SEARCH($N$2,$B352))),MAX($AA$1:AA351)+1,"")</x:f>
      </x:c>
      <x:c r="AB352" s="79" t="str">
        <x:v>6a3782d7df5573f4e676e243</x:v>
      </x:c>
      <x:c r="AC352" s="79" t="str">
        <x:v>گیاهان دارویی</x:v>
      </x:c>
      <x:c r="AD352" s="79" t="str">
        <x:v>medicinal-plants</x:v>
      </x:c>
      <x:c r="AE352" s="79" t="str">
        <x:v>EDIBLE</x:v>
      </x:c>
      <x:c r="AF352" s="79" t="str">
        <x:v>بله</x:v>
      </x:c>
      <x:c r="AG352" s="79" t="str">
        <x:v>خیر</x:v>
      </x:c>
      <x:c r="AH352" s="79" t="n">
        <x:v>1</x:v>
      </x:c>
      <x:c r="AI352" s="79" t="str">
        <x:v>چوبک</x:v>
      </x:c>
      <x:c r="AJ352" s="79" t="str">
        <x:v>قنادی و شیرینی</x:v>
      </x:c>
      <x:c r="AK352" s="79" t="str">
        <x:v>دسته از «نیاز به بررسی» به «گیاهان دارویی» اصلاح شد</x:v>
      </x:c>
    </x:row>
    <x:row r="353">
      <x:c r="A353" s="79" t="s">
        <x:v>1204</x:v>
      </x:c>
      <x:c r="B353" s="79" t="s">
        <x:v>151</x:v>
      </x:c>
      <x:c r="C353" s="79" t="s">
        <x:v>1205</x:v>
      </x:c>
      <x:c r="D353" s="79" t="s">
        <x:v>1199</x:v>
      </x:c>
      <x:c r="E353" s="79" t="s">
        <x:v>16</x:v>
      </x:c>
      <x:c r="F353" s="79" t="s">
        <x:v>16</x:v>
      </x:c>
      <x:c r="G353" s="79" t="n">
        <x:f>IF(RIGHT($A353,2)="-2",INDEX('قیمت ها'!$E:$E,$J353+2),INDEX('قیمت ها'!$B:$B,$J353+2))</x:f>
        <x:v>350</x:v>
      </x:c>
      <x:c r="H353" s="110">
        <x:f t="shared" si="10"/>
        <x:v>350000</x:v>
      </x:c>
      <x:c r="I353" s="79" t="str">
        <x:f t="shared" si="11"/>
        <x:v>فعال</x:v>
      </x:c>
      <x:c r="J353" s="79">
        <x:v>105</x:v>
      </x:c>
      <x:c r="K353" s="79" t="s">
        <x:v>1204</x:v>
      </x:c>
      <x:c r="L353" s="79"/>
      <x:c r="M353" s="79"/>
      <x:c r="N353" s="79"/>
      <x:c r="O353" s="79"/>
      <x:c r="P353" s="79"/>
      <x:c r="Q353" s="79"/>
      <x:c r="R353" s="79"/>
      <x:c r="S353" s="79"/>
      <x:c r="T353" s="79"/>
      <x:c r="U353" s="79"/>
      <x:c r="V353" s="79"/>
      <x:c r="W353" s="79"/>
      <x:c r="X353" s="79"/>
      <x:c r="Y353" s="79"/>
      <x:c r="Z353" s="79"/>
      <x:c r="AA353" s="79" t="str">
        <x:f>IF(AND(LEN($N$2)&gt;=3,ISNUMBER(SEARCH($N$2,$B353))),MAX($AA$1:AA352)+1,"")</x:f>
      </x:c>
      <x:c r="AB353" s="79" t="str">
        <x:v>6a3a00000000000000000003</x:v>
      </x:c>
      <x:c r="AC353" s="79" t="str">
        <x:v>قنادی و شیرینی</x:v>
      </x:c>
      <x:c r="AD353" s="79" t="str">
        <x:v>confectionery</x:v>
      </x:c>
      <x:c r="AE353" s="79" t="str">
        <x:v>EDIBLE</x:v>
      </x:c>
      <x:c r="AF353" s="79" t="str">
        <x:v>بله</x:v>
      </x:c>
      <x:c r="AG353" s="79" t="str">
        <x:v>خیر</x:v>
      </x:c>
      <x:c r="AH353" s="79" t="n">
        <x:v>1</x:v>
      </x:c>
      <x:c r="AI353" s="79" t="str">
        <x:v>حلوا پشمکی</x:v>
      </x:c>
      <x:c r="AJ353" s="79" t="str">
        <x:v>قنادی و شیرینی</x:v>
      </x:c>
      <x:c r="AK353" s="79"/>
    </x:row>
    <x:row r="354">
      <x:c r="A354" s="79" t="s">
        <x:v>1206</x:v>
      </x:c>
      <x:c r="B354" s="79" t="s">
        <x:v>149</x:v>
      </x:c>
      <x:c r="C354" s="79" t="s">
        <x:v>1207</x:v>
      </x:c>
      <x:c r="D354" s="79" t="s">
        <x:v>1199</x:v>
      </x:c>
      <x:c r="E354" s="79" t="s">
        <x:v>16</x:v>
      </x:c>
      <x:c r="F354" s="79" t="s">
        <x:v>16</x:v>
      </x:c>
      <x:c r="G354" s="79" t="n">
        <x:f>IF(RIGHT($A354,2)="-2",INDEX('قیمت ها'!$E:$E,$J354+2),INDEX('قیمت ها'!$B:$B,$J354+2))</x:f>
        <x:v>330</x:v>
      </x:c>
      <x:c r="H354" s="110">
        <x:f t="shared" si="10"/>
        <x:v>330000</x:v>
      </x:c>
      <x:c r="I354" s="79" t="str">
        <x:f t="shared" si="11"/>
        <x:v>فعال</x:v>
      </x:c>
      <x:c r="J354" s="79">
        <x:v>103</x:v>
      </x:c>
      <x:c r="K354" s="79" t="s">
        <x:v>1206</x:v>
      </x:c>
      <x:c r="L354" s="79"/>
      <x:c r="M354" s="79"/>
      <x:c r="N354" s="79"/>
      <x:c r="O354" s="79"/>
      <x:c r="P354" s="79"/>
      <x:c r="Q354" s="79"/>
      <x:c r="R354" s="79"/>
      <x:c r="S354" s="79"/>
      <x:c r="T354" s="79"/>
      <x:c r="U354" s="79"/>
      <x:c r="V354" s="79"/>
      <x:c r="W354" s="79"/>
      <x:c r="X354" s="79"/>
      <x:c r="Y354" s="79"/>
      <x:c r="Z354" s="79"/>
      <x:c r="AA354" s="79" t="str">
        <x:f>IF(AND(LEN($N$2)&gt;=3,ISNUMBER(SEARCH($N$2,$B354))),MAX($AA$1:AA353)+1,"")</x:f>
      </x:c>
      <x:c r="AB354" s="79" t="str">
        <x:v>6a3a00000000000000000003</x:v>
      </x:c>
      <x:c r="AC354" s="79" t="str">
        <x:v>قنادی و شیرینی</x:v>
      </x:c>
      <x:c r="AD354" s="79" t="str">
        <x:v>confectionery</x:v>
      </x:c>
      <x:c r="AE354" s="79" t="str">
        <x:v>EDIBLE</x:v>
      </x:c>
      <x:c r="AF354" s="79" t="str">
        <x:v>بله</x:v>
      </x:c>
      <x:c r="AG354" s="79" t="str">
        <x:v>خیر</x:v>
      </x:c>
      <x:c r="AH354" s="79" t="n">
        <x:v>1</x:v>
      </x:c>
      <x:c r="AI354" s="79" t="str">
        <x:v>حلوا ارده</x:v>
      </x:c>
      <x:c r="AJ354" s="79" t="str">
        <x:v>قنادی و شیرینی</x:v>
      </x:c>
      <x:c r="AK354" s="79" t="str">
        <x:v>MERGED</x:v>
      </x:c>
    </x:row>
    <x:row r="355">
      <x:c r="A355" s="79" t="s">
        <x:v>1208</x:v>
      </x:c>
      <x:c r="B355" s="79" t="s">
        <x:v>152</x:v>
      </x:c>
      <x:c r="C355" s="79" t="s">
        <x:v>1209</x:v>
      </x:c>
      <x:c r="D355" s="79" t="s">
        <x:v>1199</x:v>
      </x:c>
      <x:c r="E355" s="79" t="s">
        <x:v>16</x:v>
      </x:c>
      <x:c r="F355" s="79" t="s">
        <x:v>16</x:v>
      </x:c>
      <x:c r="G355" s="79" t="n">
        <x:f>IF(RIGHT($A355,2)="-2",INDEX('قیمت ها'!$E:$E,$J355+2),INDEX('قیمت ها'!$B:$B,$J355+2))</x:f>
        <x:v>330</x:v>
      </x:c>
      <x:c r="H355" s="110">
        <x:f t="shared" si="10"/>
        <x:v>330000</x:v>
      </x:c>
      <x:c r="I355" s="79" t="str">
        <x:f t="shared" si="11"/>
        <x:v>فعال</x:v>
      </x:c>
      <x:c r="J355" s="79">
        <x:v>106</x:v>
      </x:c>
      <x:c r="K355" s="79" t="s">
        <x:v>1208</x:v>
      </x:c>
      <x:c r="L355" s="79"/>
      <x:c r="M355" s="79"/>
      <x:c r="N355" s="79"/>
      <x:c r="O355" s="79"/>
      <x:c r="P355" s="79"/>
      <x:c r="Q355" s="79"/>
      <x:c r="R355" s="79"/>
      <x:c r="S355" s="79"/>
      <x:c r="T355" s="79"/>
      <x:c r="U355" s="79"/>
      <x:c r="V355" s="79"/>
      <x:c r="W355" s="79"/>
      <x:c r="X355" s="79"/>
      <x:c r="Y355" s="79"/>
      <x:c r="Z355" s="79"/>
      <x:c r="AA355" s="79" t="str">
        <x:f>IF(AND(LEN($N$2)&gt;=3,ISNUMBER(SEARCH($N$2,$B355))),MAX($AA$1:AA354)+1,"")</x:f>
      </x:c>
      <x:c r="AB355" s="79" t="str">
        <x:v>6a3a00000000000000000003</x:v>
      </x:c>
      <x:c r="AC355" s="79" t="str">
        <x:v>قنادی و شیرینی</x:v>
      </x:c>
      <x:c r="AD355" s="79" t="str">
        <x:v>confectionery</x:v>
      </x:c>
      <x:c r="AE355" s="79" t="str">
        <x:v>EDIBLE</x:v>
      </x:c>
      <x:c r="AF355" s="79" t="str">
        <x:v>بله</x:v>
      </x:c>
      <x:c r="AG355" s="79" t="str">
        <x:v>خیر</x:v>
      </x:c>
      <x:c r="AH355" s="79" t="n">
        <x:v>1</x:v>
      </x:c>
      <x:c r="AI355" s="79" t="str">
        <x:v>حلوا روغنی</x:v>
      </x:c>
      <x:c r="AJ355" s="79" t="str">
        <x:v>قنادی و شیرینی</x:v>
      </x:c>
      <x:c r="AK355" s="79" t="str">
        <x:v>دسته از «روغن» به «قنادی و شیرینی» اصلاح شد</x:v>
      </x:c>
    </x:row>
    <x:row r="356">
      <x:c r="A356" s="79" t="s">
        <x:v>1210</x:v>
      </x:c>
      <x:c r="B356" s="79" t="s">
        <x:v>290</x:v>
      </x:c>
      <x:c r="C356" s="79" t="s">
        <x:v>1211</x:v>
      </x:c>
      <x:c r="D356" s="79" t="s">
        <x:v>1199</x:v>
      </x:c>
      <x:c r="E356" s="79" t="s">
        <x:v>16</x:v>
      </x:c>
      <x:c r="F356" s="79" t="s">
        <x:v>16</x:v>
      </x:c>
      <x:c r="G356" s="79" t="str">
        <x:f>IF(RIGHT($A356,2)="-2",INDEX('قیمت ها'!$E:$E,$J356+2),INDEX('قیمت ها'!$B:$B,$J356+2))</x:f>
        <x:v>؟</x:v>
      </x:c>
      <x:c r="H356" s="110" t="str">
        <x:f t="shared" si="10"/>
      </x:c>
      <x:c r="I356" s="79" t="str">
        <x:f t="shared" si="11"/>
        <x:v>نیاز به استعلام</x:v>
      </x:c>
      <x:c r="J356" s="79">
        <x:v>227</x:v>
      </x:c>
      <x:c r="K356" s="79" t="s">
        <x:v>1210</x:v>
      </x:c>
      <x:c r="L356" s="79"/>
      <x:c r="M356" s="79"/>
      <x:c r="N356" s="79"/>
      <x:c r="O356" s="79"/>
      <x:c r="P356" s="79"/>
      <x:c r="Q356" s="79"/>
      <x:c r="R356" s="79"/>
      <x:c r="S356" s="79"/>
      <x:c r="T356" s="79"/>
      <x:c r="U356" s="79"/>
      <x:c r="V356" s="79"/>
      <x:c r="W356" s="79"/>
      <x:c r="X356" s="79"/>
      <x:c r="Y356" s="79"/>
      <x:c r="Z356" s="79"/>
      <x:c r="AA356" s="79" t="str">
        <x:f>IF(AND(LEN($N$2)&gt;=3,ISNUMBER(SEARCH($N$2,$B356))),MAX($AA$1:AA355)+1,"")</x:f>
      </x:c>
      <x:c r="AB356" s="79" t="str">
        <x:v>6a3782ffdf5573f4e676e24b</x:v>
      </x:c>
      <x:c r="AC356" s="79" t="str">
        <x:v>نوشیدنی‌ها</x:v>
      </x:c>
      <x:c r="AD356" s="79" t="str">
        <x:v>syrup</x:v>
      </x:c>
      <x:c r="AE356" s="79" t="str">
        <x:v>EDIBLE</x:v>
      </x:c>
      <x:c r="AF356" s="79" t="str">
        <x:v>بله</x:v>
      </x:c>
      <x:c r="AG356" s="79" t="str">
        <x:v>بله</x:v>
      </x:c>
      <x:c r="AH356" s="79" t="n">
        <x:v>2</x:v>
      </x:c>
      <x:c r="AI356" s="79" t="str">
        <x:v>شربت سرکه انگبین</x:v>
      </x:c>
      <x:c r="AJ356" s="79" t="str">
        <x:v>قنادی و شیرینی</x:v>
      </x:c>
      <x:c r="AK356" s="79"/>
    </x:row>
    <x:row r="357">
      <x:c r="A357" s="79" t="s">
        <x:v>1212</x:v>
      </x:c>
      <x:c r="B357" s="79" t="s">
        <x:v>291</x:v>
      </x:c>
      <x:c r="C357" s="79" t="s">
        <x:v>1213</x:v>
      </x:c>
      <x:c r="D357" s="79" t="s">
        <x:v>1199</x:v>
      </x:c>
      <x:c r="E357" s="79" t="s">
        <x:v>16</x:v>
      </x:c>
      <x:c r="F357" s="79" t="s">
        <x:v>16</x:v>
      </x:c>
      <x:c r="G357" s="79" t="n">
        <x:f>IF(RIGHT($A357,2)="-2",INDEX('قیمت ها'!$E:$E,$J357+2),INDEX('قیمت ها'!$B:$B,$J357+2))</x:f>
        <x:v>190</x:v>
      </x:c>
      <x:c r="H357" s="110">
        <x:f t="shared" si="10"/>
        <x:v>190000</x:v>
      </x:c>
      <x:c r="I357" s="79" t="str">
        <x:f t="shared" si="11"/>
        <x:v>فعال</x:v>
      </x:c>
      <x:c r="J357" s="79">
        <x:v>228</x:v>
      </x:c>
      <x:c r="K357" s="79" t="s">
        <x:v>1212</x:v>
      </x:c>
      <x:c r="L357" s="79"/>
      <x:c r="M357" s="79"/>
      <x:c r="N357" s="79"/>
      <x:c r="O357" s="79"/>
      <x:c r="P357" s="79"/>
      <x:c r="Q357" s="79"/>
      <x:c r="R357" s="79"/>
      <x:c r="S357" s="79"/>
      <x:c r="T357" s="79"/>
      <x:c r="U357" s="79"/>
      <x:c r="V357" s="79"/>
      <x:c r="W357" s="79"/>
      <x:c r="X357" s="79"/>
      <x:c r="Y357" s="79"/>
      <x:c r="Z357" s="79"/>
      <x:c r="AA357" s="79" t="str">
        <x:f>IF(AND(LEN($N$2)&gt;=3,ISNUMBER(SEARCH($N$2,$B357))),MAX($AA$1:AA356)+1,"")</x:f>
      </x:c>
      <x:c r="AB357" s="79" t="str">
        <x:v>6a3782ffdf5573f4e676e24b</x:v>
      </x:c>
      <x:c r="AC357" s="79" t="str">
        <x:v>نوشیدنی‌ها</x:v>
      </x:c>
      <x:c r="AD357" s="79" t="str">
        <x:v>syrup</x:v>
      </x:c>
      <x:c r="AE357" s="79" t="str">
        <x:v>EDIBLE</x:v>
      </x:c>
      <x:c r="AF357" s="79" t="str">
        <x:v>بله</x:v>
      </x:c>
      <x:c r="AG357" s="79" t="str">
        <x:v>بله</x:v>
      </x:c>
      <x:c r="AH357" s="79" t="n">
        <x:v>2</x:v>
      </x:c>
      <x:c r="AI357" s="79" t="str">
        <x:v>شربت سکنجبین</x:v>
      </x:c>
      <x:c r="AJ357" s="79" t="str">
        <x:v>قنادی و شیرینی</x:v>
      </x:c>
      <x:c r="AK357" s="79"/>
    </x:row>
    <x:row r="358">
      <x:c r="A358" s="79" t="s">
        <x:v>1214</x:v>
      </x:c>
      <x:c r="B358" s="79" t="s">
        <x:v>292</x:v>
      </x:c>
      <x:c r="C358" s="79" t="s">
        <x:v>1215</x:v>
      </x:c>
      <x:c r="D358" s="79" t="s">
        <x:v>1199</x:v>
      </x:c>
      <x:c r="E358" s="79" t="s">
        <x:v>16</x:v>
      </x:c>
      <x:c r="F358" s="79" t="s">
        <x:v>16</x:v>
      </x:c>
      <x:c r="G358" s="79" t="n">
        <x:f>IF(RIGHT($A358,2)="-2",INDEX('قیمت ها'!$E:$E,$J358+2),INDEX('قیمت ها'!$B:$B,$J358+2))</x:f>
        <x:v>700</x:v>
      </x:c>
      <x:c r="H358" s="110">
        <x:f t="shared" si="10"/>
        <x:v>700000</x:v>
      </x:c>
      <x:c r="I358" s="79" t="str">
        <x:f t="shared" si="11"/>
        <x:v>فعال</x:v>
      </x:c>
      <x:c r="J358" s="79">
        <x:v>229</x:v>
      </x:c>
      <x:c r="K358" s="79" t="s">
        <x:v>1214</x:v>
      </x:c>
      <x:c r="L358" s="79"/>
      <x:c r="M358" s="79"/>
      <x:c r="N358" s="79"/>
      <x:c r="O358" s="79"/>
      <x:c r="P358" s="79"/>
      <x:c r="Q358" s="79"/>
      <x:c r="R358" s="79"/>
      <x:c r="S358" s="79"/>
      <x:c r="T358" s="79"/>
      <x:c r="U358" s="79"/>
      <x:c r="V358" s="79"/>
      <x:c r="W358" s="79"/>
      <x:c r="X358" s="79"/>
      <x:c r="Y358" s="79"/>
      <x:c r="Z358" s="79"/>
      <x:c r="AA358" s="79" t="str">
        <x:f>IF(AND(LEN($N$2)&gt;=3,ISNUMBER(SEARCH($N$2,$B358))),MAX($AA$1:AA357)+1,"")</x:f>
      </x:c>
      <x:c r="AB358" s="79" t="str">
        <x:v>6a3a00000000000000000003</x:v>
      </x:c>
      <x:c r="AC358" s="79" t="str">
        <x:v>قنادی و شیرینی</x:v>
      </x:c>
      <x:c r="AD358" s="79" t="str">
        <x:v>confectionery</x:v>
      </x:c>
      <x:c r="AE358" s="79" t="str">
        <x:v>EDIBLE</x:v>
      </x:c>
      <x:c r="AF358" s="79" t="str">
        <x:v>بله</x:v>
      </x:c>
      <x:c r="AG358" s="79" t="str">
        <x:v>خیر</x:v>
      </x:c>
      <x:c r="AH358" s="79" t="n">
        <x:v>1</x:v>
      </x:c>
      <x:c r="AI358" s="79" t="str">
        <x:v>شکر سفید</x:v>
      </x:c>
      <x:c r="AJ358" s="79" t="str">
        <x:v>قنادی و شیرینی</x:v>
      </x:c>
      <x:c r="AK358" s="79" t="str">
        <x:v>MISSING_PRICE_REVIEW</x:v>
      </x:c>
    </x:row>
    <x:row r="359">
      <x:c r="A359" s="79" t="s">
        <x:v>1216</x:v>
      </x:c>
      <x:c r="B359" s="79" t="s">
        <x:v>294</x:v>
      </x:c>
      <x:c r="C359" s="79" t="s">
        <x:v>1217</x:v>
      </x:c>
      <x:c r="D359" s="79" t="s">
        <x:v>1199</x:v>
      </x:c>
      <x:c r="E359" s="79" t="s">
        <x:v>16</x:v>
      </x:c>
      <x:c r="F359" s="79" t="s">
        <x:v>16</x:v>
      </x:c>
      <x:c r="G359" s="79" t="n">
        <x:f>IF(RIGHT($A359,2)="-2",INDEX('قیمت ها'!$E:$E,$J359+2),INDEX('قیمت ها'!$B:$B,$J359+2))</x:f>
        <x:v>890</x:v>
      </x:c>
      <x:c r="H359" s="110">
        <x:f t="shared" si="10"/>
        <x:v>890000</x:v>
      </x:c>
      <x:c r="I359" s="79" t="str">
        <x:f t="shared" si="11"/>
        <x:v>فعال</x:v>
      </x:c>
      <x:c r="J359" s="79">
        <x:v>231</x:v>
      </x:c>
      <x:c r="K359" s="79" t="s">
        <x:v>1216</x:v>
      </x:c>
      <x:c r="L359" s="79"/>
      <x:c r="M359" s="79"/>
      <x:c r="N359" s="79"/>
      <x:c r="O359" s="79"/>
      <x:c r="P359" s="79"/>
      <x:c r="Q359" s="79"/>
      <x:c r="R359" s="79"/>
      <x:c r="S359" s="79"/>
      <x:c r="T359" s="79"/>
      <x:c r="U359" s="79"/>
      <x:c r="V359" s="79"/>
      <x:c r="W359" s="79"/>
      <x:c r="X359" s="79"/>
      <x:c r="Y359" s="79"/>
      <x:c r="Z359" s="79"/>
      <x:c r="AA359" s="79" t="str">
        <x:f>IF(AND(LEN($N$2)&gt;=3,ISNUMBER(SEARCH($N$2,$B359))),MAX($AA$1:AA358)+1,"")</x:f>
      </x:c>
      <x:c r="AB359" s="79" t="str">
        <x:v>6a3a00000000000000000003</x:v>
      </x:c>
      <x:c r="AC359" s="79" t="str">
        <x:v>قنادی و شیرینی</x:v>
      </x:c>
      <x:c r="AD359" s="79" t="str">
        <x:v>confectionery</x:v>
      </x:c>
      <x:c r="AE359" s="79" t="str">
        <x:v>EDIBLE</x:v>
      </x:c>
      <x:c r="AF359" s="79" t="str">
        <x:v>بله</x:v>
      </x:c>
      <x:c r="AG359" s="79" t="str">
        <x:v>خیر</x:v>
      </x:c>
      <x:c r="AH359" s="79" t="n">
        <x:v>1</x:v>
      </x:c>
      <x:c r="AI359" s="79" t="str">
        <x:v>شکلات تخته ای وانیلی</x:v>
      </x:c>
      <x:c r="AJ359" s="79" t="str">
        <x:v>قنادی و شیرینی</x:v>
      </x:c>
      <x:c r="AK359" s="79"/>
    </x:row>
    <x:row r="360">
      <x:c r="A360" s="79" t="s">
        <x:v>1218</x:v>
      </x:c>
      <x:c r="B360" s="79" t="s">
        <x:v>293</x:v>
      </x:c>
      <x:c r="C360" s="79" t="s">
        <x:v>1219</x:v>
      </x:c>
      <x:c r="D360" s="79" t="s">
        <x:v>1199</x:v>
      </x:c>
      <x:c r="E360" s="79" t="s">
        <x:v>16</x:v>
      </x:c>
      <x:c r="F360" s="79" t="s">
        <x:v>16</x:v>
      </x:c>
      <x:c r="G360" s="79" t="n">
        <x:f>IF(RIGHT($A360,2)="-2",INDEX('قیمت ها'!$E:$E,$J360+2),INDEX('قیمت ها'!$B:$B,$J360+2))</x:f>
        <x:v>890</x:v>
      </x:c>
      <x:c r="H360" s="110">
        <x:f t="shared" si="10"/>
        <x:v>890000</x:v>
      </x:c>
      <x:c r="I360" s="79" t="str">
        <x:f t="shared" si="11"/>
        <x:v>فعال</x:v>
      </x:c>
      <x:c r="J360" s="79">
        <x:v>230</x:v>
      </x:c>
      <x:c r="K360" s="79" t="s">
        <x:v>1218</x:v>
      </x:c>
      <x:c r="L360" s="79"/>
      <x:c r="M360" s="79"/>
      <x:c r="N360" s="79"/>
      <x:c r="O360" s="79"/>
      <x:c r="P360" s="79"/>
      <x:c r="Q360" s="79"/>
      <x:c r="R360" s="79"/>
      <x:c r="S360" s="79"/>
      <x:c r="T360" s="79"/>
      <x:c r="U360" s="79"/>
      <x:c r="V360" s="79"/>
      <x:c r="W360" s="79"/>
      <x:c r="X360" s="79"/>
      <x:c r="Y360" s="79"/>
      <x:c r="Z360" s="79"/>
      <x:c r="AA360" s="79" t="str">
        <x:f>IF(AND(LEN($N$2)&gt;=3,ISNUMBER(SEARCH($N$2,$B360))),MAX($AA$1:AA359)+1,"")</x:f>
      </x:c>
      <x:c r="AB360" s="79" t="str">
        <x:v>6a3a00000000000000000003</x:v>
      </x:c>
      <x:c r="AC360" s="79" t="str">
        <x:v>قنادی و شیرینی</x:v>
      </x:c>
      <x:c r="AD360" s="79" t="str">
        <x:v>confectionery</x:v>
      </x:c>
      <x:c r="AE360" s="79" t="str">
        <x:v>EDIBLE</x:v>
      </x:c>
      <x:c r="AF360" s="79" t="str">
        <x:v>بله</x:v>
      </x:c>
      <x:c r="AG360" s="79" t="str">
        <x:v>خیر</x:v>
      </x:c>
      <x:c r="AH360" s="79" t="n">
        <x:v>1</x:v>
      </x:c>
      <x:c r="AI360" s="79" t="str">
        <x:v>شکر قهوه ای</x:v>
      </x:c>
      <x:c r="AJ360" s="79" t="str">
        <x:v>قنادی و شیرینی</x:v>
      </x:c>
      <x:c r="AK360" s="79"/>
    </x:row>
    <x:row r="361">
      <x:c r="A361" s="79" t="s">
        <x:v>1220</x:v>
      </x:c>
      <x:c r="B361" s="79" t="s">
        <x:v>306</x:v>
      </x:c>
      <x:c r="C361" s="79" t="s">
        <x:v>1221</x:v>
      </x:c>
      <x:c r="D361" s="79" t="s">
        <x:v>1199</x:v>
      </x:c>
      <x:c r="E361" s="79" t="s">
        <x:v>301</x:v>
      </x:c>
      <x:c r="F361" s="79" t="s">
        <x:v>682</x:v>
      </x:c>
      <x:c r="G361" s="79" t="n">
        <x:f>IF(RIGHT($A361,2)="-2",INDEX('قیمت ها'!$E:$E,$J361+2),INDEX('قیمت ها'!$B:$B,$J361+2))</x:f>
        <x:v>220</x:v>
      </x:c>
      <x:c r="H361" s="110">
        <x:f t="shared" si="10"/>
        <x:v>220000</x:v>
      </x:c>
      <x:c r="I361" s="79" t="str">
        <x:f t="shared" si="11"/>
        <x:v>فعال</x:v>
      </x:c>
      <x:c r="J361" s="79">
        <x:v>242</x:v>
      </x:c>
      <x:c r="K361" s="79" t="s">
        <x:v>1220</x:v>
      </x:c>
      <x:c r="L361" s="79"/>
      <x:c r="M361" s="79"/>
      <x:c r="N361" s="79"/>
      <x:c r="O361" s="79"/>
      <x:c r="P361" s="79"/>
      <x:c r="Q361" s="79"/>
      <x:c r="R361" s="79"/>
      <x:c r="S361" s="79"/>
      <x:c r="T361" s="79"/>
      <x:c r="U361" s="79"/>
      <x:c r="V361" s="79"/>
      <x:c r="W361" s="79"/>
      <x:c r="X361" s="79"/>
      <x:c r="Y361" s="79"/>
      <x:c r="Z361" s="79"/>
      <x:c r="AA361" s="79" t="str">
        <x:f>IF(AND(LEN($N$2)&gt;=3,ISNUMBER(SEARCH($N$2,$B361))),MAX($AA$1:AA360)+1,"")</x:f>
      </x:c>
      <x:c r="AB361" s="79" t="str">
        <x:v>6a3782ffdf5573f4e676e24b</x:v>
      </x:c>
      <x:c r="AC361" s="79" t="str">
        <x:v>نوشیدنی‌ها</x:v>
      </x:c>
      <x:c r="AD361" s="79" t="str">
        <x:v>syrup</x:v>
      </x:c>
      <x:c r="AE361" s="79" t="str">
        <x:v>EDIBLE</x:v>
      </x:c>
      <x:c r="AF361" s="79" t="str">
        <x:v>بله</x:v>
      </x:c>
      <x:c r="AG361" s="79" t="str">
        <x:v>خیر</x:v>
      </x:c>
      <x:c r="AH361" s="79" t="n">
        <x:v>1</x:v>
      </x:c>
      <x:c r="AI361" s="79" t="str">
        <x:v>شیره انگور</x:v>
      </x:c>
      <x:c r="AJ361" s="79" t="str">
        <x:v>قنادی و شیرینی</x:v>
      </x:c>
      <x:c r="AK361" s="79" t="str">
        <x:v>دسته از «نیاز به بررسی» به «نوشیدنی‌ها» اصلاح شد</x:v>
      </x:c>
    </x:row>
    <x:row r="362">
      <x:c r="A362" s="79" t="s">
        <x:v>1222</x:v>
      </x:c>
      <x:c r="B362" s="79" t="s">
        <x:v>380</x:v>
      </x:c>
      <x:c r="C362" s="79" t="s">
        <x:v>1223</x:v>
      </x:c>
      <x:c r="D362" s="79" t="s">
        <x:v>1199</x:v>
      </x:c>
      <x:c r="E362" s="79" t="s">
        <x:v>381</x:v>
      </x:c>
      <x:c r="F362" s="79" t="s">
        <x:v>16</x:v>
      </x:c>
      <x:c r="G362" s="79" t="str">
        <x:f>IF(RIGHT($A362,2)="-2",INDEX('قیمت ها'!$E:$E,$J362+2),INDEX('قیمت ها'!$B:$B,$J362+2))</x:f>
        <x:v>1/200</x:v>
      </x:c>
      <x:c r="H362" s="110">
        <x:f t="shared" si="10"/>
        <x:v>1200000</x:v>
      </x:c>
      <x:c r="I362" s="79" t="str">
        <x:f t="shared" si="11"/>
        <x:v>فعال</x:v>
      </x:c>
      <x:c r="J362" s="79">
        <x:v>307</x:v>
      </x:c>
      <x:c r="K362" s="79" t="s">
        <x:v>1222</x:v>
      </x:c>
      <x:c r="L362" s="79"/>
      <x:c r="M362" s="79"/>
      <x:c r="N362" s="79"/>
      <x:c r="O362" s="79"/>
      <x:c r="P362" s="79"/>
      <x:c r="Q362" s="79"/>
      <x:c r="R362" s="79"/>
      <x:c r="S362" s="79"/>
      <x:c r="T362" s="79"/>
      <x:c r="U362" s="79"/>
      <x:c r="V362" s="79"/>
      <x:c r="W362" s="79"/>
      <x:c r="X362" s="79"/>
      <x:c r="Y362" s="79"/>
      <x:c r="Z362" s="79"/>
      <x:c r="AA362" s="79" t="str">
        <x:f>IF(AND(LEN($N$2)&gt;=3,ISNUMBER(SEARCH($N$2,$B362))),MAX($AA$1:AA361)+1,"")</x:f>
      </x:c>
      <x:c r="AB362" s="79" t="str">
        <x:v>6a3782ffdf5573f4e676e24b</x:v>
      </x:c>
      <x:c r="AC362" s="79" t="str">
        <x:v>نوشیدنی‌ها</x:v>
      </x:c>
      <x:c r="AD362" s="79" t="str">
        <x:v>syrup</x:v>
      </x:c>
      <x:c r="AE362" s="79" t="str">
        <x:v>EDIBLE</x:v>
      </x:c>
      <x:c r="AF362" s="79" t="str">
        <x:v>بله</x:v>
      </x:c>
      <x:c r="AG362" s="79" t="str">
        <x:v>بله</x:v>
      </x:c>
      <x:c r="AH362" s="79" t="n">
        <x:v>2</x:v>
      </x:c>
      <x:c r="AI362" s="79" t="str">
        <x:v>عرق هل سنگین</x:v>
      </x:c>
      <x:c r="AJ362" s="79" t="str">
        <x:v>قنادی و شیرینی</x:v>
      </x:c>
      <x:c r="AK362" s="79"/>
    </x:row>
    <x:row r="363">
      <x:c r="A363" s="79" t="s">
        <x:v>1224</x:v>
      </x:c>
      <x:c r="B363" s="79" t="s">
        <x:v>380</x:v>
      </x:c>
      <x:c r="C363" s="79" t="s">
        <x:v>1225</x:v>
      </x:c>
      <x:c r="D363" s="79" t="s">
        <x:v>1199</x:v>
      </x:c>
      <x:c r="E363" s="79" t="s">
        <x:v>382</x:v>
      </x:c>
      <x:c r="F363" s="79" t="s">
        <x:v>16</x:v>
      </x:c>
      <x:c r="G363" s="79" t="str">
        <x:f>IF(RIGHT($A363,2)="-2",INDEX('قیمت ها'!$E:$E,$J363+2),INDEX('قیمت ها'!$B:$B,$J363+2))</x:f>
        <x:v>1/300</x:v>
      </x:c>
      <x:c r="H363" s="110">
        <x:f t="shared" si="10"/>
        <x:v>1300000</x:v>
      </x:c>
      <x:c r="I363" s="79" t="str">
        <x:f t="shared" si="11"/>
        <x:v>فعال</x:v>
      </x:c>
      <x:c r="J363" s="79">
        <x:v>307</x:v>
      </x:c>
      <x:c r="K363" s="79" t="s">
        <x:v>1224</x:v>
      </x:c>
      <x:c r="L363" s="79"/>
      <x:c r="M363" s="79"/>
      <x:c r="N363" s="79"/>
      <x:c r="O363" s="79"/>
      <x:c r="P363" s="79"/>
      <x:c r="Q363" s="79"/>
      <x:c r="R363" s="79"/>
      <x:c r="S363" s="79"/>
      <x:c r="T363" s="79"/>
      <x:c r="U363" s="79"/>
      <x:c r="V363" s="79"/>
      <x:c r="W363" s="79"/>
      <x:c r="X363" s="79"/>
      <x:c r="Y363" s="79"/>
      <x:c r="Z363" s="79"/>
      <x:c r="AA363" s="79" t="str">
        <x:f>IF(AND(LEN($N$2)&gt;=3,ISNUMBER(SEARCH($N$2,$B363))),MAX($AA$1:AA362)+1,"")</x:f>
      </x:c>
      <x:c r="AB363" s="79" t="str">
        <x:v>6a3782ffdf5573f4e676e24b</x:v>
      </x:c>
      <x:c r="AC363" s="79" t="str">
        <x:v>نوشیدنی‌ها</x:v>
      </x:c>
      <x:c r="AD363" s="79" t="str">
        <x:v>syrup</x:v>
      </x:c>
      <x:c r="AE363" s="79" t="str">
        <x:v>EDIBLE</x:v>
      </x:c>
      <x:c r="AF363" s="79" t="str">
        <x:v>بله</x:v>
      </x:c>
      <x:c r="AG363" s="79" t="str">
        <x:v>بله</x:v>
      </x:c>
      <x:c r="AH363" s="79" t="n">
        <x:v>2</x:v>
      </x:c>
      <x:c r="AI363" s="79" t="str">
        <x:v>عرق هل سنگین</x:v>
      </x:c>
      <x:c r="AJ363" s="79" t="str">
        <x:v>قنادی و شیرینی</x:v>
      </x:c>
      <x:c r="AK363" s="79"/>
    </x:row>
    <x:row r="364">
      <x:c r="A364" s="79" t="s">
        <x:v>1226</x:v>
      </x:c>
      <x:c r="B364" s="79" t="s">
        <x:v>383</x:v>
      </x:c>
      <x:c r="C364" s="79" t="s">
        <x:v>1227</x:v>
      </x:c>
      <x:c r="D364" s="79" t="s">
        <x:v>1199</x:v>
      </x:c>
      <x:c r="E364" s="79" t="s">
        <x:v>16</x:v>
      </x:c>
      <x:c r="F364" s="79" t="s">
        <x:v>16</x:v>
      </x:c>
      <x:c r="G364" s="79" t="str">
        <x:f>IF(RIGHT($A364,2)="-2",INDEX('قیمت ها'!$E:$E,$J364+2),INDEX('قیمت ها'!$B:$B,$J364+2))</x:f>
        <x:v>؟</x:v>
      </x:c>
      <x:c r="H364" s="110" t="str">
        <x:f t="shared" si="10"/>
      </x:c>
      <x:c r="I364" s="79" t="str">
        <x:f t="shared" si="11"/>
        <x:v>نیاز به استعلام</x:v>
      </x:c>
      <x:c r="J364" s="79">
        <x:v>308</x:v>
      </x:c>
      <x:c r="K364" s="79" t="s">
        <x:v>1226</x:v>
      </x:c>
      <x:c r="L364" s="79"/>
      <x:c r="M364" s="79"/>
      <x:c r="N364" s="79"/>
      <x:c r="O364" s="79"/>
      <x:c r="P364" s="79"/>
      <x:c r="Q364" s="79"/>
      <x:c r="R364" s="79"/>
      <x:c r="S364" s="79"/>
      <x:c r="T364" s="79"/>
      <x:c r="U364" s="79"/>
      <x:c r="V364" s="79"/>
      <x:c r="W364" s="79"/>
      <x:c r="X364" s="79"/>
      <x:c r="Y364" s="79"/>
      <x:c r="Z364" s="79"/>
      <x:c r="AA364" s="79" t="str">
        <x:f>IF(AND(LEN($N$2)&gt;=3,ISNUMBER(SEARCH($N$2,$B364))),MAX($AA$1:AA363)+1,"")</x:f>
      </x:c>
      <x:c r="AB364" s="79" t="str">
        <x:v>6a3782ffdf5573f4e676e24b</x:v>
      </x:c>
      <x:c r="AC364" s="79" t="str">
        <x:v>نوشیدنی‌ها</x:v>
      </x:c>
      <x:c r="AD364" s="79" t="str">
        <x:v>syrup</x:v>
      </x:c>
      <x:c r="AE364" s="79" t="str">
        <x:v>EDIBLE</x:v>
      </x:c>
      <x:c r="AF364" s="79" t="str">
        <x:v>بله</x:v>
      </x:c>
      <x:c r="AG364" s="79" t="str">
        <x:v>بله</x:v>
      </x:c>
      <x:c r="AH364" s="79" t="n">
        <x:v>2</x:v>
      </x:c>
      <x:c r="AI364" s="79" t="str">
        <x:v>عرق یونجه</x:v>
      </x:c>
      <x:c r="AJ364" s="79" t="str">
        <x:v>قنادی و شیرینی</x:v>
      </x:c>
      <x:c r="AK364" s="79"/>
    </x:row>
    <x:row r="365">
      <x:c r="A365" s="79" t="s">
        <x:v>1228</x:v>
      </x:c>
      <x:c r="B365" s="79" t="s">
        <x:v>385</x:v>
      </x:c>
      <x:c r="C365" s="79" t="s">
        <x:v>1229</x:v>
      </x:c>
      <x:c r="D365" s="79" t="s">
        <x:v>1199</x:v>
      </x:c>
      <x:c r="E365" s="79" t="s">
        <x:v>16</x:v>
      </x:c>
      <x:c r="F365" s="79" t="s">
        <x:v>16</x:v>
      </x:c>
      <x:c r="G365" s="79" t="str">
        <x:f>IF(RIGHT($A365,2)="-2",INDEX('قیمت ها'!$E:$E,$J365+2),INDEX('قیمت ها'!$B:$B,$J365+2))</x:f>
        <x:v>؟</x:v>
      </x:c>
      <x:c r="H365" s="110" t="str">
        <x:f t="shared" si="10"/>
      </x:c>
      <x:c r="I365" s="79" t="str">
        <x:f t="shared" si="11"/>
        <x:v>نیاز به استعلام</x:v>
      </x:c>
      <x:c r="J365" s="79">
        <x:v>310</x:v>
      </x:c>
      <x:c r="K365" s="79" t="s">
        <x:v>1228</x:v>
      </x:c>
      <x:c r="L365" s="79"/>
      <x:c r="M365" s="79"/>
      <x:c r="N365" s="79"/>
      <x:c r="O365" s="79"/>
      <x:c r="P365" s="79"/>
      <x:c r="Q365" s="79"/>
      <x:c r="R365" s="79"/>
      <x:c r="S365" s="79"/>
      <x:c r="T365" s="79"/>
      <x:c r="U365" s="79"/>
      <x:c r="V365" s="79"/>
      <x:c r="W365" s="79"/>
      <x:c r="X365" s="79"/>
      <x:c r="Y365" s="79"/>
      <x:c r="Z365" s="79"/>
      <x:c r="AA365" s="79" t="str">
        <x:f>IF(AND(LEN($N$2)&gt;=3,ISNUMBER(SEARCH($N$2,$B365))),MAX($AA$1:AA364)+1,"")</x:f>
      </x:c>
      <x:c r="AB365" s="79" t="str">
        <x:v>6a3a00000000000000000003</x:v>
      </x:c>
      <x:c r="AC365" s="79" t="str">
        <x:v>قنادی و شیرینی</x:v>
      </x:c>
      <x:c r="AD365" s="79" t="str">
        <x:v>confectionery</x:v>
      </x:c>
      <x:c r="AE365" s="79" t="str">
        <x:v>EDIBLE</x:v>
      </x:c>
      <x:c r="AF365" s="79" t="str">
        <x:v>بله</x:v>
      </x:c>
      <x:c r="AG365" s="79" t="str">
        <x:v>خیر</x:v>
      </x:c>
      <x:c r="AH365" s="79" t="n">
        <x:v>1</x:v>
      </x:c>
      <x:c r="AI365" s="79" t="str">
        <x:v>عسل جنگلی</x:v>
      </x:c>
      <x:c r="AJ365" s="79" t="str">
        <x:v>قنادی و شیرینی</x:v>
      </x:c>
      <x:c r="AK365" s="79" t="str">
        <x:v>MISSING_PRICE_REVIEW</x:v>
      </x:c>
    </x:row>
    <x:row r="366">
      <x:c r="A366" s="79" t="s">
        <x:v>1230</x:v>
      </x:c>
      <x:c r="B366" s="79" t="s">
        <x:v>384</x:v>
      </x:c>
      <x:c r="C366" s="79" t="s">
        <x:v>1231</x:v>
      </x:c>
      <x:c r="D366" s="79" t="s">
        <x:v>1199</x:v>
      </x:c>
      <x:c r="E366" s="79" t="s">
        <x:v>16</x:v>
      </x:c>
      <x:c r="F366" s="79" t="s">
        <x:v>16</x:v>
      </x:c>
      <x:c r="G366" s="79" t="str">
        <x:f>IF(RIGHT($A366,2)="-2",INDEX('قیمت ها'!$E:$E,$J366+2),INDEX('قیمت ها'!$B:$B,$J366+2))</x:f>
        <x:v>؟</x:v>
      </x:c>
      <x:c r="H366" s="110" t="str">
        <x:f t="shared" si="10"/>
      </x:c>
      <x:c r="I366" s="79" t="str">
        <x:f t="shared" si="11"/>
        <x:v>نیاز به استعلام</x:v>
      </x:c>
      <x:c r="J366" s="79">
        <x:v>309</x:v>
      </x:c>
      <x:c r="K366" s="79" t="s">
        <x:v>1230</x:v>
      </x:c>
      <x:c r="L366" s="79"/>
      <x:c r="M366" s="79"/>
      <x:c r="N366" s="79"/>
      <x:c r="O366" s="79"/>
      <x:c r="P366" s="79"/>
      <x:c r="Q366" s="79"/>
      <x:c r="R366" s="79"/>
      <x:c r="S366" s="79"/>
      <x:c r="T366" s="79"/>
      <x:c r="U366" s="79"/>
      <x:c r="V366" s="79"/>
      <x:c r="W366" s="79"/>
      <x:c r="X366" s="79"/>
      <x:c r="Y366" s="79"/>
      <x:c r="Z366" s="79"/>
      <x:c r="AA366" s="79" t="str">
        <x:f>IF(AND(LEN($N$2)&gt;=3,ISNUMBER(SEARCH($N$2,$B366))),MAX($AA$1:AA365)+1,"")</x:f>
      </x:c>
      <x:c r="AB366" s="79" t="str">
        <x:v>6a3a00000000000000000003</x:v>
      </x:c>
      <x:c r="AC366" s="79" t="str">
        <x:v>قنادی و شیرینی</x:v>
      </x:c>
      <x:c r="AD366" s="79" t="str">
        <x:v>confectionery</x:v>
      </x:c>
      <x:c r="AE366" s="79" t="str">
        <x:v>EDIBLE</x:v>
      </x:c>
      <x:c r="AF366" s="79" t="str">
        <x:v>بله</x:v>
      </x:c>
      <x:c r="AG366" s="79" t="str">
        <x:v>بله</x:v>
      </x:c>
      <x:c r="AH366" s="79" t="n">
        <x:v>2</x:v>
      </x:c>
      <x:c r="AI366" s="79" t="str">
        <x:v>عسل بهار نارنج</x:v>
      </x:c>
      <x:c r="AJ366" s="79" t="str">
        <x:v>قنادی و شیرینی</x:v>
      </x:c>
      <x:c r="AK366" s="79"/>
    </x:row>
    <x:row r="367">
      <x:c r="A367" s="79" t="s">
        <x:v>1232</x:v>
      </x:c>
      <x:c r="B367" s="79" t="s">
        <x:v>386</x:v>
      </x:c>
      <x:c r="C367" s="79" t="s">
        <x:v>1233</x:v>
      </x:c>
      <x:c r="D367" s="79" t="s">
        <x:v>1199</x:v>
      </x:c>
      <x:c r="E367" s="79" t="s">
        <x:v>16</x:v>
      </x:c>
      <x:c r="F367" s="79" t="s">
        <x:v>16</x:v>
      </x:c>
      <x:c r="G367" s="79" t="n">
        <x:f>IF(RIGHT($A367,2)="-2",INDEX('قیمت ها'!$E:$E,$J367+2),INDEX('قیمت ها'!$B:$B,$J367+2))</x:f>
        <x:v>700</x:v>
      </x:c>
      <x:c r="H367" s="110">
        <x:f t="shared" si="10"/>
        <x:v>700000</x:v>
      </x:c>
      <x:c r="I367" s="79" t="str">
        <x:f t="shared" si="11"/>
        <x:v>فعال</x:v>
      </x:c>
      <x:c r="J367" s="79">
        <x:v>311</x:v>
      </x:c>
      <x:c r="K367" s="79" t="s">
        <x:v>1232</x:v>
      </x:c>
      <x:c r="L367" s="79"/>
      <x:c r="M367" s="79"/>
      <x:c r="N367" s="79"/>
      <x:c r="O367" s="79"/>
      <x:c r="P367" s="79"/>
      <x:c r="Q367" s="79"/>
      <x:c r="R367" s="79"/>
      <x:c r="S367" s="79"/>
      <x:c r="T367" s="79"/>
      <x:c r="U367" s="79"/>
      <x:c r="V367" s="79"/>
      <x:c r="W367" s="79"/>
      <x:c r="X367" s="79"/>
      <x:c r="Y367" s="79"/>
      <x:c r="Z367" s="79"/>
      <x:c r="AA367" s="79" t="str">
        <x:f>IF(AND(LEN($N$2)&gt;=3,ISNUMBER(SEARCH($N$2,$B367))),MAX($AA$1:AA366)+1,"")</x:f>
      </x:c>
      <x:c r="AB367" s="79" t="str">
        <x:v>6a3a00000000000000000003</x:v>
      </x:c>
      <x:c r="AC367" s="79" t="str">
        <x:v>قنادی و شیرینی</x:v>
      </x:c>
      <x:c r="AD367" s="79" t="str">
        <x:v>confectionery</x:v>
      </x:c>
      <x:c r="AE367" s="79" t="str">
        <x:v>EDIBLE</x:v>
      </x:c>
      <x:c r="AF367" s="79" t="str">
        <x:v>بله</x:v>
      </x:c>
      <x:c r="AG367" s="79" t="str">
        <x:v>خیر</x:v>
      </x:c>
      <x:c r="AH367" s="79" t="n">
        <x:v>1</x:v>
      </x:c>
      <x:c r="AI367" s="79" t="str">
        <x:v>عسل چند گیاه</x:v>
      </x:c>
      <x:c r="AJ367" s="79" t="str">
        <x:v>قنادی و شیرینی</x:v>
      </x:c>
      <x:c r="AK367" s="79" t="str">
        <x:v>MISSING_PRICE_REVIEW</x:v>
      </x:c>
    </x:row>
    <x:row r="368">
      <x:c r="A368" s="79" t="s">
        <x:v>1234</x:v>
      </x:c>
      <x:c r="B368" s="79" t="s">
        <x:v>387</x:v>
      </x:c>
      <x:c r="C368" s="79" t="s">
        <x:v>1235</x:v>
      </x:c>
      <x:c r="D368" s="79" t="s">
        <x:v>1199</x:v>
      </x:c>
      <x:c r="E368" s="79" t="s">
        <x:v>16</x:v>
      </x:c>
      <x:c r="F368" s="79" t="s">
        <x:v>16</x:v>
      </x:c>
      <x:c r="G368" s="79" t="str">
        <x:f>IF(RIGHT($A368,2)="-2",INDEX('قیمت ها'!$E:$E,$J368+2),INDEX('قیمت ها'!$B:$B,$J368+2))</x:f>
        <x:v>؟</x:v>
      </x:c>
      <x:c r="H368" s="110" t="str">
        <x:f t="shared" si="10"/>
      </x:c>
      <x:c r="I368" s="79" t="str">
        <x:f t="shared" si="11"/>
        <x:v>نیاز به استعلام</x:v>
      </x:c>
      <x:c r="J368" s="79">
        <x:v>312</x:v>
      </x:c>
      <x:c r="K368" s="79" t="s">
        <x:v>1234</x:v>
      </x:c>
      <x:c r="L368" s="79"/>
      <x:c r="M368" s="79"/>
      <x:c r="N368" s="79"/>
      <x:c r="O368" s="79"/>
      <x:c r="P368" s="79"/>
      <x:c r="Q368" s="79"/>
      <x:c r="R368" s="79"/>
      <x:c r="S368" s="79"/>
      <x:c r="T368" s="79"/>
      <x:c r="U368" s="79"/>
      <x:c r="V368" s="79"/>
      <x:c r="W368" s="79"/>
      <x:c r="X368" s="79"/>
      <x:c r="Y368" s="79"/>
      <x:c r="Z368" s="79"/>
      <x:c r="AA368" s="79" t="str">
        <x:f>IF(AND(LEN($N$2)&gt;=3,ISNUMBER(SEARCH($N$2,$B368))),MAX($AA$1:AA367)+1,"")</x:f>
      </x:c>
      <x:c r="AB368" s="79" t="str">
        <x:v>6a3a00000000000000000003</x:v>
      </x:c>
      <x:c r="AC368" s="79" t="str">
        <x:v>قنادی و شیرینی</x:v>
      </x:c>
      <x:c r="AD368" s="79" t="str">
        <x:v>confectionery</x:v>
      </x:c>
      <x:c r="AE368" s="79" t="str">
        <x:v>EDIBLE</x:v>
      </x:c>
      <x:c r="AF368" s="79" t="str">
        <x:v>بله</x:v>
      </x:c>
      <x:c r="AG368" s="79" t="str">
        <x:v>خیر</x:v>
      </x:c>
      <x:c r="AH368" s="79" t="n">
        <x:v>1</x:v>
      </x:c>
      <x:c r="AI368" s="79" t="str">
        <x:v>عسل سیاهدانه</x:v>
      </x:c>
      <x:c r="AJ368" s="79" t="str">
        <x:v>قنادی و شیرینی</x:v>
      </x:c>
      <x:c r="AK368" s="79" t="str">
        <x:v>MISSING_PRICE_REVIEW</x:v>
      </x:c>
    </x:row>
    <x:row r="369">
      <x:c r="A369" s="79" t="s">
        <x:v>1236</x:v>
      </x:c>
      <x:c r="B369" s="79" t="s">
        <x:v>472</x:v>
      </x:c>
      <x:c r="C369" s="79" t="s">
        <x:v>1237</x:v>
      </x:c>
      <x:c r="D369" s="79" t="s">
        <x:v>1199</x:v>
      </x:c>
      <x:c r="E369" s="79" t="s">
        <x:v>16</x:v>
      </x:c>
      <x:c r="F369" s="79" t="s">
        <x:v>16</x:v>
      </x:c>
      <x:c r="G369" s="79" t="str">
        <x:f>IF(RIGHT($A369,2)="-2",INDEX('قیمت ها'!$E:$E,$J369+2),INDEX('قیمت ها'!$B:$B,$J369+2))</x:f>
        <x:v>؟</x:v>
      </x:c>
      <x:c r="H369" s="110" t="str">
        <x:f t="shared" si="10"/>
      </x:c>
      <x:c r="I369" s="79" t="str">
        <x:f t="shared" si="11"/>
        <x:v>نیاز به استعلام</x:v>
      </x:c>
      <x:c r="J369" s="79">
        <x:v>382</x:v>
      </x:c>
      <x:c r="K369" s="79" t="s">
        <x:v>1236</x:v>
      </x:c>
      <x:c r="L369" s="79"/>
      <x:c r="M369" s="79"/>
      <x:c r="N369" s="79"/>
      <x:c r="O369" s="79"/>
      <x:c r="P369" s="79"/>
      <x:c r="Q369" s="79"/>
      <x:c r="R369" s="79"/>
      <x:c r="S369" s="79"/>
      <x:c r="T369" s="79"/>
      <x:c r="U369" s="79"/>
      <x:c r="V369" s="79"/>
      <x:c r="W369" s="79"/>
      <x:c r="X369" s="79"/>
      <x:c r="Y369" s="79"/>
      <x:c r="Z369" s="79"/>
      <x:c r="AA369" s="79" t="str">
        <x:f>IF(AND(LEN($N$2)&gt;=3,ISNUMBER(SEARCH($N$2,$B369))),MAX($AA$1:AA368)+1,"")</x:f>
      </x:c>
      <x:c r="AB369" s="79" t="str">
        <x:v>6a3781e4df5573f4e676e226</x:v>
      </x:c>
      <x:c r="AC369" s="79" t="str">
        <x:v>ادویه</x:v>
      </x:c>
      <x:c r="AD369" s="79" t="str">
        <x:v>spice</x:v>
      </x:c>
      <x:c r="AE369" s="79" t="str">
        <x:v>EDIBLE</x:v>
      </x:c>
      <x:c r="AF369" s="79" t="str">
        <x:v>بله</x:v>
      </x:c>
      <x:c r="AG369" s="79" t="str">
        <x:v>خیر</x:v>
      </x:c>
      <x:c r="AH369" s="79" t="n">
        <x:v>1</x:v>
      </x:c>
      <x:c r="AI369" s="79" t="str">
        <x:v>نمک نارنجی</x:v>
      </x:c>
      <x:c r="AJ369" s="79" t="str">
        <x:v>قنادی و شیرینی</x:v>
      </x:c>
      <x:c r="AK369" s="79"/>
    </x:row>
    <x:row r="370">
      <x:c r="A370" s="79" t="s">
        <x:v>1238</x:v>
      </x:c>
      <x:c r="B370" s="79" t="s">
        <x:v>473</x:v>
      </x:c>
      <x:c r="C370" s="79" t="s">
        <x:v>1239</x:v>
      </x:c>
      <x:c r="D370" s="79" t="s">
        <x:v>1199</x:v>
      </x:c>
      <x:c r="E370" s="79" t="s">
        <x:v>62</x:v>
      </x:c>
      <x:c r="F370" s="79" t="s">
        <x:v>16</x:v>
      </x:c>
      <x:c r="G370" s="79" t="str">
        <x:f>IF(RIGHT($A370,2)="-2",INDEX('قیمت ها'!$E:$E,$J370+2),INDEX('قیمت ها'!$B:$B,$J370+2))</x:f>
        <x:v>1/500</x:v>
      </x:c>
      <x:c r="H370" s="110">
        <x:f t="shared" si="10"/>
        <x:v>1500000</x:v>
      </x:c>
      <x:c r="I370" s="79" t="str">
        <x:f t="shared" si="11"/>
        <x:v>فعال</x:v>
      </x:c>
      <x:c r="J370" s="79">
        <x:v>383</x:v>
      </x:c>
      <x:c r="K370" s="79" t="s">
        <x:v>1238</x:v>
      </x:c>
      <x:c r="L370" s="79"/>
      <x:c r="M370" s="79"/>
      <x:c r="N370" s="79"/>
      <x:c r="O370" s="79"/>
      <x:c r="P370" s="79"/>
      <x:c r="Q370" s="79"/>
      <x:c r="R370" s="79"/>
      <x:c r="S370" s="79"/>
      <x:c r="T370" s="79"/>
      <x:c r="U370" s="79"/>
      <x:c r="V370" s="79"/>
      <x:c r="W370" s="79"/>
      <x:c r="X370" s="79"/>
      <x:c r="Y370" s="79"/>
      <x:c r="Z370" s="79"/>
      <x:c r="AA370" s="79" t="str">
        <x:f>IF(AND(LEN($N$2)&gt;=3,ISNUMBER(SEARCH($N$2,$B370))),MAX($AA$1:AA369)+1,"")</x:f>
      </x:c>
      <x:c r="AB370" s="79" t="str">
        <x:v>6a3781e4df5573f4e676e226</x:v>
      </x:c>
      <x:c r="AC370" s="79" t="str">
        <x:v>ادویه</x:v>
      </x:c>
      <x:c r="AD370" s="79" t="str">
        <x:v>spice</x:v>
      </x:c>
      <x:c r="AE370" s="79" t="str">
        <x:v>EDIBLE</x:v>
      </x:c>
      <x:c r="AF370" s="79" t="str">
        <x:v>بله</x:v>
      </x:c>
      <x:c r="AG370" s="79" t="str">
        <x:v>خیر</x:v>
      </x:c>
      <x:c r="AH370" s="79" t="n">
        <x:v>1</x:v>
      </x:c>
      <x:c r="AI370" s="79" t="str">
        <x:v>نمک نخودی (سنگ)</x:v>
      </x:c>
      <x:c r="AJ370" s="79" t="str">
        <x:v>قنادی و شیرینی</x:v>
      </x:c>
      <x:c r="AK370" s="79"/>
    </x:row>
    <x:row r="371">
      <x:c r="A371" s="79" t="s">
        <x:v>1240</x:v>
      </x:c>
      <x:c r="B371" s="79" t="s">
        <x:v>473</x:v>
      </x:c>
      <x:c r="C371" s="79" t="s">
        <x:v>1241</x:v>
      </x:c>
      <x:c r="D371" s="79" t="s">
        <x:v>1199</x:v>
      </x:c>
      <x:c r="E371" s="79" t="s">
        <x:v>474</x:v>
      </x:c>
      <x:c r="F371" s="79" t="s">
        <x:v>16</x:v>
      </x:c>
      <x:c r="G371" s="79" t="n">
        <x:f>IF(RIGHT($A371,2)="-2",INDEX('قیمت ها'!$E:$E,$J371+2),INDEX('قیمت ها'!$B:$B,$J371+2))</x:f>
        <x:v>260</x:v>
      </x:c>
      <x:c r="H371" s="110">
        <x:f t="shared" si="10"/>
        <x:v>260000</x:v>
      </x:c>
      <x:c r="I371" s="79" t="str">
        <x:f t="shared" si="11"/>
        <x:v>فعال</x:v>
      </x:c>
      <x:c r="J371" s="79">
        <x:v>383</x:v>
      </x:c>
      <x:c r="K371" s="79" t="s">
        <x:v>1240</x:v>
      </x:c>
      <x:c r="L371" s="79"/>
      <x:c r="M371" s="79"/>
      <x:c r="N371" s="79"/>
      <x:c r="O371" s="79"/>
      <x:c r="P371" s="79"/>
      <x:c r="Q371" s="79"/>
      <x:c r="R371" s="79"/>
      <x:c r="S371" s="79"/>
      <x:c r="T371" s="79"/>
      <x:c r="U371" s="79"/>
      <x:c r="V371" s="79"/>
      <x:c r="W371" s="79"/>
      <x:c r="X371" s="79"/>
      <x:c r="Y371" s="79"/>
      <x:c r="Z371" s="79"/>
      <x:c r="AA371" s="79" t="str">
        <x:f>IF(AND(LEN($N$2)&gt;=3,ISNUMBER(SEARCH($N$2,$B371))),MAX($AA$1:AA370)+1,"")</x:f>
      </x:c>
      <x:c r="AB371" s="79" t="str">
        <x:v>6a3781e4df5573f4e676e226</x:v>
      </x:c>
      <x:c r="AC371" s="79" t="str">
        <x:v>ادویه</x:v>
      </x:c>
      <x:c r="AD371" s="79" t="str">
        <x:v>spice</x:v>
      </x:c>
      <x:c r="AE371" s="79" t="str">
        <x:v>EDIBLE</x:v>
      </x:c>
      <x:c r="AF371" s="79" t="str">
        <x:v>بله</x:v>
      </x:c>
      <x:c r="AG371" s="79" t="str">
        <x:v>خیر</x:v>
      </x:c>
      <x:c r="AH371" s="79" t="n">
        <x:v>1</x:v>
      </x:c>
      <x:c r="AI371" s="79" t="str">
        <x:v>نمک نخودی (سنگ)</x:v>
      </x:c>
      <x:c r="AJ371" s="79" t="str">
        <x:v>قنادی و شیرینی</x:v>
      </x:c>
      <x:c r="AK371" s="79"/>
    </x:row>
    <x:row r="372">
      <x:c r="A372" s="79" t="s">
        <x:v>1242</x:v>
      </x:c>
      <x:c r="B372" s="79" t="s">
        <x:v>481</x:v>
      </x:c>
      <x:c r="C372" s="79" t="s">
        <x:v>1243</x:v>
      </x:c>
      <x:c r="D372" s="79" t="s">
        <x:v>1199</x:v>
      </x:c>
      <x:c r="E372" s="79" t="s">
        <x:v>16</x:v>
      </x:c>
      <x:c r="F372" s="79" t="s">
        <x:v>16</x:v>
      </x:c>
      <x:c r="G372" s="79" t="n">
        <x:f>IF(RIGHT($A372,2)="-2",INDEX('قیمت ها'!$E:$E,$J372+2),INDEX('قیمت ها'!$B:$B,$J372+2))</x:f>
        <x:v>800</x:v>
      </x:c>
      <x:c r="H372" s="110">
        <x:f t="shared" si="10"/>
        <x:v>800000</x:v>
      </x:c>
      <x:c r="I372" s="79" t="str">
        <x:f t="shared" si="11"/>
        <x:v>فعال</x:v>
      </x:c>
      <x:c r="J372" s="79">
        <x:v>389</x:v>
      </x:c>
      <x:c r="K372" s="79" t="s">
        <x:v>1242</x:v>
      </x:c>
      <x:c r="L372" s="79"/>
      <x:c r="M372" s="79"/>
      <x:c r="N372" s="79"/>
      <x:c r="O372" s="79"/>
      <x:c r="P372" s="79"/>
      <x:c r="Q372" s="79"/>
      <x:c r="R372" s="79"/>
      <x:c r="S372" s="79"/>
      <x:c r="T372" s="79"/>
      <x:c r="U372" s="79"/>
      <x:c r="V372" s="79"/>
      <x:c r="W372" s="79"/>
      <x:c r="X372" s="79"/>
      <x:c r="Y372" s="79"/>
      <x:c r="Z372" s="79"/>
      <x:c r="AA372" s="79" t="str">
        <x:f>IF(AND(LEN($N$2)&gt;=3,ISNUMBER(SEARCH($N$2,$B372))),MAX($AA$1:AA371)+1,"")</x:f>
      </x:c>
      <x:c r="AB372" s="79" t="str">
        <x:v>6a3781e4df5573f4e676e226</x:v>
      </x:c>
      <x:c r="AC372" s="79" t="str">
        <x:v>ادویه</x:v>
      </x:c>
      <x:c r="AD372" s="79" t="str">
        <x:v>spice</x:v>
      </x:c>
      <x:c r="AE372" s="79" t="str">
        <x:v>EDIBLE</x:v>
      </x:c>
      <x:c r="AF372" s="79" t="str">
        <x:v>بله</x:v>
      </x:c>
      <x:c r="AG372" s="79" t="str">
        <x:v>خیر</x:v>
      </x:c>
      <x:c r="AH372" s="79" t="n">
        <x:v>1</x:v>
      </x:c>
      <x:c r="AI372" s="79" t="str">
        <x:v>هل پیور اسپایس</x:v>
      </x:c>
      <x:c r="AJ372" s="79" t="str">
        <x:v>قنادی و شیرینی</x:v>
      </x:c>
      <x:c r="AK372" s="79"/>
    </x:row>
    <x:row r="373">
      <x:c r="A373" s="79" t="s">
        <x:v>1244</x:v>
      </x:c>
      <x:c r="B373" s="79" t="s">
        <x:v>408</x:v>
      </x:c>
      <x:c r="C373" s="79" t="s">
        <x:v>1245</x:v>
      </x:c>
      <x:c r="D373" s="79" t="s">
        <x:v>1199</x:v>
      </x:c>
      <x:c r="E373" s="79" t="s">
        <x:v>16</x:v>
      </x:c>
      <x:c r="F373" s="79" t="s">
        <x:v>16</x:v>
      </x:c>
      <x:c r="G373" s="79" t="str">
        <x:f>IF(RIGHT($A373,2)="-2",INDEX('قیمت ها'!$E:$E,$J373+2),INDEX('قیمت ها'!$B:$B,$J373+2))</x:f>
        <x:v>3/000</x:v>
      </x:c>
      <x:c r="H373" s="110">
        <x:f t="shared" si="10"/>
        <x:v>3000000</x:v>
      </x:c>
      <x:c r="I373" s="79" t="str">
        <x:f t="shared" si="11"/>
        <x:v>فعال</x:v>
      </x:c>
      <x:c r="J373" s="79">
        <x:v>327</x:v>
      </x:c>
      <x:c r="K373" s="79" t="s">
        <x:v>1244</x:v>
      </x:c>
      <x:c r="L373" s="79"/>
      <x:c r="M373" s="79"/>
      <x:c r="N373" s="79"/>
      <x:c r="O373" s="79"/>
      <x:c r="P373" s="79"/>
      <x:c r="Q373" s="79"/>
      <x:c r="R373" s="79"/>
      <x:c r="S373" s="79"/>
      <x:c r="T373" s="79"/>
      <x:c r="U373" s="79"/>
      <x:c r="V373" s="79"/>
      <x:c r="W373" s="79"/>
      <x:c r="X373" s="79"/>
      <x:c r="Y373" s="79"/>
      <x:c r="Z373" s="79"/>
      <x:c r="AA373" s="79" t="str">
        <x:f>IF(AND(LEN($N$2)&gt;=3,ISNUMBER(SEARCH($N$2,$B373))),MAX($AA$1:AA372)+1,"")</x:f>
      </x:c>
      <x:c r="AB373" s="79" t="str">
        <x:v>6a3782ffdf5573f4e676e24b</x:v>
      </x:c>
      <x:c r="AC373" s="79" t="str">
        <x:v>نوشیدنی‌ها</x:v>
      </x:c>
      <x:c r="AD373" s="79" t="str">
        <x:v>syrup</x:v>
      </x:c>
      <x:c r="AE373" s="79" t="str">
        <x:v>EDIBLE</x:v>
      </x:c>
      <x:c r="AF373" s="79" t="str">
        <x:v>بله</x:v>
      </x:c>
      <x:c r="AG373" s="79" t="str">
        <x:v>بله</x:v>
      </x:c>
      <x:c r="AH373" s="79" t="n">
        <x:v>2</x:v>
      </x:c>
      <x:c r="AI373" s="79" t="str">
        <x:v>قهوه ترک</x:v>
      </x:c>
      <x:c r="AJ373" s="79" t="str">
        <x:v>قنادی و شیرینی</x:v>
      </x:c>
      <x:c r="AK373" s="79" t="str">
        <x:v>دسته از «نیاز به بررسی» به «نوشیدنی‌ها» اصلاح شد</x:v>
      </x:c>
    </x:row>
    <x:row r="374">
      <x:c r="A374" s="79" t="s">
        <x:v>1246</x:v>
      </x:c>
      <x:c r="B374" s="79" t="s">
        <x:v>411</x:v>
      </x:c>
      <x:c r="C374" s="79" t="s">
        <x:v>1247</x:v>
      </x:c>
      <x:c r="D374" s="79" t="s">
        <x:v>1199</x:v>
      </x:c>
      <x:c r="E374" s="79" t="s">
        <x:v>16</x:v>
      </x:c>
      <x:c r="F374" s="79" t="s">
        <x:v>16</x:v>
      </x:c>
      <x:c r="G374" s="79" t="n">
        <x:f>IF(RIGHT($A374,2)="-2",INDEX('قیمت ها'!$E:$E,$J374+2),INDEX('قیمت ها'!$B:$B,$J374+2))</x:f>
        <x:v>900</x:v>
      </x:c>
      <x:c r="H374" s="110">
        <x:f t="shared" si="10"/>
        <x:v>900000</x:v>
      </x:c>
      <x:c r="I374" s="79" t="str">
        <x:f t="shared" si="11"/>
        <x:v>فعال</x:v>
      </x:c>
      <x:c r="J374" s="79">
        <x:v>329</x:v>
      </x:c>
      <x:c r="K374" s="79" t="s">
        <x:v>1246</x:v>
      </x:c>
      <x:c r="L374" s="79"/>
      <x:c r="M374" s="79"/>
      <x:c r="N374" s="79"/>
      <x:c r="O374" s="79"/>
      <x:c r="P374" s="79"/>
      <x:c r="Q374" s="79"/>
      <x:c r="R374" s="79"/>
      <x:c r="S374" s="79"/>
      <x:c r="T374" s="79"/>
      <x:c r="U374" s="79"/>
      <x:c r="V374" s="79"/>
      <x:c r="W374" s="79"/>
      <x:c r="X374" s="79"/>
      <x:c r="Y374" s="79"/>
      <x:c r="Z374" s="79"/>
      <x:c r="AA374" s="79" t="str">
        <x:f>IF(AND(LEN($N$2)&gt;=3,ISNUMBER(SEARCH($N$2,$B374))),MAX($AA$1:AA373)+1,"")</x:f>
      </x:c>
      <x:c r="AB374" s="79" t="str">
        <x:v>6a3a00000000000000000003</x:v>
      </x:c>
      <x:c r="AC374" s="79" t="str">
        <x:v>قنادی و شیرینی</x:v>
      </x:c>
      <x:c r="AD374" s="79" t="str">
        <x:v>confectionery</x:v>
      </x:c>
      <x:c r="AE374" s="79" t="str">
        <x:v>EDIBLE</x:v>
      </x:c>
      <x:c r="AF374" s="79" t="str">
        <x:v>بله</x:v>
      </x:c>
      <x:c r="AG374" s="79" t="str">
        <x:v>خیر</x:v>
      </x:c>
      <x:c r="AH374" s="79" t="n">
        <x:v>1</x:v>
      </x:c>
      <x:c r="AI374" s="79" t="str">
        <x:v>کاکائو</x:v>
      </x:c>
      <x:c r="AJ374" s="79" t="str">
        <x:v>قنادی و شیرینی</x:v>
      </x:c>
      <x:c r="AK374" s="79"/>
    </x:row>
    <x:row r="375">
      <x:c r="A375" s="79" t="s">
        <x:v>1248</x:v>
      </x:c>
      <x:c r="B375" s="79" t="s">
        <x:v>417</x:v>
      </x:c>
      <x:c r="C375" s="79" t="s">
        <x:v>1249</x:v>
      </x:c>
      <x:c r="D375" s="79" t="s">
        <x:v>1199</x:v>
      </x:c>
      <x:c r="E375" s="79" t="s">
        <x:v>16</x:v>
      </x:c>
      <x:c r="F375" s="79" t="s">
        <x:v>16</x:v>
      </x:c>
      <x:c r="G375" s="79" t="n">
        <x:f>IF(RIGHT($A375,2)="-2",INDEX('قیمت ها'!$E:$E,$J375+2),INDEX('قیمت ها'!$B:$B,$J375+2))</x:f>
        <x:v>900</x:v>
      </x:c>
      <x:c r="H375" s="110">
        <x:f t="shared" si="10"/>
        <x:v>900000</x:v>
      </x:c>
      <x:c r="I375" s="79" t="str">
        <x:f t="shared" si="11"/>
        <x:v>فعال</x:v>
      </x:c>
      <x:c r="J375" s="79">
        <x:v>334</x:v>
      </x:c>
      <x:c r="K375" s="79" t="s">
        <x:v>1248</x:v>
      </x:c>
      <x:c r="L375" s="79"/>
      <x:c r="M375" s="79"/>
      <x:c r="N375" s="79"/>
      <x:c r="O375" s="79"/>
      <x:c r="P375" s="79"/>
      <x:c r="Q375" s="79"/>
      <x:c r="R375" s="79"/>
      <x:c r="S375" s="79"/>
      <x:c r="T375" s="79"/>
      <x:c r="U375" s="79"/>
      <x:c r="V375" s="79"/>
      <x:c r="W375" s="79"/>
      <x:c r="X375" s="79"/>
      <x:c r="Y375" s="79"/>
      <x:c r="Z375" s="79"/>
      <x:c r="AA375" s="79" t="str">
        <x:f>IF(AND(LEN($N$2)&gt;=3,ISNUMBER(SEARCH($N$2,$B375))),MAX($AA$1:AA374)+1,"")</x:f>
      </x:c>
      <x:c r="AB375" s="79" t="str">
        <x:v>6a37810ddf5573f4e676e201</x:v>
      </x:c>
      <x:c r="AC375" s="79" t="str">
        <x:v>خشکبار و آجیل</x:v>
      </x:c>
      <x:c r="AD375" s="79" t="str">
        <x:v>dried-fruits-nuts</x:v>
      </x:c>
      <x:c r="AE375" s="79" t="str">
        <x:v>EDIBLE</x:v>
      </x:c>
      <x:c r="AF375" s="79" t="str">
        <x:v>بله</x:v>
      </x:c>
      <x:c r="AG375" s="79" t="str">
        <x:v>بله</x:v>
      </x:c>
      <x:c r="AH375" s="79" t="n">
        <x:v>2</x:v>
      </x:c>
      <x:c r="AI375" s="79" t="str">
        <x:v>کره بادام درختی</x:v>
      </x:c>
      <x:c r="AJ375" s="79" t="str">
        <x:v>قنادی و شیرینی</x:v>
      </x:c>
      <x:c r="AK375" s="79"/>
    </x:row>
    <x:row r="376">
      <x:c r="A376" s="79" t="s">
        <x:v>1250</x:v>
      </x:c>
      <x:c r="B376" s="79" t="s">
        <x:v>428</x:v>
      </x:c>
      <x:c r="C376" s="79" t="s">
        <x:v>1251</x:v>
      </x:c>
      <x:c r="D376" s="79" t="s">
        <x:v>1199</x:v>
      </x:c>
      <x:c r="E376" s="79" t="s">
        <x:v>16</x:v>
      </x:c>
      <x:c r="F376" s="79" t="s">
        <x:v>16</x:v>
      </x:c>
      <x:c r="G376" s="79" t="n">
        <x:f>IF(RIGHT($A376,2)="-2",INDEX('قیمت ها'!$E:$E,$J376+2),INDEX('قیمت ها'!$B:$B,$J376+2))</x:f>
        <x:v>350</x:v>
      </x:c>
      <x:c r="H376" s="110">
        <x:f t="shared" si="10"/>
        <x:v>350000</x:v>
      </x:c>
      <x:c r="I376" s="79" t="str">
        <x:f t="shared" si="11"/>
        <x:v>فعال</x:v>
      </x:c>
      <x:c r="J376" s="79">
        <x:v>343</x:v>
      </x:c>
      <x:c r="K376" s="79" t="s">
        <x:v>1250</x:v>
      </x:c>
      <x:c r="L376" s="79"/>
      <x:c r="M376" s="79"/>
      <x:c r="N376" s="79"/>
      <x:c r="O376" s="79"/>
      <x:c r="P376" s="79"/>
      <x:c r="Q376" s="79"/>
      <x:c r="R376" s="79"/>
      <x:c r="S376" s="79"/>
      <x:c r="T376" s="79"/>
      <x:c r="U376" s="79"/>
      <x:c r="V376" s="79"/>
      <x:c r="W376" s="79"/>
      <x:c r="X376" s="79"/>
      <x:c r="Y376" s="79"/>
      <x:c r="Z376" s="79"/>
      <x:c r="AA376" s="79" t="str">
        <x:f>IF(AND(LEN($N$2)&gt;=3,ISNUMBER(SEARCH($N$2,$B376))),MAX($AA$1:AA375)+1,"")</x:f>
      </x:c>
      <x:c r="AB376" s="79" t="str">
        <x:v>6a37810ddf5573f4e676e201</x:v>
      </x:c>
      <x:c r="AC376" s="79" t="str">
        <x:v>خشکبار و آجیل</x:v>
      </x:c>
      <x:c r="AD376" s="79" t="str">
        <x:v>dried-fruits-nuts</x:v>
      </x:c>
      <x:c r="AE376" s="79" t="str">
        <x:v>EDIBLE</x:v>
      </x:c>
      <x:c r="AF376" s="79" t="str">
        <x:v>بله</x:v>
      </x:c>
      <x:c r="AG376" s="79" t="str">
        <x:v>خیر</x:v>
      </x:c>
      <x:c r="AH376" s="79" t="n">
        <x:v>1</x:v>
      </x:c>
      <x:c r="AI376" s="79" t="str">
        <x:v>کشمش با هسته (مویز)</x:v>
      </x:c>
      <x:c r="AJ376" s="79" t="str">
        <x:v>قنادی و شیرینی</x:v>
      </x:c>
      <x:c r="AK376" s="79"/>
    </x:row>
    <x:row r="377">
      <x:c r="A377" s="79" t="s">
        <x:v>1252</x:v>
      </x:c>
      <x:c r="B377" s="79" t="s">
        <x:v>429</x:v>
      </x:c>
      <x:c r="C377" s="79" t="s">
        <x:v>1253</x:v>
      </x:c>
      <x:c r="D377" s="79" t="s">
        <x:v>1199</x:v>
      </x:c>
      <x:c r="E377" s="79" t="s">
        <x:v>16</x:v>
      </x:c>
      <x:c r="F377" s="79" t="s">
        <x:v>16</x:v>
      </x:c>
      <x:c r="G377" s="79" t="n">
        <x:f>IF(RIGHT($A377,2)="-2",INDEX('قیمت ها'!$E:$E,$J377+2),INDEX('قیمت ها'!$B:$B,$J377+2))</x:f>
        <x:v>500</x:v>
      </x:c>
      <x:c r="H377" s="110">
        <x:f t="shared" si="10"/>
        <x:v>500000</x:v>
      </x:c>
      <x:c r="I377" s="79" t="str">
        <x:f t="shared" si="11"/>
        <x:v>فعال</x:v>
      </x:c>
      <x:c r="J377" s="79">
        <x:v>344</x:v>
      </x:c>
      <x:c r="K377" s="79" t="s">
        <x:v>1252</x:v>
      </x:c>
      <x:c r="L377" s="79"/>
      <x:c r="M377" s="79"/>
      <x:c r="N377" s="79"/>
      <x:c r="O377" s="79"/>
      <x:c r="P377" s="79"/>
      <x:c r="Q377" s="79"/>
      <x:c r="R377" s="79"/>
      <x:c r="S377" s="79"/>
      <x:c r="T377" s="79"/>
      <x:c r="U377" s="79"/>
      <x:c r="V377" s="79"/>
      <x:c r="W377" s="79"/>
      <x:c r="X377" s="79"/>
      <x:c r="Y377" s="79"/>
      <x:c r="Z377" s="79"/>
      <x:c r="AA377" s="79" t="str">
        <x:f>IF(AND(LEN($N$2)&gt;=3,ISNUMBER(SEARCH($N$2,$B377))),MAX($AA$1:AA376)+1,"")</x:f>
      </x:c>
      <x:c r="AB377" s="79" t="str">
        <x:v>6a37810ddf5573f4e676e201</x:v>
      </x:c>
      <x:c r="AC377" s="79" t="str">
        <x:v>خشکبار و آجیل</x:v>
      </x:c>
      <x:c r="AD377" s="79" t="str">
        <x:v>dried-fruits-nuts</x:v>
      </x:c>
      <x:c r="AE377" s="79" t="str">
        <x:v>EDIBLE</x:v>
      </x:c>
      <x:c r="AF377" s="79" t="str">
        <x:v>بله</x:v>
      </x:c>
      <x:c r="AG377" s="79" t="str">
        <x:v>خیر</x:v>
      </x:c>
      <x:c r="AH377" s="79" t="n">
        <x:v>1</x:v>
      </x:c>
      <x:c r="AI377" s="79" t="str">
        <x:v>کشمش سبز</x:v>
      </x:c>
      <x:c r="AJ377" s="79" t="str">
        <x:v>قنادی و شیرینی</x:v>
      </x:c>
      <x:c r="AK377" s="79"/>
    </x:row>
    <x:row r="378">
      <x:c r="A378" s="79" t="s">
        <x:v>1254</x:v>
      </x:c>
      <x:c r="B378" s="79" t="s">
        <x:v>436</x:v>
      </x:c>
      <x:c r="C378" s="79" t="s">
        <x:v>1255</x:v>
      </x:c>
      <x:c r="D378" s="79" t="s">
        <x:v>1199</x:v>
      </x:c>
      <x:c r="E378" s="79" t="s">
        <x:v>16</x:v>
      </x:c>
      <x:c r="F378" s="79" t="s">
        <x:v>16</x:v>
      </x:c>
      <x:c r="G378" s="79" t="n">
        <x:f>IF(RIGHT($A378,2)="-2",INDEX('قیمت ها'!$E:$E,$J378+2),INDEX('قیمت ها'!$B:$B,$J378+2))</x:f>
        <x:v>680</x:v>
      </x:c>
      <x:c r="H378" s="110">
        <x:f t="shared" si="10"/>
        <x:v>680000</x:v>
      </x:c>
      <x:c r="I378" s="79" t="str">
        <x:f t="shared" si="11"/>
        <x:v>فعال</x:v>
      </x:c>
      <x:c r="J378" s="79">
        <x:v>350</x:v>
      </x:c>
      <x:c r="K378" s="79" t="s">
        <x:v>1254</x:v>
      </x:c>
      <x:c r="L378" s="79"/>
      <x:c r="M378" s="79"/>
      <x:c r="N378" s="79"/>
      <x:c r="O378" s="79"/>
      <x:c r="P378" s="79"/>
      <x:c r="Q378" s="79"/>
      <x:c r="R378" s="79"/>
      <x:c r="S378" s="79"/>
      <x:c r="T378" s="79"/>
      <x:c r="U378" s="79"/>
      <x:c r="V378" s="79"/>
      <x:c r="W378" s="79"/>
      <x:c r="X378" s="79"/>
      <x:c r="Y378" s="79"/>
      <x:c r="Z378" s="79"/>
      <x:c r="AA378" s="79" t="str">
        <x:f>IF(AND(LEN($N$2)&gt;=3,ISNUMBER(SEARCH($N$2,$B378))),MAX($AA$1:AA377)+1,"")</x:f>
      </x:c>
      <x:c r="AB378" s="79" t="str">
        <x:v>6a37810ddf5573f4e676e201</x:v>
      </x:c>
      <x:c r="AC378" s="79" t="str">
        <x:v>خشکبار و آجیل</x:v>
      </x:c>
      <x:c r="AD378" s="79" t="str">
        <x:v>dried-fruits-nuts</x:v>
      </x:c>
      <x:c r="AE378" s="79" t="str">
        <x:v>EDIBLE</x:v>
      </x:c>
      <x:c r="AF378" s="79" t="str">
        <x:v>بله</x:v>
      </x:c>
      <x:c r="AG378" s="79" t="str">
        <x:v>خیر</x:v>
      </x:c>
      <x:c r="AH378" s="79" t="n">
        <x:v>1</x:v>
      </x:c>
      <x:c r="AI378" s="79" t="str">
        <x:v>کنجد</x:v>
      </x:c>
      <x:c r="AJ378" s="79" t="str">
        <x:v>قنادی و شیرینی</x:v>
      </x:c>
      <x:c r="AK378" s="79" t="str">
        <x:v>MERGED</x:v>
      </x:c>
    </x:row>
    <x:row r="379">
      <x:c r="A379" s="79" t="s">
        <x:v>1256</x:v>
      </x:c>
      <x:c r="B379" s="79" t="s">
        <x:v>61</x:v>
      </x:c>
      <x:c r="C379" s="79" t="s">
        <x:v>1257</x:v>
      </x:c>
      <x:c r="D379" s="79" t="s">
        <x:v>1258</x:v>
      </x:c>
      <x:c r="E379" s="79" t="s">
        <x:v>62</x:v>
      </x:c>
      <x:c r="F379" s="79" t="s">
        <x:v>16</x:v>
      </x:c>
      <x:c r="G379" s="79" t="n">
        <x:f>IF(RIGHT($A379,2)="-2",INDEX('قیمت ها'!$E:$E,$J379+2),INDEX('قیمت ها'!$B:$B,$J379+2))</x:f>
        <x:v>50</x:v>
      </x:c>
      <x:c r="H379" s="110">
        <x:f t="shared" si="10"/>
        <x:v>50000</x:v>
      </x:c>
      <x:c r="I379" s="79" t="str">
        <x:f t="shared" si="11"/>
        <x:v>فعال</x:v>
      </x:c>
      <x:c r="J379" s="79">
        <x:v>38</x:v>
      </x:c>
      <x:c r="K379" s="79" t="s">
        <x:v>1256</x:v>
      </x:c>
      <x:c r="L379" s="79"/>
      <x:c r="M379" s="79"/>
      <x:c r="N379" s="79"/>
      <x:c r="O379" s="79"/>
      <x:c r="P379" s="79"/>
      <x:c r="Q379" s="79"/>
      <x:c r="R379" s="79"/>
      <x:c r="S379" s="79"/>
      <x:c r="T379" s="79"/>
      <x:c r="U379" s="79"/>
      <x:c r="V379" s="79"/>
      <x:c r="W379" s="79"/>
      <x:c r="X379" s="79"/>
      <x:c r="Y379" s="79"/>
      <x:c r="Z379" s="79"/>
      <x:c r="AA379" s="79" t="str">
        <x:f>IF(AND(LEN($N$2)&gt;=3,ISNUMBER(SEARCH($N$2,$B379))),MAX($AA$1:AA378)+1,"")</x:f>
      </x:c>
      <x:c r="AB379" s="79" t="str">
        <x:v>6a3a00000000000000000004</x:v>
      </x:c>
      <x:c r="AC379" s="79" t="str">
        <x:v>آرد و قنادی</x:v>
      </x:c>
      <x:c r="AD379" s="79" t="str">
        <x:v>flour-confectionery</x:v>
      </x:c>
      <x:c r="AE379" s="79" t="str">
        <x:v>EDIBLE</x:v>
      </x:c>
      <x:c r="AF379" s="79" t="str">
        <x:v>بله</x:v>
      </x:c>
      <x:c r="AG379" s="79" t="str">
        <x:v>خیر</x:v>
      </x:c>
      <x:c r="AH379" s="79" t="n">
        <x:v>1</x:v>
      </x:c>
      <x:c r="AI379" s="79" t="str">
        <x:v>آرد سوخاری</x:v>
      </x:c>
      <x:c r="AJ379" s="79" t="str">
        <x:v>ملزومات</x:v>
      </x:c>
      <x:c r="AK379" s="79"/>
    </x:row>
    <x:row r="380">
      <x:c r="A380" s="79" t="s">
        <x:v>1259</x:v>
      </x:c>
      <x:c r="B380" s="79" t="s">
        <x:v>329</x:v>
      </x:c>
      <x:c r="C380" s="79" t="s">
        <x:v>1260</x:v>
      </x:c>
      <x:c r="D380" s="79" t="s">
        <x:v>1258</x:v>
      </x:c>
      <x:c r="E380" s="79" t="s">
        <x:v>16</x:v>
      </x:c>
      <x:c r="F380" s="79" t="s">
        <x:v>16</x:v>
      </x:c>
      <x:c r="G380" s="79" t="n">
        <x:f>IF(RIGHT($A380,2)="-2",INDEX('قیمت ها'!$E:$E,$J380+2),INDEX('قیمت ها'!$B:$B,$J380+2))</x:f>
        <x:v>30</x:v>
      </x:c>
      <x:c r="H380" s="110">
        <x:f t="shared" si="10"/>
        <x:v>30000</x:v>
      </x:c>
      <x:c r="I380" s="79" t="str">
        <x:f t="shared" si="11"/>
        <x:v>فعال</x:v>
      </x:c>
      <x:c r="J380" s="79">
        <x:v>264</x:v>
      </x:c>
      <x:c r="K380" s="79" t="s">
        <x:v>1259</x:v>
      </x:c>
      <x:c r="L380" s="79"/>
      <x:c r="M380" s="79"/>
      <x:c r="N380" s="79"/>
      <x:c r="O380" s="79"/>
      <x:c r="P380" s="79"/>
      <x:c r="Q380" s="79"/>
      <x:c r="R380" s="79"/>
      <x:c r="S380" s="79"/>
      <x:c r="T380" s="79"/>
      <x:c r="U380" s="79"/>
      <x:c r="V380" s="79"/>
      <x:c r="W380" s="79"/>
      <x:c r="X380" s="79"/>
      <x:c r="Y380" s="79"/>
      <x:c r="Z380" s="79"/>
      <x:c r="AA380" s="79" t="str">
        <x:f>IF(AND(LEN($N$2)&gt;=3,ISNUMBER(SEARCH($N$2,$B380))),MAX($AA$1:AA379)+1,"")</x:f>
      </x:c>
      <x:c r="AB380" s="79" t="str">
        <x:v>6a3782d7df5573f4e676e243</x:v>
      </x:c>
      <x:c r="AC380" s="79" t="str">
        <x:v>گیاهان دارویی</x:v>
      </x:c>
      <x:c r="AD380" s="79" t="str">
        <x:v>medicinal-plants</x:v>
      </x:c>
      <x:c r="AE380" s="79" t="str">
        <x:v>TOPICAL</x:v>
      </x:c>
      <x:c r="AF380" s="79" t="str">
        <x:v>خیر</x:v>
      </x:c>
      <x:c r="AG380" s="79" t="str">
        <x:v>خیر</x:v>
      </x:c>
      <x:c r="AH380" s="79" t="n">
        <x:v>1</x:v>
      </x:c>
      <x:c r="AI380" s="79" t="str">
        <x:v>صابون ماکادمیا</x:v>
      </x:c>
      <x:c r="AJ380" s="79" t="str">
        <x:v>ملزومات</x:v>
      </x:c>
      <x:c r="AK38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81">
      <x:c r="A381" s="79" t="s">
        <x:v>1261</x:v>
      </x:c>
      <x:c r="B381" s="79" t="s">
        <x:v>330</x:v>
      </x:c>
      <x:c r="C381" s="79" t="s">
        <x:v>1262</x:v>
      </x:c>
      <x:c r="D381" s="79" t="s">
        <x:v>1258</x:v>
      </x:c>
      <x:c r="E381" s="79" t="s">
        <x:v>331</x:v>
      </x:c>
      <x:c r="F381" s="79" t="s">
        <x:v>16</x:v>
      </x:c>
      <x:c r="G381" s="79" t="n">
        <x:f>IF(RIGHT($A381,2)="-2",INDEX('قیمت ها'!$E:$E,$J381+2),INDEX('قیمت ها'!$B:$B,$J381+2))</x:f>
        <x:v>70</x:v>
      </x:c>
      <x:c r="H381" s="110">
        <x:f t="shared" si="10"/>
        <x:v>70000</x:v>
      </x:c>
      <x:c r="I381" s="79" t="str">
        <x:f t="shared" si="11"/>
        <x:v>فعال</x:v>
      </x:c>
      <x:c r="J381" s="79">
        <x:v>265</x:v>
      </x:c>
      <x:c r="K381" s="79" t="s">
        <x:v>1261</x:v>
      </x:c>
      <x:c r="L381" s="79"/>
      <x:c r="M381" s="79"/>
      <x:c r="N381" s="79"/>
      <x:c r="O381" s="79"/>
      <x:c r="P381" s="79"/>
      <x:c r="Q381" s="79"/>
      <x:c r="R381" s="79"/>
      <x:c r="S381" s="79"/>
      <x:c r="T381" s="79"/>
      <x:c r="U381" s="79"/>
      <x:c r="V381" s="79"/>
      <x:c r="W381" s="79"/>
      <x:c r="X381" s="79"/>
      <x:c r="Y381" s="79"/>
      <x:c r="Z381" s="79"/>
      <x:c r="AA381" s="79" t="str">
        <x:f>IF(AND(LEN($N$2)&gt;=3,ISNUMBER(SEARCH($N$2,$B381))),MAX($AA$1:AA380)+1,"")</x:f>
      </x:c>
      <x:c r="AB381" s="79" t="str">
        <x:v>6a3782d7df5573f4e676e243</x:v>
      </x:c>
      <x:c r="AC381" s="79" t="str">
        <x:v>گیاهان دارویی</x:v>
      </x:c>
      <x:c r="AD381" s="79" t="str">
        <x:v>medicinal-plants</x:v>
      </x:c>
      <x:c r="AE381" s="79" t="str">
        <x:v>EDIBLE</x:v>
      </x:c>
      <x:c r="AF381" s="79" t="str">
        <x:v>بله</x:v>
      </x:c>
      <x:c r="AG381" s="79" t="str">
        <x:v>خیر</x:v>
      </x:c>
      <x:c r="AH381" s="79" t="n">
        <x:v>1</x:v>
      </x:c>
      <x:c r="AI381" s="79" t="str">
        <x:v>صمغ</x:v>
      </x:c>
      <x:c r="AJ381" s="79" t="str">
        <x:v>ملزومات</x:v>
      </x:c>
      <x:c r="AK381" s="79" t="str">
        <x:v>دسته از «نیاز به بررسی» به «گیاهان دارویی» اصلاح شد</x:v>
      </x:c>
    </x:row>
    <x:row r="382">
      <x:c r="A382" s="79" t="s">
        <x:v>1263</x:v>
      </x:c>
      <x:c r="B382" s="79" t="s">
        <x:v>330</x:v>
      </x:c>
      <x:c r="C382" s="79" t="s">
        <x:v>1264</x:v>
      </x:c>
      <x:c r="D382" s="79" t="s">
        <x:v>1258</x:v>
      </x:c>
      <x:c r="E382" s="79" t="s">
        <x:v>332</x:v>
      </x:c>
      <x:c r="F382" s="79" t="s">
        <x:v>16</x:v>
      </x:c>
      <x:c r="G382" s="79" t="n">
        <x:f>IF(RIGHT($A382,2)="-2",INDEX('قیمت ها'!$E:$E,$J382+2),INDEX('قیمت ها'!$B:$B,$J382+2))</x:f>
        <x:v>60</x:v>
      </x:c>
      <x:c r="H382" s="110">
        <x:f t="shared" si="10"/>
        <x:v>60000</x:v>
      </x:c>
      <x:c r="I382" s="79" t="str">
        <x:f t="shared" si="11"/>
        <x:v>فعال</x:v>
      </x:c>
      <x:c r="J382" s="79">
        <x:v>265</x:v>
      </x:c>
      <x:c r="K382" s="79" t="s">
        <x:v>1263</x:v>
      </x:c>
      <x:c r="L382" s="79"/>
      <x:c r="M382" s="79"/>
      <x:c r="N382" s="79"/>
      <x:c r="O382" s="79"/>
      <x:c r="P382" s="79"/>
      <x:c r="Q382" s="79"/>
      <x:c r="R382" s="79"/>
      <x:c r="S382" s="79"/>
      <x:c r="T382" s="79"/>
      <x:c r="U382" s="79"/>
      <x:c r="V382" s="79"/>
      <x:c r="W382" s="79"/>
      <x:c r="X382" s="79"/>
      <x:c r="Y382" s="79"/>
      <x:c r="Z382" s="79"/>
      <x:c r="AA382" s="79" t="str">
        <x:f>IF(AND(LEN($N$2)&gt;=3,ISNUMBER(SEARCH($N$2,$B382))),MAX($AA$1:AA381)+1,"")</x:f>
      </x:c>
      <x:c r="AB382" s="79" t="str">
        <x:v>6a3782d7df5573f4e676e243</x:v>
      </x:c>
      <x:c r="AC382" s="79" t="str">
        <x:v>گیاهان دارویی</x:v>
      </x:c>
      <x:c r="AD382" s="79" t="str">
        <x:v>medicinal-plants</x:v>
      </x:c>
      <x:c r="AE382" s="79" t="str">
        <x:v>EDIBLE</x:v>
      </x:c>
      <x:c r="AF382" s="79" t="str">
        <x:v>بله</x:v>
      </x:c>
      <x:c r="AG382" s="79" t="str">
        <x:v>خیر</x:v>
      </x:c>
      <x:c r="AH382" s="79" t="n">
        <x:v>1</x:v>
      </x:c>
      <x:c r="AI382" s="79" t="str">
        <x:v>صمغ</x:v>
      </x:c>
      <x:c r="AJ382" s="79" t="str">
        <x:v>ملزومات</x:v>
      </x:c>
      <x:c r="AK382" s="79" t="str">
        <x:v>دسته از «نیاز به بررسی» به «گیاهان دارویی» اصلاح شد</x:v>
      </x:c>
    </x:row>
    <x:row r="383">
      <x:c r="A383" s="79" t="s">
        <x:v>1265</x:v>
      </x:c>
      <x:c r="B383" s="79" t="s">
        <x:v>334</x:v>
      </x:c>
      <x:c r="C383" s="79" t="s">
        <x:v>1266</x:v>
      </x:c>
      <x:c r="D383" s="79" t="s">
        <x:v>1258</x:v>
      </x:c>
      <x:c r="E383" s="79" t="s">
        <x:v>56</x:v>
      </x:c>
      <x:c r="F383" s="79" t="s">
        <x:v>739</x:v>
      </x:c>
      <x:c r="G383" s="79" t="n">
        <x:f>IF(RIGHT($A383,2)="-2",INDEX('قیمت ها'!$E:$E,$J383+2),INDEX('قیمت ها'!$B:$B,$J383+2))</x:f>
        <x:v>18</x:v>
      </x:c>
      <x:c r="H383" s="110">
        <x:f t="shared" si="10"/>
        <x:v>18000</x:v>
      </x:c>
      <x:c r="I383" s="79" t="str">
        <x:f t="shared" si="11"/>
        <x:v>فعال</x:v>
      </x:c>
      <x:c r="J383" s="79">
        <x:v>267</x:v>
      </x:c>
      <x:c r="K383" s="79" t="s">
        <x:v>1265</x:v>
      </x:c>
      <x:c r="L383" s="79"/>
      <x:c r="M383" s="79"/>
      <x:c r="N383" s="79"/>
      <x:c r="O383" s="79"/>
      <x:c r="P383" s="79"/>
      <x:c r="Q383" s="79"/>
      <x:c r="R383" s="79"/>
      <x:c r="S383" s="79"/>
      <x:c r="T383" s="79"/>
      <x:c r="U383" s="79"/>
      <x:c r="V383" s="79"/>
      <x:c r="W383" s="79"/>
      <x:c r="X383" s="79"/>
      <x:c r="Y383" s="79"/>
      <x:c r="Z383" s="79"/>
      <x:c r="AA383" s="79" t="str">
        <x:f>IF(AND(LEN($N$2)&gt;=3,ISNUMBER(SEARCH($N$2,$B383))),MAX($AA$1:AA382)+1,"")</x:f>
      </x:c>
      <x:c r="AB383" s="79"/>
      <x:c r="AC383" s="79" t="str">
        <x:v>عدم ایمپورت</x:v>
      </x:c>
      <x:c r="AD383" s="79" t="str">
        <x:v>SKIP</x:v>
      </x:c>
      <x:c r="AE383" s="79" t="str">
        <x:v>NON_PRODUCT</x:v>
      </x:c>
      <x:c r="AF383" s="79" t="str">
        <x:v>خیر</x:v>
      </x:c>
      <x:c r="AG383" s="79" t="str">
        <x:v>بله</x:v>
      </x:c>
      <x:c r="AH383" s="79" t="n">
        <x:v>2</x:v>
      </x:c>
      <x:c r="AI383" s="79" t="str">
        <x:v>ظرف اسپری</x:v>
      </x:c>
      <x:c r="AJ383" s="79" t="str">
        <x:v>ملزومات</x:v>
      </x:c>
      <x:c r="AK383" s="79" t="str">
        <x:v>SKIP_NON_PRODUCT</x:v>
      </x:c>
    </x:row>
    <x:row r="384">
      <x:c r="A384" s="79" t="s">
        <x:v>1267</x:v>
      </x:c>
      <x:c r="B384" s="79" t="s">
        <x:v>334</x:v>
      </x:c>
      <x:c r="C384" s="79" t="s">
        <x:v>1268</x:v>
      </x:c>
      <x:c r="D384" s="79" t="s">
        <x:v>1258</x:v>
      </x:c>
      <x:c r="E384" s="79" t="s">
        <x:v>57</x:v>
      </x:c>
      <x:c r="F384" s="79" t="s">
        <x:v>739</x:v>
      </x:c>
      <x:c r="G384" s="79" t="n">
        <x:f>IF(RIGHT($A384,2)="-2",INDEX('قیمت ها'!$E:$E,$J384+2),INDEX('قیمت ها'!$B:$B,$J384+2))</x:f>
        <x:v>23</x:v>
      </x:c>
      <x:c r="H384" s="110">
        <x:f t="shared" si="10"/>
        <x:v>23000</x:v>
      </x:c>
      <x:c r="I384" s="79" t="str">
        <x:f t="shared" si="11"/>
        <x:v>فعال</x:v>
      </x:c>
      <x:c r="J384" s="79">
        <x:v>267</x:v>
      </x:c>
      <x:c r="K384" s="79" t="s">
        <x:v>1267</x:v>
      </x:c>
      <x:c r="L384" s="79"/>
      <x:c r="M384" s="79"/>
      <x:c r="N384" s="79"/>
      <x:c r="O384" s="79"/>
      <x:c r="P384" s="79"/>
      <x:c r="Q384" s="79"/>
      <x:c r="R384" s="79"/>
      <x:c r="S384" s="79"/>
      <x:c r="T384" s="79"/>
      <x:c r="U384" s="79"/>
      <x:c r="V384" s="79"/>
      <x:c r="W384" s="79"/>
      <x:c r="X384" s="79"/>
      <x:c r="Y384" s="79"/>
      <x:c r="Z384" s="79"/>
      <x:c r="AA384" s="79" t="str">
        <x:f>IF(AND(LEN($N$2)&gt;=3,ISNUMBER(SEARCH($N$2,$B384))),MAX($AA$1:AA383)+1,"")</x:f>
      </x:c>
      <x:c r="AB384" s="79"/>
      <x:c r="AC384" s="79" t="str">
        <x:v>عدم ایمپورت</x:v>
      </x:c>
      <x:c r="AD384" s="79" t="str">
        <x:v>SKIP</x:v>
      </x:c>
      <x:c r="AE384" s="79" t="str">
        <x:v>NON_PRODUCT</x:v>
      </x:c>
      <x:c r="AF384" s="79" t="str">
        <x:v>خیر</x:v>
      </x:c>
      <x:c r="AG384" s="79" t="str">
        <x:v>بله</x:v>
      </x:c>
      <x:c r="AH384" s="79" t="n">
        <x:v>2</x:v>
      </x:c>
      <x:c r="AI384" s="79" t="str">
        <x:v>ظرف اسپری</x:v>
      </x:c>
      <x:c r="AJ384" s="79" t="str">
        <x:v>ملزومات</x:v>
      </x:c>
      <x:c r="AK384" s="79" t="str">
        <x:v>SKIP_NON_PRODUCT</x:v>
      </x:c>
    </x:row>
    <x:row r="385">
      <x:c r="A385" s="79" t="s">
        <x:v>1269</x:v>
      </x:c>
      <x:c r="B385" s="79" t="s">
        <x:v>333</x:v>
      </x:c>
      <x:c r="C385" s="79" t="s">
        <x:v>1270</x:v>
      </x:c>
      <x:c r="D385" s="79" t="s">
        <x:v>1258</x:v>
      </x:c>
      <x:c r="E385" s="79" t="s">
        <x:v>56</x:v>
      </x:c>
      <x:c r="F385" s="79" t="s">
        <x:v>739</x:v>
      </x:c>
      <x:c r="G385" s="79" t="n">
        <x:f>IF(RIGHT($A385,2)="-2",INDEX('قیمت ها'!$E:$E,$J385+2),INDEX('قیمت ها'!$B:$B,$J385+2))</x:f>
        <x:v>18</x:v>
      </x:c>
      <x:c r="H385" s="110">
        <x:f t="shared" si="10"/>
        <x:v>18000</x:v>
      </x:c>
      <x:c r="I385" s="79" t="str">
        <x:f t="shared" si="11"/>
        <x:v>فعال</x:v>
      </x:c>
      <x:c r="J385" s="79">
        <x:v>266</x:v>
      </x:c>
      <x:c r="K385" s="79" t="s">
        <x:v>1269</x:v>
      </x:c>
      <x:c r="L385" s="79"/>
      <x:c r="M385" s="79"/>
      <x:c r="N385" s="79"/>
      <x:c r="O385" s="79"/>
      <x:c r="P385" s="79"/>
      <x:c r="Q385" s="79"/>
      <x:c r="R385" s="79"/>
      <x:c r="S385" s="79"/>
      <x:c r="T385" s="79"/>
      <x:c r="U385" s="79"/>
      <x:c r="V385" s="79"/>
      <x:c r="W385" s="79"/>
      <x:c r="X385" s="79"/>
      <x:c r="Y385" s="79"/>
      <x:c r="Z385" s="79"/>
      <x:c r="AA385" s="79" t="str">
        <x:f>IF(AND(LEN($N$2)&gt;=3,ISNUMBER(SEARCH($N$2,$B385))),MAX($AA$1:AA384)+1,"")</x:f>
      </x:c>
      <x:c r="AB385" s="79"/>
      <x:c r="AC385" s="79" t="str">
        <x:v>عدم ایمپورت</x:v>
      </x:c>
      <x:c r="AD385" s="79" t="str">
        <x:v>SKIP</x:v>
      </x:c>
      <x:c r="AE385" s="79" t="str">
        <x:v>NON_PRODUCT</x:v>
      </x:c>
      <x:c r="AF385" s="79" t="str">
        <x:v>خیر</x:v>
      </x:c>
      <x:c r="AG385" s="79" t="str">
        <x:v>خیر</x:v>
      </x:c>
      <x:c r="AH385" s="79" t="n">
        <x:v>1</x:v>
      </x:c>
      <x:c r="AI385" s="79" t="str">
        <x:v>ظرف 300 گرمی</x:v>
      </x:c>
      <x:c r="AJ385" s="79" t="str">
        <x:v>ملزومات</x:v>
      </x:c>
      <x:c r="AK385" s="79" t="str">
        <x:v>SKIP_NON_PRODUCT</x:v>
      </x:c>
    </x:row>
    <x:row r="386">
      <x:c r="A386" s="79" t="s">
        <x:v>1271</x:v>
      </x:c>
      <x:c r="B386" s="79" t="s">
        <x:v>333</x:v>
      </x:c>
      <x:c r="C386" s="79" t="s">
        <x:v>1272</x:v>
      </x:c>
      <x:c r="D386" s="79" t="s">
        <x:v>1258</x:v>
      </x:c>
      <x:c r="E386" s="79" t="s">
        <x:v>57</x:v>
      </x:c>
      <x:c r="F386" s="79" t="s">
        <x:v>739</x:v>
      </x:c>
      <x:c r="G386" s="79" t="n">
        <x:f>IF(RIGHT($A386,2)="-2",INDEX('قیمت ها'!$E:$E,$J386+2),INDEX('قیمت ها'!$B:$B,$J386+2))</x:f>
        <x:v>30</x:v>
      </x:c>
      <x:c r="H386" s="110" t="n">
        <x:f t="shared" ref="H386:H422" si="12">IF(OR($G386="",$G386="؟"),"",IF(ISNUMBER($G386),$G386*1000,IFERROR((VALUE(LEFT($G386,FIND("/",$G386)-1))*1000+VALUE(MID($G386,FIND("/",$G386)+1,99)))*1000,VALUE($G386)*1000)))</x:f>
        <x:v>30000</x:v>
      </x:c>
      <x:c r="I386" s="79" t="str">
        <x:f t="shared" ref="I386:I422" si="13">IF(OR($G386="",$G386="؟"),"نیاز به استعلام","فعال")</x:f>
        <x:v>فعال</x:v>
      </x:c>
      <x:c r="J386" s="79">
        <x:v>266</x:v>
      </x:c>
      <x:c r="K386" s="79" t="s">
        <x:v>1271</x:v>
      </x:c>
      <x:c r="L386" s="79"/>
      <x:c r="M386" s="79"/>
      <x:c r="N386" s="79"/>
      <x:c r="O386" s="79"/>
      <x:c r="P386" s="79"/>
      <x:c r="Q386" s="79"/>
      <x:c r="R386" s="79"/>
      <x:c r="S386" s="79"/>
      <x:c r="T386" s="79"/>
      <x:c r="U386" s="79"/>
      <x:c r="V386" s="79"/>
      <x:c r="W386" s="79"/>
      <x:c r="X386" s="79"/>
      <x:c r="Y386" s="79"/>
      <x:c r="Z386" s="79"/>
      <x:c r="AA386" s="79" t="str">
        <x:f>IF(AND(LEN($N$2)&gt;=3,ISNUMBER(SEARCH($N$2,$B386))),MAX($AA$1:AA385)+1,"")</x:f>
      </x:c>
      <x:c r="AB386" s="79"/>
      <x:c r="AC386" s="79" t="str">
        <x:v>عدم ایمپورت</x:v>
      </x:c>
      <x:c r="AD386" s="79" t="str">
        <x:v>SKIP</x:v>
      </x:c>
      <x:c r="AE386" s="79" t="str">
        <x:v>NON_PRODUCT</x:v>
      </x:c>
      <x:c r="AF386" s="79" t="str">
        <x:v>خیر</x:v>
      </x:c>
      <x:c r="AG386" s="79" t="str">
        <x:v>خیر</x:v>
      </x:c>
      <x:c r="AH386" s="79" t="n">
        <x:v>1</x:v>
      </x:c>
      <x:c r="AI386" s="79" t="str">
        <x:v>ظرف 300 گرمی</x:v>
      </x:c>
      <x:c r="AJ386" s="79" t="str">
        <x:v>ملزومات</x:v>
      </x:c>
      <x:c r="AK386" s="79" t="str">
        <x:v>SKIP_NON_PRODUCT</x:v>
      </x:c>
    </x:row>
    <x:row r="387">
      <x:c r="A387" s="79" t="s">
        <x:v>1273</x:v>
      </x:c>
      <x:c r="B387" s="79" t="s">
        <x:v>335</x:v>
      </x:c>
      <x:c r="C387" s="79" t="s">
        <x:v>1274</x:v>
      </x:c>
      <x:c r="D387" s="79" t="s">
        <x:v>1258</x:v>
      </x:c>
      <x:c r="E387" s="79" t="s">
        <x:v>336</x:v>
      </x:c>
      <x:c r="F387" s="79" t="s">
        <x:v>16</x:v>
      </x:c>
      <x:c r="G387" s="79" t="n">
        <x:f>IF(RIGHT($A387,2)="-2",INDEX('قیمت ها'!$E:$E,$J387+2),INDEX('قیمت ها'!$B:$B,$J387+2))</x:f>
        <x:v>32</x:v>
      </x:c>
      <x:c r="H387" s="110">
        <x:f t="shared" si="12"/>
        <x:v>32000</x:v>
      </x:c>
      <x:c r="I387" s="79" t="str">
        <x:f t="shared" si="13"/>
        <x:v>فعال</x:v>
      </x:c>
      <x:c r="J387" s="79">
        <x:v>268</x:v>
      </x:c>
      <x:c r="K387" s="79" t="s">
        <x:v>1273</x:v>
      </x:c>
      <x:c r="L387" s="79"/>
      <x:c r="M387" s="79"/>
      <x:c r="N387" s="79"/>
      <x:c r="O387" s="79"/>
      <x:c r="P387" s="79"/>
      <x:c r="Q387" s="79"/>
      <x:c r="R387" s="79"/>
      <x:c r="S387" s="79"/>
      <x:c r="T387" s="79"/>
      <x:c r="U387" s="79"/>
      <x:c r="V387" s="79"/>
      <x:c r="W387" s="79"/>
      <x:c r="X387" s="79"/>
      <x:c r="Y387" s="79"/>
      <x:c r="Z387" s="79"/>
      <x:c r="AA387" s="79" t="str">
        <x:f>IF(AND(LEN($N$2)&gt;=3,ISNUMBER(SEARCH($N$2,$B387))),MAX($AA$1:AA386)+1,"")</x:f>
      </x:c>
      <x:c r="AB387" s="79"/>
      <x:c r="AC387" s="79" t="str">
        <x:v>عدم ایمپورت</x:v>
      </x:c>
      <x:c r="AD387" s="79" t="str">
        <x:v>SKIP</x:v>
      </x:c>
      <x:c r="AE387" s="79" t="str">
        <x:v>NON_PRODUCT</x:v>
      </x:c>
      <x:c r="AF387" s="79" t="str">
        <x:v>خیر</x:v>
      </x:c>
      <x:c r="AG387" s="79" t="str">
        <x:v>بله</x:v>
      </x:c>
      <x:c r="AH387" s="79" t="n">
        <x:v>2</x:v>
      </x:c>
      <x:c r="AI387" s="79" t="str">
        <x:v>ظرف بطری پلاستیکی</x:v>
      </x:c>
      <x:c r="AJ387" s="79" t="str">
        <x:v>ملزومات</x:v>
      </x:c>
      <x:c r="AK387" s="79" t="str">
        <x:v>SKIP_NON_PRODUCT</x:v>
      </x:c>
    </x:row>
    <x:row r="388">
      <x:c r="A388" s="79" t="s">
        <x:v>1275</x:v>
      </x:c>
      <x:c r="B388" s="79" t="s">
        <x:v>335</x:v>
      </x:c>
      <x:c r="C388" s="79" t="s">
        <x:v>1276</x:v>
      </x:c>
      <x:c r="D388" s="79" t="s">
        <x:v>1258</x:v>
      </x:c>
      <x:c r="E388" s="79" t="s">
        <x:v>337</x:v>
      </x:c>
      <x:c r="F388" s="79" t="s">
        <x:v>16</x:v>
      </x:c>
      <x:c r="G388" s="79" t="n">
        <x:f>IF(RIGHT($A388,2)="-2",INDEX('قیمت ها'!$E:$E,$J388+2),INDEX('قیمت ها'!$B:$B,$J388+2))</x:f>
        <x:v>35</x:v>
      </x:c>
      <x:c r="H388" s="110">
        <x:f t="shared" si="12"/>
        <x:v>35000</x:v>
      </x:c>
      <x:c r="I388" s="79" t="str">
        <x:f t="shared" si="13"/>
        <x:v>فعال</x:v>
      </x:c>
      <x:c r="J388" s="79">
        <x:v>268</x:v>
      </x:c>
      <x:c r="K388" s="79" t="s">
        <x:v>1275</x:v>
      </x:c>
      <x:c r="L388" s="79"/>
      <x:c r="M388" s="79"/>
      <x:c r="N388" s="79"/>
      <x:c r="O388" s="79"/>
      <x:c r="P388" s="79"/>
      <x:c r="Q388" s="79"/>
      <x:c r="R388" s="79"/>
      <x:c r="S388" s="79"/>
      <x:c r="T388" s="79"/>
      <x:c r="U388" s="79"/>
      <x:c r="V388" s="79"/>
      <x:c r="W388" s="79"/>
      <x:c r="X388" s="79"/>
      <x:c r="Y388" s="79"/>
      <x:c r="Z388" s="79"/>
      <x:c r="AA388" s="79" t="str">
        <x:f>IF(AND(LEN($N$2)&gt;=3,ISNUMBER(SEARCH($N$2,$B388))),MAX($AA$1:AA387)+1,"")</x:f>
      </x:c>
      <x:c r="AB388" s="79"/>
      <x:c r="AC388" s="79" t="str">
        <x:v>عدم ایمپورت</x:v>
      </x:c>
      <x:c r="AD388" s="79" t="str">
        <x:v>SKIP</x:v>
      </x:c>
      <x:c r="AE388" s="79" t="str">
        <x:v>NON_PRODUCT</x:v>
      </x:c>
      <x:c r="AF388" s="79" t="str">
        <x:v>خیر</x:v>
      </x:c>
      <x:c r="AG388" s="79" t="str">
        <x:v>بله</x:v>
      </x:c>
      <x:c r="AH388" s="79" t="n">
        <x:v>2</x:v>
      </x:c>
      <x:c r="AI388" s="79" t="str">
        <x:v>ظرف بطری پلاستیکی</x:v>
      </x:c>
      <x:c r="AJ388" s="79" t="str">
        <x:v>ملزومات</x:v>
      </x:c>
      <x:c r="AK388" s="79" t="str">
        <x:v>SKIP_NON_PRODUCT</x:v>
      </x:c>
    </x:row>
    <x:row r="389">
      <x:c r="A389" s="79" t="s">
        <x:v>1277</x:v>
      </x:c>
      <x:c r="B389" s="79" t="s">
        <x:v>338</x:v>
      </x:c>
      <x:c r="C389" s="79" t="s">
        <x:v>1278</x:v>
      </x:c>
      <x:c r="D389" s="79" t="s">
        <x:v>1258</x:v>
      </x:c>
      <x:c r="E389" s="79" t="s">
        <x:v>339</x:v>
      </x:c>
      <x:c r="F389" s="79" t="s">
        <x:v>16</x:v>
      </x:c>
      <x:c r="G389" s="79" t="n">
        <x:f>IF(RIGHT($A389,2)="-2",INDEX('قیمت ها'!$E:$E,$J389+2),INDEX('قیمت ها'!$B:$B,$J389+2))</x:f>
        <x:v>15</x:v>
      </x:c>
      <x:c r="H389" s="110">
        <x:f t="shared" si="12"/>
        <x:v>15000</x:v>
      </x:c>
      <x:c r="I389" s="79" t="str">
        <x:f t="shared" si="13"/>
        <x:v>فعال</x:v>
      </x:c>
      <x:c r="J389" s="79">
        <x:v>269</x:v>
      </x:c>
      <x:c r="K389" s="79" t="s">
        <x:v>1277</x:v>
      </x:c>
      <x:c r="L389" s="79"/>
      <x:c r="M389" s="79"/>
      <x:c r="N389" s="79"/>
      <x:c r="O389" s="79"/>
      <x:c r="P389" s="79"/>
      <x:c r="Q389" s="79"/>
      <x:c r="R389" s="79"/>
      <x:c r="S389" s="79"/>
      <x:c r="T389" s="79"/>
      <x:c r="U389" s="79"/>
      <x:c r="V389" s="79"/>
      <x:c r="W389" s="79"/>
      <x:c r="X389" s="79"/>
      <x:c r="Y389" s="79"/>
      <x:c r="Z389" s="79"/>
      <x:c r="AA389" s="79" t="str">
        <x:f>IF(AND(LEN($N$2)&gt;=3,ISNUMBER(SEARCH($N$2,$B389))),MAX($AA$1:AA388)+1,"")</x:f>
      </x:c>
      <x:c r="AB389" s="79"/>
      <x:c r="AC389" s="79" t="str">
        <x:v>عدم ایمپورت</x:v>
      </x:c>
      <x:c r="AD389" s="79" t="str">
        <x:v>SKIP</x:v>
      </x:c>
      <x:c r="AE389" s="79" t="str">
        <x:v>NON_PRODUCT</x:v>
      </x:c>
      <x:c r="AF389" s="79" t="str">
        <x:v>خیر</x:v>
      </x:c>
      <x:c r="AG389" s="79" t="str">
        <x:v>بله</x:v>
      </x:c>
      <x:c r="AH389" s="79" t="n">
        <x:v>2</x:v>
      </x:c>
      <x:c r="AI389" s="79" t="str">
        <x:v>ظرف بطری شیشه ای</x:v>
      </x:c>
      <x:c r="AJ389" s="79" t="str">
        <x:v>ملزومات</x:v>
      </x:c>
      <x:c r="AK389" s="79" t="str">
        <x:v>SKIP_NON_PRODUCT</x:v>
      </x:c>
    </x:row>
    <x:row r="390">
      <x:c r="A390" s="79" t="s">
        <x:v>1279</x:v>
      </x:c>
      <x:c r="B390" s="79" t="s">
        <x:v>338</x:v>
      </x:c>
      <x:c r="C390" s="79" t="s">
        <x:v>1280</x:v>
      </x:c>
      <x:c r="D390" s="79" t="s">
        <x:v>1258</x:v>
      </x:c>
      <x:c r="E390" s="79" t="s">
        <x:v>340</x:v>
      </x:c>
      <x:c r="F390" s="79" t="s">
        <x:v>16</x:v>
      </x:c>
      <x:c r="G390" s="79" t="n">
        <x:f>IF(RIGHT($A390,2)="-2",INDEX('قیمت ها'!$E:$E,$J390+2),INDEX('قیمت ها'!$B:$B,$J390+2))</x:f>
        <x:v>25</x:v>
      </x:c>
      <x:c r="H390" s="110">
        <x:f t="shared" si="12"/>
        <x:v>25000</x:v>
      </x:c>
      <x:c r="I390" s="79" t="str">
        <x:f t="shared" si="13"/>
        <x:v>فعال</x:v>
      </x:c>
      <x:c r="J390" s="79">
        <x:v>269</x:v>
      </x:c>
      <x:c r="K390" s="79" t="s">
        <x:v>1279</x:v>
      </x:c>
      <x:c r="L390" s="79"/>
      <x:c r="M390" s="79"/>
      <x:c r="N390" s="79"/>
      <x:c r="O390" s="79"/>
      <x:c r="P390" s="79"/>
      <x:c r="Q390" s="79"/>
      <x:c r="R390" s="79"/>
      <x:c r="S390" s="79"/>
      <x:c r="T390" s="79"/>
      <x:c r="U390" s="79"/>
      <x:c r="V390" s="79"/>
      <x:c r="W390" s="79"/>
      <x:c r="X390" s="79"/>
      <x:c r="Y390" s="79"/>
      <x:c r="Z390" s="79"/>
      <x:c r="AA390" s="79" t="str">
        <x:f>IF(AND(LEN($N$2)&gt;=3,ISNUMBER(SEARCH($N$2,$B390))),MAX($AA$1:AA389)+1,"")</x:f>
      </x:c>
      <x:c r="AB390" s="79"/>
      <x:c r="AC390" s="79" t="str">
        <x:v>عدم ایمپورت</x:v>
      </x:c>
      <x:c r="AD390" s="79" t="str">
        <x:v>SKIP</x:v>
      </x:c>
      <x:c r="AE390" s="79" t="str">
        <x:v>NON_PRODUCT</x:v>
      </x:c>
      <x:c r="AF390" s="79" t="str">
        <x:v>خیر</x:v>
      </x:c>
      <x:c r="AG390" s="79" t="str">
        <x:v>بله</x:v>
      </x:c>
      <x:c r="AH390" s="79" t="n">
        <x:v>2</x:v>
      </x:c>
      <x:c r="AI390" s="79" t="str">
        <x:v>ظرف بطری شیشه ای</x:v>
      </x:c>
      <x:c r="AJ390" s="79" t="str">
        <x:v>ملزومات</x:v>
      </x:c>
      <x:c r="AK390" s="79" t="str">
        <x:v>SKIP_NON_PRODUCT</x:v>
      </x:c>
    </x:row>
    <x:row r="391">
      <x:c r="A391" s="79" t="s">
        <x:v>1281</x:v>
      </x:c>
      <x:c r="B391" s="79" t="s">
        <x:v>341</x:v>
      </x:c>
      <x:c r="C391" s="79" t="s">
        <x:v>1282</x:v>
      </x:c>
      <x:c r="D391" s="79" t="s">
        <x:v>1258</x:v>
      </x:c>
      <x:c r="E391" s="79" t="s">
        <x:v>172</x:v>
      </x:c>
      <x:c r="F391" s="79" t="s">
        <x:v>730</x:v>
      </x:c>
      <x:c r="G391" s="79" t="n">
        <x:f>IF(RIGHT($A391,2)="-2",INDEX('قیمت ها'!$E:$E,$J391+2),INDEX('قیمت ها'!$B:$B,$J391+2))</x:f>
        <x:v>12</x:v>
      </x:c>
      <x:c r="H391" s="110">
        <x:f t="shared" si="12"/>
        <x:v>12000</x:v>
      </x:c>
      <x:c r="I391" s="79" t="str">
        <x:f t="shared" si="13"/>
        <x:v>فعال</x:v>
      </x:c>
      <x:c r="J391" s="79">
        <x:v>270</x:v>
      </x:c>
      <x:c r="K391" s="79" t="s">
        <x:v>1281</x:v>
      </x:c>
      <x:c r="L391" s="79"/>
      <x:c r="M391" s="79"/>
      <x:c r="N391" s="79"/>
      <x:c r="O391" s="79"/>
      <x:c r="P391" s="79"/>
      <x:c r="Q391" s="79"/>
      <x:c r="R391" s="79"/>
      <x:c r="S391" s="79"/>
      <x:c r="T391" s="79"/>
      <x:c r="U391" s="79"/>
      <x:c r="V391" s="79"/>
      <x:c r="W391" s="79"/>
      <x:c r="X391" s="79"/>
      <x:c r="Y391" s="79"/>
      <x:c r="Z391" s="79"/>
      <x:c r="AA391" s="79" t="str">
        <x:f>IF(AND(LEN($N$2)&gt;=3,ISNUMBER(SEARCH($N$2,$B391))),MAX($AA$1:AA390)+1,"")</x:f>
      </x:c>
      <x:c r="AB391" s="79"/>
      <x:c r="AC391" s="79" t="str">
        <x:v>عدم ایمپورت</x:v>
      </x:c>
      <x:c r="AD391" s="79" t="str">
        <x:v>SKIP</x:v>
      </x:c>
      <x:c r="AE391" s="79" t="str">
        <x:v>NON_PRODUCT</x:v>
      </x:c>
      <x:c r="AF391" s="79" t="str">
        <x:v>خیر</x:v>
      </x:c>
      <x:c r="AG391" s="79" t="str">
        <x:v>بله</x:v>
      </x:c>
      <x:c r="AH391" s="79" t="n">
        <x:v>2</x:v>
      </x:c>
      <x:c r="AI391" s="79" t="str">
        <x:v>ظرف جار</x:v>
      </x:c>
      <x:c r="AJ391" s="79" t="str">
        <x:v>ملزومات</x:v>
      </x:c>
      <x:c r="AK391" s="79" t="str">
        <x:v>SKIP_NON_PRODUCT</x:v>
      </x:c>
    </x:row>
    <x:row r="392">
      <x:c r="A392" s="79" t="s">
        <x:v>1283</x:v>
      </x:c>
      <x:c r="B392" s="79" t="s">
        <x:v>341</x:v>
      </x:c>
      <x:c r="C392" s="79" t="s">
        <x:v>1284</x:v>
      </x:c>
      <x:c r="D392" s="79" t="s">
        <x:v>1258</x:v>
      </x:c>
      <x:c r="E392" s="79" t="s">
        <x:v>173</x:v>
      </x:c>
      <x:c r="F392" s="79" t="s">
        <x:v>730</x:v>
      </x:c>
      <x:c r="G392" s="79" t="n">
        <x:f>IF(RIGHT($A392,2)="-2",INDEX('قیمت ها'!$E:$E,$J392+2),INDEX('قیمت ها'!$B:$B,$J392+2))</x:f>
        <x:v>20</x:v>
      </x:c>
      <x:c r="H392" s="110">
        <x:f t="shared" si="12"/>
        <x:v>20000</x:v>
      </x:c>
      <x:c r="I392" s="79" t="str">
        <x:f t="shared" si="13"/>
        <x:v>فعال</x:v>
      </x:c>
      <x:c r="J392" s="79">
        <x:v>270</x:v>
      </x:c>
      <x:c r="K392" s="79" t="s">
        <x:v>1283</x:v>
      </x:c>
      <x:c r="L392" s="79"/>
      <x:c r="M392" s="79"/>
      <x:c r="N392" s="79"/>
      <x:c r="O392" s="79"/>
      <x:c r="P392" s="79"/>
      <x:c r="Q392" s="79"/>
      <x:c r="R392" s="79"/>
      <x:c r="S392" s="79"/>
      <x:c r="T392" s="79"/>
      <x:c r="U392" s="79"/>
      <x:c r="V392" s="79"/>
      <x:c r="W392" s="79"/>
      <x:c r="X392" s="79"/>
      <x:c r="Y392" s="79"/>
      <x:c r="Z392" s="79"/>
      <x:c r="AA392" s="79" t="str">
        <x:f>IF(AND(LEN($N$2)&gt;=3,ISNUMBER(SEARCH($N$2,$B392))),MAX($AA$1:AA391)+1,"")</x:f>
      </x:c>
      <x:c r="AB392" s="79"/>
      <x:c r="AC392" s="79" t="str">
        <x:v>عدم ایمپورت</x:v>
      </x:c>
      <x:c r="AD392" s="79" t="str">
        <x:v>SKIP</x:v>
      </x:c>
      <x:c r="AE392" s="79" t="str">
        <x:v>NON_PRODUCT</x:v>
      </x:c>
      <x:c r="AF392" s="79" t="str">
        <x:v>خیر</x:v>
      </x:c>
      <x:c r="AG392" s="79" t="str">
        <x:v>بله</x:v>
      </x:c>
      <x:c r="AH392" s="79" t="n">
        <x:v>2</x:v>
      </x:c>
      <x:c r="AI392" s="79" t="str">
        <x:v>ظرف جار</x:v>
      </x:c>
      <x:c r="AJ392" s="79" t="str">
        <x:v>ملزومات</x:v>
      </x:c>
      <x:c r="AK392" s="79" t="str">
        <x:v>SKIP_NON_PRODUCT</x:v>
      </x:c>
    </x:row>
    <x:row r="393">
      <x:c r="A393" s="79" t="s">
        <x:v>1285</x:v>
      </x:c>
      <x:c r="B393" s="79" t="s">
        <x:v>342</x:v>
      </x:c>
      <x:c r="C393" s="79" t="s">
        <x:v>1286</x:v>
      </x:c>
      <x:c r="D393" s="79" t="s">
        <x:v>1258</x:v>
      </x:c>
      <x:c r="E393" s="79" t="s">
        <x:v>16</x:v>
      </x:c>
      <x:c r="F393" s="79" t="s">
        <x:v>16</x:v>
      </x:c>
      <x:c r="G393" s="79" t="n">
        <x:f>IF(RIGHT($A393,2)="-2",INDEX('قیمت ها'!$E:$E,$J393+2),INDEX('قیمت ها'!$B:$B,$J393+2))</x:f>
        <x:v>50</x:v>
      </x:c>
      <x:c r="H393" s="110">
        <x:f t="shared" si="12"/>
        <x:v>50000</x:v>
      </x:c>
      <x:c r="I393" s="79" t="str">
        <x:f t="shared" si="13"/>
        <x:v>فعال</x:v>
      </x:c>
      <x:c r="J393" s="79">
        <x:v>271</x:v>
      </x:c>
      <x:c r="K393" s="79" t="s">
        <x:v>1285</x:v>
      </x:c>
      <x:c r="L393" s="79"/>
      <x:c r="M393" s="79"/>
      <x:c r="N393" s="79"/>
      <x:c r="O393" s="79"/>
      <x:c r="P393" s="79"/>
      <x:c r="Q393" s="79"/>
      <x:c r="R393" s="79"/>
      <x:c r="S393" s="79"/>
      <x:c r="T393" s="79"/>
      <x:c r="U393" s="79"/>
      <x:c r="V393" s="79"/>
      <x:c r="W393" s="79"/>
      <x:c r="X393" s="79"/>
      <x:c r="Y393" s="79"/>
      <x:c r="Z393" s="79"/>
      <x:c r="AA393" s="79" t="str">
        <x:f>IF(AND(LEN($N$2)&gt;=3,ISNUMBER(SEARCH($N$2,$B393))),MAX($AA$1:AA392)+1,"")</x:f>
      </x:c>
      <x:c r="AB393" s="79"/>
      <x:c r="AC393" s="79" t="str">
        <x:v>عدم ایمپورت</x:v>
      </x:c>
      <x:c r="AD393" s="79" t="str">
        <x:v>SKIP</x:v>
      </x:c>
      <x:c r="AE393" s="79" t="str">
        <x:v>NON_PRODUCT</x:v>
      </x:c>
      <x:c r="AF393" s="79" t="str">
        <x:v>خیر</x:v>
      </x:c>
      <x:c r="AG393" s="79" t="str">
        <x:v>بله</x:v>
      </x:c>
      <x:c r="AH393" s="79" t="n">
        <x:v>2</x:v>
      </x:c>
      <x:c r="AI393" s="79" t="str">
        <x:v>ظرف جار سایز 2</x:v>
      </x:c>
      <x:c r="AJ393" s="79" t="str">
        <x:v>ملزومات</x:v>
      </x:c>
      <x:c r="AK393" s="79" t="str">
        <x:v>SKIP_NON_PRODUCT</x:v>
      </x:c>
    </x:row>
    <x:row r="394">
      <x:c r="A394" s="79" t="s">
        <x:v>1287</x:v>
      </x:c>
      <x:c r="B394" s="79" t="s">
        <x:v>343</x:v>
      </x:c>
      <x:c r="C394" s="79" t="s">
        <x:v>1288</x:v>
      </x:c>
      <x:c r="D394" s="79" t="s">
        <x:v>1258</x:v>
      </x:c>
      <x:c r="E394" s="79" t="s">
        <x:v>155</x:v>
      </x:c>
      <x:c r="F394" s="79" t="s">
        <x:v>682</x:v>
      </x:c>
      <x:c r="G394" s="79" t="n">
        <x:f>IF(RIGHT($A394,2)="-2",INDEX('قیمت ها'!$E:$E,$J394+2),INDEX('قیمت ها'!$B:$B,$J394+2))</x:f>
        <x:v>22</x:v>
      </x:c>
      <x:c r="H394" s="110">
        <x:f t="shared" si="12"/>
        <x:v>22000</x:v>
      </x:c>
      <x:c r="I394" s="79" t="str">
        <x:f t="shared" si="13"/>
        <x:v>فعال</x:v>
      </x:c>
      <x:c r="J394" s="79">
        <x:v>272</x:v>
      </x:c>
      <x:c r="K394" s="79" t="s">
        <x:v>1287</x:v>
      </x:c>
      <x:c r="L394" s="79"/>
      <x:c r="M394" s="79"/>
      <x:c r="N394" s="79"/>
      <x:c r="O394" s="79"/>
      <x:c r="P394" s="79"/>
      <x:c r="Q394" s="79"/>
      <x:c r="R394" s="79"/>
      <x:c r="S394" s="79"/>
      <x:c r="T394" s="79"/>
      <x:c r="U394" s="79"/>
      <x:c r="V394" s="79"/>
      <x:c r="W394" s="79"/>
      <x:c r="X394" s="79"/>
      <x:c r="Y394" s="79"/>
      <x:c r="Z394" s="79"/>
      <x:c r="AA394" s="79" t="str">
        <x:f>IF(AND(LEN($N$2)&gt;=3,ISNUMBER(SEARCH($N$2,$B394))),MAX($AA$1:AA393)+1,"")</x:f>
      </x:c>
      <x:c r="AB394" s="79"/>
      <x:c r="AC394" s="79" t="str">
        <x:v>عدم ایمپورت</x:v>
      </x:c>
      <x:c r="AD394" s="79" t="str">
        <x:v>SKIP</x:v>
      </x:c>
      <x:c r="AE394" s="79" t="str">
        <x:v>NON_PRODUCT</x:v>
      </x:c>
      <x:c r="AF394" s="79" t="str">
        <x:v>خیر</x:v>
      </x:c>
      <x:c r="AG394" s="79" t="str">
        <x:v>بله</x:v>
      </x:c>
      <x:c r="AH394" s="79" t="n">
        <x:v>2</x:v>
      </x:c>
      <x:c r="AI394" s="79" t="str">
        <x:v>ظرف روغن موضعی</x:v>
      </x:c>
      <x:c r="AJ394" s="79" t="str">
        <x:v>ملزومات</x:v>
      </x:c>
      <x:c r="AK394" s="79" t="str">
        <x:v>SKIP_NON_PRODUCT</x:v>
      </x:c>
    </x:row>
    <x:row r="395">
      <x:c r="A395" s="79" t="s">
        <x:v>1289</x:v>
      </x:c>
      <x:c r="B395" s="79" t="s">
        <x:v>343</x:v>
      </x:c>
      <x:c r="C395" s="79" t="s">
        <x:v>1290</x:v>
      </x:c>
      <x:c r="D395" s="79" t="s">
        <x:v>1258</x:v>
      </x:c>
      <x:c r="E395" s="79" t="s">
        <x:v>344</x:v>
      </x:c>
      <x:c r="F395" s="79" t="s">
        <x:v>682</x:v>
      </x:c>
      <x:c r="G395" s="79" t="n">
        <x:f>IF(RIGHT($A395,2)="-2",INDEX('قیمت ها'!$E:$E,$J395+2),INDEX('قیمت ها'!$B:$B,$J395+2))</x:f>
        <x:v>25</x:v>
      </x:c>
      <x:c r="H395" s="110">
        <x:f t="shared" si="12"/>
        <x:v>25000</x:v>
      </x:c>
      <x:c r="I395" s="79" t="str">
        <x:f t="shared" si="13"/>
        <x:v>فعال</x:v>
      </x:c>
      <x:c r="J395" s="79">
        <x:v>272</x:v>
      </x:c>
      <x:c r="K395" s="79" t="s">
        <x:v>1289</x:v>
      </x:c>
      <x:c r="L395" s="79"/>
      <x:c r="M395" s="79"/>
      <x:c r="N395" s="79"/>
      <x:c r="O395" s="79"/>
      <x:c r="P395" s="79"/>
      <x:c r="Q395" s="79"/>
      <x:c r="R395" s="79"/>
      <x:c r="S395" s="79"/>
      <x:c r="T395" s="79"/>
      <x:c r="U395" s="79"/>
      <x:c r="V395" s="79"/>
      <x:c r="W395" s="79"/>
      <x:c r="X395" s="79"/>
      <x:c r="Y395" s="79"/>
      <x:c r="Z395" s="79"/>
      <x:c r="AA395" s="79" t="str">
        <x:f>IF(AND(LEN($N$2)&gt;=3,ISNUMBER(SEARCH($N$2,$B395))),MAX($AA$1:AA394)+1,"")</x:f>
      </x:c>
      <x:c r="AB395" s="79"/>
      <x:c r="AC395" s="79" t="str">
        <x:v>عدم ایمپورت</x:v>
      </x:c>
      <x:c r="AD395" s="79" t="str">
        <x:v>SKIP</x:v>
      </x:c>
      <x:c r="AE395" s="79" t="str">
        <x:v>NON_PRODUCT</x:v>
      </x:c>
      <x:c r="AF395" s="79" t="str">
        <x:v>خیر</x:v>
      </x:c>
      <x:c r="AG395" s="79" t="str">
        <x:v>بله</x:v>
      </x:c>
      <x:c r="AH395" s="79" t="n">
        <x:v>2</x:v>
      </x:c>
      <x:c r="AI395" s="79" t="str">
        <x:v>ظرف روغن موضعی</x:v>
      </x:c>
      <x:c r="AJ395" s="79" t="str">
        <x:v>ملزومات</x:v>
      </x:c>
      <x:c r="AK395" s="79" t="str">
        <x:v>SKIP_NON_PRODUCT</x:v>
      </x:c>
    </x:row>
    <x:row r="396">
      <x:c r="A396" s="79" t="s">
        <x:v>1291</x:v>
      </x:c>
      <x:c r="B396" s="79" t="s">
        <x:v>345</x:v>
      </x:c>
      <x:c r="C396" s="79" t="s">
        <x:v>1292</x:v>
      </x:c>
      <x:c r="D396" s="79" t="s">
        <x:v>1258</x:v>
      </x:c>
      <x:c r="E396" s="79" t="s">
        <x:v>339</x:v>
      </x:c>
      <x:c r="F396" s="79" t="s">
        <x:v>16</x:v>
      </x:c>
      <x:c r="G396" s="79" t="n">
        <x:f>IF(RIGHT($A396,2)="-2",INDEX('قیمت ها'!$E:$E,$J396+2),INDEX('قیمت ها'!$B:$B,$J396+2))</x:f>
        <x:v>40</x:v>
      </x:c>
      <x:c r="H396" s="110">
        <x:f t="shared" si="12"/>
        <x:v>40000</x:v>
      </x:c>
      <x:c r="I396" s="79" t="str">
        <x:f t="shared" si="13"/>
        <x:v>فعال</x:v>
      </x:c>
      <x:c r="J396" s="79">
        <x:v>273</x:v>
      </x:c>
      <x:c r="K396" s="79" t="s">
        <x:v>1291</x:v>
      </x:c>
      <x:c r="L396" s="79"/>
      <x:c r="M396" s="79"/>
      <x:c r="N396" s="79"/>
      <x:c r="O396" s="79"/>
      <x:c r="P396" s="79"/>
      <x:c r="Q396" s="79"/>
      <x:c r="R396" s="79"/>
      <x:c r="S396" s="79"/>
      <x:c r="T396" s="79"/>
      <x:c r="U396" s="79"/>
      <x:c r="V396" s="79"/>
      <x:c r="W396" s="79"/>
      <x:c r="X396" s="79"/>
      <x:c r="Y396" s="79"/>
      <x:c r="Z396" s="79"/>
      <x:c r="AA396" s="79" t="str">
        <x:f>IF(AND(LEN($N$2)&gt;=3,ISNUMBER(SEARCH($N$2,$B396))),MAX($AA$1:AA395)+1,"")</x:f>
      </x:c>
      <x:c r="AB396" s="79"/>
      <x:c r="AC396" s="79" t="str">
        <x:v>عدم ایمپورت</x:v>
      </x:c>
      <x:c r="AD396" s="79" t="str">
        <x:v>SKIP</x:v>
      </x:c>
      <x:c r="AE396" s="79" t="str">
        <x:v>NON_PRODUCT</x:v>
      </x:c>
      <x:c r="AF396" s="79" t="str">
        <x:v>خیر</x:v>
      </x:c>
      <x:c r="AG396" s="79" t="str">
        <x:v>خیر</x:v>
      </x:c>
      <x:c r="AH396" s="79" t="n">
        <x:v>1</x:v>
      </x:c>
      <x:c r="AI396" s="79" t="str">
        <x:v>ظرف سطلی یک کیلویی</x:v>
      </x:c>
      <x:c r="AJ396" s="79" t="str">
        <x:v>ملزومات</x:v>
      </x:c>
      <x:c r="AK396" s="79" t="str">
        <x:v>SKIP_NON_PRODUCT</x:v>
      </x:c>
    </x:row>
    <x:row r="397">
      <x:c r="A397" s="79" t="s">
        <x:v>1293</x:v>
      </x:c>
      <x:c r="B397" s="79" t="s">
        <x:v>345</x:v>
      </x:c>
      <x:c r="C397" s="79" t="s">
        <x:v>1294</x:v>
      </x:c>
      <x:c r="D397" s="79" t="s">
        <x:v>1258</x:v>
      </x:c>
      <x:c r="E397" s="79" t="s">
        <x:v>332</x:v>
      </x:c>
      <x:c r="F397" s="79" t="s">
        <x:v>16</x:v>
      </x:c>
      <x:c r="G397" s="79" t="n">
        <x:f>IF(RIGHT($A397,2)="-2",INDEX('قیمت ها'!$E:$E,$J397+2),INDEX('قیمت ها'!$B:$B,$J397+2))</x:f>
        <x:v>50</x:v>
      </x:c>
      <x:c r="H397" s="110">
        <x:f t="shared" si="12"/>
        <x:v>50000</x:v>
      </x:c>
      <x:c r="I397" s="79" t="str">
        <x:f t="shared" si="13"/>
        <x:v>فعال</x:v>
      </x:c>
      <x:c r="J397" s="79">
        <x:v>273</x:v>
      </x:c>
      <x:c r="K397" s="79" t="s">
        <x:v>1293</x:v>
      </x:c>
      <x:c r="L397" s="79"/>
      <x:c r="M397" s="79"/>
      <x:c r="N397" s="79"/>
      <x:c r="O397" s="79"/>
      <x:c r="P397" s="79"/>
      <x:c r="Q397" s="79"/>
      <x:c r="R397" s="79"/>
      <x:c r="S397" s="79"/>
      <x:c r="T397" s="79"/>
      <x:c r="U397" s="79"/>
      <x:c r="V397" s="79"/>
      <x:c r="W397" s="79"/>
      <x:c r="X397" s="79"/>
      <x:c r="Y397" s="79"/>
      <x:c r="Z397" s="79"/>
      <x:c r="AA397" s="79" t="str">
        <x:f>IF(AND(LEN($N$2)&gt;=3,ISNUMBER(SEARCH($N$2,$B397))),MAX($AA$1:AA396)+1,"")</x:f>
      </x:c>
      <x:c r="AB397" s="79"/>
      <x:c r="AC397" s="79" t="str">
        <x:v>عدم ایمپورت</x:v>
      </x:c>
      <x:c r="AD397" s="79" t="str">
        <x:v>SKIP</x:v>
      </x:c>
      <x:c r="AE397" s="79" t="str">
        <x:v>NON_PRODUCT</x:v>
      </x:c>
      <x:c r="AF397" s="79" t="str">
        <x:v>خیر</x:v>
      </x:c>
      <x:c r="AG397" s="79" t="str">
        <x:v>خیر</x:v>
      </x:c>
      <x:c r="AH397" s="79" t="n">
        <x:v>1</x:v>
      </x:c>
      <x:c r="AI397" s="79" t="str">
        <x:v>ظرف سطلی یک کیلویی</x:v>
      </x:c>
      <x:c r="AJ397" s="79" t="str">
        <x:v>ملزومات</x:v>
      </x:c>
      <x:c r="AK397" s="79" t="str">
        <x:v>SKIP_NON_PRODUCT</x:v>
      </x:c>
    </x:row>
    <x:row r="398">
      <x:c r="A398" s="79" t="s">
        <x:v>1295</x:v>
      </x:c>
      <x:c r="B398" s="79" t="s">
        <x:v>85</x:v>
      </x:c>
      <x:c r="C398" s="79" t="s">
        <x:v>1296</x:v>
      </x:c>
      <x:c r="D398" s="79" t="s">
        <x:v>1258</x:v>
      </x:c>
      <x:c r="E398" s="79" t="s">
        <x:v>62</x:v>
      </x:c>
      <x:c r="F398" s="79" t="s">
        <x:v>16</x:v>
      </x:c>
      <x:c r="G398" s="79" t="n">
        <x:f>IF(RIGHT($A398,2)="-2",INDEX('قیمت ها'!$E:$E,$J398+2),INDEX('قیمت ها'!$B:$B,$J398+2))</x:f>
        <x:v>700</x:v>
      </x:c>
      <x:c r="H398" s="110">
        <x:f t="shared" si="12"/>
        <x:v>700000</x:v>
      </x:c>
      <x:c r="I398" s="79" t="str">
        <x:f t="shared" si="13"/>
        <x:v>فعال</x:v>
      </x:c>
      <x:c r="J398" s="79">
        <x:v>54</x:v>
      </x:c>
      <x:c r="K398" s="79" t="s">
        <x:v>1295</x:v>
      </x:c>
      <x:c r="L398" s="79"/>
      <x:c r="M398" s="79"/>
      <x:c r="N398" s="79"/>
      <x:c r="O398" s="79"/>
      <x:c r="P398" s="79"/>
      <x:c r="Q398" s="79"/>
      <x:c r="R398" s="79"/>
      <x:c r="S398" s="79"/>
      <x:c r="T398" s="79"/>
      <x:c r="U398" s="79"/>
      <x:c r="V398" s="79"/>
      <x:c r="W398" s="79"/>
      <x:c r="X398" s="79"/>
      <x:c r="Y398" s="79"/>
      <x:c r="Z398" s="79"/>
      <x:c r="AA398" s="79" t="str">
        <x:f>IF(AND(LEN($N$2)&gt;=3,ISNUMBER(SEARCH($N$2,$B398))),MAX($AA$1:AA397)+1,"")</x:f>
      </x:c>
      <x:c r="AB398" s="79" t="str">
        <x:v>6a3782d7df5573f4e676e243</x:v>
      </x:c>
      <x:c r="AC398" s="79" t="str">
        <x:v>گیاهان دارویی</x:v>
      </x:c>
      <x:c r="AD398" s="79" t="str">
        <x:v>medicinal-plants</x:v>
      </x:c>
      <x:c r="AE398" s="79" t="str">
        <x:v>EDIBLE</x:v>
      </x:c>
      <x:c r="AF398" s="79" t="str">
        <x:v>بله</x:v>
      </x:c>
      <x:c r="AG398" s="79" t="str">
        <x:v>خیر</x:v>
      </x:c>
      <x:c r="AH398" s="79" t="n">
        <x:v>1</x:v>
      </x:c>
      <x:c r="AI398" s="79" t="str">
        <x:v>به خشک</x:v>
      </x:c>
      <x:c r="AJ398" s="79" t="str">
        <x:v>ملزومات</x:v>
      </x:c>
      <x:c r="AK398" s="79"/>
    </x:row>
    <x:row r="399">
      <x:c r="A399" s="79" t="s">
        <x:v>1297</x:v>
      </x:c>
      <x:c r="B399" s="79" t="s">
        <x:v>53</x:v>
      </x:c>
      <x:c r="C399" s="79" t="s">
        <x:v>1298</x:v>
      </x:c>
      <x:c r="D399" s="79" t="s">
        <x:v>1299</x:v>
      </x:c>
      <x:c r="E399" s="79" t="s">
        <x:v>16</x:v>
      </x:c>
      <x:c r="F399" s="79" t="s">
        <x:v>16</x:v>
      </x:c>
      <x:c r="G399" s="79" t="str">
        <x:f>IF(RIGHT($A399,2)="-2",INDEX('قیمت ها'!$E:$E,$J399+2),INDEX('قیمت ها'!$B:$B,$J399+2))</x:f>
        <x:v>؟</x:v>
      </x:c>
      <x:c r="H399" s="110" t="str">
        <x:f t="shared" si="12"/>
      </x:c>
      <x:c r="I399" s="79" t="str">
        <x:f t="shared" si="13"/>
        <x:v>نیاز به استعلام</x:v>
      </x:c>
      <x:c r="J399" s="79">
        <x:v>33</x:v>
      </x:c>
      <x:c r="K399" s="79" t="s">
        <x:v>1297</x:v>
      </x:c>
      <x:c r="L399" s="79"/>
      <x:c r="M399" s="79"/>
      <x:c r="N399" s="79"/>
      <x:c r="O399" s="79"/>
      <x:c r="P399" s="79"/>
      <x:c r="Q399" s="79"/>
      <x:c r="R399" s="79"/>
      <x:c r="S399" s="79"/>
      <x:c r="T399" s="79"/>
      <x:c r="U399" s="79"/>
      <x:c r="V399" s="79"/>
      <x:c r="W399" s="79"/>
      <x:c r="X399" s="79"/>
      <x:c r="Y399" s="79"/>
      <x:c r="Z399" s="79"/>
      <x:c r="AA399" s="79" t="str">
        <x:f>IF(AND(LEN($N$2)&gt;=3,ISNUMBER(SEARCH($N$2,$B399))),MAX($AA$1:AA398)+1,"")</x:f>
      </x:c>
      <x:c r="AB399" s="79" t="str">
        <x:v>6a3782ffdf5573f4e676e24b</x:v>
      </x:c>
      <x:c r="AC399" s="79" t="str">
        <x:v>نوشیدنی‌ها</x:v>
      </x:c>
      <x:c r="AD399" s="79" t="str">
        <x:v>syrup</x:v>
      </x:c>
      <x:c r="AE399" s="79" t="str">
        <x:v>EDIBLE</x:v>
      </x:c>
      <x:c r="AF399" s="79" t="str">
        <x:v>بله</x:v>
      </x:c>
      <x:c r="AG399" s="79" t="str">
        <x:v>خیر</x:v>
      </x:c>
      <x:c r="AH399" s="79" t="n">
        <x:v>1</x:v>
      </x:c>
      <x:c r="AI399" s="79" t="str">
        <x:v>انبه پودر</x:v>
      </x:c>
      <x:c r="AJ399" s="79" t="str">
        <x:v>نوشیدنی و عرقیات</x:v>
      </x:c>
      <x:c r="AK399" s="79" t="str">
        <x:v>دسته از «نیاز به بررسی» به «نوشیدنی‌ها» اصلاح شد</x:v>
      </x:c>
    </x:row>
    <x:row r="400">
      <x:c r="A400" s="79" t="s">
        <x:v>1300</x:v>
      </x:c>
      <x:c r="B400" s="79" t="s">
        <x:v>55</x:v>
      </x:c>
      <x:c r="C400" s="79" t="s">
        <x:v>1301</x:v>
      </x:c>
      <x:c r="D400" s="79" t="s">
        <x:v>1299</x:v>
      </x:c>
      <x:c r="E400" s="79" t="s">
        <x:v>56</x:v>
      </x:c>
      <x:c r="F400" s="79" t="s">
        <x:v>739</x:v>
      </x:c>
      <x:c r="G400" s="79" t="n">
        <x:f>IF(RIGHT($A400,2)="-2",INDEX('قیمت ها'!$E:$E,$J400+2),INDEX('قیمت ها'!$B:$B,$J400+2))</x:f>
        <x:v>110</x:v>
      </x:c>
      <x:c r="H400" s="110">
        <x:f t="shared" si="12"/>
        <x:v>110000</x:v>
      </x:c>
      <x:c r="I400" s="79" t="str">
        <x:f t="shared" si="13"/>
        <x:v>فعال</x:v>
      </x:c>
      <x:c r="J400" s="79">
        <x:v>34</x:v>
      </x:c>
      <x:c r="K400" s="79" t="s">
        <x:v>1300</x:v>
      </x:c>
      <x:c r="L400" s="79"/>
      <x:c r="M400" s="79"/>
      <x:c r="N400" s="79"/>
      <x:c r="O400" s="79"/>
      <x:c r="P400" s="79"/>
      <x:c r="Q400" s="79"/>
      <x:c r="R400" s="79"/>
      <x:c r="S400" s="79"/>
      <x:c r="T400" s="79"/>
      <x:c r="U400" s="79"/>
      <x:c r="V400" s="79"/>
      <x:c r="W400" s="79"/>
      <x:c r="X400" s="79"/>
      <x:c r="Y400" s="79"/>
      <x:c r="Z400" s="79"/>
      <x:c r="AA400" s="79" t="str">
        <x:f>IF(AND(LEN($N$2)&gt;=3,ISNUMBER(SEARCH($N$2,$B400))),MAX($AA$1:AA399)+1,"")</x:f>
      </x:c>
      <x:c r="AB400" s="79" t="str">
        <x:v>6a37810ddf5573f4e676e201</x:v>
      </x:c>
      <x:c r="AC400" s="79" t="str">
        <x:v>خشکبار و آجیل</x:v>
      </x:c>
      <x:c r="AD400" s="79" t="str">
        <x:v>dried-fruits-nuts</x:v>
      </x:c>
      <x:c r="AE400" s="79" t="str">
        <x:v>EDIBLE</x:v>
      </x:c>
      <x:c r="AF400" s="79" t="str">
        <x:v>بله</x:v>
      </x:c>
      <x:c r="AG400" s="79" t="str">
        <x:v>خیر</x:v>
      </x:c>
      <x:c r="AH400" s="79" t="n">
        <x:v>1</x:v>
      </x:c>
      <x:c r="AI400" s="79" t="str">
        <x:v>انجیر خشک</x:v>
      </x:c>
      <x:c r="AJ400" s="79" t="str">
        <x:v>نوشیدنی و عرقیات</x:v>
      </x:c>
      <x:c r="AK400" s="79"/>
    </x:row>
    <x:row r="401">
      <x:c r="A401" s="79" t="s">
        <x:v>1302</x:v>
      </x:c>
      <x:c r="B401" s="79" t="s">
        <x:v>138</x:v>
      </x:c>
      <x:c r="C401" s="79" t="s">
        <x:v>1303</x:v>
      </x:c>
      <x:c r="D401" s="79" t="s">
        <x:v>1304</x:v>
      </x:c>
      <x:c r="E401" s="79" t="s">
        <x:v>16</x:v>
      </x:c>
      <x:c r="F401" s="79" t="s">
        <x:v>16</x:v>
      </x:c>
      <x:c r="G401" s="79" t="n">
        <x:f>IF(RIGHT($A401,2)="-2",INDEX('قیمت ها'!$E:$E,$J401+2),INDEX('قیمت ها'!$B:$B,$J401+2))</x:f>
        <x:v>710</x:v>
      </x:c>
      <x:c r="H401" s="110">
        <x:f t="shared" si="12"/>
        <x:v>710000</x:v>
      </x:c>
      <x:c r="I401" s="79" t="str">
        <x:f t="shared" si="13"/>
        <x:v>فعال</x:v>
      </x:c>
      <x:c r="J401" s="79">
        <x:v>94</x:v>
      </x:c>
      <x:c r="K401" s="79" t="s">
        <x:v>1302</x:v>
      </x:c>
      <x:c r="L401" s="79"/>
      <x:c r="M401" s="79"/>
      <x:c r="N401" s="79"/>
      <x:c r="O401" s="79"/>
      <x:c r="P401" s="79"/>
      <x:c r="Q401" s="79"/>
      <x:c r="R401" s="79"/>
      <x:c r="S401" s="79"/>
      <x:c r="T401" s="79"/>
      <x:c r="U401" s="79"/>
      <x:c r="V401" s="79"/>
      <x:c r="W401" s="79"/>
      <x:c r="X401" s="79"/>
      <x:c r="Y401" s="79"/>
      <x:c r="Z401" s="79"/>
      <x:c r="AA401" s="79" t="str">
        <x:f>IF(AND(LEN($N$2)&gt;=3,ISNUMBER(SEARCH($N$2,$B401))),MAX($AA$1:AA400)+1,"")</x:f>
      </x:c>
      <x:c r="AB401" s="79" t="str">
        <x:v>6a30f5728337d8d2af170bb3</x:v>
      </x:c>
      <x:c r="AC401" s="79" t="str">
        <x:v>چای</x:v>
      </x:c>
      <x:c r="AD401" s="79" t="str">
        <x:v>tea</x:v>
      </x:c>
      <x:c r="AE401" s="79" t="str">
        <x:v>EDIBLE</x:v>
      </x:c>
      <x:c r="AF401" s="79" t="str">
        <x:v>بله</x:v>
      </x:c>
      <x:c r="AG401" s="79" t="str">
        <x:v>خیر</x:v>
      </x:c>
      <x:c r="AH401" s="79" t="n">
        <x:v>1</x:v>
      </x:c>
      <x:c r="AI401" s="79" t="str">
        <x:v>چای کرک لاته موزی</x:v>
      </x:c>
      <x:c r="AJ401" s="79" t="str">
        <x:v>چای و دمنوش</x:v>
      </x:c>
      <x:c r="AK401" s="79"/>
    </x:row>
    <x:row r="402">
      <x:c r="A402" s="79" t="s">
        <x:v>1305</x:v>
      </x:c>
      <x:c r="B402" s="79" t="s">
        <x:v>63</x:v>
      </x:c>
      <x:c r="C402" s="79" t="s">
        <x:v>1306</x:v>
      </x:c>
      <x:c r="D402" s="79" t="s">
        <x:v>1307</x:v>
      </x:c>
      <x:c r="E402" s="79" t="s">
        <x:v>16</x:v>
      </x:c>
      <x:c r="F402" s="79" t="s">
        <x:v>16</x:v>
      </x:c>
      <x:c r="G402" s="79" t="str">
        <x:f>IF(RIGHT($A402,2)="-2",INDEX('قیمت ها'!$E:$E,$J402+2),INDEX('قیمت ها'!$B:$B,$J402+2))</x:f>
        <x:v>4/500</x:v>
      </x:c>
      <x:c r="H402" s="110">
        <x:f t="shared" si="12"/>
        <x:v>4500000</x:v>
      </x:c>
      <x:c r="I402" s="79" t="str">
        <x:f t="shared" si="13"/>
        <x:v>فعال</x:v>
      </x:c>
      <x:c r="J402" s="79">
        <x:v>39</x:v>
      </x:c>
      <x:c r="K402" s="79" t="s">
        <x:v>1305</x:v>
      </x:c>
      <x:c r="L402" s="79"/>
      <x:c r="M402" s="79"/>
      <x:c r="N402" s="79"/>
      <x:c r="O402" s="79"/>
      <x:c r="P402" s="79"/>
      <x:c r="Q402" s="79"/>
      <x:c r="R402" s="79"/>
      <x:c r="S402" s="79"/>
      <x:c r="T402" s="79"/>
      <x:c r="U402" s="79"/>
      <x:c r="V402" s="79"/>
      <x:c r="W402" s="79"/>
      <x:c r="X402" s="79"/>
      <x:c r="Y402" s="79"/>
      <x:c r="Z402" s="79"/>
      <x:c r="AA402" s="79" t="str">
        <x:f>IF(AND(LEN($N$2)&gt;=3,ISNUMBER(SEARCH($N$2,$B402))),MAX($AA$1:AA401)+1,"")</x:f>
      </x:c>
      <x:c r="AB402" s="79" t="str">
        <x:v>6a3a00000000000000000004</x:v>
      </x:c>
      <x:c r="AC402" s="79" t="str">
        <x:v>آرد و قنادی</x:v>
      </x:c>
      <x:c r="AD402" s="79" t="str">
        <x:v>flour-confectionery</x:v>
      </x:c>
      <x:c r="AE402" s="79" t="str">
        <x:v>EDIBLE</x:v>
      </x:c>
      <x:c r="AF402" s="79" t="str">
        <x:v>بله</x:v>
      </x:c>
      <x:c r="AG402" s="79" t="str">
        <x:v>خیر</x:v>
      </x:c>
      <x:c r="AH402" s="79" t="n">
        <x:v>1</x:v>
      </x:c>
      <x:c r="AI402" s="79" t="str">
        <x:v>آرد نخودچی</x:v>
      </x:c>
      <x:c r="AJ402" s="79" t="str">
        <x:v>گیاهان دارویی</x:v>
      </x:c>
      <x:c r="AK402" s="79"/>
    </x:row>
    <x:row r="403">
      <x:c r="A403" s="79" t="s">
        <x:v>1308</x:v>
      </x:c>
      <x:c r="B403" s="79" t="s">
        <x:v>65</x:v>
      </x:c>
      <x:c r="C403" s="79" t="s">
        <x:v>1309</x:v>
      </x:c>
      <x:c r="D403" s="79" t="s">
        <x:v>1307</x:v>
      </x:c>
      <x:c r="E403" s="79" t="s">
        <x:v>16</x:v>
      </x:c>
      <x:c r="F403" s="79" t="s">
        <x:v>16</x:v>
      </x:c>
      <x:c r="G403" s="79" t="str">
        <x:f>IF(RIGHT($A403,2)="-2",INDEX('قیمت ها'!$E:$E,$J403+2),INDEX('قیمت ها'!$B:$B,$J403+2))</x:f>
        <x:v>3/900</x:v>
      </x:c>
      <x:c r="H403" s="110">
        <x:f t="shared" si="12"/>
        <x:v>3900000</x:v>
      </x:c>
      <x:c r="I403" s="79" t="str">
        <x:f t="shared" si="13"/>
        <x:v>فعال</x:v>
      </x:c>
      <x:c r="J403" s="79">
        <x:v>40</x:v>
      </x:c>
      <x:c r="K403" s="79" t="s">
        <x:v>1308</x:v>
      </x:c>
      <x:c r="L403" s="79"/>
      <x:c r="M403" s="79"/>
      <x:c r="N403" s="79"/>
      <x:c r="O403" s="79"/>
      <x:c r="P403" s="79"/>
      <x:c r="Q403" s="79"/>
      <x:c r="R403" s="79"/>
      <x:c r="S403" s="79"/>
      <x:c r="T403" s="79"/>
      <x:c r="U403" s="79"/>
      <x:c r="V403" s="79"/>
      <x:c r="W403" s="79"/>
      <x:c r="X403" s="79"/>
      <x:c r="Y403" s="79"/>
      <x:c r="Z403" s="79"/>
      <x:c r="AA403" s="79" t="str">
        <x:f>IF(AND(LEN($N$2)&gt;=3,ISNUMBER(SEARCH($N$2,$B403))),MAX($AA$1:AA402)+1,"")</x:f>
      </x:c>
      <x:c r="AB403" s="79"/>
      <x:c r="AC403" s="79" t="str">
        <x:v>عدم ایمپورت</x:v>
      </x:c>
      <x:c r="AD403" s="79" t="str">
        <x:v>SKIP</x:v>
      </x:c>
      <x:c r="AE403" s="79" t="str">
        <x:v>NON_PRODUCT</x:v>
      </x:c>
      <x:c r="AF403" s="79" t="str">
        <x:v>خیر</x:v>
      </x:c>
      <x:c r="AG403" s="79" t="str">
        <x:v>خیر</x:v>
      </x:c>
      <x:c r="AH403" s="79" t="n">
        <x:v>1</x:v>
      </x:c>
      <x:c r="AI403" s="79" t="str">
        <x:v>آسیاب ادویه</x:v>
      </x:c>
      <x:c r="AJ403" s="79" t="str">
        <x:v>گیاهان دارویی</x:v>
      </x:c>
      <x:c r="AK403" s="79" t="str">
        <x:v>SKIP_NON_PRODUCT</x:v>
      </x:c>
    </x:row>
    <x:row r="404">
      <x:c r="A404" s="79" t="s">
        <x:v>1310</x:v>
      </x:c>
      <x:c r="B404" s="79" t="s">
        <x:v>47</x:v>
      </x:c>
      <x:c r="C404" s="79" t="s">
        <x:v>1311</x:v>
      </x:c>
      <x:c r="D404" s="79" t="s">
        <x:v>1307</x:v>
      </x:c>
      <x:c r="E404" s="79" t="s">
        <x:v>16</x:v>
      </x:c>
      <x:c r="F404" s="79" t="s">
        <x:v>16</x:v>
      </x:c>
      <x:c r="G404" s="79" t="str">
        <x:f>IF(RIGHT($A404,2)="-2",INDEX('قیمت ها'!$E:$E,$J404+2),INDEX('قیمت ها'!$B:$B,$J404+2))</x:f>
        <x:v>2/400</x:v>
      </x:c>
      <x:c r="H404" s="110">
        <x:f t="shared" si="12"/>
        <x:v>2400000</x:v>
      </x:c>
      <x:c r="I404" s="79" t="str">
        <x:f t="shared" si="13"/>
        <x:v>فعال</x:v>
      </x:c>
      <x:c r="J404" s="79">
        <x:v>29</x:v>
      </x:c>
      <x:c r="K404" s="79" t="s">
        <x:v>1310</x:v>
      </x:c>
      <x:c r="L404" s="79"/>
      <x:c r="M404" s="79"/>
      <x:c r="N404" s="79"/>
      <x:c r="O404" s="79"/>
      <x:c r="P404" s="79"/>
      <x:c r="Q404" s="79"/>
      <x:c r="R404" s="79"/>
      <x:c r="S404" s="79"/>
      <x:c r="T404" s="79"/>
      <x:c r="U404" s="79"/>
      <x:c r="V404" s="79"/>
      <x:c r="W404" s="79"/>
      <x:c r="X404" s="79"/>
      <x:c r="Y404" s="79"/>
      <x:c r="Z404" s="79"/>
      <x:c r="AA404" s="79" t="str">
        <x:f>IF(AND(LEN($N$2)&gt;=3,ISNUMBER(SEARCH($N$2,$B404))),MAX($AA$1:AA403)+1,"")</x:f>
      </x:c>
      <x:c r="AB404" s="79" t="str">
        <x:v>6a37810ddf5573f4e676e201</x:v>
      </x:c>
      <x:c r="AC404" s="79" t="str">
        <x:v>خشکبار و آجیل</x:v>
      </x:c>
      <x:c r="AD404" s="79" t="str">
        <x:v>dried-fruits-nuts</x:v>
      </x:c>
      <x:c r="AE404" s="79" t="str">
        <x:v>EDIBLE</x:v>
      </x:c>
      <x:c r="AF404" s="79" t="str">
        <x:v>بله</x:v>
      </x:c>
      <x:c r="AG404" s="79" t="str">
        <x:v>خیر</x:v>
      </x:c>
      <x:c r="AH404" s="79" t="n">
        <x:v>1</x:v>
      </x:c>
      <x:c r="AI404" s="79" t="str">
        <x:v>اسپند تخم</x:v>
      </x:c>
      <x:c r="AJ404" s="79" t="str">
        <x:v>گیاهان دارویی</x:v>
      </x:c>
      <x:c r="AK404" s="79"/>
    </x:row>
    <x:row r="405">
      <x:c r="A405" s="79" t="s">
        <x:v>1312</x:v>
      </x:c>
      <x:c r="B405" s="79" t="s">
        <x:v>49</x:v>
      </x:c>
      <x:c r="C405" s="79" t="s">
        <x:v>1313</x:v>
      </x:c>
      <x:c r="D405" s="79" t="s">
        <x:v>1307</x:v>
      </x:c>
      <x:c r="E405" s="79" t="s">
        <x:v>16</x:v>
      </x:c>
      <x:c r="F405" s="79" t="s">
        <x:v>16</x:v>
      </x:c>
      <x:c r="G405" s="79" t="str">
        <x:f>IF(RIGHT($A405,2)="-2",INDEX('قیمت ها'!$E:$E,$J405+2),INDEX('قیمت ها'!$B:$B,$J405+2))</x:f>
        <x:v>2/800</x:v>
      </x:c>
      <x:c r="H405" s="110">
        <x:f t="shared" si="12"/>
        <x:v>2800000</x:v>
      </x:c>
      <x:c r="I405" s="79" t="str">
        <x:f t="shared" si="13"/>
        <x:v>فعال</x:v>
      </x:c>
      <x:c r="J405" s="79">
        <x:v>30</x:v>
      </x:c>
      <x:c r="K405" s="79" t="s">
        <x:v>1312</x:v>
      </x:c>
      <x:c r="L405" s="79"/>
      <x:c r="M405" s="79"/>
      <x:c r="N405" s="79"/>
      <x:c r="O405" s="79"/>
      <x:c r="P405" s="79"/>
      <x:c r="Q405" s="79"/>
      <x:c r="R405" s="79"/>
      <x:c r="S405" s="79"/>
      <x:c r="T405" s="79"/>
      <x:c r="U405" s="79"/>
      <x:c r="V405" s="79"/>
      <x:c r="W405" s="79"/>
      <x:c r="X405" s="79"/>
      <x:c r="Y405" s="79"/>
      <x:c r="Z405" s="79"/>
      <x:c r="AA405" s="79" t="str">
        <x:f>IF(AND(LEN($N$2)&gt;=3,ISNUMBER(SEARCH($N$2,$B405))),MAX($AA$1:AA404)+1,"")</x:f>
      </x:c>
      <x:c r="AB405" s="79" t="str">
        <x:v>6a3a00000000000000000002</x:v>
      </x:c>
      <x:c r="AC405" s="79" t="str">
        <x:v>حبوبات و غلات</x:v>
      </x:c>
      <x:c r="AD405" s="79" t="str">
        <x:v>legumes-grains</x:v>
      </x:c>
      <x:c r="AE405" s="79" t="str">
        <x:v>EDIBLE</x:v>
      </x:c>
      <x:c r="AF405" s="79" t="str">
        <x:v>بله</x:v>
      </x:c>
      <x:c r="AG405" s="79" t="str">
        <x:v>خیر</x:v>
      </x:c>
      <x:c r="AH405" s="79" t="n">
        <x:v>1</x:v>
      </x:c>
      <x:c r="AI405" s="79" t="str">
        <x:v>اسپند نخودی</x:v>
      </x:c>
      <x:c r="AJ405" s="79" t="str">
        <x:v>گیاهان دارویی</x:v>
      </x:c>
      <x:c r="AK405" s="79"/>
    </x:row>
    <x:row r="406">
      <x:c r="A406" s="79" t="s">
        <x:v>1314</x:v>
      </x:c>
      <x:c r="B406" s="79" t="s">
        <x:v>45</x:v>
      </x:c>
      <x:c r="C406" s="79" t="s">
        <x:v>1315</x:v>
      </x:c>
      <x:c r="D406" s="79" t="s">
        <x:v>1307</x:v>
      </x:c>
      <x:c r="E406" s="79" t="s">
        <x:v>16</x:v>
      </x:c>
      <x:c r="F406" s="79" t="s">
        <x:v>16</x:v>
      </x:c>
      <x:c r="G406" s="79" t="n">
        <x:f>IF(RIGHT($A406,2)="-2",INDEX('قیمت ها'!$E:$E,$J406+2),INDEX('قیمت ها'!$B:$B,$J406+2))</x:f>
        <x:v>200</x:v>
      </x:c>
      <x:c r="H406" s="110">
        <x:f t="shared" si="12"/>
        <x:v>200000</x:v>
      </x:c>
      <x:c r="I406" s="79" t="str">
        <x:f t="shared" si="13"/>
        <x:v>فعال</x:v>
      </x:c>
      <x:c r="J406" s="79">
        <x:v>27</x:v>
      </x:c>
      <x:c r="K406" s="79" t="s">
        <x:v>1314</x:v>
      </x:c>
      <x:c r="L406" s="79"/>
      <x:c r="M406" s="79"/>
      <x:c r="N406" s="79"/>
      <x:c r="O406" s="79"/>
      <x:c r="P406" s="79"/>
      <x:c r="Q406" s="79"/>
      <x:c r="R406" s="79"/>
      <x:c r="S406" s="79"/>
      <x:c r="T406" s="79"/>
      <x:c r="U406" s="79"/>
      <x:c r="V406" s="79"/>
      <x:c r="W406" s="79"/>
      <x:c r="X406" s="79"/>
      <x:c r="Y406" s="79"/>
      <x:c r="Z406" s="79"/>
      <x:c r="AA406" s="79" t="str">
        <x:f>IF(AND(LEN($N$2)&gt;=3,ISNUMBER(SEARCH($N$2,$B406))),MAX($AA$1:AA405)+1,"")</x:f>
      </x:c>
      <x:c r="AB406" s="79" t="str">
        <x:v>6a3a00000000000000000003</x:v>
      </x:c>
      <x:c r="AC406" s="79" t="str">
        <x:v>قنادی و شیرینی</x:v>
      </x:c>
      <x:c r="AD406" s="79" t="str">
        <x:v>confectionery</x:v>
      </x:c>
      <x:c r="AE406" s="79" t="str">
        <x:v>EDIBLE</x:v>
      </x:c>
      <x:c r="AF406" s="79" t="str">
        <x:v>بله</x:v>
      </x:c>
      <x:c r="AG406" s="79" t="str">
        <x:v>خیر</x:v>
      </x:c>
      <x:c r="AH406" s="79" t="n">
        <x:v>1</x:v>
      </x:c>
      <x:c r="AI406" s="79" t="str">
        <x:v>ارده</x:v>
      </x:c>
      <x:c r="AJ406" s="79" t="str">
        <x:v>گیاهان دارویی</x:v>
      </x:c>
      <x:c r="AK406" s="79"/>
    </x:row>
    <x:row r="407">
      <x:c r="A407" s="79" t="s">
        <x:v>1316</x:v>
      </x:c>
      <x:c r="B407" s="79" t="s">
        <x:v>44</x:v>
      </x:c>
      <x:c r="C407" s="79" t="s">
        <x:v>1317</x:v>
      </x:c>
      <x:c r="D407" s="79" t="s">
        <x:v>1307</x:v>
      </x:c>
      <x:c r="E407" s="79" t="s">
        <x:v>16</x:v>
      </x:c>
      <x:c r="F407" s="79" t="s">
        <x:v>16</x:v>
      </x:c>
      <x:c r="G407" s="79" t="n">
        <x:f>IF(RIGHT($A407,2)="-2",INDEX('قیمت ها'!$E:$E,$J407+2),INDEX('قیمت ها'!$B:$B,$J407+2))</x:f>
        <x:v>140</x:v>
      </x:c>
      <x:c r="H407" s="110">
        <x:f t="shared" si="12"/>
        <x:v>140000</x:v>
      </x:c>
      <x:c r="I407" s="79" t="str">
        <x:f t="shared" si="13"/>
        <x:v>فعال</x:v>
      </x:c>
      <x:c r="J407" s="79">
        <x:v>26</x:v>
      </x:c>
      <x:c r="K407" s="79" t="s">
        <x:v>1316</x:v>
      </x:c>
      <x:c r="L407" s="79"/>
      <x:c r="M407" s="79"/>
      <x:c r="N407" s="79"/>
      <x:c r="O407" s="79"/>
      <x:c r="P407" s="79"/>
      <x:c r="Q407" s="79"/>
      <x:c r="R407" s="79"/>
      <x:c r="S407" s="79"/>
      <x:c r="T407" s="79"/>
      <x:c r="U407" s="79"/>
      <x:c r="V407" s="79"/>
      <x:c r="W407" s="79"/>
      <x:c r="X407" s="79"/>
      <x:c r="Y407" s="79"/>
      <x:c r="Z407" s="79"/>
      <x:c r="AA407" s="79" t="str">
        <x:f>IF(AND(LEN($N$2)&gt;=3,ISNUMBER(SEARCH($N$2,$B407))),MAX($AA$1:AA406)+1,"")</x:f>
      </x:c>
      <x:c r="AB407" s="79" t="str">
        <x:v>6a3781e4df5573f4e676e226</x:v>
      </x:c>
      <x:c r="AC407" s="79" t="str">
        <x:v>ادویه</x:v>
      </x:c>
      <x:c r="AD407" s="79" t="str">
        <x:v>spice</x:v>
      </x:c>
      <x:c r="AE407" s="79" t="str">
        <x:v>EDIBLE</x:v>
      </x:c>
      <x:c r="AF407" s="79" t="str">
        <x:v>بله</x:v>
      </x:c>
      <x:c r="AG407" s="79" t="str">
        <x:v>خیر</x:v>
      </x:c>
      <x:c r="AH407" s="79" t="n">
        <x:v>1</x:v>
      </x:c>
      <x:c r="AI407" s="79" t="str">
        <x:v>ادویه مرغ</x:v>
      </x:c>
      <x:c r="AJ407" s="79" t="str">
        <x:v>گیاهان دارویی</x:v>
      </x:c>
      <x:c r="AK407" s="79"/>
    </x:row>
    <x:row r="408">
      <x:c r="A408" s="79" t="s">
        <x:v>1318</x:v>
      </x:c>
      <x:c r="B408" s="79" t="s">
        <x:v>67</x:v>
      </x:c>
      <x:c r="C408" s="79" t="s">
        <x:v>1319</x:v>
      </x:c>
      <x:c r="D408" s="79" t="s">
        <x:v>1307</x:v>
      </x:c>
      <x:c r="E408" s="79" t="s">
        <x:v>16</x:v>
      </x:c>
      <x:c r="F408" s="79" t="s">
        <x:v>16</x:v>
      </x:c>
      <x:c r="G408" s="79" t="str">
        <x:f>IF(RIGHT($A408,2)="-2",INDEX('قیمت ها'!$E:$E,$J408+2),INDEX('قیمت ها'!$B:$B,$J408+2))</x:f>
        <x:v>1/800</x:v>
      </x:c>
      <x:c r="H408" s="110">
        <x:f t="shared" si="12"/>
        <x:v>1800000</x:v>
      </x:c>
      <x:c r="I408" s="79" t="str">
        <x:f t="shared" si="13"/>
        <x:v>فعال</x:v>
      </x:c>
      <x:c r="J408" s="79">
        <x:v>41</x:v>
      </x:c>
      <x:c r="K408" s="79" t="s">
        <x:v>1318</x:v>
      </x:c>
      <x:c r="L408" s="79"/>
      <x:c r="M408" s="79"/>
      <x:c r="N408" s="79"/>
      <x:c r="O408" s="79"/>
      <x:c r="P408" s="79"/>
      <x:c r="Q408" s="79"/>
      <x:c r="R408" s="79"/>
      <x:c r="S408" s="79"/>
      <x:c r="T408" s="79"/>
      <x:c r="U408" s="79"/>
      <x:c r="V408" s="79"/>
      <x:c r="W408" s="79"/>
      <x:c r="X408" s="79"/>
      <x:c r="Y408" s="79"/>
      <x:c r="Z408" s="79"/>
      <x:c r="AA408" s="79" t="str">
        <x:f>IF(AND(LEN($N$2)&gt;=3,ISNUMBER(SEARCH($N$2,$B408))),MAX($AA$1:AA407)+1,"")</x:f>
      </x:c>
      <x:c r="AB408" s="79" t="str">
        <x:v>6a3782d7df5573f4e676e243</x:v>
      </x:c>
      <x:c r="AC408" s="79" t="str">
        <x:v>گیاهان دارویی</x:v>
      </x:c>
      <x:c r="AD408" s="79" t="str">
        <x:v>medicinal-plants</x:v>
      </x:c>
      <x:c r="AE408" s="79" t="str">
        <x:v>EDIBLE</x:v>
      </x:c>
      <x:c r="AF408" s="79" t="str">
        <x:v>بله</x:v>
      </x:c>
      <x:c r="AG408" s="79" t="str">
        <x:v>خیر</x:v>
      </x:c>
      <x:c r="AH408" s="79" t="n">
        <x:v>1</x:v>
      </x:c>
      <x:c r="AI408" s="79" t="str">
        <x:v>آویشن شیرازی</x:v>
      </x:c>
      <x:c r="AJ408" s="79" t="str">
        <x:v>گیاهان دارویی</x:v>
      </x:c>
      <x:c r="AK408" s="79"/>
    </x:row>
    <x:row r="409">
      <x:c r="A409" s="79" t="s">
        <x:v>1320</x:v>
      </x:c>
      <x:c r="B409" s="79" t="s">
        <x:v>71</x:v>
      </x:c>
      <x:c r="C409" s="79" t="s">
        <x:v>1321</x:v>
      </x:c>
      <x:c r="D409" s="79" t="s">
        <x:v>1307</x:v>
      </x:c>
      <x:c r="E409" s="79" t="s">
        <x:v>16</x:v>
      </x:c>
      <x:c r="F409" s="79" t="s">
        <x:v>16</x:v>
      </x:c>
      <x:c r="G409" s="79" t="str">
        <x:f>IF(RIGHT($A409,2)="-2",INDEX('قیمت ها'!$E:$E,$J409+2),INDEX('قیمت ها'!$B:$B,$J409+2))</x:f>
        <x:v>2/900</x:v>
      </x:c>
      <x:c r="H409" s="110">
        <x:f t="shared" si="12"/>
        <x:v>2900000</x:v>
      </x:c>
      <x:c r="I409" s="79" t="str">
        <x:f t="shared" si="13"/>
        <x:v>فعال</x:v>
      </x:c>
      <x:c r="J409" s="79">
        <x:v>44</x:v>
      </x:c>
      <x:c r="K409" s="79" t="s">
        <x:v>1320</x:v>
      </x:c>
      <x:c r="L409" s="79"/>
      <x:c r="M409" s="79"/>
      <x:c r="N409" s="79"/>
      <x:c r="O409" s="79"/>
      <x:c r="P409" s="79"/>
      <x:c r="Q409" s="79"/>
      <x:c r="R409" s="79"/>
      <x:c r="S409" s="79"/>
      <x:c r="T409" s="79"/>
      <x:c r="U409" s="79"/>
      <x:c r="V409" s="79"/>
      <x:c r="W409" s="79"/>
      <x:c r="X409" s="79"/>
      <x:c r="Y409" s="79"/>
      <x:c r="Z409" s="79"/>
      <x:c r="AA409" s="79" t="str">
        <x:f>IF(AND(LEN($N$2)&gt;=3,ISNUMBER(SEARCH($N$2,$B409))),MAX($AA$1:AA408)+1,"")</x:f>
      </x:c>
      <x:c r="AB409" s="79" t="str">
        <x:v>6a37810ddf5573f4e676e201</x:v>
      </x:c>
      <x:c r="AC409" s="79" t="str">
        <x:v>خشکبار و آجیل</x:v>
      </x:c>
      <x:c r="AD409" s="79" t="str">
        <x:v>dried-fruits-nuts</x:v>
      </x:c>
      <x:c r="AE409" s="79" t="str">
        <x:v>EDIBLE</x:v>
      </x:c>
      <x:c r="AF409" s="79" t="str">
        <x:v>بله</x:v>
      </x:c>
      <x:c r="AG409" s="79" t="str">
        <x:v>خیر</x:v>
      </x:c>
      <x:c r="AH409" s="79" t="n">
        <x:v>1</x:v>
      </x:c>
      <x:c r="AI409" s="79" t="str">
        <x:v>بادام زمینی</x:v>
      </x:c>
      <x:c r="AJ409" s="79" t="str">
        <x:v>گیاهان دارویی</x:v>
      </x:c>
      <x:c r="AK409" s="79" t="str">
        <x:v>MERGED</x:v>
      </x:c>
    </x:row>
    <x:row r="410">
      <x:c r="A410" s="79" t="s">
        <x:v>1322</x:v>
      </x:c>
      <x:c r="B410" s="79" t="s">
        <x:v>73</x:v>
      </x:c>
      <x:c r="C410" s="79" t="s">
        <x:v>1323</x:v>
      </x:c>
      <x:c r="D410" s="79" t="s">
        <x:v>1307</x:v>
      </x:c>
      <x:c r="E410" s="79" t="s">
        <x:v>16</x:v>
      </x:c>
      <x:c r="F410" s="79" t="s">
        <x:v>16</x:v>
      </x:c>
      <x:c r="G410" s="79" t="str">
        <x:f>IF(RIGHT($A410,2)="-2",INDEX('قیمت ها'!$E:$E,$J410+2),INDEX('قیمت ها'!$B:$B,$J410+2))</x:f>
        <x:v>1/950</x:v>
      </x:c>
      <x:c r="H410" s="110">
        <x:f t="shared" si="12"/>
        <x:v>1950000</x:v>
      </x:c>
      <x:c r="I410" s="79" t="str">
        <x:f t="shared" si="13"/>
        <x:v>فعال</x:v>
      </x:c>
      <x:c r="J410" s="79">
        <x:v>45</x:v>
      </x:c>
      <x:c r="K410" s="79" t="s">
        <x:v>1322</x:v>
      </x:c>
      <x:c r="L410" s="79"/>
      <x:c r="M410" s="79"/>
      <x:c r="N410" s="79"/>
      <x:c r="O410" s="79"/>
      <x:c r="P410" s="79"/>
      <x:c r="Q410" s="79"/>
      <x:c r="R410" s="79"/>
      <x:c r="S410" s="79"/>
      <x:c r="T410" s="79"/>
      <x:c r="U410" s="79"/>
      <x:c r="V410" s="79"/>
      <x:c r="W410" s="79"/>
      <x:c r="X410" s="79"/>
      <x:c r="Y410" s="79"/>
      <x:c r="Z410" s="79"/>
      <x:c r="AA410" s="79" t="str">
        <x:f>IF(AND(LEN($N$2)&gt;=3,ISNUMBER(SEARCH($N$2,$B410))),MAX($AA$1:AA409)+1,"")</x:f>
      </x:c>
      <x:c r="AB410" s="79" t="str">
        <x:v>6a37810ddf5573f4e676e201</x:v>
      </x:c>
      <x:c r="AC410" s="79" t="str">
        <x:v>خشکبار و آجیل</x:v>
      </x:c>
      <x:c r="AD410" s="79" t="str">
        <x:v>dried-fruits-nuts</x:v>
      </x:c>
      <x:c r="AE410" s="79" t="str">
        <x:v>EDIBLE</x:v>
      </x:c>
      <x:c r="AF410" s="79" t="str">
        <x:v>بله</x:v>
      </x:c>
      <x:c r="AG410" s="79" t="str">
        <x:v>خیر</x:v>
      </x:c>
      <x:c r="AH410" s="79" t="n">
        <x:v>1</x:v>
      </x:c>
      <x:c r="AI410" s="79" t="str">
        <x:v>بادام زمینی</x:v>
      </x:c>
      <x:c r="AJ410" s="79" t="str">
        <x:v>گیاهان دارویی</x:v>
      </x:c>
      <x:c r="AK410" s="79" t="str">
        <x:v>MERGED + MISSING_PRICE_REVIEW</x:v>
      </x:c>
    </x:row>
    <x:row r="411">
      <x:c r="A411" s="79" t="s">
        <x:v>1324</x:v>
      </x:c>
      <x:c r="B411" s="79" t="s">
        <x:v>75</x:v>
      </x:c>
      <x:c r="C411" s="79" t="s">
        <x:v>1325</x:v>
      </x:c>
      <x:c r="D411" s="79" t="s">
        <x:v>1307</x:v>
      </x:c>
      <x:c r="E411" s="79" t="s">
        <x:v>16</x:v>
      </x:c>
      <x:c r="F411" s="79" t="s">
        <x:v>16</x:v>
      </x:c>
      <x:c r="G411" s="79" t="n">
        <x:f>IF(RIGHT($A411,2)="-2",INDEX('قیمت ها'!$E:$E,$J411+2),INDEX('قیمت ها'!$B:$B,$J411+2))</x:f>
        <x:v>890</x:v>
      </x:c>
      <x:c r="H411" s="110">
        <x:f t="shared" si="12"/>
        <x:v>890000</x:v>
      </x:c>
      <x:c r="I411" s="79" t="str">
        <x:f t="shared" si="13"/>
        <x:v>فعال</x:v>
      </x:c>
      <x:c r="J411" s="79">
        <x:v>46</x:v>
      </x:c>
      <x:c r="K411" s="79" t="s">
        <x:v>1324</x:v>
      </x:c>
      <x:c r="L411" s="79"/>
      <x:c r="M411" s="79"/>
      <x:c r="N411" s="79"/>
      <x:c r="O411" s="79"/>
      <x:c r="P411" s="79"/>
      <x:c r="Q411" s="79"/>
      <x:c r="R411" s="79"/>
      <x:c r="S411" s="79"/>
      <x:c r="T411" s="79"/>
      <x:c r="U411" s="79"/>
      <x:c r="V411" s="79"/>
      <x:c r="W411" s="79"/>
      <x:c r="X411" s="79"/>
      <x:c r="Y411" s="79"/>
      <x:c r="Z411" s="79"/>
      <x:c r="AA411" s="79" t="str">
        <x:f>IF(AND(LEN($N$2)&gt;=3,ISNUMBER(SEARCH($N$2,$B411))),MAX($AA$1:AA410)+1,"")</x:f>
      </x:c>
      <x:c r="AB411" s="79" t="str">
        <x:v>6a3782d7df5573f4e676e243</x:v>
      </x:c>
      <x:c r="AC411" s="79" t="str">
        <x:v>گیاهان دارویی</x:v>
      </x:c>
      <x:c r="AD411" s="79" t="str">
        <x:v>medicinal-plants</x:v>
      </x:c>
      <x:c r="AE411" s="79" t="str">
        <x:v>EDIBLE</x:v>
      </x:c>
      <x:c r="AF411" s="79" t="str">
        <x:v>بله</x:v>
      </x:c>
      <x:c r="AG411" s="79" t="str">
        <x:v>خیر</x:v>
      </x:c>
      <x:c r="AH411" s="79" t="n">
        <x:v>1</x:v>
      </x:c>
      <x:c r="AI411" s="79" t="str">
        <x:v>بادرنجبویه</x:v>
      </x:c>
      <x:c r="AJ411" s="79" t="str">
        <x:v>گیاهان دارویی</x:v>
      </x:c>
      <x:c r="AK411" s="79"/>
    </x:row>
    <x:row r="412">
      <x:c r="A412" s="79" t="s">
        <x:v>1326</x:v>
      </x:c>
      <x:c r="B412" s="79" t="s">
        <x:v>79</x:v>
      </x:c>
      <x:c r="C412" s="79" t="s">
        <x:v>1327</x:v>
      </x:c>
      <x:c r="D412" s="79" t="s">
        <x:v>1307</x:v>
      </x:c>
      <x:c r="E412" s="79" t="s">
        <x:v>16</x:v>
      </x:c>
      <x:c r="F412" s="79" t="s">
        <x:v>16</x:v>
      </x:c>
      <x:c r="G412" s="79" t="str">
        <x:f>IF(RIGHT($A412,2)="-2",INDEX('قیمت ها'!$E:$E,$J412+2),INDEX('قیمت ها'!$B:$B,$J412+2))</x:f>
        <x:v>1/500</x:v>
      </x:c>
      <x:c r="H412" s="110">
        <x:f t="shared" si="12"/>
        <x:v>1500000</x:v>
      </x:c>
      <x:c r="I412" s="79" t="str">
        <x:f t="shared" si="13"/>
        <x:v>فعال</x:v>
      </x:c>
      <x:c r="J412" s="79">
        <x:v>49</x:v>
      </x:c>
      <x:c r="K412" s="79" t="s">
        <x:v>1326</x:v>
      </x:c>
      <x:c r="L412" s="79"/>
      <x:c r="M412" s="79"/>
      <x:c r="N412" s="79"/>
      <x:c r="O412" s="79"/>
      <x:c r="P412" s="79"/>
      <x:c r="Q412" s="79"/>
      <x:c r="R412" s="79"/>
      <x:c r="S412" s="79"/>
      <x:c r="T412" s="79"/>
      <x:c r="U412" s="79"/>
      <x:c r="V412" s="79"/>
      <x:c r="W412" s="79"/>
      <x:c r="X412" s="79"/>
      <x:c r="Y412" s="79"/>
      <x:c r="Z412" s="79"/>
      <x:c r="AA412" s="79" t="str">
        <x:f>IF(AND(LEN($N$2)&gt;=3,ISNUMBER(SEARCH($N$2,$B412))),MAX($AA$1:AA411)+1,"")</x:f>
      </x:c>
      <x:c r="AB412" s="79" t="str">
        <x:v>6a3a00000000000000000002</x:v>
      </x:c>
      <x:c r="AC412" s="79" t="str">
        <x:v>حبوبات و غلات</x:v>
      </x:c>
      <x:c r="AD412" s="79" t="str">
        <x:v>legumes-grains</x:v>
      </x:c>
      <x:c r="AE412" s="79" t="str">
        <x:v>EDIBLE</x:v>
      </x:c>
      <x:c r="AF412" s="79" t="str">
        <x:v>بله</x:v>
      </x:c>
      <x:c r="AG412" s="79" t="str">
        <x:v>خیر</x:v>
      </x:c>
      <x:c r="AH412" s="79" t="n">
        <x:v>1</x:v>
      </x:c>
      <x:c r="AI412" s="79" t="str">
        <x:v>باقلا خشک</x:v>
      </x:c>
      <x:c r="AJ412" s="79" t="str">
        <x:v>گیاهان دارویی</x:v>
      </x:c>
      <x:c r="AK412" s="79"/>
    </x:row>
    <x:row r="413">
      <x:c r="A413" s="79" t="s">
        <x:v>1328</x:v>
      </x:c>
      <x:c r="B413" s="79" t="s">
        <x:v>83</x:v>
      </x:c>
      <x:c r="C413" s="79" t="s">
        <x:v>1329</x:v>
      </x:c>
      <x:c r="D413" s="79" t="s">
        <x:v>1307</x:v>
      </x:c>
      <x:c r="E413" s="79" t="s">
        <x:v>16</x:v>
      </x:c>
      <x:c r="F413" s="79" t="s">
        <x:v>16</x:v>
      </x:c>
      <x:c r="G413" s="79" t="n">
        <x:f>IF(RIGHT($A413,2)="-2",INDEX('قیمت ها'!$E:$E,$J413+2),INDEX('قیمت ها'!$B:$B,$J413+2))</x:f>
        <x:v>650</x:v>
      </x:c>
      <x:c r="H413" s="110">
        <x:f t="shared" si="12"/>
        <x:v>650000</x:v>
      </x:c>
      <x:c r="I413" s="79" t="str">
        <x:f t="shared" si="13"/>
        <x:v>فعال</x:v>
      </x:c>
      <x:c r="J413" s="79">
        <x:v>52</x:v>
      </x:c>
      <x:c r="K413" s="79" t="s">
        <x:v>1328</x:v>
      </x:c>
      <x:c r="L413" s="79"/>
      <x:c r="M413" s="79"/>
      <x:c r="N413" s="79"/>
      <x:c r="O413" s="79"/>
      <x:c r="P413" s="79"/>
      <x:c r="Q413" s="79"/>
      <x:c r="R413" s="79"/>
      <x:c r="S413" s="79"/>
      <x:c r="T413" s="79"/>
      <x:c r="U413" s="79"/>
      <x:c r="V413" s="79"/>
      <x:c r="W413" s="79"/>
      <x:c r="X413" s="79"/>
      <x:c r="Y413" s="79"/>
      <x:c r="Z413" s="79"/>
      <x:c r="AA413" s="79" t="str">
        <x:f>IF(AND(LEN($N$2)&gt;=3,ISNUMBER(SEARCH($N$2,$B413))),MAX($AA$1:AA412)+1,"")</x:f>
      </x:c>
      <x:c r="AB413" s="79" t="str">
        <x:v>6a3a00000000000000000004</x:v>
      </x:c>
      <x:c r="AC413" s="79" t="str">
        <x:v>آرد و قنادی</x:v>
      </x:c>
      <x:c r="AD413" s="79" t="str">
        <x:v>flour-confectionery</x:v>
      </x:c>
      <x:c r="AE413" s="79" t="str">
        <x:v>EDIBLE</x:v>
      </x:c>
      <x:c r="AF413" s="79" t="str">
        <x:v>بله</x:v>
      </x:c>
      <x:c r="AG413" s="79" t="str">
        <x:v>خیر</x:v>
      </x:c>
      <x:c r="AH413" s="79" t="n">
        <x:v>1</x:v>
      </x:c>
      <x:c r="AI413" s="79" t="str">
        <x:v>بکینگ پودر</x:v>
      </x:c>
      <x:c r="AJ413" s="79" t="str">
        <x:v>گیاهان دارویی</x:v>
      </x:c>
      <x:c r="AK413" s="79"/>
    </x:row>
    <x:row r="414">
      <x:c r="A414" s="79" t="s">
        <x:v>1330</x:v>
      </x:c>
      <x:c r="B414" s="79" t="s">
        <x:v>156</x:v>
      </x:c>
      <x:c r="C414" s="79" t="s">
        <x:v>1331</x:v>
      </x:c>
      <x:c r="D414" s="79" t="s">
        <x:v>1307</x:v>
      </x:c>
      <x:c r="E414" s="79" t="s">
        <x:v>16</x:v>
      </x:c>
      <x:c r="F414" s="79" t="s">
        <x:v>16</x:v>
      </x:c>
      <x:c r="G414" s="79" t="n">
        <x:f>IF(RIGHT($A414,2)="-2",INDEX('قیمت ها'!$E:$E,$J414+2),INDEX('قیمت ها'!$B:$B,$J414+2))</x:f>
        <x:v>390</x:v>
      </x:c>
      <x:c r="H414" s="110">
        <x:f t="shared" si="12"/>
        <x:v>390000</x:v>
      </x:c>
      <x:c r="I414" s="79" t="str">
        <x:f t="shared" si="13"/>
        <x:v>فعال</x:v>
      </x:c>
      <x:c r="J414" s="79">
        <x:v>109</x:v>
      </x:c>
      <x:c r="K414" s="79" t="s">
        <x:v>1330</x:v>
      </x:c>
      <x:c r="L414" s="79"/>
      <x:c r="M414" s="79"/>
      <x:c r="N414" s="79"/>
      <x:c r="O414" s="79"/>
      <x:c r="P414" s="79"/>
      <x:c r="Q414" s="79"/>
      <x:c r="R414" s="79"/>
      <x:c r="S414" s="79"/>
      <x:c r="T414" s="79"/>
      <x:c r="U414" s="79"/>
      <x:c r="V414" s="79"/>
      <x:c r="W414" s="79"/>
      <x:c r="X414" s="79"/>
      <x:c r="Y414" s="79"/>
      <x:c r="Z414" s="79"/>
      <x:c r="AA414" s="79" t="str">
        <x:f>IF(AND(LEN($N$2)&gt;=3,ISNUMBER(SEARCH($N$2,$B414))),MAX($AA$1:AA413)+1,"")</x:f>
      </x:c>
      <x:c r="AB414" s="79" t="str">
        <x:v>6a3782d7df5573f4e676e243</x:v>
      </x:c>
      <x:c r="AC414" s="79" t="str">
        <x:v>گیاهان دارویی</x:v>
      </x:c>
      <x:c r="AD414" s="79" t="str">
        <x:v>medicinal-plants</x:v>
      </x:c>
      <x:c r="AE414" s="79" t="str">
        <x:v>TOPICAL</x:v>
      </x:c>
      <x:c r="AF414" s="79" t="str">
        <x:v>خیر</x:v>
      </x:c>
      <x:c r="AG414" s="79" t="str">
        <x:v>خیر</x:v>
      </x:c>
      <x:c r="AH414" s="79" t="n">
        <x:v>1</x:v>
      </x:c>
      <x:c r="AI414" s="79" t="str">
        <x:v>حنا</x:v>
      </x:c>
      <x:c r="AJ414" s="79" t="str">
        <x:v>گیاهان دارویی</x:v>
      </x:c>
      <x:c r="AK414" s="79" t="str">
        <x:v>MISSING_PRICE_REVIEW</x:v>
      </x:c>
    </x:row>
    <x:row r="415">
      <x:c r="A415" s="79" t="s">
        <x:v>1332</x:v>
      </x:c>
      <x:c r="B415" s="79" t="s">
        <x:v>258</x:v>
      </x:c>
      <x:c r="C415" s="79" t="s">
        <x:v>1333</x:v>
      </x:c>
      <x:c r="D415" s="79" t="s">
        <x:v>1307</x:v>
      </x:c>
      <x:c r="E415" s="79" t="s">
        <x:v>16</x:v>
      </x:c>
      <x:c r="F415" s="79" t="s">
        <x:v>16</x:v>
      </x:c>
      <x:c r="G415" s="79" t="n">
        <x:f>IF(RIGHT($A415,2)="-2",INDEX('قیمت ها'!$E:$E,$J415+2),INDEX('قیمت ها'!$B:$B,$J415+2))</x:f>
        <x:v>500</x:v>
      </x:c>
      <x:c r="H415" s="110">
        <x:f t="shared" si="12"/>
        <x:v>500000</x:v>
      </x:c>
      <x:c r="I415" s="79" t="str">
        <x:f t="shared" si="13"/>
        <x:v>فعال</x:v>
      </x:c>
      <x:c r="J415" s="79">
        <x:v>199</x:v>
      </x:c>
      <x:c r="K415" s="79" t="s">
        <x:v>1332</x:v>
      </x:c>
      <x:c r="L415" s="79"/>
      <x:c r="M415" s="79"/>
      <x:c r="N415" s="79"/>
      <x:c r="O415" s="79"/>
      <x:c r="P415" s="79"/>
      <x:c r="Q415" s="79"/>
      <x:c r="R415" s="79"/>
      <x:c r="S415" s="79"/>
      <x:c r="T415" s="79"/>
      <x:c r="U415" s="79"/>
      <x:c r="V415" s="79"/>
      <x:c r="W415" s="79"/>
      <x:c r="X415" s="79"/>
      <x:c r="Y415" s="79"/>
      <x:c r="Z415" s="79"/>
      <x:c r="AA415" s="79" t="str">
        <x:f>IF(AND(LEN($N$2)&gt;=3,ISNUMBER(SEARCH($N$2,$B415))),MAX($AA$1:AA414)+1,"")</x:f>
      </x:c>
      <x:c r="AB415" s="79" t="str">
        <x:v>6a3781e4df5573f4e676e226</x:v>
      </x:c>
      <x:c r="AC415" s="79" t="str">
        <x:v>ادویه</x:v>
      </x:c>
      <x:c r="AD415" s="79" t="str">
        <x:v>spice</x:v>
      </x:c>
      <x:c r="AE415" s="79" t="str">
        <x:v>EDIBLE</x:v>
      </x:c>
      <x:c r="AF415" s="79" t="str">
        <x:v>بله</x:v>
      </x:c>
      <x:c r="AG415" s="79" t="str">
        <x:v>خیر</x:v>
      </x:c>
      <x:c r="AH415" s="79" t="n">
        <x:v>1</x:v>
      </x:c>
      <x:c r="AI415" s="79" t="str">
        <x:v>زعفران</x:v>
      </x:c>
      <x:c r="AJ415" s="79" t="str">
        <x:v>گیاهان دارویی</x:v>
      </x:c>
      <x:c r="AK415" s="79" t="str">
        <x:v>MISSING_PRICE_REVIEW</x:v>
      </x:c>
    </x:row>
    <x:row r="416">
      <x:c r="A416" s="79" t="s">
        <x:v>1334</x:v>
      </x:c>
      <x:c r="B416" s="79" t="s">
        <x:v>275</x:v>
      </x:c>
      <x:c r="C416" s="79" t="s">
        <x:v>1335</x:v>
      </x:c>
      <x:c r="D416" s="79" t="s">
        <x:v>1307</x:v>
      </x:c>
      <x:c r="E416" s="79" t="s">
        <x:v>16</x:v>
      </x:c>
      <x:c r="F416" s="79" t="s">
        <x:v>16</x:v>
      </x:c>
      <x:c r="G416" s="79" t="str">
        <x:f>IF(RIGHT($A416,2)="-2",INDEX('قیمت ها'!$E:$E,$J416+2),INDEX('قیمت ها'!$B:$B,$J416+2))</x:f>
        <x:v>2/600</x:v>
      </x:c>
      <x:c r="H416" s="110">
        <x:f t="shared" si="12"/>
        <x:v>2600000</x:v>
      </x:c>
      <x:c r="I416" s="79" t="str">
        <x:f t="shared" si="13"/>
        <x:v>فعال</x:v>
      </x:c>
      <x:c r="J416" s="79">
        <x:v>212</x:v>
      </x:c>
      <x:c r="K416" s="79" t="s">
        <x:v>1334</x:v>
      </x:c>
      <x:c r="L416" s="79"/>
      <x:c r="M416" s="79"/>
      <x:c r="N416" s="79"/>
      <x:c r="O416" s="79"/>
      <x:c r="P416" s="79"/>
      <x:c r="Q416" s="79"/>
      <x:c r="R416" s="79"/>
      <x:c r="S416" s="79"/>
      <x:c r="T416" s="79"/>
      <x:c r="U416" s="79"/>
      <x:c r="V416" s="79"/>
      <x:c r="W416" s="79"/>
      <x:c r="X416" s="79"/>
      <x:c r="Y416" s="79"/>
      <x:c r="Z416" s="79"/>
      <x:c r="AA416" s="79" t="str">
        <x:f>IF(AND(LEN($N$2)&gt;=3,ISNUMBER(SEARCH($N$2,$B416))),MAX($AA$1:AA415)+1,"")</x:f>
      </x:c>
      <x:c r="AB416" s="79" t="str">
        <x:v>6a3781e4df5573f4e676e226</x:v>
      </x:c>
      <x:c r="AC416" s="79" t="str">
        <x:v>ادویه</x:v>
      </x:c>
      <x:c r="AD416" s="79" t="str">
        <x:v>spice</x:v>
      </x:c>
      <x:c r="AE416" s="79" t="str">
        <x:v>EDIBLE</x:v>
      </x:c>
      <x:c r="AF416" s="79" t="str">
        <x:v>بله</x:v>
      </x:c>
      <x:c r="AG416" s="79" t="str">
        <x:v>خیر</x:v>
      </x:c>
      <x:c r="AH416" s="79" t="n">
        <x:v>1</x:v>
      </x:c>
      <x:c r="AI416" s="79" t="str">
        <x:v>سماق ناساب</x:v>
      </x:c>
      <x:c r="AJ416" s="79" t="str">
        <x:v>گیاهان دارویی</x:v>
      </x:c>
      <x:c r="AK416" s="79"/>
    </x:row>
    <x:row r="417">
      <x:c r="A417" s="79" t="s">
        <x:v>1336</x:v>
      </x:c>
      <x:c r="B417" s="79" t="s">
        <x:v>310</x:v>
      </x:c>
      <x:c r="C417" s="79" t="s">
        <x:v>1337</x:v>
      </x:c>
      <x:c r="D417" s="79" t="s">
        <x:v>1307</x:v>
      </x:c>
      <x:c r="E417" s="79" t="s">
        <x:v>16</x:v>
      </x:c>
      <x:c r="F417" s="79" t="s">
        <x:v>16</x:v>
      </x:c>
      <x:c r="G417" s="79" t="str">
        <x:f>IF(RIGHT($A417,2)="-2",INDEX('قیمت ها'!$E:$E,$J417+2),INDEX('قیمت ها'!$B:$B,$J417+2))</x:f>
        <x:v>1/800</x:v>
      </x:c>
      <x:c r="H417" s="110">
        <x:f t="shared" si="12"/>
        <x:v>1800000</x:v>
      </x:c>
      <x:c r="I417" s="79" t="str">
        <x:f t="shared" si="13"/>
        <x:v>فعال</x:v>
      </x:c>
      <x:c r="J417" s="79">
        <x:v>245</x:v>
      </x:c>
      <x:c r="K417" s="79" t="s">
        <x:v>1336</x:v>
      </x:c>
      <x:c r="L417" s="79"/>
      <x:c r="M417" s="79"/>
      <x:c r="N417" s="79"/>
      <x:c r="O417" s="79"/>
      <x:c r="P417" s="79"/>
      <x:c r="Q417" s="79"/>
      <x:c r="R417" s="79"/>
      <x:c r="S417" s="79"/>
      <x:c r="T417" s="79"/>
      <x:c r="U417" s="79"/>
      <x:c r="V417" s="79"/>
      <x:c r="W417" s="79"/>
      <x:c r="X417" s="79"/>
      <x:c r="Y417" s="79"/>
      <x:c r="Z417" s="79"/>
      <x:c r="AA417" s="79" t="str">
        <x:f>IF(AND(LEN($N$2)&gt;=3,ISNUMBER(SEARCH($N$2,$B417))),MAX($AA$1:AA416)+1,"")</x:f>
      </x:c>
      <x:c r="AB417" s="79" t="str">
        <x:v>6a3782ffdf5573f4e676e24b</x:v>
      </x:c>
      <x:c r="AC417" s="79" t="str">
        <x:v>نوشیدنی‌ها</x:v>
      </x:c>
      <x:c r="AD417" s="79" t="str">
        <x:v>syrup</x:v>
      </x:c>
      <x:c r="AE417" s="79" t="str">
        <x:v>EDIBLE</x:v>
      </x:c>
      <x:c r="AF417" s="79" t="str">
        <x:v>بله</x:v>
      </x:c>
      <x:c r="AG417" s="79" t="str">
        <x:v>بله</x:v>
      </x:c>
      <x:c r="AH417" s="79" t="n">
        <x:v>2</x:v>
      </x:c>
      <x:c r="AI417" s="79" t="str">
        <x:v>شیره سفید</x:v>
      </x:c>
      <x:c r="AJ417" s="79" t="str">
        <x:v>گیاهان دارویی</x:v>
      </x:c>
      <x:c r="AK417" s="79" t="str">
        <x:v>دسته از «نیاز به بررسی» به «نوشیدنی‌ها» اصلاح شد</x:v>
      </x:c>
    </x:row>
    <x:row r="418">
      <x:c r="A418" s="79" t="s">
        <x:v>1338</x:v>
      </x:c>
      <x:c r="B418" s="79" t="s">
        <x:v>311</x:v>
      </x:c>
      <x:c r="C418" s="79" t="s">
        <x:v>1339</x:v>
      </x:c>
      <x:c r="D418" s="79" t="s">
        <x:v>1307</x:v>
      </x:c>
      <x:c r="E418" s="79" t="s">
        <x:v>16</x:v>
      </x:c>
      <x:c r="F418" s="79" t="s">
        <x:v>16</x:v>
      </x:c>
      <x:c r="G418" s="79" t="n">
        <x:f>IF(RIGHT($A418,2)="-2",INDEX('قیمت ها'!$E:$E,$J418+2),INDEX('قیمت ها'!$B:$B,$J418+2))</x:f>
        <x:v>600</x:v>
      </x:c>
      <x:c r="H418" s="110">
        <x:f t="shared" si="12"/>
        <x:v>600000</x:v>
      </x:c>
      <x:c r="I418" s="79" t="str">
        <x:f t="shared" si="13"/>
        <x:v>فعال</x:v>
      </x:c>
      <x:c r="J418" s="79">
        <x:v>246</x:v>
      </x:c>
      <x:c r="K418" s="79" t="s">
        <x:v>1338</x:v>
      </x:c>
      <x:c r="L418" s="79"/>
      <x:c r="M418" s="79"/>
      <x:c r="N418" s="79"/>
      <x:c r="O418" s="79"/>
      <x:c r="P418" s="79"/>
      <x:c r="Q418" s="79"/>
      <x:c r="R418" s="79"/>
      <x:c r="S418" s="79"/>
      <x:c r="T418" s="79"/>
      <x:c r="U418" s="79"/>
      <x:c r="V418" s="79"/>
      <x:c r="W418" s="79"/>
      <x:c r="X418" s="79"/>
      <x:c r="Y418" s="79"/>
      <x:c r="Z418" s="79"/>
      <x:c r="AA418" s="79" t="str">
        <x:f>IF(AND(LEN($N$2)&gt;=3,ISNUMBER(SEARCH($N$2,$B418))),MAX($AA$1:AA417)+1,"")</x:f>
      </x:c>
      <x:c r="AB418" s="79" t="str">
        <x:v>6a3782ffdf5573f4e676e24b</x:v>
      </x:c>
      <x:c r="AC418" s="79" t="str">
        <x:v>نوشیدنی‌ها</x:v>
      </x:c>
      <x:c r="AD418" s="79" t="str">
        <x:v>syrup</x:v>
      </x:c>
      <x:c r="AE418" s="79" t="str">
        <x:v>EDIBLE</x:v>
      </x:c>
      <x:c r="AF418" s="79" t="str">
        <x:v>بله</x:v>
      </x:c>
      <x:c r="AG418" s="79" t="str">
        <x:v>خیر</x:v>
      </x:c>
      <x:c r="AH418" s="79" t="n">
        <x:v>1</x:v>
      </x:c>
      <x:c r="AI418" s="79" t="str">
        <x:v>شیره سیب</x:v>
      </x:c>
      <x:c r="AJ418" s="79" t="str">
        <x:v>گیاهان دارویی</x:v>
      </x:c>
      <x:c r="AK418" s="79" t="str">
        <x:v>دسته از «نیاز به بررسی» به «نوشیدنی‌ها» اصلاح شد</x:v>
      </x:c>
    </x:row>
    <x:row r="419">
      <x:c r="A419" s="79" t="s">
        <x:v>1340</x:v>
      </x:c>
      <x:c r="B419" s="79" t="s">
        <x:v>455</x:v>
      </x:c>
      <x:c r="C419" s="79" t="s">
        <x:v>1341</x:v>
      </x:c>
      <x:c r="D419" s="79" t="s">
        <x:v>1307</x:v>
      </x:c>
      <x:c r="E419" s="79" t="s">
        <x:v>16</x:v>
      </x:c>
      <x:c r="F419" s="79" t="s">
        <x:v>16</x:v>
      </x:c>
      <x:c r="G419" s="79" t="n">
        <x:f>IF(RIGHT($A419,2)="-2",INDEX('قیمت ها'!$E:$E,$J419+2),INDEX('قیمت ها'!$B:$B,$J419+2))</x:f>
        <x:v>850</x:v>
      </x:c>
      <x:c r="H419" s="110">
        <x:f t="shared" si="12"/>
        <x:v>850000</x:v>
      </x:c>
      <x:c r="I419" s="79" t="str">
        <x:f t="shared" si="13"/>
        <x:v>فعال</x:v>
      </x:c>
      <x:c r="J419" s="79">
        <x:v>367</x:v>
      </x:c>
      <x:c r="K419" s="79" t="s">
        <x:v>1340</x:v>
      </x:c>
      <x:c r="L419" s="79"/>
      <x:c r="M419" s="79"/>
      <x:c r="N419" s="79"/>
      <x:c r="O419" s="79"/>
      <x:c r="P419" s="79"/>
      <x:c r="Q419" s="79"/>
      <x:c r="R419" s="79"/>
      <x:c r="S419" s="79"/>
      <x:c r="T419" s="79"/>
      <x:c r="U419" s="79"/>
      <x:c r="V419" s="79"/>
      <x:c r="W419" s="79"/>
      <x:c r="X419" s="79"/>
      <x:c r="Y419" s="79"/>
      <x:c r="Z419" s="79"/>
      <x:c r="AA419" s="79" t="str">
        <x:f>IF(AND(LEN($N$2)&gt;=3,ISNUMBER(SEARCH($N$2,$B419))),MAX($AA$1:AA418)+1,"")</x:f>
      </x:c>
      <x:c r="AB419" s="79" t="str">
        <x:v>6a3781e4df5573f4e676e226</x:v>
      </x:c>
      <x:c r="AC419" s="79" t="str">
        <x:v>ادویه</x:v>
      </x:c>
      <x:c r="AD419" s="79" t="str">
        <x:v>spice</x:v>
      </x:c>
      <x:c r="AE419" s="79" t="str">
        <x:v>EDIBLE</x:v>
      </x:c>
      <x:c r="AF419" s="79" t="str">
        <x:v>بله</x:v>
      </x:c>
      <x:c r="AG419" s="79" t="str">
        <x:v>خیر</x:v>
      </x:c>
      <x:c r="AH419" s="79" t="n">
        <x:v>1</x:v>
      </x:c>
      <x:c r="AI419" s="79" t="str">
        <x:v>لیمو اسلایس</x:v>
      </x:c>
      <x:c r="AJ419" s="79" t="str">
        <x:v>گیاهان دارویی</x:v>
      </x:c>
      <x:c r="AK419" s="79" t="str">
        <x:v>دسته از «نیاز به بررسی» به «ادویه» اصلاح شد</x:v>
      </x:c>
    </x:row>
    <x:row r="420">
      <x:c r="A420" s="79" t="s">
        <x:v>1342</x:v>
      </x:c>
      <x:c r="B420" s="79" t="s">
        <x:v>464</x:v>
      </x:c>
      <x:c r="C420" s="79" t="s">
        <x:v>1343</x:v>
      </x:c>
      <x:c r="D420" s="79" t="s">
        <x:v>1307</x:v>
      </x:c>
      <x:c r="E420" s="79" t="s">
        <x:v>16</x:v>
      </x:c>
      <x:c r="F420" s="79" t="s">
        <x:v>16</x:v>
      </x:c>
      <x:c r="G420" s="79" t="n">
        <x:f>IF(RIGHT($A420,2)="-2",INDEX('قیمت ها'!$E:$E,$J420+2),INDEX('قیمت ها'!$B:$B,$J420+2))</x:f>
        <x:v>750</x:v>
      </x:c>
      <x:c r="H420" s="110">
        <x:f t="shared" si="12"/>
        <x:v>750000</x:v>
      </x:c>
      <x:c r="I420" s="79" t="str">
        <x:f t="shared" si="13"/>
        <x:v>فعال</x:v>
      </x:c>
      <x:c r="J420" s="79">
        <x:v>374</x:v>
      </x:c>
      <x:c r="K420" s="79" t="s">
        <x:v>1342</x:v>
      </x:c>
      <x:c r="L420" s="79"/>
      <x:c r="M420" s="79"/>
      <x:c r="N420" s="79"/>
      <x:c r="O420" s="79"/>
      <x:c r="P420" s="79"/>
      <x:c r="Q420" s="79"/>
      <x:c r="R420" s="79"/>
      <x:c r="S420" s="79"/>
      <x:c r="T420" s="79"/>
      <x:c r="U420" s="79"/>
      <x:c r="V420" s="79"/>
      <x:c r="W420" s="79"/>
      <x:c r="X420" s="79"/>
      <x:c r="Y420" s="79"/>
      <x:c r="Z420" s="79"/>
      <x:c r="AA420" s="79" t="str">
        <x:f>IF(AND(LEN($N$2)&gt;=3,ISNUMBER(SEARCH($N$2,$B420))),MAX($AA$1:AA419)+1,"")</x:f>
      </x:c>
      <x:c r="AB420" s="79" t="str">
        <x:v>6a3a00000000000000000004</x:v>
      </x:c>
      <x:c r="AC420" s="79" t="str">
        <x:v>آرد و قنادی</x:v>
      </x:c>
      <x:c r="AD420" s="79" t="str">
        <x:v>flour-confectionery</x:v>
      </x:c>
      <x:c r="AE420" s="79" t="str">
        <x:v>EDIBLE</x:v>
      </x:c>
      <x:c r="AF420" s="79" t="str">
        <x:v>بله</x:v>
      </x:c>
      <x:c r="AG420" s="79" t="str">
        <x:v>خیر</x:v>
      </x:c>
      <x:c r="AH420" s="79" t="n">
        <x:v>1</x:v>
      </x:c>
      <x:c r="AI420" s="79" t="str">
        <x:v>نشاسته ذرت</x:v>
      </x:c>
      <x:c r="AJ420" s="79" t="str">
        <x:v>گیاهان دارویی</x:v>
      </x:c>
      <x:c r="AK420" s="79"/>
    </x:row>
    <x:row r="421">
      <x:c r="A421" s="79" t="s">
        <x:v>1344</x:v>
      </x:c>
      <x:c r="B421" s="79" t="s">
        <x:v>442</x:v>
      </x:c>
      <x:c r="C421" s="79" t="s">
        <x:v>1345</x:v>
      </x:c>
      <x:c r="D421" s="79" t="s">
        <x:v>1307</x:v>
      </x:c>
      <x:c r="E421" s="79" t="s">
        <x:v>16</x:v>
      </x:c>
      <x:c r="F421" s="79" t="s">
        <x:v>16</x:v>
      </x:c>
      <x:c r="G421" s="79" t="str">
        <x:f>IF(RIGHT($A421,2)="-2",INDEX('قیمت ها'!$E:$E,$J421+2),INDEX('قیمت ها'!$B:$B,$J421+2))</x:f>
        <x:v>1/100</x:v>
      </x:c>
      <x:c r="H421" s="110">
        <x:f t="shared" si="12"/>
        <x:v>1100000</x:v>
      </x:c>
      <x:c r="I421" s="79" t="str">
        <x:f t="shared" si="13"/>
        <x:v>فعال</x:v>
      </x:c>
      <x:c r="J421" s="79">
        <x:v>355</x:v>
      </x:c>
      <x:c r="K421" s="79" t="s">
        <x:v>1344</x:v>
      </x:c>
      <x:c r="L421" s="79"/>
      <x:c r="M421" s="79"/>
      <x:c r="N421" s="79"/>
      <x:c r="O421" s="79"/>
      <x:c r="P421" s="79"/>
      <x:c r="Q421" s="79"/>
      <x:c r="R421" s="79"/>
      <x:c r="S421" s="79"/>
      <x:c r="T421" s="79"/>
      <x:c r="U421" s="79"/>
      <x:c r="V421" s="79"/>
      <x:c r="W421" s="79"/>
      <x:c r="X421" s="79"/>
      <x:c r="Y421" s="79"/>
      <x:c r="Z421" s="79"/>
      <x:c r="AA421" s="79" t="str">
        <x:f>IF(AND(LEN($N$2)&gt;=3,ISNUMBER(SEARCH($N$2,$B421))),MAX($AA$1:AA420)+1,"")</x:f>
      </x:c>
      <x:c r="AB421" s="79" t="str">
        <x:v>6a3782d7df5573f4e676e243</x:v>
      </x:c>
      <x:c r="AC421" s="79" t="str">
        <x:v>گیاهان دارویی</x:v>
      </x:c>
      <x:c r="AD421" s="79" t="str">
        <x:v>medicinal-plants</x:v>
      </x:c>
      <x:c r="AE421" s="79" t="str">
        <x:v>EDIBLE</x:v>
      </x:c>
      <x:c r="AF421" s="79" t="str">
        <x:v>بله</x:v>
      </x:c>
      <x:c r="AG421" s="79" t="str">
        <x:v>خیر</x:v>
      </x:c>
      <x:c r="AH421" s="79" t="n">
        <x:v>1</x:v>
      </x:c>
      <x:c r="AI421" s="79" t="str">
        <x:v>گرده گل</x:v>
      </x:c>
      <x:c r="AJ421" s="79" t="str">
        <x:v>گیاهان دارویی</x:v>
      </x:c>
      <x:c r="AK421" s="79" t="str">
        <x:v>دسته از «نیاز به بررسی» به «گیاهان دارویی» اصلاح شد</x:v>
      </x:c>
    </x:row>
    <x:row r="422">
      <x:c r="A422" s="79" t="s">
        <x:v>1346</x:v>
      </x:c>
      <x:c r="B422" s="79" t="s">
        <x:v>445</x:v>
      </x:c>
      <x:c r="C422" s="79" t="s">
        <x:v>1347</x:v>
      </x:c>
      <x:c r="D422" s="79" t="s">
        <x:v>1307</x:v>
      </x:c>
      <x:c r="E422" s="79" t="s">
        <x:v>16</x:v>
      </x:c>
      <x:c r="F422" s="79" t="s">
        <x:v>16</x:v>
      </x:c>
      <x:c r="G422" s="79" t="n">
        <x:f>IF(RIGHT($A422,2)="-2",INDEX('قیمت ها'!$E:$E,$J422+2),INDEX('قیمت ها'!$B:$B,$J422+2))</x:f>
        <x:v>4100</x:v>
      </x:c>
      <x:c r="H422" s="110">
        <x:f t="shared" si="12"/>
        <x:v>4100000</x:v>
      </x:c>
      <x:c r="I422" s="79" t="str">
        <x:f t="shared" si="13"/>
        <x:v>فعال</x:v>
      </x:c>
      <x:c r="J422" s="79">
        <x:v>358</x:v>
      </x:c>
      <x:c r="K422" s="79" t="s">
        <x:v>1346</x:v>
      </x:c>
      <x:c r="L422" s="79"/>
      <x:c r="M422" s="79"/>
      <x:c r="N422" s="79"/>
      <x:c r="O422" s="79"/>
      <x:c r="P422" s="79"/>
      <x:c r="Q422" s="79"/>
      <x:c r="R422" s="79"/>
      <x:c r="S422" s="79"/>
      <x:c r="T422" s="79"/>
      <x:c r="U422" s="79"/>
      <x:c r="V422" s="79"/>
      <x:c r="W422" s="79"/>
      <x:c r="X422" s="79"/>
      <x:c r="Y422" s="79"/>
      <x:c r="Z422" s="79"/>
      <x:c r="AA422" s="79" t="n">
        <x:f>IF(AND(LEN($N$2)&gt;=3,ISNUMBER(SEARCH($N$2,$B422))),MAX($AA$1:AA421)+1,"")</x:f>
        <x:v>1</x:v>
      </x:c>
      <x:c r="AB422" s="79" t="str">
        <x:v>6a3782d7df5573f4e676e243</x:v>
      </x:c>
      <x:c r="AC422" s="79" t="str">
        <x:v>گیاهان دارویی</x:v>
      </x:c>
      <x:c r="AD422" s="79" t="str">
        <x:v>medicinal-plants</x:v>
      </x:c>
      <x:c r="AE422" s="79" t="str">
        <x:v>EDIBLE</x:v>
      </x:c>
      <x:c r="AF422" s="79" t="str">
        <x:v>بله</x:v>
      </x:c>
      <x:c r="AG422" s="79" t="str">
        <x:v>خیر</x:v>
      </x:c>
      <x:c r="AH422" s="79" t="n">
        <x:v>1</x:v>
      </x:c>
      <x:c r="AI422" s="79" t="str">
        <x:v>گل سرخ</x:v>
      </x:c>
      <x:c r="AJ422" s="79" t="str">
        <x:v>گیاهان دارویی</x:v>
      </x:c>
      <x:c r="AK422" s="79" t="str">
        <x:v>MERGED</x:v>
      </x:c>
    </x:row>
  </x:sheetData>
  <x:mergeCells>
    <x:mergeCell ref="M1:S1"/>
    <x:mergeCell ref="N2:S2"/>
  </x:mergeCells>
  <x:dataValidations count="1">
    <x:dataValidation type="list" sqref="AC2:AC422">
      <x:formula1>category_map!$A$2:$A$10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8771a4a34a4548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28" customWidth="1"/>
    <x:col min="2" max="5" width="14" customWidth="1"/>
    <x:col min="7" max="7" width="60" customWidth="1"/>
  </x:cols>
  <x:sheetData>
    <x:row r="1">
      <x:c r="A1" s="21" t="s">
        <x:v>5</x:v>
      </x:c>
      <x:c r="B1" s="21" t="s">
        <x:v>1348</x:v>
      </x:c>
      <x:c r="C1" s="21" t="s">
        <x:v>1349</x:v>
      </x:c>
      <x:c r="D1" s="21" t="s">
        <x:v>1350</x:v>
      </x:c>
      <x:c r="E1" s="21" t="s">
        <x:v>1351</x:v>
      </x:c>
      <x:c r="G1" s="22" t="s">
        <x:v>1352</x:v>
      </x:c>
    </x:row>
    <x:row r="2">
      <x:c r="A2" t="s">
        <x:v>14</x:v>
      </x:c>
      <x:c r="B2" t="s">
        <x:v>15</x:v>
      </x:c>
      <x:c r="C2" t="s">
        <x:v>16</x:v>
      </x:c>
    </x:row>
    <x:row r="3">
      <x:c r="A3" t="s">
        <x:v>19</x:v>
      </x:c>
      <x:c r="B3">
        <x:v>700</x:v>
      </x:c>
      <x:c r="C3" t="s">
        <x:v>16</x:v>
      </x:c>
    </x:row>
    <x:row r="4">
      <x:c r="A4" t="s">
        <x:v>20</x:v>
      </x:c>
      <x:c r="B4">
        <x:v>600</x:v>
      </x:c>
      <x:c r="C4" t="s">
        <x:v>16</x:v>
      </x:c>
    </x:row>
    <x:row r="5">
      <x:c r="A5" t="s">
        <x:v>21</x:v>
      </x:c>
      <x:c r="B5">
        <x:v>700</x:v>
      </x:c>
      <x:c r="C5" t="s">
        <x:v>16</x:v>
      </x:c>
    </x:row>
    <x:row r="6">
      <x:c r="A6" t="s">
        <x:v>22</x:v>
      </x:c>
      <x:c r="B6" t="s">
        <x:v>23</x:v>
      </x:c>
      <x:c r="C6" t="s">
        <x:v>16</x:v>
      </x:c>
    </x:row>
    <x:row r="7">
      <x:c r="A7" t="s">
        <x:v>24</x:v>
      </x:c>
      <x:c r="B7">
        <x:v>800</x:v>
      </x:c>
      <x:c r="C7" t="s">
        <x:v>16</x:v>
      </x:c>
    </x:row>
    <x:row r="8">
      <x:c r="A8" t="s">
        <x:v>25</x:v>
      </x:c>
      <x:c r="B8">
        <x:v>850</x:v>
      </x:c>
      <x:c r="C8" t="s">
        <x:v>16</x:v>
      </x:c>
    </x:row>
    <x:row r="9">
      <x:c r="A9" t="s">
        <x:v>26</x:v>
      </x:c>
      <x:c r="B9">
        <x:v>750</x:v>
      </x:c>
      <x:c r="C9" t="s">
        <x:v>16</x:v>
      </x:c>
    </x:row>
    <x:row r="10">
      <x:c r="A10" t="s">
        <x:v>27</x:v>
      </x:c>
      <x:c r="B10">
        <x:v>800</x:v>
      </x:c>
      <x:c r="C10" t="s">
        <x:v>16</x:v>
      </x:c>
    </x:row>
    <x:row r="11">
      <x:c r="A11" t="s">
        <x:v>28</x:v>
      </x:c>
      <x:c r="B11" t="s">
        <x:v>23</x:v>
      </x:c>
      <x:c r="C11" t="s">
        <x:v>16</x:v>
      </x:c>
    </x:row>
    <x:row r="12">
      <x:c r="A12" t="s">
        <x:v>29</x:v>
      </x:c>
      <x:c r="B12">
        <x:v>800</x:v>
      </x:c>
      <x:c r="C12" t="s">
        <x:v>16</x:v>
      </x:c>
    </x:row>
    <x:row r="13">
      <x:c r="A13" t="s">
        <x:v>30</x:v>
      </x:c>
      <x:c r="B13">
        <x:v>850</x:v>
      </x:c>
      <x:c r="C13" t="s">
        <x:v>16</x:v>
      </x:c>
    </x:row>
    <x:row r="14">
      <x:c r="A14" t="s">
        <x:v>31</x:v>
      </x:c>
      <x:c r="B14" t="s">
        <x:v>23</x:v>
      </x:c>
      <x:c r="C14" t="s">
        <x:v>16</x:v>
      </x:c>
    </x:row>
    <x:row r="15">
      <x:c r="A15" t="s">
        <x:v>32</x:v>
      </x:c>
      <x:c r="B15">
        <x:v>800</x:v>
      </x:c>
      <x:c r="C15" t="s">
        <x:v>16</x:v>
      </x:c>
    </x:row>
    <x:row r="16">
      <x:c r="A16" t="s">
        <x:v>33</x:v>
      </x:c>
      <x:c r="B16">
        <x:v>190</x:v>
      </x:c>
      <x:c r="C16" t="s">
        <x:v>16</x:v>
      </x:c>
    </x:row>
    <x:row r="17">
      <x:c r="A17" t="s">
        <x:v>34</x:v>
      </x:c>
      <x:c r="B17">
        <x:v>850</x:v>
      </x:c>
      <x:c r="C17" t="s">
        <x:v>16</x:v>
      </x:c>
    </x:row>
    <x:row r="18">
      <x:c r="A18" t="s">
        <x:v>35</x:v>
      </x:c>
      <x:c r="B18">
        <x:v>950</x:v>
      </x:c>
      <x:c r="C18" t="s">
        <x:v>16</x:v>
      </x:c>
    </x:row>
    <x:row r="19">
      <x:c r="A19" t="s">
        <x:v>36</x:v>
      </x:c>
      <x:c r="B19">
        <x:v>700</x:v>
      </x:c>
      <x:c r="C19" t="s">
        <x:v>16</x:v>
      </x:c>
    </x:row>
    <x:row r="20">
      <x:c r="A20" t="s">
        <x:v>37</x:v>
      </x:c>
      <x:c r="B20">
        <x:v>850</x:v>
      </x:c>
      <x:c r="C20" t="s">
        <x:v>16</x:v>
      </x:c>
    </x:row>
    <x:row r="21">
      <x:c r="A21" t="s">
        <x:v>38</x:v>
      </x:c>
      <x:c r="B21" t="s">
        <x:v>23</x:v>
      </x:c>
      <x:c r="C21" t="s">
        <x:v>16</x:v>
      </x:c>
    </x:row>
    <x:row r="22">
      <x:c r="A22" t="s">
        <x:v>39</x:v>
      </x:c>
      <x:c r="B22">
        <x:v>800</x:v>
      </x:c>
      <x:c r="C22" t="s">
        <x:v>16</x:v>
      </x:c>
    </x:row>
    <x:row r="23">
      <x:c r="A23" t="s">
        <x:v>40</x:v>
      </x:c>
      <x:c r="B23">
        <x:v>900</x:v>
      </x:c>
      <x:c r="C23" t="s">
        <x:v>16</x:v>
      </x:c>
    </x:row>
    <x:row r="24">
      <x:c r="A24" t="s">
        <x:v>41</x:v>
      </x:c>
      <x:c r="B24">
        <x:v>950</x:v>
      </x:c>
      <x:c r="C24" t="s">
        <x:v>16</x:v>
      </x:c>
    </x:row>
    <x:row r="25">
      <x:c r="A25" t="s">
        <x:v>43</x:v>
      </x:c>
      <x:c r="B25">
        <x:v>710</x:v>
      </x:c>
      <x:c r="C25" t="s">
        <x:v>16</x:v>
      </x:c>
    </x:row>
    <x:row r="26">
      <x:c r="A26" t="s">
        <x:v>44</x:v>
      </x:c>
      <x:c r="B26">
        <x:v>140</x:v>
      </x:c>
      <x:c r="C26" t="s">
        <x:v>16</x:v>
      </x:c>
    </x:row>
    <x:row r="27">
      <x:c r="A27" t="s">
        <x:v>45</x:v>
      </x:c>
      <x:c r="B27">
        <x:v>200</x:v>
      </x:c>
      <x:c r="C27" t="s">
        <x:v>16</x:v>
      </x:c>
    </x:row>
    <x:row r="28">
      <x:c r="A28" t="s">
        <x:v>46</x:v>
      </x:c>
      <x:c r="B28">
        <x:v>180</x:v>
      </x:c>
      <x:c r="C28" t="s">
        <x:v>16</x:v>
      </x:c>
    </x:row>
    <x:row r="29">
      <x:c r="A29" t="s">
        <x:v>47</x:v>
      </x:c>
      <x:c r="B29" t="s">
        <x:v>48</x:v>
      </x:c>
      <x:c r="C29" t="s">
        <x:v>16</x:v>
      </x:c>
    </x:row>
    <x:row r="30">
      <x:c r="A30" t="s">
        <x:v>49</x:v>
      </x:c>
      <x:c r="B30" t="s">
        <x:v>50</x:v>
      </x:c>
      <x:c r="C30" t="s">
        <x:v>16</x:v>
      </x:c>
    </x:row>
    <x:row r="31">
      <x:c r="A31" t="s">
        <x:v>51</x:v>
      </x:c>
      <x:c r="B31" t="s">
        <x:v>23</x:v>
      </x:c>
      <x:c r="C31" t="s">
        <x:v>16</x:v>
      </x:c>
    </x:row>
    <x:row r="32">
      <x:c r="A32" t="s">
        <x:v>52</x:v>
      </x:c>
      <x:c r="B32">
        <x:v>400</x:v>
      </x:c>
      <x:c r="C32" t="s">
        <x:v>16</x:v>
      </x:c>
    </x:row>
    <x:row r="33">
      <x:c r="A33" t="s">
        <x:v>53</x:v>
      </x:c>
      <x:c r="B33" t="s">
        <x:v>54</x:v>
      </x:c>
      <x:c r="C33" t="s">
        <x:v>16</x:v>
      </x:c>
    </x:row>
    <x:row r="34">
      <x:c r="A34" t="s">
        <x:v>55</x:v>
      </x:c>
      <x:c r="B34">
        <x:v>110</x:v>
      </x:c>
      <x:c r="C34" t="s">
        <x:v>56</x:v>
      </x:c>
      <x:c r="D34">
        <x:v>210</x:v>
      </x:c>
      <x:c r="E34" t="s">
        <x:v>57</x:v>
      </x:c>
    </x:row>
    <x:row r="35">
      <x:c r="A35" t="s">
        <x:v>58</x:v>
      </x:c>
      <x:c r="B35">
        <x:v>295</x:v>
      </x:c>
      <x:c r="C35" t="s">
        <x:v>16</x:v>
      </x:c>
    </x:row>
    <x:row r="36">
      <x:c r="A36" t="s">
        <x:v>59</x:v>
      </x:c>
      <x:c r="B36">
        <x:v>270</x:v>
      </x:c>
      <x:c r="C36" t="s">
        <x:v>16</x:v>
      </x:c>
    </x:row>
    <x:row r="37">
      <x:c r="A37" t="s">
        <x:v>60</x:v>
      </x:c>
      <x:c r="B37">
        <x:v>390</x:v>
      </x:c>
      <x:c r="C37" t="s">
        <x:v>16</x:v>
      </x:c>
    </x:row>
    <x:row r="38">
      <x:c r="A38" t="s">
        <x:v>61</x:v>
      </x:c>
      <x:c r="B38">
        <x:v>50</x:v>
      </x:c>
      <x:c r="C38" t="s">
        <x:v>62</x:v>
      </x:c>
    </x:row>
    <x:row r="39">
      <x:c r="A39" t="s">
        <x:v>63</x:v>
      </x:c>
      <x:c r="B39" t="s">
        <x:v>64</x:v>
      </x:c>
      <x:c r="C39" t="s">
        <x:v>16</x:v>
      </x:c>
    </x:row>
    <x:row r="40">
      <x:c r="A40" t="s">
        <x:v>65</x:v>
      </x:c>
      <x:c r="B40" t="s">
        <x:v>66</x:v>
      </x:c>
      <x:c r="C40" t="s">
        <x:v>16</x:v>
      </x:c>
    </x:row>
    <x:row r="41">
      <x:c r="A41" t="s">
        <x:v>67</x:v>
      </x:c>
      <x:c r="B41" t="s">
        <x:v>68</x:v>
      </x:c>
      <x:c r="C41" t="s">
        <x:v>16</x:v>
      </x:c>
    </x:row>
    <x:row r="42">
      <x:c r="A42" t="s">
        <x:v>69</x:v>
      </x:c>
      <x:c r="B42">
        <x:v>660</x:v>
      </x:c>
      <x:c r="C42" t="s">
        <x:v>16</x:v>
      </x:c>
    </x:row>
    <x:row r="43">
      <x:c r="A43" t="s">
        <x:v>70</x:v>
      </x:c>
      <x:c r="B43" t="s">
        <x:v>54</x:v>
      </x:c>
      <x:c r="C43" t="s">
        <x:v>16</x:v>
      </x:c>
    </x:row>
    <x:row r="44">
      <x:c r="A44" t="s">
        <x:v>71</x:v>
      </x:c>
      <x:c r="B44" t="s">
        <x:v>72</x:v>
      </x:c>
      <x:c r="C44" t="s">
        <x:v>16</x:v>
      </x:c>
    </x:row>
    <x:row r="45">
      <x:c r="A45" t="s">
        <x:v>73</x:v>
      </x:c>
      <x:c r="B45" t="s">
        <x:v>74</x:v>
      </x:c>
      <x:c r="C45" t="s">
        <x:v>16</x:v>
      </x:c>
    </x:row>
    <x:row r="46">
      <x:c r="A46" t="s">
        <x:v>75</x:v>
      </x:c>
      <x:c r="B46">
        <x:v>890</x:v>
      </x:c>
      <x:c r="C46" t="s">
        <x:v>16</x:v>
      </x:c>
    </x:row>
    <x:row r="47">
      <x:c r="A47" t="s">
        <x:v>76</x:v>
      </x:c>
      <x:c r="B47">
        <x:v>140</x:v>
      </x:c>
      <x:c r="C47" t="s">
        <x:v>16</x:v>
      </x:c>
    </x:row>
    <x:row r="48">
      <x:c r="A48" t="s">
        <x:v>77</x:v>
      </x:c>
      <x:c r="B48" t="s">
        <x:v>78</x:v>
      </x:c>
      <x:c r="C48" t="s">
        <x:v>16</x:v>
      </x:c>
    </x:row>
    <x:row r="49">
      <x:c r="A49" t="s">
        <x:v>79</x:v>
      </x:c>
      <x:c r="B49" t="s">
        <x:v>80</x:v>
      </x:c>
      <x:c r="C49" t="s">
        <x:v>16</x:v>
      </x:c>
    </x:row>
    <x:row r="50">
      <x:c r="A50" t="s">
        <x:v>81</x:v>
      </x:c>
      <x:c r="B50">
        <x:v>610</x:v>
      </x:c>
      <x:c r="C50" t="s">
        <x:v>16</x:v>
      </x:c>
    </x:row>
    <x:row r="51">
      <x:c r="A51" t="s">
        <x:v>82</x:v>
      </x:c>
      <x:c r="B51">
        <x:v>800</x:v>
      </x:c>
      <x:c r="C51" t="s">
        <x:v>16</x:v>
      </x:c>
    </x:row>
    <x:row r="52">
      <x:c r="A52" t="s">
        <x:v>83</x:v>
      </x:c>
      <x:c r="B52">
        <x:v>650</x:v>
      </x:c>
      <x:c r="C52" t="s">
        <x:v>16</x:v>
      </x:c>
    </x:row>
    <x:row r="53">
      <x:c r="A53" t="s">
        <x:v>84</x:v>
      </x:c>
      <x:c r="B53">
        <x:v>990</x:v>
      </x:c>
      <x:c r="C53" t="s">
        <x:v>16</x:v>
      </x:c>
    </x:row>
    <x:row r="54">
      <x:c r="A54" t="s">
        <x:v>85</x:v>
      </x:c>
      <x:c r="B54">
        <x:v>700</x:v>
      </x:c>
      <x:c r="C54" t="s">
        <x:v>62</x:v>
      </x:c>
    </x:row>
    <x:row r="55">
      <x:c r="A55" t="s">
        <x:v>86</x:v>
      </x:c>
      <x:c r="B55">
        <x:v>250</x:v>
      </x:c>
      <x:c r="C55" t="s">
        <x:v>87</x:v>
      </x:c>
      <x:c r="D55">
        <x:v>360</x:v>
      </x:c>
      <x:c r="E55" t="s">
        <x:v>88</x:v>
      </x:c>
    </x:row>
    <x:row r="56">
      <x:c r="A56" t="s">
        <x:v>89</x:v>
      </x:c>
      <x:c r="B56">
        <x:v>120</x:v>
      </x:c>
      <x:c r="C56" t="s">
        <x:v>16</x:v>
      </x:c>
    </x:row>
    <x:row r="57">
      <x:c r="A57" t="s">
        <x:v>90</x:v>
      </x:c>
      <x:c r="B57">
        <x:v>250</x:v>
      </x:c>
      <x:c r="C57" t="s">
        <x:v>87</x:v>
      </x:c>
      <x:c r="D57">
        <x:v>360</x:v>
      </x:c>
      <x:c r="E57" t="s">
        <x:v>88</x:v>
      </x:c>
    </x:row>
    <x:row r="58">
      <x:c r="A58" t="s">
        <x:v>91</x:v>
      </x:c>
      <x:c r="B58">
        <x:v>250</x:v>
      </x:c>
      <x:c r="C58" t="s">
        <x:v>88</x:v>
      </x:c>
      <x:c r="D58">
        <x:v>360</x:v>
      </x:c>
      <x:c r="E58" t="s">
        <x:v>92</x:v>
      </x:c>
    </x:row>
    <x:row r="59">
      <x:c r="A59" t="s">
        <x:v>93</x:v>
      </x:c>
      <x:c r="B59">
        <x:v>250</x:v>
      </x:c>
      <x:c r="C59" t="s">
        <x:v>87</x:v>
      </x:c>
      <x:c r="D59">
        <x:v>360</x:v>
      </x:c>
      <x:c r="E59" t="s">
        <x:v>88</x:v>
      </x:c>
    </x:row>
    <x:row r="60">
      <x:c r="A60" t="s">
        <x:v>94</x:v>
      </x:c>
      <x:c r="B60">
        <x:v>240</x:v>
      </x:c>
      <x:c r="C60" t="s">
        <x:v>16</x:v>
      </x:c>
    </x:row>
    <x:row r="61">
      <x:c r="A61" t="s">
        <x:v>95</x:v>
      </x:c>
      <x:c r="B61" t="s">
        <x:v>54</x:v>
      </x:c>
      <x:c r="C61" t="s">
        <x:v>16</x:v>
      </x:c>
    </x:row>
    <x:row r="62">
      <x:c r="A62" t="s">
        <x:v>96</x:v>
      </x:c>
      <x:c r="B62">
        <x:v>320</x:v>
      </x:c>
      <x:c r="C62" t="s">
        <x:v>16</x:v>
      </x:c>
    </x:row>
    <x:row r="63">
      <x:c r="A63" t="s">
        <x:v>97</x:v>
      </x:c>
      <x:c r="B63">
        <x:v>700</x:v>
      </x:c>
      <x:c r="C63" t="s">
        <x:v>16</x:v>
      </x:c>
    </x:row>
    <x:row r="64">
      <x:c r="A64" t="s">
        <x:v>98</x:v>
      </x:c>
      <x:c r="B64" t="s">
        <x:v>23</x:v>
      </x:c>
      <x:c r="C64" t="s">
        <x:v>16</x:v>
      </x:c>
    </x:row>
    <x:row r="65">
      <x:c r="A65" t="s">
        <x:v>99</x:v>
      </x:c>
      <x:c r="B65">
        <x:v>700</x:v>
      </x:c>
      <x:c r="C65" t="s">
        <x:v>16</x:v>
      </x:c>
    </x:row>
    <x:row r="66">
      <x:c r="A66" t="s">
        <x:v>100</x:v>
      </x:c>
      <x:c r="B66">
        <x:v>700</x:v>
      </x:c>
      <x:c r="C66" t="s">
        <x:v>16</x:v>
      </x:c>
    </x:row>
    <x:row r="67">
      <x:c r="A67" t="s">
        <x:v>101</x:v>
      </x:c>
      <x:c r="B67">
        <x:v>550</x:v>
      </x:c>
      <x:c r="C67" t="s">
        <x:v>16</x:v>
      </x:c>
    </x:row>
    <x:row r="68">
      <x:c r="A68" t="s">
        <x:v>102</x:v>
      </x:c>
      <x:c r="B68">
        <x:v>890</x:v>
      </x:c>
      <x:c r="C68" t="s">
        <x:v>16</x:v>
      </x:c>
    </x:row>
    <x:row r="69">
      <x:c r="A69" t="s">
        <x:v>103</x:v>
      </x:c>
      <x:c r="B69">
        <x:v>400</x:v>
      </x:c>
      <x:c r="C69" t="s">
        <x:v>16</x:v>
      </x:c>
    </x:row>
    <x:row r="70">
      <x:c r="A70" t="s">
        <x:v>104</x:v>
      </x:c>
      <x:c r="B70" t="s">
        <x:v>23</x:v>
      </x:c>
      <x:c r="C70" t="s">
        <x:v>16</x:v>
      </x:c>
    </x:row>
    <x:row r="71">
      <x:c r="A71" t="s">
        <x:v>105</x:v>
      </x:c>
      <x:c r="B71" t="s">
        <x:v>68</x:v>
      </x:c>
      <x:c r="C71" t="s">
        <x:v>16</x:v>
      </x:c>
    </x:row>
    <x:row r="72">
      <x:c r="A72" t="s">
        <x:v>106</x:v>
      </x:c>
      <x:c r="B72">
        <x:v>130</x:v>
      </x:c>
      <x:c r="C72" t="s">
        <x:v>16</x:v>
      </x:c>
    </x:row>
    <x:row r="73">
      <x:c r="A73" t="s">
        <x:v>107</x:v>
      </x:c>
      <x:c r="B73" t="s">
        <x:v>54</x:v>
      </x:c>
      <x:c r="C73" t="s">
        <x:v>16</x:v>
      </x:c>
    </x:row>
    <x:row r="74">
      <x:c r="A74" t="s">
        <x:v>108</x:v>
      </x:c>
      <x:c r="B74">
        <x:v>15</x:v>
      </x:c>
      <x:c r="C74" t="s">
        <x:v>109</x:v>
      </x:c>
      <x:c r="D74" t="s">
        <x:v>15</x:v>
      </x:c>
      <x:c r="E74" t="s">
        <x:v>16</x:v>
      </x:c>
    </x:row>
    <x:row r="75">
      <x:c r="A75" t="s">
        <x:v>110</x:v>
      </x:c>
      <x:c r="B75">
        <x:v>20</x:v>
      </x:c>
      <x:c r="C75" t="s">
        <x:v>109</x:v>
      </x:c>
      <x:c r="D75" t="s">
        <x:v>50</x:v>
      </x:c>
      <x:c r="E75" t="s">
        <x:v>16</x:v>
      </x:c>
    </x:row>
    <x:row r="76">
      <x:c r="A76" t="s">
        <x:v>111</x:v>
      </x:c>
      <x:c r="B76">
        <x:v>20</x:v>
      </x:c>
      <x:c r="C76" t="s">
        <x:v>109</x:v>
      </x:c>
    </x:row>
    <x:row r="77">
      <x:c r="A77" t="s">
        <x:v>112</x:v>
      </x:c>
      <x:c r="B77">
        <x:v>15</x:v>
      </x:c>
      <x:c r="C77" t="s">
        <x:v>109</x:v>
      </x:c>
      <x:c r="D77" t="s">
        <x:v>113</x:v>
      </x:c>
      <x:c r="E77" t="s">
        <x:v>16</x:v>
      </x:c>
    </x:row>
    <x:row r="78">
      <x:c r="A78" t="s">
        <x:v>114</x:v>
      </x:c>
      <x:c r="B78" t="s">
        <x:v>115</x:v>
      </x:c>
      <x:c r="C78" t="s">
        <x:v>16</x:v>
      </x:c>
    </x:row>
    <x:row r="79">
      <x:c r="A79" t="s">
        <x:v>116</x:v>
      </x:c>
      <x:c r="B79">
        <x:v>490</x:v>
      </x:c>
      <x:c r="C79" t="s">
        <x:v>16</x:v>
      </x:c>
    </x:row>
    <x:row r="80">
      <x:c r="A80" t="s">
        <x:v>117</x:v>
      </x:c>
      <x:c r="B80">
        <x:v>340</x:v>
      </x:c>
      <x:c r="C80" t="s">
        <x:v>118</x:v>
      </x:c>
      <x:c r="D80">
        <x:v>110</x:v>
      </x:c>
      <x:c r="E80" t="s">
        <x:v>119</x:v>
      </x:c>
    </x:row>
    <x:row r="81">
      <x:c r="A81" t="s">
        <x:v>120</x:v>
      </x:c>
      <x:c r="B81" t="s">
        <x:v>121</x:v>
      </x:c>
      <x:c r="C81" t="s">
        <x:v>16</x:v>
      </x:c>
    </x:row>
    <x:row r="82">
      <x:c r="A82" t="s">
        <x:v>122</x:v>
      </x:c>
      <x:c r="B82">
        <x:v>180</x:v>
      </x:c>
      <x:c r="C82" t="s">
        <x:v>16</x:v>
      </x:c>
    </x:row>
    <x:row r="83">
      <x:c r="A83" t="s">
        <x:v>123</x:v>
      </x:c>
      <x:c r="B83">
        <x:v>580</x:v>
      </x:c>
      <x:c r="C83" t="s">
        <x:v>16</x:v>
      </x:c>
    </x:row>
    <x:row r="84">
      <x:c r="A84" t="s">
        <x:v>124</x:v>
      </x:c>
      <x:c r="B84" t="s">
        <x:v>64</x:v>
      </x:c>
      <x:c r="C84" t="s">
        <x:v>16</x:v>
      </x:c>
    </x:row>
    <x:row r="85">
      <x:c r="A85" t="s">
        <x:v>125</x:v>
      </x:c>
      <x:c r="B85" t="s">
        <x:v>126</x:v>
      </x:c>
      <x:c r="C85" t="s">
        <x:v>16</x:v>
      </x:c>
    </x:row>
    <x:row r="86">
      <x:c r="A86" t="s">
        <x:v>127</x:v>
      </x:c>
      <x:c r="B86" t="s">
        <x:v>54</x:v>
      </x:c>
      <x:c r="C86" t="s">
        <x:v>16</x:v>
      </x:c>
    </x:row>
    <x:row r="87">
      <x:c r="A87" t="s">
        <x:v>128</x:v>
      </x:c>
      <x:c r="B87" t="s">
        <x:v>129</x:v>
      </x:c>
      <x:c r="C87" t="s">
        <x:v>16</x:v>
      </x:c>
    </x:row>
    <x:row r="88">
      <x:c r="A88" t="s">
        <x:v>130</x:v>
      </x:c>
      <x:c r="B88">
        <x:v>350</x:v>
      </x:c>
      <x:c r="C88" t="s">
        <x:v>16</x:v>
      </x:c>
    </x:row>
    <x:row r="89">
      <x:c r="A89" t="s">
        <x:v>131</x:v>
      </x:c>
      <x:c r="B89">
        <x:v>900</x:v>
      </x:c>
      <x:c r="C89" t="s">
        <x:v>16</x:v>
      </x:c>
    </x:row>
    <x:row r="90">
      <x:c r="A90" t="s">
        <x:v>132</x:v>
      </x:c>
      <x:c r="B90" t="s">
        <x:v>133</x:v>
      </x:c>
      <x:c r="C90" t="s">
        <x:v>16</x:v>
      </x:c>
    </x:row>
    <x:row r="91">
      <x:c r="A91" t="s">
        <x:v>134</x:v>
      </x:c>
      <x:c r="B91" t="s">
        <x:v>68</x:v>
      </x:c>
      <x:c r="C91" t="s">
        <x:v>16</x:v>
      </x:c>
    </x:row>
    <x:row r="92">
      <x:c r="A92" t="s">
        <x:v>135</x:v>
      </x:c>
      <x:c r="B92" t="s">
        <x:v>136</x:v>
      </x:c>
      <x:c r="C92" t="s">
        <x:v>16</x:v>
      </x:c>
    </x:row>
    <x:row r="93">
      <x:c r="A93" t="s">
        <x:v>137</x:v>
      </x:c>
      <x:c r="B93" t="s">
        <x:v>136</x:v>
      </x:c>
      <x:c r="C93" t="s">
        <x:v>16</x:v>
      </x:c>
    </x:row>
    <x:row r="94">
      <x:c r="A94" t="s">
        <x:v>138</x:v>
      </x:c>
      <x:c r="B94">
        <x:v>710</x:v>
      </x:c>
      <x:c r="C94" t="s">
        <x:v>16</x:v>
      </x:c>
    </x:row>
    <x:row r="95">
      <x:c r="A95" t="s">
        <x:v>139</x:v>
      </x:c>
      <x:c r="B95" t="s">
        <x:v>68</x:v>
      </x:c>
      <x:c r="C95" t="s">
        <x:v>16</x:v>
      </x:c>
    </x:row>
    <x:row r="96">
      <x:c r="A96" t="s">
        <x:v>140</x:v>
      </x:c>
      <x:c r="B96" t="s">
        <x:v>121</x:v>
      </x:c>
      <x:c r="C96" t="s">
        <x:v>16</x:v>
      </x:c>
    </x:row>
    <x:row r="97">
      <x:c r="A97" t="s">
        <x:v>141</x:v>
      </x:c>
      <x:c r="B97">
        <x:v>670</x:v>
      </x:c>
      <x:c r="C97" t="s">
        <x:v>16</x:v>
      </x:c>
    </x:row>
    <x:row r="98">
      <x:c r="A98" t="s">
        <x:v>142</x:v>
      </x:c>
      <x:c r="B98">
        <x:v>950</x:v>
      </x:c>
      <x:c r="C98" t="s">
        <x:v>16</x:v>
      </x:c>
    </x:row>
    <x:row r="99">
      <x:c r="A99" t="s">
        <x:v>143</x:v>
      </x:c>
      <x:c r="B99">
        <x:v>900</x:v>
      </x:c>
      <x:c r="C99" t="s">
        <x:v>144</x:v>
      </x:c>
    </x:row>
    <x:row r="100">
      <x:c r="A100" t="s">
        <x:v>145</x:v>
      </x:c>
      <x:c r="B100" t="s">
        <x:v>23</x:v>
      </x:c>
      <x:c r="C100" t="s">
        <x:v>16</x:v>
      </x:c>
    </x:row>
    <x:row r="101">
      <x:c r="A101" t="s">
        <x:v>146</x:v>
      </x:c>
      <x:c r="B101">
        <x:v>430</x:v>
      </x:c>
      <x:c r="C101" t="s">
        <x:v>147</x:v>
      </x:c>
    </x:row>
    <x:row r="102">
      <x:c r="A102" t="s">
        <x:v>148</x:v>
      </x:c>
      <x:c r="B102">
        <x:v>350</x:v>
      </x:c>
      <x:c r="C102" t="s">
        <x:v>147</x:v>
      </x:c>
    </x:row>
    <x:row r="103">
      <x:c r="A103" t="s">
        <x:v>149</x:v>
      </x:c>
      <x:c r="B103">
        <x:v>330</x:v>
      </x:c>
      <x:c r="C103" t="s">
        <x:v>16</x:v>
      </x:c>
    </x:row>
    <x:row r="104">
      <x:c r="A104" t="s">
        <x:v>150</x:v>
      </x:c>
      <x:c r="B104">
        <x:v>350</x:v>
      </x:c>
      <x:c r="C104" t="s">
        <x:v>16</x:v>
      </x:c>
    </x:row>
    <x:row r="105">
      <x:c r="A105" t="s">
        <x:v>151</x:v>
      </x:c>
      <x:c r="B105">
        <x:v>350</x:v>
      </x:c>
      <x:c r="C105" t="s">
        <x:v>16</x:v>
      </x:c>
    </x:row>
    <x:row r="106">
      <x:c r="A106" t="s">
        <x:v>152</x:v>
      </x:c>
      <x:c r="B106">
        <x:v>330</x:v>
      </x:c>
      <x:c r="C106" t="s">
        <x:v>16</x:v>
      </x:c>
    </x:row>
    <x:row r="107">
      <x:c r="A107" t="s">
        <x:v>153</x:v>
      </x:c>
      <x:c r="B107" t="s">
        <x:v>54</x:v>
      </x:c>
      <x:c r="C107" t="s">
        <x:v>16</x:v>
      </x:c>
    </x:row>
    <x:row r="108">
      <x:c r="A108" t="s">
        <x:v>154</x:v>
      </x:c>
      <x:c r="B108">
        <x:v>150</x:v>
      </x:c>
      <x:c r="C108" t="s">
        <x:v>155</x:v>
      </x:c>
    </x:row>
    <x:row r="109">
      <x:c r="A109" t="s">
        <x:v>156</x:v>
      </x:c>
      <x:c r="B109">
        <x:v>390</x:v>
      </x:c>
      <x:c r="C109" t="s">
        <x:v>16</x:v>
      </x:c>
    </x:row>
    <x:row r="110">
      <x:c r="A110" t="s">
        <x:v>157</x:v>
      </x:c>
      <x:c r="B110">
        <x:v>700</x:v>
      </x:c>
      <x:c r="C110" t="s">
        <x:v>16</x:v>
      </x:c>
    </x:row>
    <x:row r="111">
      <x:c r="A111" t="s">
        <x:v>158</x:v>
      </x:c>
      <x:c r="B111">
        <x:v>480</x:v>
      </x:c>
      <x:c r="C111" t="s">
        <x:v>16</x:v>
      </x:c>
    </x:row>
    <x:row r="112">
      <x:c r="A112" t="s">
        <x:v>159</x:v>
      </x:c>
      <x:c r="B112" t="s">
        <x:v>160</x:v>
      </x:c>
      <x:c r="C112" t="s">
        <x:v>16</x:v>
      </x:c>
    </x:row>
    <x:row r="113">
      <x:c r="A113" t="s">
        <x:v>161</x:v>
      </x:c>
      <x:c r="B113" t="s">
        <x:v>54</x:v>
      </x:c>
      <x:c r="C113" t="s">
        <x:v>16</x:v>
      </x:c>
    </x:row>
    <x:row r="114">
      <x:c r="A114" t="s">
        <x:v>162</x:v>
      </x:c>
      <x:c r="B114">
        <x:v>850</x:v>
      </x:c>
      <x:c r="C114" t="s">
        <x:v>16</x:v>
      </x:c>
    </x:row>
    <x:row r="115">
      <x:c r="A115" t="s">
        <x:v>163</x:v>
      </x:c>
      <x:c r="B115">
        <x:v>120</x:v>
      </x:c>
      <x:c r="C115" t="s">
        <x:v>16</x:v>
      </x:c>
    </x:row>
    <x:row r="116">
      <x:c r="A116" t="s">
        <x:v>164</x:v>
      </x:c>
      <x:c r="B116">
        <x:v>950</x:v>
      </x:c>
      <x:c r="C116" t="s">
        <x:v>16</x:v>
      </x:c>
    </x:row>
    <x:row r="117">
      <x:c r="A117" t="s">
        <x:v>165</x:v>
      </x:c>
      <x:c r="B117" t="s">
        <x:v>54</x:v>
      </x:c>
      <x:c r="C117" t="s">
        <x:v>16</x:v>
      </x:c>
    </x:row>
    <x:row r="118">
      <x:c r="A118" t="s">
        <x:v>166</x:v>
      </x:c>
      <x:c r="B118">
        <x:v>740</x:v>
      </x:c>
      <x:c r="C118" t="s">
        <x:v>16</x:v>
      </x:c>
    </x:row>
    <x:row r="119">
      <x:c r="A119" t="s">
        <x:v>167</x:v>
      </x:c>
      <x:c r="B119">
        <x:v>490</x:v>
      </x:c>
      <x:c r="C119" t="s">
        <x:v>16</x:v>
      </x:c>
    </x:row>
    <x:row r="120">
      <x:c r="A120" t="s">
        <x:v>168</x:v>
      </x:c>
      <x:c r="B120">
        <x:v>800</x:v>
      </x:c>
      <x:c r="C120" t="s">
        <x:v>169</x:v>
      </x:c>
    </x:row>
    <x:row r="121">
      <x:c r="A121" t="s">
        <x:v>170</x:v>
      </x:c>
      <x:c r="B121">
        <x:v>555</x:v>
      </x:c>
      <x:c r="C121" t="s">
        <x:v>56</x:v>
      </x:c>
      <x:c r="D121" t="s">
        <x:v>23</x:v>
      </x:c>
      <x:c r="E121" t="s">
        <x:v>57</x:v>
      </x:c>
    </x:row>
    <x:row r="122">
      <x:c r="A122" t="s">
        <x:v>171</x:v>
      </x:c>
      <x:c r="B122">
        <x:v>80</x:v>
      </x:c>
      <x:c r="C122" t="s">
        <x:v>172</x:v>
      </x:c>
      <x:c r="D122">
        <x:v>150</x:v>
      </x:c>
      <x:c r="E122" t="s">
        <x:v>173</x:v>
      </x:c>
    </x:row>
    <x:row r="123">
      <x:c r="A123" t="s">
        <x:v>174</x:v>
      </x:c>
      <x:c r="B123">
        <x:v>65</x:v>
      </x:c>
      <x:c r="C123" t="s">
        <x:v>172</x:v>
      </x:c>
      <x:c r="D123">
        <x:v>120</x:v>
      </x:c>
      <x:c r="E123" t="s">
        <x:v>173</x:v>
      </x:c>
    </x:row>
    <x:row r="124">
      <x:c r="A124" t="s">
        <x:v>175</x:v>
      </x:c>
      <x:c r="B124">
        <x:v>80</x:v>
      </x:c>
      <x:c r="C124" t="s">
        <x:v>172</x:v>
      </x:c>
      <x:c r="D124">
        <x:v>150</x:v>
      </x:c>
      <x:c r="E124" t="s">
        <x:v>173</x:v>
      </x:c>
    </x:row>
    <x:row r="125">
      <x:c r="A125" t="s">
        <x:v>176</x:v>
      </x:c>
      <x:c r="B125">
        <x:v>80</x:v>
      </x:c>
      <x:c r="C125" t="s">
        <x:v>172</x:v>
      </x:c>
      <x:c r="D125">
        <x:v>150</x:v>
      </x:c>
      <x:c r="E125" t="s">
        <x:v>173</x:v>
      </x:c>
    </x:row>
    <x:row r="126">
      <x:c r="A126" t="s">
        <x:v>177</x:v>
      </x:c>
      <x:c r="B126">
        <x:v>250</x:v>
      </x:c>
      <x:c r="C126" t="s">
        <x:v>172</x:v>
      </x:c>
      <x:c r="D126">
        <x:v>495</x:v>
      </x:c>
      <x:c r="E126" t="s">
        <x:v>173</x:v>
      </x:c>
    </x:row>
    <x:row r="127">
      <x:c r="A127" t="s">
        <x:v>178</x:v>
      </x:c>
      <x:c r="B127">
        <x:v>170</x:v>
      </x:c>
      <x:c r="C127" t="s">
        <x:v>172</x:v>
      </x:c>
      <x:c r="D127">
        <x:v>335</x:v>
      </x:c>
      <x:c r="E127" t="s">
        <x:v>173</x:v>
      </x:c>
    </x:row>
    <x:row r="128">
      <x:c r="A128" t="s">
        <x:v>179</x:v>
      </x:c>
      <x:c r="B128" t="s">
        <x:v>180</x:v>
      </x:c>
      <x:c r="C128" t="s">
        <x:v>56</x:v>
      </x:c>
      <x:c r="D128" t="s">
        <x:v>181</x:v>
      </x:c>
      <x:c r="E128" t="s">
        <x:v>57</x:v>
      </x:c>
    </x:row>
    <x:row r="129">
      <x:c r="A129" t="s">
        <x:v>182</x:v>
      </x:c>
      <x:c r="B129" t="s">
        <x:v>183</x:v>
      </x:c>
      <x:c r="C129" t="s">
        <x:v>56</x:v>
      </x:c>
      <x:c r="D129" t="s">
        <x:v>64</x:v>
      </x:c>
      <x:c r="E129" t="s">
        <x:v>57</x:v>
      </x:c>
    </x:row>
    <x:row r="130">
      <x:c r="A130" t="s">
        <x:v>184</x:v>
      </x:c>
      <x:c r="B130">
        <x:v>400</x:v>
      </x:c>
      <x:c r="C130" t="s">
        <x:v>56</x:v>
      </x:c>
      <x:c r="D130">
        <x:v>790</x:v>
      </x:c>
      <x:c r="E130" t="s">
        <x:v>57</x:v>
      </x:c>
    </x:row>
    <x:row r="131">
      <x:c r="A131" t="s">
        <x:v>185</x:v>
      </x:c>
      <x:c r="B131">
        <x:v>80</x:v>
      </x:c>
      <x:c r="C131" t="s">
        <x:v>172</x:v>
      </x:c>
      <x:c r="D131">
        <x:v>150</x:v>
      </x:c>
      <x:c r="E131" t="s">
        <x:v>173</x:v>
      </x:c>
    </x:row>
    <x:row r="132">
      <x:c r="A132" t="s">
        <x:v>186</x:v>
      </x:c>
      <x:c r="B132">
        <x:v>100</x:v>
      </x:c>
      <x:c r="C132" t="s">
        <x:v>172</x:v>
      </x:c>
      <x:c r="D132">
        <x:v>190</x:v>
      </x:c>
      <x:c r="E132" t="s">
        <x:v>173</x:v>
      </x:c>
    </x:row>
    <x:row r="133">
      <x:c r="A133" t="s">
        <x:v>187</x:v>
      </x:c>
      <x:c r="B133">
        <x:v>100</x:v>
      </x:c>
      <x:c r="C133" t="s">
        <x:v>172</x:v>
      </x:c>
      <x:c r="D133">
        <x:v>195</x:v>
      </x:c>
      <x:c r="E133" t="s">
        <x:v>173</x:v>
      </x:c>
    </x:row>
    <x:row r="134">
      <x:c r="A134" t="s">
        <x:v>188</x:v>
      </x:c>
      <x:c r="B134">
        <x:v>95</x:v>
      </x:c>
      <x:c r="C134" t="s">
        <x:v>172</x:v>
      </x:c>
      <x:c r="D134">
        <x:v>180</x:v>
      </x:c>
      <x:c r="E134" t="s">
        <x:v>173</x:v>
      </x:c>
    </x:row>
    <x:row r="135">
      <x:c r="A135" t="s">
        <x:v>188</x:v>
      </x:c>
      <x:c r="B135" t="s">
        <x:v>189</x:v>
      </x:c>
      <x:c r="C135" t="s">
        <x:v>56</x:v>
      </x:c>
      <x:c r="D135" t="s">
        <x:v>190</x:v>
      </x:c>
      <x:c r="E135" t="s">
        <x:v>57</x:v>
      </x:c>
    </x:row>
    <x:row r="136">
      <x:c r="A136" t="s">
        <x:v>191</x:v>
      </x:c>
      <x:c r="B136" t="s">
        <x:v>192</x:v>
      </x:c>
      <x:c r="C136" t="s">
        <x:v>56</x:v>
      </x:c>
      <x:c r="D136" t="s">
        <x:v>193</x:v>
      </x:c>
      <x:c r="E136" t="s">
        <x:v>57</x:v>
      </x:c>
    </x:row>
    <x:row r="137">
      <x:c r="A137" t="s">
        <x:v>191</x:v>
      </x:c>
      <x:c r="B137">
        <x:v>100</x:v>
      </x:c>
      <x:c r="C137" t="s">
        <x:v>172</x:v>
      </x:c>
      <x:c r="D137">
        <x:v>195</x:v>
      </x:c>
      <x:c r="E137" t="s">
        <x:v>173</x:v>
      </x:c>
    </x:row>
    <x:row r="138">
      <x:c r="A138" t="s">
        <x:v>194</x:v>
      </x:c>
      <x:c r="B138">
        <x:v>135</x:v>
      </x:c>
      <x:c r="C138" t="s">
        <x:v>172</x:v>
      </x:c>
      <x:c r="D138">
        <x:v>260</x:v>
      </x:c>
      <x:c r="E138" t="s">
        <x:v>173</x:v>
      </x:c>
    </x:row>
    <x:row r="139">
      <x:c r="A139" t="s">
        <x:v>195</x:v>
      </x:c>
      <x:c r="B139">
        <x:v>65</x:v>
      </x:c>
      <x:c r="C139" t="s">
        <x:v>172</x:v>
      </x:c>
      <x:c r="D139">
        <x:v>120</x:v>
      </x:c>
      <x:c r="E139" t="s">
        <x:v>173</x:v>
      </x:c>
    </x:row>
    <x:row r="140">
      <x:c r="A140" t="s">
        <x:v>196</x:v>
      </x:c>
      <x:c r="B140">
        <x:v>65</x:v>
      </x:c>
      <x:c r="C140" t="s">
        <x:v>172</x:v>
      </x:c>
      <x:c r="D140">
        <x:v>120</x:v>
      </x:c>
      <x:c r="E140" t="s">
        <x:v>173</x:v>
      </x:c>
    </x:row>
    <x:row r="141">
      <x:c r="A141" t="s">
        <x:v>197</x:v>
      </x:c>
      <x:c r="B141">
        <x:v>350</x:v>
      </x:c>
      <x:c r="C141" t="s">
        <x:v>16</x:v>
      </x:c>
    </x:row>
    <x:row r="142">
      <x:c r="A142" t="s">
        <x:v>198</x:v>
      </x:c>
      <x:c r="B142">
        <x:v>90</x:v>
      </x:c>
      <x:c r="C142" t="s">
        <x:v>172</x:v>
      </x:c>
      <x:c r="D142">
        <x:v>170</x:v>
      </x:c>
      <x:c r="E142" t="s">
        <x:v>173</x:v>
      </x:c>
    </x:row>
    <x:row r="143">
      <x:c r="A143" t="s">
        <x:v>199</x:v>
      </x:c>
      <x:c r="B143">
        <x:v>100</x:v>
      </x:c>
      <x:c r="C143" t="s">
        <x:v>172</x:v>
      </x:c>
      <x:c r="D143">
        <x:v>190</x:v>
      </x:c>
      <x:c r="E143" t="s">
        <x:v>173</x:v>
      </x:c>
    </x:row>
    <x:row r="144">
      <x:c r="A144" t="s">
        <x:v>200</x:v>
      </x:c>
      <x:c r="B144">
        <x:v>65</x:v>
      </x:c>
      <x:c r="C144" t="s">
        <x:v>172</x:v>
      </x:c>
      <x:c r="D144">
        <x:v>120</x:v>
      </x:c>
      <x:c r="E144" t="s">
        <x:v>173</x:v>
      </x:c>
    </x:row>
    <x:row r="145">
      <x:c r="A145" t="s">
        <x:v>201</x:v>
      </x:c>
      <x:c r="B145">
        <x:v>115</x:v>
      </x:c>
      <x:c r="C145" t="s">
        <x:v>172</x:v>
      </x:c>
      <x:c r="D145">
        <x:v>220</x:v>
      </x:c>
      <x:c r="E145" t="s">
        <x:v>173</x:v>
      </x:c>
    </x:row>
    <x:row r="146">
      <x:c r="A146" t="s">
        <x:v>202</x:v>
      </x:c>
      <x:c r="B146">
        <x:v>135</x:v>
      </x:c>
      <x:c r="C146" t="s">
        <x:v>172</x:v>
      </x:c>
      <x:c r="D146">
        <x:v>260</x:v>
      </x:c>
      <x:c r="E146" t="s">
        <x:v>173</x:v>
      </x:c>
    </x:row>
    <x:row r="147">
      <x:c r="A147" t="s">
        <x:v>203</x:v>
      </x:c>
      <x:c r="B147">
        <x:v>115</x:v>
      </x:c>
      <x:c r="C147" t="s">
        <x:v>172</x:v>
      </x:c>
      <x:c r="D147">
        <x:v>220</x:v>
      </x:c>
      <x:c r="E147" t="s">
        <x:v>173</x:v>
      </x:c>
    </x:row>
    <x:row r="148">
      <x:c r="A148" t="s">
        <x:v>204</x:v>
      </x:c>
      <x:c r="B148">
        <x:v>100</x:v>
      </x:c>
      <x:c r="C148" t="s">
        <x:v>172</x:v>
      </x:c>
      <x:c r="D148">
        <x:v>195</x:v>
      </x:c>
      <x:c r="E148" t="s">
        <x:v>173</x:v>
      </x:c>
    </x:row>
    <x:row r="149">
      <x:c r="A149" t="s">
        <x:v>205</x:v>
      </x:c>
      <x:c r="B149">
        <x:v>95</x:v>
      </x:c>
      <x:c r="C149" t="s">
        <x:v>172</x:v>
      </x:c>
      <x:c r="D149">
        <x:v>185</x:v>
      </x:c>
      <x:c r="E149" t="s">
        <x:v>173</x:v>
      </x:c>
    </x:row>
    <x:row r="150">
      <x:c r="A150" t="s">
        <x:v>206</x:v>
      </x:c>
      <x:c r="B150">
        <x:v>115</x:v>
      </x:c>
      <x:c r="C150" t="s">
        <x:v>172</x:v>
      </x:c>
      <x:c r="D150">
        <x:v>220</x:v>
      </x:c>
      <x:c r="E150" t="s">
        <x:v>173</x:v>
      </x:c>
    </x:row>
    <x:row r="151">
      <x:c r="A151" t="s">
        <x:v>207</x:v>
      </x:c>
      <x:c r="B151">
        <x:v>500</x:v>
      </x:c>
      <x:c r="C151" t="s">
        <x:v>56</x:v>
      </x:c>
      <x:c r="D151" t="s">
        <x:v>208</x:v>
      </x:c>
      <x:c r="E151" t="s">
        <x:v>57</x:v>
      </x:c>
    </x:row>
    <x:row r="152">
      <x:c r="A152" t="s">
        <x:v>207</x:v>
      </x:c>
      <x:c r="B152">
        <x:v>100</x:v>
      </x:c>
      <x:c r="C152" t="s">
        <x:v>172</x:v>
      </x:c>
      <x:c r="D152">
        <x:v>195</x:v>
      </x:c>
      <x:c r="E152" t="s">
        <x:v>173</x:v>
      </x:c>
    </x:row>
    <x:row r="153">
      <x:c r="A153" t="s">
        <x:v>209</x:v>
      </x:c>
      <x:c r="B153">
        <x:v>65</x:v>
      </x:c>
      <x:c r="C153" t="s">
        <x:v>172</x:v>
      </x:c>
      <x:c r="D153">
        <x:v>120</x:v>
      </x:c>
      <x:c r="E153" t="s">
        <x:v>173</x:v>
      </x:c>
    </x:row>
    <x:row r="154">
      <x:c r="A154" t="s">
        <x:v>210</x:v>
      </x:c>
      <x:c r="B154">
        <x:v>65</x:v>
      </x:c>
      <x:c r="C154" t="s">
        <x:v>172</x:v>
      </x:c>
      <x:c r="D154">
        <x:v>120</x:v>
      </x:c>
      <x:c r="E154" t="s">
        <x:v>173</x:v>
      </x:c>
    </x:row>
    <x:row r="155">
      <x:c r="A155" t="s">
        <x:v>211</x:v>
      </x:c>
      <x:c r="B155">
        <x:v>150</x:v>
      </x:c>
      <x:c r="C155" t="s">
        <x:v>172</x:v>
      </x:c>
      <x:c r="D155">
        <x:v>295</x:v>
      </x:c>
      <x:c r="E155" t="s">
        <x:v>173</x:v>
      </x:c>
    </x:row>
    <x:row r="156">
      <x:c r="A156" t="s">
        <x:v>212</x:v>
      </x:c>
      <x:c r="B156">
        <x:v>555</x:v>
      </x:c>
      <x:c r="C156" t="s">
        <x:v>56</x:v>
      </x:c>
      <x:c r="D156" t="s">
        <x:v>23</x:v>
      </x:c>
      <x:c r="E156" t="s">
        <x:v>57</x:v>
      </x:c>
    </x:row>
    <x:row r="157">
      <x:c r="A157" t="s">
        <x:v>213</x:v>
      </x:c>
      <x:c r="B157" t="s">
        <x:v>54</x:v>
      </x:c>
      <x:c r="C157" t="s">
        <x:v>172</x:v>
      </x:c>
      <x:c r="D157">
        <x:v>70</x:v>
      </x:c>
      <x:c r="E157" t="s">
        <x:v>173</x:v>
      </x:c>
    </x:row>
    <x:row r="158">
      <x:c r="A158" t="s">
        <x:v>214</x:v>
      </x:c>
      <x:c r="B158">
        <x:v>90</x:v>
      </x:c>
      <x:c r="C158" t="s">
        <x:v>172</x:v>
      </x:c>
      <x:c r="D158">
        <x:v>170</x:v>
      </x:c>
      <x:c r="E158" t="s">
        <x:v>173</x:v>
      </x:c>
    </x:row>
    <x:row r="159">
      <x:c r="A159" t="s">
        <x:v>215</x:v>
      </x:c>
      <x:c r="B159">
        <x:v>130</x:v>
      </x:c>
      <x:c r="C159" t="s">
        <x:v>172</x:v>
      </x:c>
      <x:c r="D159">
        <x:v>255</x:v>
      </x:c>
      <x:c r="E159" t="s">
        <x:v>173</x:v>
      </x:c>
    </x:row>
    <x:row r="160">
      <x:c r="A160" t="s">
        <x:v>216</x:v>
      </x:c>
      <x:c r="B160" t="s">
        <x:v>217</x:v>
      </x:c>
      <x:c r="C160" t="s">
        <x:v>56</x:v>
      </x:c>
      <x:c r="D160" t="s">
        <x:v>218</x:v>
      </x:c>
      <x:c r="E160" t="s">
        <x:v>57</x:v>
      </x:c>
    </x:row>
    <x:row r="161">
      <x:c r="A161" t="s">
        <x:v>219</x:v>
      </x:c>
      <x:c r="B161">
        <x:v>65</x:v>
      </x:c>
      <x:c r="C161" t="s">
        <x:v>172</x:v>
      </x:c>
      <x:c r="D161">
        <x:v>120</x:v>
      </x:c>
      <x:c r="E161" t="s">
        <x:v>173</x:v>
      </x:c>
    </x:row>
    <x:row r="162">
      <x:c r="A162" t="s">
        <x:v>220</x:v>
      </x:c>
      <x:c r="B162">
        <x:v>90</x:v>
      </x:c>
      <x:c r="C162" t="s">
        <x:v>172</x:v>
      </x:c>
      <x:c r="D162">
        <x:v>170</x:v>
      </x:c>
      <x:c r="E162" t="s">
        <x:v>173</x:v>
      </x:c>
    </x:row>
    <x:row r="163">
      <x:c r="A163" t="s">
        <x:v>221</x:v>
      </x:c>
      <x:c r="B163">
        <x:v>65</x:v>
      </x:c>
      <x:c r="C163" t="s">
        <x:v>172</x:v>
      </x:c>
      <x:c r="D163">
        <x:v>120</x:v>
      </x:c>
      <x:c r="E163" t="s">
        <x:v>173</x:v>
      </x:c>
    </x:row>
    <x:row r="164">
      <x:c r="A164" t="s">
        <x:v>222</x:v>
      </x:c>
      <x:c r="B164">
        <x:v>145</x:v>
      </x:c>
      <x:c r="C164" t="s">
        <x:v>223</x:v>
      </x:c>
      <x:c r="D164" t="s">
        <x:v>80</x:v>
      </x:c>
      <x:c r="E164" t="s">
        <x:v>16</x:v>
      </x:c>
    </x:row>
    <x:row r="165">
      <x:c r="A165" t="s">
        <x:v>224</x:v>
      </x:c>
      <x:c r="B165">
        <x:v>120</x:v>
      </x:c>
      <x:c r="C165" t="s">
        <x:v>172</x:v>
      </x:c>
      <x:c r="D165" t="s">
        <x:v>54</x:v>
      </x:c>
      <x:c r="E165" t="s">
        <x:v>173</x:v>
      </x:c>
    </x:row>
    <x:row r="166">
      <x:c r="A166" t="s">
        <x:v>225</x:v>
      </x:c>
      <x:c r="B166" t="s">
        <x:v>226</x:v>
      </x:c>
      <x:c r="C166" t="s">
        <x:v>56</x:v>
      </x:c>
      <x:c r="D166" t="s">
        <x:v>227</x:v>
      </x:c>
      <x:c r="E166" t="s">
        <x:v>57</x:v>
      </x:c>
    </x:row>
    <x:row r="167">
      <x:c r="A167" t="s">
        <x:v>225</x:v>
      </x:c>
      <x:c r="B167">
        <x:v>100</x:v>
      </x:c>
      <x:c r="C167" t="s">
        <x:v>172</x:v>
      </x:c>
      <x:c r="D167">
        <x:v>195</x:v>
      </x:c>
      <x:c r="E167" t="s">
        <x:v>173</x:v>
      </x:c>
    </x:row>
    <x:row r="168">
      <x:c r="A168" t="s">
        <x:v>228</x:v>
      </x:c>
      <x:c r="B168">
        <x:v>100</x:v>
      </x:c>
      <x:c r="C168" t="s">
        <x:v>172</x:v>
      </x:c>
      <x:c r="D168">
        <x:v>195</x:v>
      </x:c>
      <x:c r="E168" t="s">
        <x:v>173</x:v>
      </x:c>
    </x:row>
    <x:row r="169">
      <x:c r="A169" t="s">
        <x:v>229</x:v>
      </x:c>
      <x:c r="B169">
        <x:v>90</x:v>
      </x:c>
      <x:c r="C169" t="s">
        <x:v>172</x:v>
      </x:c>
      <x:c r="D169">
        <x:v>170</x:v>
      </x:c>
      <x:c r="E169" t="s">
        <x:v>173</x:v>
      </x:c>
    </x:row>
    <x:row r="170">
      <x:c r="A170" t="s">
        <x:v>230</x:v>
      </x:c>
      <x:c r="B170">
        <x:v>500</x:v>
      </x:c>
      <x:c r="C170" t="s">
        <x:v>56</x:v>
      </x:c>
      <x:c r="D170" t="s">
        <x:v>208</x:v>
      </x:c>
      <x:c r="E170" t="s">
        <x:v>57</x:v>
      </x:c>
    </x:row>
    <x:row r="171">
      <x:c r="A171" t="s">
        <x:v>230</x:v>
      </x:c>
      <x:c r="B171">
        <x:v>65</x:v>
      </x:c>
      <x:c r="C171" t="s">
        <x:v>172</x:v>
      </x:c>
      <x:c r="D171">
        <x:v>120</x:v>
      </x:c>
      <x:c r="E171" t="s">
        <x:v>173</x:v>
      </x:c>
    </x:row>
    <x:row r="172">
      <x:c r="A172" t="s">
        <x:v>231</x:v>
      </x:c>
      <x:c r="B172">
        <x:v>400</x:v>
      </x:c>
      <x:c r="C172" t="s">
        <x:v>56</x:v>
      </x:c>
      <x:c r="D172">
        <x:v>790</x:v>
      </x:c>
      <x:c r="E172" t="s">
        <x:v>57</x:v>
      </x:c>
    </x:row>
    <x:row r="173">
      <x:c r="A173" t="s">
        <x:v>232</x:v>
      </x:c>
      <x:c r="B173">
        <x:v>555</x:v>
      </x:c>
      <x:c r="C173" t="s">
        <x:v>56</x:v>
      </x:c>
      <x:c r="D173" t="s">
        <x:v>23</x:v>
      </x:c>
      <x:c r="E173" t="s">
        <x:v>57</x:v>
      </x:c>
    </x:row>
    <x:row r="174">
      <x:c r="A174" t="s">
        <x:v>233</x:v>
      </x:c>
      <x:c r="B174" t="s">
        <x:v>54</x:v>
      </x:c>
      <x:c r="C174" t="s">
        <x:v>16</x:v>
      </x:c>
      <x:c r="D174" t="s">
        <x:v>54</x:v>
      </x:c>
      <x:c r="E174" t="s">
        <x:v>16</x:v>
      </x:c>
    </x:row>
    <x:row r="175">
      <x:c r="A175" t="s">
        <x:v>234</x:v>
      </x:c>
      <x:c r="B175">
        <x:v>45</x:v>
      </x:c>
      <x:c r="C175" t="s">
        <x:v>172</x:v>
      </x:c>
      <x:c r="D175">
        <x:v>80</x:v>
      </x:c>
      <x:c r="E175" t="s">
        <x:v>173</x:v>
      </x:c>
    </x:row>
    <x:row r="176">
      <x:c r="A176" t="s">
        <x:v>235</x:v>
      </x:c>
      <x:c r="B176">
        <x:v>85</x:v>
      </x:c>
      <x:c r="C176" t="s">
        <x:v>172</x:v>
      </x:c>
      <x:c r="D176">
        <x:v>160</x:v>
      </x:c>
      <x:c r="E176" t="s">
        <x:v>173</x:v>
      </x:c>
    </x:row>
    <x:row r="177">
      <x:c r="A177" t="s">
        <x:v>236</x:v>
      </x:c>
      <x:c r="B177">
        <x:v>115</x:v>
      </x:c>
      <x:c r="C177" t="s">
        <x:v>172</x:v>
      </x:c>
      <x:c r="D177">
        <x:v>220</x:v>
      </x:c>
      <x:c r="E177" t="s">
        <x:v>173</x:v>
      </x:c>
    </x:row>
    <x:row r="178">
      <x:c r="A178" t="s">
        <x:v>237</x:v>
      </x:c>
      <x:c r="B178">
        <x:v>90</x:v>
      </x:c>
      <x:c r="C178" t="s">
        <x:v>172</x:v>
      </x:c>
      <x:c r="D178">
        <x:v>170</x:v>
      </x:c>
      <x:c r="E178" t="s">
        <x:v>173</x:v>
      </x:c>
    </x:row>
    <x:row r="179">
      <x:c r="A179" t="s">
        <x:v>238</x:v>
      </x:c>
      <x:c r="B179">
        <x:v>90</x:v>
      </x:c>
      <x:c r="C179" t="s">
        <x:v>172</x:v>
      </x:c>
      <x:c r="D179">
        <x:v>170</x:v>
      </x:c>
      <x:c r="E179" t="s">
        <x:v>173</x:v>
      </x:c>
    </x:row>
    <x:row r="180">
      <x:c r="A180" t="s">
        <x:v>239</x:v>
      </x:c>
      <x:c r="B180">
        <x:v>115</x:v>
      </x:c>
      <x:c r="C180" t="s">
        <x:v>172</x:v>
      </x:c>
      <x:c r="D180">
        <x:v>220</x:v>
      </x:c>
      <x:c r="E180" t="s">
        <x:v>173</x:v>
      </x:c>
    </x:row>
    <x:row r="181">
      <x:c r="A181" t="s">
        <x:v>240</x:v>
      </x:c>
      <x:c r="B181">
        <x:v>90</x:v>
      </x:c>
      <x:c r="C181" t="s">
        <x:v>172</x:v>
      </x:c>
      <x:c r="D181">
        <x:v>170</x:v>
      </x:c>
      <x:c r="E181" t="s">
        <x:v>173</x:v>
      </x:c>
    </x:row>
    <x:row r="182">
      <x:c r="A182" t="s">
        <x:v>241</x:v>
      </x:c>
      <x:c r="B182">
        <x:v>75</x:v>
      </x:c>
      <x:c r="C182" t="s">
        <x:v>172</x:v>
      </x:c>
      <x:c r="D182">
        <x:v>140</x:v>
      </x:c>
      <x:c r="E182" t="s">
        <x:v>173</x:v>
      </x:c>
    </x:row>
    <x:row r="183">
      <x:c r="A183" t="s">
        <x:v>242</x:v>
      </x:c>
      <x:c r="B183">
        <x:v>90</x:v>
      </x:c>
      <x:c r="C183" t="s">
        <x:v>172</x:v>
      </x:c>
      <x:c r="D183">
        <x:v>170</x:v>
      </x:c>
      <x:c r="E183" t="s">
        <x:v>173</x:v>
      </x:c>
    </x:row>
    <x:row r="184">
      <x:c r="A184" t="s">
        <x:v>243</x:v>
      </x:c>
      <x:c r="B184">
        <x:v>100</x:v>
      </x:c>
      <x:c r="C184" t="s">
        <x:v>172</x:v>
      </x:c>
      <x:c r="D184">
        <x:v>190</x:v>
      </x:c>
      <x:c r="E184" t="s">
        <x:v>173</x:v>
      </x:c>
    </x:row>
    <x:row r="185">
      <x:c r="A185" t="s">
        <x:v>244</x:v>
      </x:c>
      <x:c r="B185">
        <x:v>90</x:v>
      </x:c>
      <x:c r="C185" t="s">
        <x:v>172</x:v>
      </x:c>
      <x:c r="D185">
        <x:v>170</x:v>
      </x:c>
      <x:c r="E185" t="s">
        <x:v>173</x:v>
      </x:c>
    </x:row>
    <x:row r="186">
      <x:c r="A186" t="s">
        <x:v>245</x:v>
      </x:c>
      <x:c r="B186">
        <x:v>100</x:v>
      </x:c>
      <x:c r="C186" t="s">
        <x:v>172</x:v>
      </x:c>
      <x:c r="D186">
        <x:v>190</x:v>
      </x:c>
      <x:c r="E186" t="s">
        <x:v>173</x:v>
      </x:c>
    </x:row>
    <x:row r="187">
      <x:c r="A187" t="s">
        <x:v>246</x:v>
      </x:c>
      <x:c r="B187">
        <x:v>90</x:v>
      </x:c>
      <x:c r="C187" t="s">
        <x:v>172</x:v>
      </x:c>
      <x:c r="D187">
        <x:v>170</x:v>
      </x:c>
      <x:c r="E187" t="s">
        <x:v>173</x:v>
      </x:c>
    </x:row>
    <x:row r="188">
      <x:c r="A188" t="s">
        <x:v>247</x:v>
      </x:c>
      <x:c r="B188" t="s">
        <x:v>23</x:v>
      </x:c>
      <x:c r="C188" t="s">
        <x:v>56</x:v>
      </x:c>
      <x:c r="D188" t="s">
        <x:v>248</x:v>
      </x:c>
      <x:c r="E188" t="s">
        <x:v>57</x:v>
      </x:c>
    </x:row>
    <x:row r="189">
      <x:c r="A189" t="s">
        <x:v>247</x:v>
      </x:c>
      <x:c r="B189">
        <x:v>90</x:v>
      </x:c>
      <x:c r="C189" t="s">
        <x:v>172</x:v>
      </x:c>
      <x:c r="D189">
        <x:v>170</x:v>
      </x:c>
      <x:c r="E189" t="s">
        <x:v>173</x:v>
      </x:c>
    </x:row>
    <x:row r="190">
      <x:c r="A190" t="s">
        <x:v>249</x:v>
      </x:c>
      <x:c r="B190">
        <x:v>65</x:v>
      </x:c>
      <x:c r="C190" t="s">
        <x:v>172</x:v>
      </x:c>
      <x:c r="D190">
        <x:v>120</x:v>
      </x:c>
      <x:c r="E190" t="s">
        <x:v>173</x:v>
      </x:c>
    </x:row>
    <x:row r="191">
      <x:c r="A191" t="s">
        <x:v>250</x:v>
      </x:c>
      <x:c r="B191">
        <x:v>65</x:v>
      </x:c>
      <x:c r="C191" t="s">
        <x:v>172</x:v>
      </x:c>
      <x:c r="D191" t="s">
        <x:v>54</x:v>
      </x:c>
      <x:c r="E191" t="s">
        <x:v>173</x:v>
      </x:c>
    </x:row>
    <x:row r="192">
      <x:c r="A192" t="s">
        <x:v>251</x:v>
      </x:c>
      <x:c r="B192">
        <x:v>500</x:v>
      </x:c>
      <x:c r="C192" t="s">
        <x:v>16</x:v>
      </x:c>
    </x:row>
    <x:row r="193">
      <x:c r="A193" t="s">
        <x:v>252</x:v>
      </x:c>
      <x:c r="B193">
        <x:v>880</x:v>
      </x:c>
      <x:c r="C193" t="s">
        <x:v>16</x:v>
      </x:c>
    </x:row>
    <x:row r="194">
      <x:c r="A194" t="s">
        <x:v>253</x:v>
      </x:c>
      <x:c r="B194" t="s">
        <x:v>54</x:v>
      </x:c>
      <x:c r="C194" t="s">
        <x:v>16</x:v>
      </x:c>
    </x:row>
    <x:row r="195">
      <x:c r="A195" t="s">
        <x:v>254</x:v>
      </x:c>
      <x:c r="B195" t="s">
        <x:v>54</x:v>
      </x:c>
      <x:c r="C195" t="s">
        <x:v>16</x:v>
      </x:c>
    </x:row>
    <x:row r="196">
      <x:c r="A196" t="s">
        <x:v>255</x:v>
      </x:c>
      <x:c r="B196" t="s">
        <x:v>54</x:v>
      </x:c>
      <x:c r="C196" t="s">
        <x:v>16</x:v>
      </x:c>
    </x:row>
    <x:row r="197">
      <x:c r="A197" t="s">
        <x:v>256</x:v>
      </x:c>
      <x:c r="B197" t="s">
        <x:v>54</x:v>
      </x:c>
      <x:c r="C197" t="s">
        <x:v>16</x:v>
      </x:c>
    </x:row>
    <x:row r="198">
      <x:c r="A198" t="s">
        <x:v>257</x:v>
      </x:c>
      <x:c r="B198" t="s">
        <x:v>115</x:v>
      </x:c>
      <x:c r="C198" t="s">
        <x:v>16</x:v>
      </x:c>
    </x:row>
    <x:row r="199">
      <x:c r="A199" t="s">
        <x:v>258</x:v>
      </x:c>
      <x:c r="B199">
        <x:v>500</x:v>
      </x:c>
      <x:c r="C199" t="s">
        <x:v>16</x:v>
      </x:c>
    </x:row>
    <x:row r="200">
      <x:c r="A200" t="s">
        <x:v>259</x:v>
      </x:c>
      <x:c r="B200" t="s">
        <x:v>260</x:v>
      </x:c>
      <x:c r="C200" t="s">
        <x:v>16</x:v>
      </x:c>
    </x:row>
    <x:row r="201">
      <x:c r="A201" t="s">
        <x:v>261</x:v>
      </x:c>
      <x:c r="B201" t="s">
        <x:v>227</x:v>
      </x:c>
      <x:c r="C201" t="s">
        <x:v>16</x:v>
      </x:c>
    </x:row>
    <x:row r="202">
      <x:c r="A202" t="s">
        <x:v>262</x:v>
      </x:c>
      <x:c r="B202">
        <x:v>910</x:v>
      </x:c>
      <x:c r="C202" t="s">
        <x:v>16</x:v>
      </x:c>
    </x:row>
    <x:row r="203">
      <x:c r="A203" t="s">
        <x:v>263</x:v>
      </x:c>
      <x:c r="B203">
        <x:v>500</x:v>
      </x:c>
      <x:c r="C203" t="s">
        <x:v>16</x:v>
      </x:c>
    </x:row>
    <x:row r="204">
      <x:c r="A204" t="s">
        <x:v>264</x:v>
      </x:c>
      <x:c r="B204">
        <x:v>135</x:v>
      </x:c>
      <x:c r="C204" t="s">
        <x:v>265</x:v>
      </x:c>
      <x:c r="D204">
        <x:v>260</x:v>
      </x:c>
      <x:c r="E204" t="s">
        <x:v>266</x:v>
      </x:c>
    </x:row>
    <x:row r="205">
      <x:c r="A205" t="s">
        <x:v>267</x:v>
      </x:c>
      <x:c r="B205">
        <x:v>130</x:v>
      </x:c>
      <x:c r="C205" t="s">
        <x:v>265</x:v>
      </x:c>
      <x:c r="D205">
        <x:v>250</x:v>
      </x:c>
      <x:c r="E205" t="s">
        <x:v>266</x:v>
      </x:c>
    </x:row>
    <x:row r="206">
      <x:c r="A206" t="s">
        <x:v>268</x:v>
      </x:c>
      <x:c r="B206">
        <x:v>80</x:v>
      </x:c>
      <x:c r="C206" t="s">
        <x:v>16</x:v>
      </x:c>
    </x:row>
    <x:row r="207">
      <x:c r="A207" t="s">
        <x:v>269</x:v>
      </x:c>
      <x:c r="B207" t="s">
        <x:v>270</x:v>
      </x:c>
      <x:c r="C207" t="s">
        <x:v>16</x:v>
      </x:c>
    </x:row>
    <x:row r="208">
      <x:c r="A208" t="s">
        <x:v>271</x:v>
      </x:c>
      <x:c r="B208" t="s">
        <x:v>190</x:v>
      </x:c>
      <x:c r="C208" t="s">
        <x:v>16</x:v>
      </x:c>
    </x:row>
    <x:row r="209">
      <x:c r="A209" t="s">
        <x:v>272</x:v>
      </x:c>
      <x:c r="B209" t="s">
        <x:v>190</x:v>
      </x:c>
      <x:c r="C209" t="s">
        <x:v>16</x:v>
      </x:c>
    </x:row>
    <x:row r="210">
      <x:c r="A210" t="s">
        <x:v>273</x:v>
      </x:c>
      <x:c r="B210">
        <x:v>400</x:v>
      </x:c>
      <x:c r="C210" t="s">
        <x:v>16</x:v>
      </x:c>
    </x:row>
    <x:row r="211">
      <x:c r="A211" t="s">
        <x:v>274</x:v>
      </x:c>
      <x:c r="B211">
        <x:v>180</x:v>
      </x:c>
      <x:c r="C211" t="s">
        <x:v>16</x:v>
      </x:c>
    </x:row>
    <x:row r="212">
      <x:c r="A212" t="s">
        <x:v>275</x:v>
      </x:c>
      <x:c r="B212" t="s">
        <x:v>190</x:v>
      </x:c>
      <x:c r="C212" t="s">
        <x:v>16</x:v>
      </x:c>
    </x:row>
    <x:row r="213">
      <x:c r="A213" t="s">
        <x:v>276</x:v>
      </x:c>
      <x:c r="B213">
        <x:v>500</x:v>
      </x:c>
      <x:c r="C213" t="s">
        <x:v>16</x:v>
      </x:c>
    </x:row>
    <x:row r="214">
      <x:c r="A214" t="s">
        <x:v>277</x:v>
      </x:c>
      <x:c r="B214">
        <x:v>650</x:v>
      </x:c>
      <x:c r="C214" t="s">
        <x:v>16</x:v>
      </x:c>
    </x:row>
    <x:row r="215">
      <x:c r="A215" t="s">
        <x:v>278</x:v>
      </x:c>
      <x:c r="B215">
        <x:v>500</x:v>
      </x:c>
      <x:c r="C215" t="s">
        <x:v>16</x:v>
      </x:c>
    </x:row>
    <x:row r="216">
      <x:c r="A216" t="s">
        <x:v>279</x:v>
      </x:c>
      <x:c r="B216">
        <x:v>500</x:v>
      </x:c>
      <x:c r="C216" t="s">
        <x:v>16</x:v>
      </x:c>
    </x:row>
    <x:row r="217">
      <x:c r="A217" t="s">
        <x:v>280</x:v>
      </x:c>
      <x:c r="B217">
        <x:v>450</x:v>
      </x:c>
      <x:c r="C217" t="s">
        <x:v>16</x:v>
      </x:c>
    </x:row>
    <x:row r="218">
      <x:c r="A218" t="s">
        <x:v>281</x:v>
      </x:c>
      <x:c r="B218">
        <x:v>380</x:v>
      </x:c>
      <x:c r="C218" t="s">
        <x:v>16</x:v>
      </x:c>
    </x:row>
    <x:row r="219">
      <x:c r="A219" t="s">
        <x:v>282</x:v>
      </x:c>
      <x:c r="B219">
        <x:v>450</x:v>
      </x:c>
      <x:c r="C219" t="s">
        <x:v>16</x:v>
      </x:c>
    </x:row>
    <x:row r="220">
      <x:c r="A220" t="s">
        <x:v>283</x:v>
      </x:c>
      <x:c r="B220" t="s">
        <x:v>189</x:v>
      </x:c>
      <x:c r="C220" t="s">
        <x:v>16</x:v>
      </x:c>
    </x:row>
    <x:row r="221">
      <x:c r="A221" t="s">
        <x:v>284</x:v>
      </x:c>
      <x:c r="B221">
        <x:v>800</x:v>
      </x:c>
      <x:c r="C221" t="s">
        <x:v>16</x:v>
      </x:c>
    </x:row>
    <x:row r="222">
      <x:c r="A222" t="s">
        <x:v>285</x:v>
      </x:c>
      <x:c r="B222" t="s">
        <x:v>23</x:v>
      </x:c>
      <x:c r="C222" t="s">
        <x:v>16</x:v>
      </x:c>
    </x:row>
    <x:row r="223">
      <x:c r="A223" t="s">
        <x:v>286</x:v>
      </x:c>
      <x:c r="B223" t="s">
        <x:v>54</x:v>
      </x:c>
      <x:c r="C223" t="s">
        <x:v>16</x:v>
      </x:c>
    </x:row>
    <x:row r="224">
      <x:c r="A224" t="s">
        <x:v>287</x:v>
      </x:c>
      <x:c r="B224" t="s">
        <x:v>54</x:v>
      </x:c>
      <x:c r="C224" t="s">
        <x:v>16</x:v>
      </x:c>
    </x:row>
    <x:row r="225">
      <x:c r="A225" t="s">
        <x:v>288</x:v>
      </x:c>
      <x:c r="B225">
        <x:v>250</x:v>
      </x:c>
      <x:c r="C225" t="s">
        <x:v>56</x:v>
      </x:c>
      <x:c r="D225">
        <x:v>500</x:v>
      </x:c>
      <x:c r="E225" t="s">
        <x:v>57</x:v>
      </x:c>
    </x:row>
    <x:row r="226">
      <x:c r="A226" t="s">
        <x:v>289</x:v>
      </x:c>
      <x:c r="B226">
        <x:v>155</x:v>
      </x:c>
      <x:c r="C226" t="s">
        <x:v>56</x:v>
      </x:c>
      <x:c r="D226">
        <x:v>295</x:v>
      </x:c>
      <x:c r="E226" t="s">
        <x:v>57</x:v>
      </x:c>
    </x:row>
    <x:row r="227">
      <x:c r="A227" t="s">
        <x:v>290</x:v>
      </x:c>
      <x:c r="B227" t="s">
        <x:v>54</x:v>
      </x:c>
      <x:c r="C227" t="s">
        <x:v>16</x:v>
      </x:c>
    </x:row>
    <x:row r="228">
      <x:c r="A228" t="s">
        <x:v>291</x:v>
      </x:c>
      <x:c r="B228">
        <x:v>190</x:v>
      </x:c>
      <x:c r="C228" t="s">
        <x:v>16</x:v>
      </x:c>
    </x:row>
    <x:row r="229">
      <x:c r="A229" t="s">
        <x:v>292</x:v>
      </x:c>
      <x:c r="B229">
        <x:v>700</x:v>
      </x:c>
      <x:c r="C229" t="s">
        <x:v>16</x:v>
      </x:c>
    </x:row>
    <x:row r="230">
      <x:c r="A230" t="s">
        <x:v>293</x:v>
      </x:c>
      <x:c r="B230">
        <x:v>890</x:v>
      </x:c>
      <x:c r="C230" t="s">
        <x:v>16</x:v>
      </x:c>
    </x:row>
    <x:row r="231">
      <x:c r="A231" t="s">
        <x:v>294</x:v>
      </x:c>
      <x:c r="B231">
        <x:v>890</x:v>
      </x:c>
      <x:c r="C231" t="s">
        <x:v>16</x:v>
      </x:c>
    </x:row>
    <x:row r="232">
      <x:c r="A232" t="s">
        <x:v>295</x:v>
      </x:c>
      <x:c r="B232" t="s">
        <x:v>54</x:v>
      </x:c>
      <x:c r="C232" t="s">
        <x:v>16</x:v>
      </x:c>
    </x:row>
    <x:row r="233">
      <x:c r="A233" t="s">
        <x:v>296</x:v>
      </x:c>
      <x:c r="B233">
        <x:v>650</x:v>
      </x:c>
      <x:c r="C233" t="s">
        <x:v>16</x:v>
      </x:c>
    </x:row>
    <x:row r="234">
      <x:c r="A234" t="s">
        <x:v>297</x:v>
      </x:c>
      <x:c r="B234">
        <x:v>700</x:v>
      </x:c>
      <x:c r="C234" t="s">
        <x:v>16</x:v>
      </x:c>
    </x:row>
    <x:row r="235">
      <x:c r="A235" t="s">
        <x:v>298</x:v>
      </x:c>
      <x:c r="B235">
        <x:v>950</x:v>
      </x:c>
      <x:c r="C235" t="s">
        <x:v>16</x:v>
      </x:c>
    </x:row>
    <x:row r="236">
      <x:c r="A236" t="s">
        <x:v>299</x:v>
      </x:c>
      <x:c r="B236">
        <x:v>980</x:v>
      </x:c>
      <x:c r="C236" t="s">
        <x:v>16</x:v>
      </x:c>
    </x:row>
    <x:row r="237">
      <x:c r="A237" t="s">
        <x:v>300</x:v>
      </x:c>
      <x:c r="B237">
        <x:v>230</x:v>
      </x:c>
      <x:c r="C237" t="s">
        <x:v>301</x:v>
      </x:c>
    </x:row>
    <x:row r="238">
      <x:c r="A238" t="s">
        <x:v>302</x:v>
      </x:c>
      <x:c r="B238">
        <x:v>230</x:v>
      </x:c>
      <x:c r="C238" t="s">
        <x:v>301</x:v>
      </x:c>
    </x:row>
    <x:row r="239">
      <x:c r="A239" t="s">
        <x:v>303</x:v>
      </x:c>
      <x:c r="B239">
        <x:v>230</x:v>
      </x:c>
      <x:c r="C239" t="s">
        <x:v>301</x:v>
      </x:c>
    </x:row>
    <x:row r="240">
      <x:c r="A240" t="s">
        <x:v>304</x:v>
      </x:c>
      <x:c r="B240">
        <x:v>230</x:v>
      </x:c>
      <x:c r="C240" t="s">
        <x:v>301</x:v>
      </x:c>
    </x:row>
    <x:row r="241">
      <x:c r="A241" t="s">
        <x:v>305</x:v>
      </x:c>
      <x:c r="B241">
        <x:v>230</x:v>
      </x:c>
      <x:c r="C241" t="s">
        <x:v>301</x:v>
      </x:c>
    </x:row>
    <x:row r="242">
      <x:c r="A242" t="s">
        <x:v>306</x:v>
      </x:c>
      <x:c r="B242">
        <x:v>220</x:v>
      </x:c>
      <x:c r="C242" t="s">
        <x:v>301</x:v>
      </x:c>
    </x:row>
    <x:row r="243">
      <x:c r="A243" t="s">
        <x:v>307</x:v>
      </x:c>
      <x:c r="B243">
        <x:v>340</x:v>
      </x:c>
      <x:c r="C243" t="s">
        <x:v>301</x:v>
      </x:c>
      <x:c r="D243">
        <x:v>670</x:v>
      </x:c>
      <x:c r="E243" t="s">
        <x:v>308</x:v>
      </x:c>
    </x:row>
    <x:row r="244">
      <x:c r="A244" t="s">
        <x:v>309</x:v>
      </x:c>
      <x:c r="B244">
        <x:v>300</x:v>
      </x:c>
      <x:c r="C244" t="s">
        <x:v>301</x:v>
      </x:c>
    </x:row>
    <x:row r="245">
      <x:c r="A245" t="s">
        <x:v>310</x:v>
      </x:c>
      <x:c r="B245" t="s">
        <x:v>68</x:v>
      </x:c>
      <x:c r="C245" t="s">
        <x:v>16</x:v>
      </x:c>
    </x:row>
    <x:row r="246">
      <x:c r="A246" t="s">
        <x:v>311</x:v>
      </x:c>
      <x:c r="B246">
        <x:v>600</x:v>
      </x:c>
      <x:c r="C246" t="s">
        <x:v>16</x:v>
      </x:c>
    </x:row>
    <x:row r="247">
      <x:c r="A247" t="s">
        <x:v>312</x:v>
      </x:c>
      <x:c r="B247">
        <x:v>120</x:v>
      </x:c>
      <x:c r="C247" t="s">
        <x:v>16</x:v>
      </x:c>
    </x:row>
    <x:row r="248">
      <x:c r="A248" t="s">
        <x:v>313</x:v>
      </x:c>
      <x:c r="B248">
        <x:v>120</x:v>
      </x:c>
      <x:c r="C248" t="s">
        <x:v>16</x:v>
      </x:c>
    </x:row>
    <x:row r="249">
      <x:c r="A249" t="s">
        <x:v>314</x:v>
      </x:c>
      <x:c r="B249">
        <x:v>120</x:v>
      </x:c>
      <x:c r="C249" t="s">
        <x:v>16</x:v>
      </x:c>
    </x:row>
    <x:row r="250">
      <x:c r="A250" t="s">
        <x:v>315</x:v>
      </x:c>
      <x:c r="B250">
        <x:v>180</x:v>
      </x:c>
      <x:c r="C250" t="s">
        <x:v>16</x:v>
      </x:c>
    </x:row>
    <x:row r="251">
      <x:c r="A251" t="s">
        <x:v>316</x:v>
      </x:c>
      <x:c r="B251">
        <x:v>120</x:v>
      </x:c>
      <x:c r="C251" t="s">
        <x:v>16</x:v>
      </x:c>
    </x:row>
    <x:row r="252">
      <x:c r="A252" t="s">
        <x:v>317</x:v>
      </x:c>
      <x:c r="B252">
        <x:v>250</x:v>
      </x:c>
      <x:c r="C252" t="s">
        <x:v>16</x:v>
      </x:c>
    </x:row>
    <x:row r="253">
      <x:c r="A253" t="s">
        <x:v>318</x:v>
      </x:c>
      <x:c r="B253">
        <x:v>120</x:v>
      </x:c>
      <x:c r="C253" t="s">
        <x:v>16</x:v>
      </x:c>
    </x:row>
    <x:row r="254">
      <x:c r="A254" t="s">
        <x:v>319</x:v>
      </x:c>
      <x:c r="B254">
        <x:v>120</x:v>
      </x:c>
      <x:c r="C254" t="s">
        <x:v>16</x:v>
      </x:c>
    </x:row>
    <x:row r="255">
      <x:c r="A255" t="s">
        <x:v>320</x:v>
      </x:c>
      <x:c r="B255">
        <x:v>120</x:v>
      </x:c>
      <x:c r="C255" t="s">
        <x:v>16</x:v>
      </x:c>
    </x:row>
    <x:row r="256">
      <x:c r="A256" t="s">
        <x:v>321</x:v>
      </x:c>
      <x:c r="B256">
        <x:v>120</x:v>
      </x:c>
      <x:c r="C256" t="s">
        <x:v>16</x:v>
      </x:c>
    </x:row>
    <x:row r="257">
      <x:c r="A257" t="s">
        <x:v>322</x:v>
      </x:c>
      <x:c r="B257">
        <x:v>120</x:v>
      </x:c>
      <x:c r="C257" t="s">
        <x:v>16</x:v>
      </x:c>
    </x:row>
    <x:row r="258">
      <x:c r="A258" t="s">
        <x:v>323</x:v>
      </x:c>
      <x:c r="B258">
        <x:v>90</x:v>
      </x:c>
      <x:c r="C258" t="s">
        <x:v>16</x:v>
      </x:c>
    </x:row>
    <x:row r="259">
      <x:c r="A259" t="s">
        <x:v>324</x:v>
      </x:c>
      <x:c r="B259">
        <x:v>120</x:v>
      </x:c>
      <x:c r="C259" t="s">
        <x:v>16</x:v>
      </x:c>
    </x:row>
    <x:row r="260">
      <x:c r="A260" t="s">
        <x:v>325</x:v>
      </x:c>
      <x:c r="B260">
        <x:v>180</x:v>
      </x:c>
      <x:c r="C260" t="s">
        <x:v>16</x:v>
      </x:c>
    </x:row>
    <x:row r="261">
      <x:c r="A261" t="s">
        <x:v>326</x:v>
      </x:c>
      <x:c r="B261">
        <x:v>120</x:v>
      </x:c>
      <x:c r="C261" t="s">
        <x:v>16</x:v>
      </x:c>
    </x:row>
    <x:row r="262">
      <x:c r="A262" t="s">
        <x:v>327</x:v>
      </x:c>
      <x:c r="B262">
        <x:v>180</x:v>
      </x:c>
      <x:c r="C262" t="s">
        <x:v>16</x:v>
      </x:c>
    </x:row>
    <x:row r="263">
      <x:c r="A263" t="s">
        <x:v>328</x:v>
      </x:c>
      <x:c r="B263">
        <x:v>500</x:v>
      </x:c>
      <x:c r="C263" t="s">
        <x:v>16</x:v>
      </x:c>
    </x:row>
    <x:row r="264">
      <x:c r="A264" t="s">
        <x:v>329</x:v>
      </x:c>
      <x:c r="B264">
        <x:v>30</x:v>
      </x:c>
      <x:c r="C264" t="s">
        <x:v>16</x:v>
      </x:c>
    </x:row>
    <x:row r="265">
      <x:c r="A265" t="s">
        <x:v>330</x:v>
      </x:c>
      <x:c r="B265">
        <x:v>70</x:v>
      </x:c>
      <x:c r="C265" t="s">
        <x:v>331</x:v>
      </x:c>
      <x:c r="D265">
        <x:v>60</x:v>
      </x:c>
      <x:c r="E265" t="s">
        <x:v>332</x:v>
      </x:c>
    </x:row>
    <x:row r="266">
      <x:c r="A266" t="s">
        <x:v>333</x:v>
      </x:c>
      <x:c r="B266">
        <x:v>18</x:v>
      </x:c>
      <x:c r="C266" t="s">
        <x:v>56</x:v>
      </x:c>
      <x:c r="D266">
        <x:v>30</x:v>
      </x:c>
      <x:c r="E266" t="s">
        <x:v>57</x:v>
      </x:c>
    </x:row>
    <x:row r="267">
      <x:c r="A267" t="s">
        <x:v>334</x:v>
      </x:c>
      <x:c r="B267">
        <x:v>18</x:v>
      </x:c>
      <x:c r="C267" t="s">
        <x:v>56</x:v>
      </x:c>
      <x:c r="D267">
        <x:v>23</x:v>
      </x:c>
      <x:c r="E267" t="s">
        <x:v>57</x:v>
      </x:c>
    </x:row>
    <x:row r="268">
      <x:c r="A268" t="s">
        <x:v>335</x:v>
      </x:c>
      <x:c r="B268">
        <x:v>32</x:v>
      </x:c>
      <x:c r="C268" t="s">
        <x:v>336</x:v>
      </x:c>
      <x:c r="D268">
        <x:v>35</x:v>
      </x:c>
      <x:c r="E268" t="s">
        <x:v>337</x:v>
      </x:c>
    </x:row>
    <x:row r="269">
      <x:c r="A269" t="s">
        <x:v>338</x:v>
      </x:c>
      <x:c r="B269">
        <x:v>15</x:v>
      </x:c>
      <x:c r="C269" t="s">
        <x:v>339</x:v>
      </x:c>
      <x:c r="D269">
        <x:v>25</x:v>
      </x:c>
      <x:c r="E269" t="s">
        <x:v>340</x:v>
      </x:c>
    </x:row>
    <x:row r="270">
      <x:c r="A270" t="s">
        <x:v>341</x:v>
      </x:c>
      <x:c r="B270">
        <x:v>12</x:v>
      </x:c>
      <x:c r="C270" t="s">
        <x:v>172</x:v>
      </x:c>
      <x:c r="D270">
        <x:v>20</x:v>
      </x:c>
      <x:c r="E270" t="s">
        <x:v>173</x:v>
      </x:c>
    </x:row>
    <x:row r="271">
      <x:c r="A271" t="s">
        <x:v>342</x:v>
      </x:c>
      <x:c r="B271">
        <x:v>50</x:v>
      </x:c>
      <x:c r="C271" t="s">
        <x:v>16</x:v>
      </x:c>
    </x:row>
    <x:row r="272">
      <x:c r="A272" t="s">
        <x:v>343</x:v>
      </x:c>
      <x:c r="B272">
        <x:v>22</x:v>
      </x:c>
      <x:c r="C272" t="s">
        <x:v>155</x:v>
      </x:c>
      <x:c r="D272">
        <x:v>25</x:v>
      </x:c>
      <x:c r="E272" t="s">
        <x:v>344</x:v>
      </x:c>
    </x:row>
    <x:row r="273">
      <x:c r="A273" t="s">
        <x:v>345</x:v>
      </x:c>
      <x:c r="B273">
        <x:v>40</x:v>
      </x:c>
      <x:c r="C273" t="s">
        <x:v>339</x:v>
      </x:c>
      <x:c r="D273">
        <x:v>50</x:v>
      </x:c>
      <x:c r="E273" t="s">
        <x:v>332</x:v>
      </x:c>
    </x:row>
    <x:row r="274">
      <x:c r="A274" t="s">
        <x:v>346</x:v>
      </x:c>
      <x:c r="B274">
        <x:v>65</x:v>
      </x:c>
      <x:c r="C274" t="s">
        <x:v>172</x:v>
      </x:c>
      <x:c r="D274">
        <x:v>120</x:v>
      </x:c>
      <x:c r="E274" t="s">
        <x:v>173</x:v>
      </x:c>
    </x:row>
    <x:row r="275">
      <x:c r="A275" t="s">
        <x:v>347</x:v>
      </x:c>
      <x:c r="B275">
        <x:v>100</x:v>
      </x:c>
      <x:c r="C275" t="s">
        <x:v>56</x:v>
      </x:c>
      <x:c r="D275">
        <x:v>190</x:v>
      </x:c>
      <x:c r="E275" t="s">
        <x:v>57</x:v>
      </x:c>
    </x:row>
    <x:row r="276">
      <x:c r="A276" t="s">
        <x:v>348</x:v>
      </x:c>
      <x:c r="B276">
        <x:v>65</x:v>
      </x:c>
      <x:c r="C276" t="s">
        <x:v>56</x:v>
      </x:c>
      <x:c r="D276">
        <x:v>120</x:v>
      </x:c>
      <x:c r="E276" t="s">
        <x:v>57</x:v>
      </x:c>
    </x:row>
    <x:row r="277">
      <x:c r="A277" t="s">
        <x:v>349</x:v>
      </x:c>
      <x:c r="B277">
        <x:v>140</x:v>
      </x:c>
      <x:c r="C277" t="s">
        <x:v>56</x:v>
      </x:c>
      <x:c r="D277">
        <x:v>270</x:v>
      </x:c>
      <x:c r="E277" t="s">
        <x:v>57</x:v>
      </x:c>
    </x:row>
    <x:row r="278">
      <x:c r="A278" t="s">
        <x:v>350</x:v>
      </x:c>
      <x:c r="B278">
        <x:v>95</x:v>
      </x:c>
      <x:c r="C278" t="s">
        <x:v>56</x:v>
      </x:c>
      <x:c r="D278">
        <x:v>180</x:v>
      </x:c>
      <x:c r="E278" t="s">
        <x:v>57</x:v>
      </x:c>
    </x:row>
    <x:row r="279">
      <x:c r="A279" t="s">
        <x:v>351</x:v>
      </x:c>
      <x:c r="B279">
        <x:v>140</x:v>
      </x:c>
      <x:c r="C279" t="s">
        <x:v>56</x:v>
      </x:c>
      <x:c r="D279">
        <x:v>270</x:v>
      </x:c>
      <x:c r="E279" t="s">
        <x:v>57</x:v>
      </x:c>
    </x:row>
    <x:row r="280">
      <x:c r="A280" t="s">
        <x:v>352</x:v>
      </x:c>
      <x:c r="B280">
        <x:v>70</x:v>
      </x:c>
      <x:c r="C280" t="s">
        <x:v>56</x:v>
      </x:c>
      <x:c r="D280">
        <x:v>130</x:v>
      </x:c>
      <x:c r="E280" t="s">
        <x:v>57</x:v>
      </x:c>
    </x:row>
    <x:row r="281">
      <x:c r="A281" t="s">
        <x:v>353</x:v>
      </x:c>
      <x:c r="B281">
        <x:v>115</x:v>
      </x:c>
      <x:c r="C281" t="s">
        <x:v>56</x:v>
      </x:c>
      <x:c r="D281">
        <x:v>220</x:v>
      </x:c>
      <x:c r="E281" t="s">
        <x:v>57</x:v>
      </x:c>
    </x:row>
    <x:row r="282">
      <x:c r="A282" t="s">
        <x:v>354</x:v>
      </x:c>
      <x:c r="B282">
        <x:v>80</x:v>
      </x:c>
      <x:c r="C282" t="s">
        <x:v>56</x:v>
      </x:c>
      <x:c r="D282">
        <x:v>150</x:v>
      </x:c>
      <x:c r="E282" t="s">
        <x:v>57</x:v>
      </x:c>
    </x:row>
    <x:row r="283">
      <x:c r="A283" t="s">
        <x:v>355</x:v>
      </x:c>
      <x:c r="B283">
        <x:v>70</x:v>
      </x:c>
      <x:c r="C283" t="s">
        <x:v>56</x:v>
      </x:c>
      <x:c r="D283">
        <x:v>130</x:v>
      </x:c>
      <x:c r="E283" t="s">
        <x:v>57</x:v>
      </x:c>
    </x:row>
    <x:row r="284">
      <x:c r="A284" t="s">
        <x:v>356</x:v>
      </x:c>
      <x:c r="B284">
        <x:v>70</x:v>
      </x:c>
      <x:c r="C284" t="s">
        <x:v>56</x:v>
      </x:c>
      <x:c r="D284">
        <x:v>130</x:v>
      </x:c>
      <x:c r="E284" t="s">
        <x:v>57</x:v>
      </x:c>
    </x:row>
    <x:row r="285">
      <x:c r="A285" t="s">
        <x:v>357</x:v>
      </x:c>
      <x:c r="B285">
        <x:v>80</x:v>
      </x:c>
      <x:c r="C285" t="s">
        <x:v>56</x:v>
      </x:c>
      <x:c r="D285">
        <x:v>150</x:v>
      </x:c>
      <x:c r="E285" t="s">
        <x:v>57</x:v>
      </x:c>
    </x:row>
    <x:row r="286">
      <x:c r="A286" t="s">
        <x:v>358</x:v>
      </x:c>
      <x:c r="B286">
        <x:v>90</x:v>
      </x:c>
      <x:c r="C286" t="s">
        <x:v>56</x:v>
      </x:c>
      <x:c r="D286">
        <x:v>170</x:v>
      </x:c>
      <x:c r="E286" t="s">
        <x:v>57</x:v>
      </x:c>
    </x:row>
    <x:row r="287">
      <x:c r="A287" t="s">
        <x:v>359</x:v>
      </x:c>
      <x:c r="B287">
        <x:v>95</x:v>
      </x:c>
      <x:c r="C287" t="s">
        <x:v>56</x:v>
      </x:c>
      <x:c r="D287">
        <x:v>180</x:v>
      </x:c>
      <x:c r="E287" t="s">
        <x:v>57</x:v>
      </x:c>
    </x:row>
    <x:row r="288">
      <x:c r="A288" t="s">
        <x:v>360</x:v>
      </x:c>
      <x:c r="B288">
        <x:v>105</x:v>
      </x:c>
      <x:c r="C288" t="s">
        <x:v>361</x:v>
      </x:c>
    </x:row>
    <x:row r="289">
      <x:c r="A289" t="s">
        <x:v>362</x:v>
      </x:c>
      <x:c r="B289">
        <x:v>80</x:v>
      </x:c>
      <x:c r="C289" t="s">
        <x:v>56</x:v>
      </x:c>
      <x:c r="D289">
        <x:v>150</x:v>
      </x:c>
      <x:c r="E289" t="s">
        <x:v>57</x:v>
      </x:c>
    </x:row>
    <x:row r="290">
      <x:c r="A290" t="s">
        <x:v>363</x:v>
      </x:c>
      <x:c r="B290">
        <x:v>80</x:v>
      </x:c>
      <x:c r="C290" t="s">
        <x:v>56</x:v>
      </x:c>
      <x:c r="D290">
        <x:v>150</x:v>
      </x:c>
      <x:c r="E290" t="s">
        <x:v>57</x:v>
      </x:c>
    </x:row>
    <x:row r="291">
      <x:c r="A291" t="s">
        <x:v>364</x:v>
      </x:c>
      <x:c r="B291">
        <x:v>105</x:v>
      </x:c>
      <x:c r="C291" t="s">
        <x:v>56</x:v>
      </x:c>
      <x:c r="D291">
        <x:v>200</x:v>
      </x:c>
      <x:c r="E291" t="s">
        <x:v>57</x:v>
      </x:c>
    </x:row>
    <x:row r="292">
      <x:c r="A292" t="s">
        <x:v>365</x:v>
      </x:c>
      <x:c r="B292">
        <x:v>80</x:v>
      </x:c>
      <x:c r="C292" t="s">
        <x:v>56</x:v>
      </x:c>
      <x:c r="D292">
        <x:v>150</x:v>
      </x:c>
      <x:c r="E292" t="s">
        <x:v>57</x:v>
      </x:c>
    </x:row>
    <x:row r="293">
      <x:c r="A293" t="s">
        <x:v>366</x:v>
      </x:c>
      <x:c r="B293">
        <x:v>70</x:v>
      </x:c>
      <x:c r="C293" t="s">
        <x:v>56</x:v>
      </x:c>
      <x:c r="D293">
        <x:v>130</x:v>
      </x:c>
      <x:c r="E293" t="s">
        <x:v>57</x:v>
      </x:c>
    </x:row>
    <x:row r="294">
      <x:c r="A294" t="s">
        <x:v>367</x:v>
      </x:c>
      <x:c r="B294">
        <x:v>70</x:v>
      </x:c>
      <x:c r="C294" t="s">
        <x:v>56</x:v>
      </x:c>
      <x:c r="D294">
        <x:v>130</x:v>
      </x:c>
      <x:c r="E294" t="s">
        <x:v>57</x:v>
      </x:c>
    </x:row>
    <x:row r="295">
      <x:c r="A295" t="s">
        <x:v>368</x:v>
      </x:c>
      <x:c r="B295">
        <x:v>80</x:v>
      </x:c>
      <x:c r="C295" t="s">
        <x:v>56</x:v>
      </x:c>
      <x:c r="D295">
        <x:v>150</x:v>
      </x:c>
      <x:c r="E295" t="s">
        <x:v>57</x:v>
      </x:c>
    </x:row>
    <x:row r="296">
      <x:c r="A296" t="s">
        <x:v>369</x:v>
      </x:c>
      <x:c r="B296">
        <x:v>70</x:v>
      </x:c>
      <x:c r="C296" t="s">
        <x:v>56</x:v>
      </x:c>
      <x:c r="D296">
        <x:v>130</x:v>
      </x:c>
      <x:c r="E296" t="s">
        <x:v>57</x:v>
      </x:c>
    </x:row>
    <x:row r="297">
      <x:c r="A297" t="s">
        <x:v>370</x:v>
      </x:c>
      <x:c r="B297">
        <x:v>90</x:v>
      </x:c>
      <x:c r="C297" t="s">
        <x:v>56</x:v>
      </x:c>
      <x:c r="D297">
        <x:v>170</x:v>
      </x:c>
      <x:c r="E297" t="s">
        <x:v>57</x:v>
      </x:c>
    </x:row>
    <x:row r="298">
      <x:c r="A298" t="s">
        <x:v>371</x:v>
      </x:c>
      <x:c r="B298" t="s">
        <x:v>54</x:v>
      </x:c>
      <x:c r="C298" t="s">
        <x:v>56</x:v>
      </x:c>
      <x:c r="D298" t="s">
        <x:v>54</x:v>
      </x:c>
      <x:c r="E298" t="s">
        <x:v>57</x:v>
      </x:c>
    </x:row>
    <x:row r="299">
      <x:c r="A299" t="s">
        <x:v>372</x:v>
      </x:c>
      <x:c r="B299">
        <x:v>195</x:v>
      </x:c>
      <x:c r="C299" t="s">
        <x:v>56</x:v>
      </x:c>
      <x:c r="D299">
        <x:v>380</x:v>
      </x:c>
      <x:c r="E299" t="s">
        <x:v>57</x:v>
      </x:c>
    </x:row>
    <x:row r="300">
      <x:c r="A300" t="s">
        <x:v>373</x:v>
      </x:c>
      <x:c r="B300" t="s">
        <x:v>54</x:v>
      </x:c>
      <x:c r="C300" t="s">
        <x:v>56</x:v>
      </x:c>
      <x:c r="D300" t="s">
        <x:v>54</x:v>
      </x:c>
      <x:c r="E300" t="s">
        <x:v>57</x:v>
      </x:c>
    </x:row>
    <x:row r="301">
      <x:c r="A301" t="s">
        <x:v>374</x:v>
      </x:c>
      <x:c r="B301">
        <x:v>120</x:v>
      </x:c>
      <x:c r="C301" t="s">
        <x:v>56</x:v>
      </x:c>
      <x:c r="D301">
        <x:v>240</x:v>
      </x:c>
      <x:c r="E301" t="s">
        <x:v>57</x:v>
      </x:c>
    </x:row>
    <x:row r="302">
      <x:c r="A302" t="s">
        <x:v>375</x:v>
      </x:c>
      <x:c r="B302">
        <x:v>95</x:v>
      </x:c>
      <x:c r="C302" t="s">
        <x:v>56</x:v>
      </x:c>
      <x:c r="D302">
        <x:v>180</x:v>
      </x:c>
      <x:c r="E302" t="s">
        <x:v>57</x:v>
      </x:c>
    </x:row>
    <x:row r="303">
      <x:c r="A303" t="s">
        <x:v>376</x:v>
      </x:c>
      <x:c r="B303">
        <x:v>80</x:v>
      </x:c>
      <x:c r="C303" t="s">
        <x:v>56</x:v>
      </x:c>
      <x:c r="D303">
        <x:v>150</x:v>
      </x:c>
      <x:c r="E303" t="s">
        <x:v>57</x:v>
      </x:c>
    </x:row>
    <x:row r="304">
      <x:c r="A304" t="s">
        <x:v>377</x:v>
      </x:c>
      <x:c r="B304">
        <x:v>75</x:v>
      </x:c>
      <x:c r="C304" t="s">
        <x:v>56</x:v>
      </x:c>
      <x:c r="D304">
        <x:v>140</x:v>
      </x:c>
      <x:c r="E304" t="s">
        <x:v>57</x:v>
      </x:c>
    </x:row>
    <x:row r="305">
      <x:c r="A305" t="s">
        <x:v>378</x:v>
      </x:c>
      <x:c r="B305">
        <x:v>230</x:v>
      </x:c>
      <x:c r="C305" t="s">
        <x:v>56</x:v>
      </x:c>
      <x:c r="D305">
        <x:v>450</x:v>
      </x:c>
      <x:c r="E305" t="s">
        <x:v>57</x:v>
      </x:c>
    </x:row>
    <x:row r="306">
      <x:c r="A306" t="s">
        <x:v>379</x:v>
      </x:c>
      <x:c r="B306">
        <x:v>80</x:v>
      </x:c>
      <x:c r="C306" t="s">
        <x:v>56</x:v>
      </x:c>
      <x:c r="D306">
        <x:v>150</x:v>
      </x:c>
      <x:c r="E306" t="s">
        <x:v>57</x:v>
      </x:c>
    </x:row>
    <x:row r="307">
      <x:c r="A307" t="s">
        <x:v>380</x:v>
      </x:c>
      <x:c r="B307" t="s">
        <x:v>115</x:v>
      </x:c>
      <x:c r="C307" t="s">
        <x:v>381</x:v>
      </x:c>
      <x:c r="D307" t="s">
        <x:v>189</x:v>
      </x:c>
      <x:c r="E307" t="s">
        <x:v>382</x:v>
      </x:c>
    </x:row>
    <x:row r="308">
      <x:c r="A308" t="s">
        <x:v>383</x:v>
      </x:c>
      <x:c r="B308" t="s">
        <x:v>54</x:v>
      </x:c>
      <x:c r="C308" t="s">
        <x:v>16</x:v>
      </x:c>
    </x:row>
    <x:row r="309">
      <x:c r="A309" t="s">
        <x:v>384</x:v>
      </x:c>
      <x:c r="B309" t="s">
        <x:v>54</x:v>
      </x:c>
      <x:c r="C309" t="s">
        <x:v>16</x:v>
      </x:c>
    </x:row>
    <x:row r="310">
      <x:c r="A310" t="s">
        <x:v>385</x:v>
      </x:c>
      <x:c r="B310" t="s">
        <x:v>54</x:v>
      </x:c>
      <x:c r="C310" t="s">
        <x:v>16</x:v>
      </x:c>
    </x:row>
    <x:row r="311">
      <x:c r="A311" t="s">
        <x:v>386</x:v>
      </x:c>
      <x:c r="B311">
        <x:v>700</x:v>
      </x:c>
      <x:c r="C311" t="s">
        <x:v>16</x:v>
      </x:c>
    </x:row>
    <x:row r="312">
      <x:c r="A312" t="s">
        <x:v>387</x:v>
      </x:c>
      <x:c r="B312" t="s">
        <x:v>54</x:v>
      </x:c>
      <x:c r="C312" t="s">
        <x:v>16</x:v>
      </x:c>
    </x:row>
    <x:row r="313">
      <x:c r="A313" t="s">
        <x:v>388</x:v>
      </x:c>
      <x:c r="B313">
        <x:v>250</x:v>
      </x:c>
      <x:c r="C313" t="s">
        <x:v>389</x:v>
      </x:c>
      <x:c r="D313">
        <x:v>280</x:v>
      </x:c>
      <x:c r="E313" t="s">
        <x:v>390</x:v>
      </x:c>
    </x:row>
    <x:row r="314">
      <x:c r="A314" t="s">
        <x:v>391</x:v>
      </x:c>
      <x:c r="B314">
        <x:v>410</x:v>
      </x:c>
      <x:c r="C314" t="s">
        <x:v>16</x:v>
      </x:c>
      <x:c r="D314">
        <x:v>150</x:v>
      </x:c>
      <x:c r="E314" t="s">
        <x:v>109</x:v>
      </x:c>
    </x:row>
    <x:row r="315">
      <x:c r="A315" t="s">
        <x:v>392</x:v>
      </x:c>
      <x:c r="B315">
        <x:v>30</x:v>
      </x:c>
      <x:c r="C315" t="s">
        <x:v>393</x:v>
      </x:c>
    </x:row>
    <x:row r="316">
      <x:c r="A316" t="s">
        <x:v>394</x:v>
      </x:c>
      <x:c r="B316" t="s">
        <x:v>54</x:v>
      </x:c>
      <x:c r="C316" t="s">
        <x:v>16</x:v>
      </x:c>
    </x:row>
    <x:row r="317">
      <x:c r="A317" t="s">
        <x:v>395</x:v>
      </x:c>
      <x:c r="B317">
        <x:v>850</x:v>
      </x:c>
      <x:c r="C317" t="s">
        <x:v>16</x:v>
      </x:c>
    </x:row>
    <x:row r="318">
      <x:c r="A318" t="s">
        <x:v>396</x:v>
      </x:c>
      <x:c r="B318" t="s">
        <x:v>397</x:v>
      </x:c>
      <x:c r="C318" t="s">
        <x:v>16</x:v>
      </x:c>
    </x:row>
    <x:row r="319">
      <x:c r="A319" t="s">
        <x:v>398</x:v>
      </x:c>
      <x:c r="B319">
        <x:v>600</x:v>
      </x:c>
      <x:c r="C319" t="s">
        <x:v>16</x:v>
      </x:c>
    </x:row>
    <x:row r="320">
      <x:c r="A320" t="s">
        <x:v>399</x:v>
      </x:c>
      <x:c r="B320">
        <x:v>700</x:v>
      </x:c>
      <x:c r="C320" t="s">
        <x:v>16</x:v>
      </x:c>
    </x:row>
    <x:row r="321">
      <x:c r="A321" t="s">
        <x:v>400</x:v>
      </x:c>
      <x:c r="B321">
        <x:v>900</x:v>
      </x:c>
      <x:c r="C321" t="s">
        <x:v>16</x:v>
      </x:c>
    </x:row>
    <x:row r="322">
      <x:c r="A322" t="s">
        <x:v>401</x:v>
      </x:c>
      <x:c r="B322">
        <x:v>500</x:v>
      </x:c>
      <x:c r="C322" t="s">
        <x:v>16</x:v>
      </x:c>
    </x:row>
    <x:row r="323">
      <x:c r="A323" t="s">
        <x:v>402</x:v>
      </x:c>
      <x:c r="B323">
        <x:v>250</x:v>
      </x:c>
      <x:c r="C323" t="s">
        <x:v>16</x:v>
      </x:c>
    </x:row>
    <x:row r="324">
      <x:c r="A324" t="s">
        <x:v>403</x:v>
      </x:c>
      <x:c r="B324" t="s">
        <x:v>133</x:v>
      </x:c>
      <x:c r="C324" t="s">
        <x:v>16</x:v>
      </x:c>
      <x:c r="D324">
        <x:v>220</x:v>
      </x:c>
      <x:c r="E324" t="s">
        <x:v>404</x:v>
      </x:c>
    </x:row>
    <x:row r="325">
      <x:c r="A325" t="s">
        <x:v>405</x:v>
      </x:c>
      <x:c r="B325" t="s">
        <x:v>133</x:v>
      </x:c>
      <x:c r="C325" t="s">
        <x:v>16</x:v>
      </x:c>
      <x:c r="D325">
        <x:v>220</x:v>
      </x:c>
      <x:c r="E325" t="s">
        <x:v>404</x:v>
      </x:c>
    </x:row>
    <x:row r="326">
      <x:c r="A326" t="s">
        <x:v>406</x:v>
      </x:c>
      <x:c r="B326" t="s">
        <x:v>407</x:v>
      </x:c>
      <x:c r="C326" t="s">
        <x:v>16</x:v>
      </x:c>
    </x:row>
    <x:row r="327">
      <x:c r="A327" t="s">
        <x:v>408</x:v>
      </x:c>
      <x:c r="B327" t="s">
        <x:v>270</x:v>
      </x:c>
      <x:c r="C327" t="s">
        <x:v>16</x:v>
      </x:c>
    </x:row>
    <x:row r="328">
      <x:c r="A328" t="s">
        <x:v>409</x:v>
      </x:c>
      <x:c r="B328">
        <x:v>50</x:v>
      </x:c>
      <x:c r="C328" t="s">
        <x:v>410</x:v>
      </x:c>
    </x:row>
    <x:row r="329">
      <x:c r="A329" t="s">
        <x:v>411</x:v>
      </x:c>
      <x:c r="B329">
        <x:v>900</x:v>
      </x:c>
      <x:c r="C329" t="s">
        <x:v>16</x:v>
      </x:c>
    </x:row>
    <x:row r="330">
      <x:c r="A330" t="s">
        <x:v>412</x:v>
      </x:c>
      <x:c r="B330" t="s">
        <x:v>23</x:v>
      </x:c>
      <x:c r="C330" t="s">
        <x:v>16</x:v>
      </x:c>
    </x:row>
    <x:row r="331">
      <x:c r="A331" t="s">
        <x:v>413</x:v>
      </x:c>
      <x:c r="B331">
        <x:v>900</x:v>
      </x:c>
      <x:c r="C331" t="s">
        <x:v>16</x:v>
      </x:c>
    </x:row>
    <x:row r="332">
      <x:c r="A332" t="s">
        <x:v>414</x:v>
      </x:c>
      <x:c r="B332">
        <x:v>400</x:v>
      </x:c>
      <x:c r="C332" t="s">
        <x:v>415</x:v>
      </x:c>
      <x:c r="D332" t="s">
        <x:v>183</x:v>
      </x:c>
      <x:c r="E332" t="s">
        <x:v>16</x:v>
      </x:c>
    </x:row>
    <x:row r="333">
      <x:c r="A333" t="s">
        <x:v>416</x:v>
      </x:c>
      <x:c r="B333">
        <x:v>690</x:v>
      </x:c>
      <x:c r="C333" t="s">
        <x:v>16</x:v>
      </x:c>
    </x:row>
    <x:row r="334">
      <x:c r="A334" t="s">
        <x:v>417</x:v>
      </x:c>
      <x:c r="B334">
        <x:v>900</x:v>
      </x:c>
      <x:c r="C334" t="s">
        <x:v>16</x:v>
      </x:c>
    </x:row>
    <x:row r="335">
      <x:c r="A335" t="s">
        <x:v>418</x:v>
      </x:c>
      <x:c r="B335" t="s">
        <x:v>54</x:v>
      </x:c>
      <x:c r="C335" t="s">
        <x:v>16</x:v>
      </x:c>
    </x:row>
    <x:row r="336">
      <x:c r="A336" t="s">
        <x:v>419</x:v>
      </x:c>
      <x:c r="B336">
        <x:v>810</x:v>
      </x:c>
      <x:c r="C336" t="s">
        <x:v>415</x:v>
      </x:c>
      <x:c r="D336">
        <x:v>4500</x:v>
      </x:c>
      <x:c r="E336" t="s">
        <x:v>16</x:v>
      </x:c>
    </x:row>
    <x:row r="337">
      <x:c r="A337" t="s">
        <x:v>420</x:v>
      </x:c>
      <x:c r="B337">
        <x:v>500</x:v>
      </x:c>
      <x:c r="C337" t="s">
        <x:v>421</x:v>
      </x:c>
    </x:row>
    <x:row r="338">
      <x:c r="A338" t="s">
        <x:v>422</x:v>
      </x:c>
      <x:c r="B338">
        <x:v>500</x:v>
      </x:c>
      <x:c r="C338" t="s">
        <x:v>421</x:v>
      </x:c>
    </x:row>
    <x:row r="339">
      <x:c r="A339" t="s">
        <x:v>423</x:v>
      </x:c>
      <x:c r="B339" t="s">
        <x:v>54</x:v>
      </x:c>
      <x:c r="C339" t="s">
        <x:v>16</x:v>
      </x:c>
    </x:row>
    <x:row r="340">
      <x:c r="A340" t="s">
        <x:v>424</x:v>
      </x:c>
      <x:c r="B340">
        <x:v>350</x:v>
      </x:c>
      <x:c r="C340" t="s">
        <x:v>421</x:v>
      </x:c>
      <x:c r="D340">
        <x:v>460</x:v>
      </x:c>
      <x:c r="E340" t="s">
        <x:v>425</x:v>
      </x:c>
    </x:row>
    <x:row r="341">
      <x:c r="A341" t="s">
        <x:v>426</x:v>
      </x:c>
      <x:c r="B341">
        <x:v>800</x:v>
      </x:c>
      <x:c r="C341" t="s">
        <x:v>16</x:v>
      </x:c>
    </x:row>
    <x:row r="342">
      <x:c r="A342" t="s">
        <x:v>427</x:v>
      </x:c>
      <x:c r="B342">
        <x:v>700</x:v>
      </x:c>
      <x:c r="C342" t="s">
        <x:v>16</x:v>
      </x:c>
    </x:row>
    <x:row r="343">
      <x:c r="A343" t="s">
        <x:v>428</x:v>
      </x:c>
      <x:c r="B343">
        <x:v>350</x:v>
      </x:c>
      <x:c r="C343" t="s">
        <x:v>16</x:v>
      </x:c>
    </x:row>
    <x:row r="344">
      <x:c r="A344" t="s">
        <x:v>429</x:v>
      </x:c>
      <x:c r="B344">
        <x:v>500</x:v>
      </x:c>
      <x:c r="C344" t="s">
        <x:v>16</x:v>
      </x:c>
    </x:row>
    <x:row r="345">
      <x:c r="A345" t="s">
        <x:v>430</x:v>
      </x:c>
      <x:c r="B345">
        <x:v>25</x:v>
      </x:c>
      <x:c r="C345" t="s">
        <x:v>431</x:v>
      </x:c>
    </x:row>
    <x:row r="346">
      <x:c r="A346" t="s">
        <x:v>432</x:v>
      </x:c>
      <x:c r="B346" t="s">
        <x:v>54</x:v>
      </x:c>
      <x:c r="C346" t="s">
        <x:v>16</x:v>
      </x:c>
    </x:row>
    <x:row r="347">
      <x:c r="A347" t="s">
        <x:v>433</x:v>
      </x:c>
      <x:c r="B347" t="s">
        <x:v>54</x:v>
      </x:c>
      <x:c r="C347" t="s">
        <x:v>16</x:v>
      </x:c>
    </x:row>
    <x:row r="348">
      <x:c r="A348" t="s">
        <x:v>434</x:v>
      </x:c>
      <x:c r="B348">
        <x:v>700</x:v>
      </x:c>
      <x:c r="C348" t="s">
        <x:v>16</x:v>
      </x:c>
    </x:row>
    <x:row r="349">
      <x:c r="A349" t="s">
        <x:v>435</x:v>
      </x:c>
      <x:c r="B349">
        <x:v>600</x:v>
      </x:c>
      <x:c r="C349" t="s">
        <x:v>16</x:v>
      </x:c>
    </x:row>
    <x:row r="350">
      <x:c r="A350" t="s">
        <x:v>436</x:v>
      </x:c>
      <x:c r="B350">
        <x:v>680</x:v>
      </x:c>
      <x:c r="C350" t="s">
        <x:v>16</x:v>
      </x:c>
    </x:row>
    <x:row r="351">
      <x:c r="A351" t="s">
        <x:v>437</x:v>
      </x:c>
      <x:c r="B351" t="s">
        <x:v>438</x:v>
      </x:c>
      <x:c r="C351" t="s">
        <x:v>16</x:v>
      </x:c>
    </x:row>
    <x:row r="352">
      <x:c r="A352" t="s">
        <x:v>439</x:v>
      </x:c>
      <x:c r="B352">
        <x:v>600</x:v>
      </x:c>
      <x:c r="C352" t="s">
        <x:v>16</x:v>
      </x:c>
    </x:row>
    <x:row r="353">
      <x:c r="A353" t="s">
        <x:v>440</x:v>
      </x:c>
      <x:c r="B353" t="s">
        <x:v>115</x:v>
      </x:c>
      <x:c r="C353" t="s">
        <x:v>16</x:v>
      </x:c>
    </x:row>
    <x:row r="354">
      <x:c r="A354" t="s">
        <x:v>441</x:v>
      </x:c>
      <x:c r="B354">
        <x:v>450</x:v>
      </x:c>
      <x:c r="C354" t="s">
        <x:v>16</x:v>
      </x:c>
    </x:row>
    <x:row r="355">
      <x:c r="A355" t="s">
        <x:v>442</x:v>
      </x:c>
      <x:c r="B355" t="s">
        <x:v>23</x:v>
      </x:c>
      <x:c r="C355" t="s">
        <x:v>16</x:v>
      </x:c>
    </x:row>
    <x:row r="356">
      <x:c r="A356" t="s">
        <x:v>443</x:v>
      </x:c>
      <x:c r="B356" t="s">
        <x:v>64</x:v>
      </x:c>
      <x:c r="C356" t="s">
        <x:v>16</x:v>
      </x:c>
    </x:row>
    <x:row r="357">
      <x:c r="A357" t="s">
        <x:v>444</x:v>
      </x:c>
      <x:c r="B357" t="s">
        <x:v>407</x:v>
      </x:c>
      <x:c r="C357" t="s">
        <x:v>16</x:v>
      </x:c>
    </x:row>
    <x:row r="358">
      <x:c r="A358" t="s">
        <x:v>445</x:v>
      </x:c>
      <x:c r="B358" t="s">
        <x:v>66</x:v>
      </x:c>
      <x:c r="C358" t="s">
        <x:v>16</x:v>
      </x:c>
    </x:row>
    <x:row r="359">
      <x:c r="A359" t="s">
        <x:v>446</x:v>
      </x:c>
      <x:c r="B359">
        <x:v>450</x:v>
      </x:c>
      <x:c r="C359" t="s">
        <x:v>16</x:v>
      </x:c>
    </x:row>
    <x:row r="360">
      <x:c r="A360" t="s">
        <x:v>447</x:v>
      </x:c>
      <x:c r="B360" t="s">
        <x:v>448</x:v>
      </x:c>
      <x:c r="C360" t="s">
        <x:v>16</x:v>
      </x:c>
    </x:row>
    <x:row r="361">
      <x:c r="A361" t="s">
        <x:v>449</x:v>
      </x:c>
      <x:c r="B361">
        <x:v>120</x:v>
      </x:c>
      <x:c r="C361" t="s">
        <x:v>16</x:v>
      </x:c>
    </x:row>
    <x:row r="362">
      <x:c r="A362" t="s">
        <x:v>450</x:v>
      </x:c>
      <x:c r="B362">
        <x:v>790</x:v>
      </x:c>
      <x:c r="C362" t="s">
        <x:v>16</x:v>
      </x:c>
    </x:row>
    <x:row r="363">
      <x:c r="A363" t="s">
        <x:v>451</x:v>
      </x:c>
      <x:c r="B363" t="s">
        <x:v>54</x:v>
      </x:c>
      <x:c r="C363" t="s">
        <x:v>16</x:v>
      </x:c>
    </x:row>
    <x:row r="364">
      <x:c r="A364" t="s">
        <x:v>452</x:v>
      </x:c>
      <x:c r="B364" t="s">
        <x:v>54</x:v>
      </x:c>
      <x:c r="C364" t="s">
        <x:v>16</x:v>
      </x:c>
    </x:row>
    <x:row r="365">
      <x:c r="A365" t="s">
        <x:v>453</x:v>
      </x:c>
      <x:c r="B365">
        <x:v>900</x:v>
      </x:c>
      <x:c r="C365" t="s">
        <x:v>16</x:v>
      </x:c>
    </x:row>
    <x:row r="366">
      <x:c r="A366" t="s">
        <x:v>454</x:v>
      </x:c>
      <x:c r="B366" t="s">
        <x:v>248</x:v>
      </x:c>
      <x:c r="C366" t="s">
        <x:v>16</x:v>
      </x:c>
    </x:row>
    <x:row r="367">
      <x:c r="A367" t="s">
        <x:v>455</x:v>
      </x:c>
      <x:c r="B367">
        <x:v>850</x:v>
      </x:c>
      <x:c r="C367" t="s">
        <x:v>16</x:v>
      </x:c>
    </x:row>
    <x:row r="368">
      <x:c r="A368" t="s">
        <x:v>456</x:v>
      </x:c>
      <x:c r="B368" t="s">
        <x:v>54</x:v>
      </x:c>
      <x:c r="C368" t="s">
        <x:v>16</x:v>
      </x:c>
    </x:row>
    <x:row r="369">
      <x:c r="A369" t="s">
        <x:v>457</x:v>
      </x:c>
      <x:c r="B369" t="s">
        <x:v>218</x:v>
      </x:c>
      <x:c r="C369" t="s">
        <x:v>16</x:v>
      </x:c>
    </x:row>
    <x:row r="370">
      <x:c r="A370" t="s">
        <x:v>458</x:v>
      </x:c>
      <x:c r="B370" t="s">
        <x:v>459</x:v>
      </x:c>
      <x:c r="C370" t="s">
        <x:v>16</x:v>
      </x:c>
    </x:row>
    <x:row r="371">
      <x:c r="A371" t="s">
        <x:v>460</x:v>
      </x:c>
      <x:c r="B371" t="s">
        <x:v>461</x:v>
      </x:c>
      <x:c r="C371" t="s">
        <x:v>16</x:v>
      </x:c>
    </x:row>
    <x:row r="372">
      <x:c r="A372" t="s">
        <x:v>462</x:v>
      </x:c>
      <x:c r="B372">
        <x:v>270</x:v>
      </x:c>
      <x:c r="C372" t="s">
        <x:v>16</x:v>
      </x:c>
    </x:row>
    <x:row r="373">
      <x:c r="A373" t="s">
        <x:v>463</x:v>
      </x:c>
      <x:c r="B373">
        <x:v>250</x:v>
      </x:c>
      <x:c r="C373" t="s">
        <x:v>16</x:v>
      </x:c>
    </x:row>
    <x:row r="374">
      <x:c r="A374" t="s">
        <x:v>464</x:v>
      </x:c>
      <x:c r="B374">
        <x:v>750</x:v>
      </x:c>
      <x:c r="C374" t="s">
        <x:v>16</x:v>
      </x:c>
    </x:row>
    <x:row r="375">
      <x:c r="A375" t="s">
        <x:v>465</x:v>
      </x:c>
      <x:c r="B375">
        <x:v>120</x:v>
      </x:c>
      <x:c r="C375" t="s">
        <x:v>404</x:v>
      </x:c>
    </x:row>
    <x:row r="376">
      <x:c r="A376" t="s">
        <x:v>466</x:v>
      </x:c>
      <x:c r="B376">
        <x:v>220</x:v>
      </x:c>
      <x:c r="C376" t="s">
        <x:v>16</x:v>
      </x:c>
    </x:row>
    <x:row r="377">
      <x:c r="A377" t="s">
        <x:v>467</x:v>
      </x:c>
      <x:c r="B377">
        <x:v>100</x:v>
      </x:c>
      <x:c r="C377" t="s">
        <x:v>404</x:v>
      </x:c>
    </x:row>
    <x:row r="378">
      <x:c r="A378" t="s">
        <x:v>468</x:v>
      </x:c>
      <x:c r="B378">
        <x:v>150</x:v>
      </x:c>
      <x:c r="C378" t="s">
        <x:v>16</x:v>
      </x:c>
    </x:row>
    <x:row r="379">
      <x:c r="A379" t="s">
        <x:v>469</x:v>
      </x:c>
      <x:c r="B379">
        <x:v>120</x:v>
      </x:c>
      <x:c r="C379" t="s">
        <x:v>16</x:v>
      </x:c>
    </x:row>
    <x:row r="380">
      <x:c r="A380" t="s">
        <x:v>470</x:v>
      </x:c>
      <x:c r="B380">
        <x:v>150</x:v>
      </x:c>
      <x:c r="C380" t="s">
        <x:v>16</x:v>
      </x:c>
    </x:row>
    <x:row r="381">
      <x:c r="A381" t="s">
        <x:v>471</x:v>
      </x:c>
      <x:c r="B381">
        <x:v>50</x:v>
      </x:c>
      <x:c r="C381" t="s">
        <x:v>16</x:v>
      </x:c>
    </x:row>
    <x:row r="382">
      <x:c r="A382" t="s">
        <x:v>472</x:v>
      </x:c>
      <x:c r="B382" t="s">
        <x:v>54</x:v>
      </x:c>
      <x:c r="C382" t="s">
        <x:v>16</x:v>
      </x:c>
    </x:row>
    <x:row r="383">
      <x:c r="A383" t="s">
        <x:v>473</x:v>
      </x:c>
      <x:c r="B383" t="s">
        <x:v>80</x:v>
      </x:c>
      <x:c r="C383" t="s">
        <x:v>62</x:v>
      </x:c>
      <x:c r="D383">
        <x:v>260</x:v>
      </x:c>
      <x:c r="E383" t="s">
        <x:v>474</x:v>
      </x:c>
    </x:row>
    <x:row r="384">
      <x:c r="A384" t="s">
        <x:v>475</x:v>
      </x:c>
      <x:c r="B384">
        <x:v>110</x:v>
      </x:c>
      <x:c r="C384" t="s">
        <x:v>265</x:v>
      </x:c>
    </x:row>
    <x:row r="385">
      <x:c r="A385" t="s">
        <x:v>476</x:v>
      </x:c>
      <x:c r="B385" t="s">
        <x:v>218</x:v>
      </x:c>
      <x:c r="C385" t="s">
        <x:v>16</x:v>
      </x:c>
    </x:row>
    <x:row r="386">
      <x:c r="A386" t="s">
        <x:v>477</x:v>
      </x:c>
      <x:c r="B386" t="s">
        <x:v>478</x:v>
      </x:c>
      <x:c r="C386" t="s">
        <x:v>16</x:v>
      </x:c>
    </x:row>
    <x:row r="387">
      <x:c r="A387" t="s">
        <x:v>479</x:v>
      </x:c>
      <x:c r="B387" t="s">
        <x:v>478</x:v>
      </x:c>
      <x:c r="C387" t="s">
        <x:v>16</x:v>
      </x:c>
    </x:row>
    <x:row r="388">
      <x:c r="A388" t="s">
        <x:v>480</x:v>
      </x:c>
      <x:c r="B388" t="s">
        <x:v>80</x:v>
      </x:c>
      <x:c r="C388" t="s">
        <x:v>16</x:v>
      </x:c>
    </x:row>
    <x:row r="389">
      <x:c r="A389" t="s">
        <x:v>481</x:v>
      </x:c>
      <x:c r="B389">
        <x:v>800</x:v>
      </x:c>
      <x:c r="C389" t="s">
        <x:v>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8799991607666" hidden="0" customWidth="1"/>
    <x:col min="2" max="2" width="22.75" hidden="0" customWidth="1"/>
    <x:col min="3" max="3" width="14.880000114440918" hidden="0" customWidth="1"/>
    <x:col min="4" max="4" width="22.75" hidden="0" customWidth="1"/>
    <x:col min="5" max="5" width="33.380001068115234" hidden="0" customWidth="1"/>
    <x:col min="6" max="6" width="43.880001068115234" hidden="0" customWidth="1"/>
    <x:col min="7" max="7" width="9" hidden="0" customWidth="1"/>
    <x:col min="8" max="8" width="39.75" hidden="0" customWidth="1"/>
  </x:cols>
  <x:sheetData>
    <x:row r="1">
      <x:c r="A1" s="98" t="str">
        <x:v>دسته‌بندی فارسی</x:v>
      </x:c>
      <x:c r="B1" s="98" t="str">
        <x:v>category_id</x:v>
      </x:c>
      <x:c r="C1" s="98" t="str">
        <x:v>slug</x:v>
      </x:c>
      <x:c r="D1" s="98" t="str">
        <x:v>parent_id</x:v>
      </x:c>
      <x:c r="E1" s="98" t="str">
        <x:v>description</x:v>
      </x:c>
      <x:c r="F1" s="98" t="str">
        <x:v>image</x:v>
      </x:c>
      <x:c r="G1" s="98" t="str">
        <x:v>isActive</x:v>
      </x:c>
      <x:c r="H1" s="98" t="str">
        <x:v>نکته</x:v>
      </x:c>
    </x:row>
    <x:row r="2">
      <x:c r="A2" s="79" t="str">
        <x:v>روغن</x:v>
      </x:c>
      <x:c r="B2" s="79" t="str">
        <x:v>6a2d446d45c164ce6f28ae30</x:v>
      </x:c>
      <x:c r="C2" s="79" t="str">
        <x:v>oil</x:v>
      </x:c>
      <x:c r="D2" s="79"/>
      <x:c r="E2" s="79" t="str">
        <x:v>روغن ها</x:v>
      </x:c>
      <x:c r="F2" s="79" t="str">
        <x:v>/uploads/categories/1782043786294-oil.jpg</x:v>
      </x:c>
      <x:c r="G2" s="99" t="b">
        <x:v>1</x:v>
      </x:c>
      <x:c r="H2" s="79" t="str"/>
    </x:row>
    <x:row r="3">
      <x:c r="A3" s="79" t="str">
        <x:v>چای</x:v>
      </x:c>
      <x:c r="B3" s="79" t="str">
        <x:v>6a30f5728337d8d2af170bb3</x:v>
      </x:c>
      <x:c r="C3" s="79" t="str">
        <x:v>tea</x:v>
      </x:c>
      <x:c r="D3" s="79"/>
      <x:c r="E3" s="79" t="str"/>
      <x:c r="F3" s="79" t="str">
        <x:v>/uploads/categories/1782043734632-tea.jpg</x:v>
      </x:c>
      <x:c r="G3" s="99" t="b">
        <x:v>1</x:v>
      </x:c>
      <x:c r="H3" s="79" t="str"/>
    </x:row>
    <x:row r="4">
      <x:c r="A4" s="79" t="str">
        <x:v>ادویه</x:v>
      </x:c>
      <x:c r="B4" s="79" t="str">
        <x:v>6a3781e4df5573f4e676e226</x:v>
      </x:c>
      <x:c r="C4" s="79" t="str">
        <x:v>spice</x:v>
      </x:c>
      <x:c r="D4" s="79"/>
      <x:c r="E4" s="79" t="str">
        <x:v>spice</x:v>
      </x:c>
      <x:c r="F4" s="79" t="str">
        <x:v>/uploads/categories/1782045038915-spice.jpg</x:v>
      </x:c>
      <x:c r="G4" s="99" t="b">
        <x:v>1</x:v>
      </x:c>
      <x:c r="H4" s="79" t="str"/>
    </x:row>
    <x:row r="5">
      <x:c r="A5" s="79" t="str">
        <x:v>گیاهان دارویی</x:v>
      </x:c>
      <x:c r="B5" s="79" t="str">
        <x:v>6a3782d7df5573f4e676e243</x:v>
      </x:c>
      <x:c r="C5" s="79" t="str">
        <x:v>medicinal-plants</x:v>
      </x:c>
      <x:c r="D5" s="79"/>
      <x:c r="E5" s="79" t="str">
        <x:v>گیاهان دارویی</x:v>
      </x:c>
      <x:c r="F5" s="79" t="str">
        <x:v>/uploads/categories/1782045196447-medicinal-plants.jpg</x:v>
      </x:c>
      <x:c r="G5" s="99" t="b">
        <x:v>1</x:v>
      </x:c>
      <x:c r="H5" s="79" t="str"/>
    </x:row>
    <x:row r="6">
      <x:c r="A6" s="79" t="str">
        <x:v>نوشیدنی‌ها</x:v>
      </x:c>
      <x:c r="B6" s="79" t="str">
        <x:v>6a3782ffdf5573f4e676e24b</x:v>
      </x:c>
      <x:c r="C6" s="79" t="str">
        <x:v>syrup</x:v>
      </x:c>
      <x:c r="D6" s="79" t="str">
        <x:v>6a3782d7df5573f4e676e243</x:v>
      </x:c>
      <x:c r="E6" s="79" t="str"/>
      <x:c r="F6" s="79" t="str">
        <x:v>/uploads/categories/1782045153860-drink---1K-JPEG.jpg</x:v>
      </x:c>
      <x:c r="G6" s="99" t="b">
        <x:v>1</x:v>
      </x:c>
      <x:c r="H6" s="79" t="str">
        <x:v>زیرمجموعه گیاهان دارویی</x:v>
      </x:c>
    </x:row>
    <x:row r="7">
      <x:c r="A7" s="79" t="str">
        <x:v>خشکبار و آجیل</x:v>
      </x:c>
      <x:c r="B7" s="79" t="str">
        <x:v>6a37810ddf5573f4e676e201</x:v>
      </x:c>
      <x:c r="C7" s="79" t="str">
        <x:v>dried-fruits-nuts</x:v>
      </x:c>
      <x:c r="D7" s="79"/>
      <x:c r="E7" s="79" t="str">
        <x:v>انواع خشکبار، آجیل، تخمه و دانه‌های خوراکی</x:v>
      </x:c>
      <x:c r="F7" s="79" t="str">
        <x:v>/uploads/categories/1782045123937-seed.jpg</x:v>
      </x:c>
      <x:c r="G7" s="99" t="b">
        <x:v>1</x:v>
      </x:c>
      <x:c r="H7" s="79" t="str">
        <x:v>همان دسته قدیمی تخمه؛ فقط name/slug اصلاح شده</x:v>
      </x:c>
    </x:row>
    <x:row r="8">
      <x:c r="A8" s="79" t="str">
        <x:v>حبوبات و غلات</x:v>
      </x:c>
      <x:c r="B8" s="79" t="str">
        <x:v>6a3a00000000000000000002</x:v>
      </x:c>
      <x:c r="C8" s="79" t="str">
        <x:v>legumes-grains</x:v>
      </x:c>
      <x:c r="D8" s="79"/>
      <x:c r="E8" s="79" t="str">
        <x:v>حبوبات، غلات و محصولات مشابه</x:v>
      </x:c>
      <x:c r="F8" s="79" t="str"/>
      <x:c r="G8" s="99" t="b">
        <x:v>1</x:v>
      </x:c>
      <x:c r="H8" s="79" t="str"/>
    </x:row>
    <x:row r="9">
      <x:c r="A9" s="79" t="str">
        <x:v>قنادی و شیرینی</x:v>
      </x:c>
      <x:c r="B9" s="79" t="str">
        <x:v>6a3a00000000000000000003</x:v>
      </x:c>
      <x:c r="C9" s="79" t="str">
        <x:v>confectionery</x:v>
      </x:c>
      <x:c r="D9" s="79"/>
      <x:c r="E9" s="79" t="str">
        <x:v>مواد قنادی، شیرینی و محصولات مرتبط</x:v>
      </x:c>
      <x:c r="F9" s="79" t="str"/>
      <x:c r="G9" s="99" t="b">
        <x:v>1</x:v>
      </x:c>
      <x:c r="H9" s="79" t="str"/>
    </x:row>
    <x:row r="10">
      <x:c r="A10" s="79" t="str">
        <x:v>آرد و قنادی</x:v>
      </x:c>
      <x:c r="B10" s="79" t="str">
        <x:v>6a3a00000000000000000004</x:v>
      </x:c>
      <x:c r="C10" s="79" t="str">
        <x:v>flour-confectionery</x:v>
      </x:c>
      <x:c r="D10" s="79" t="str">
        <x:v>6a3a00000000000000000003</x:v>
      </x:c>
      <x:c r="E10" s="79" t="str">
        <x:v>آردها و مواد اولیه قنادی</x:v>
      </x:c>
      <x:c r="F10" s="79" t="str"/>
      <x:c r="G10" s="99" t="b">
        <x:v>1</x:v>
      </x:c>
      <x:c r="H10" s="79" t="str">
        <x:v>زیرمجموعه قنادی و شیرینی</x:v>
      </x:c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</x:row>
    <x:row r="31">
      <x:c r="A31" t="str"/>
      <x:c r="B31" t="str"/>
      <x:c r="C31" t="str"/>
      <x:c r="D31" t="str"/>
      <x:c r="E31" t="str"/>
      <x:c r="F31" t="str"/>
      <x:c r="G31" t="str"/>
      <x:c r="H31" t="str"/>
    </x:row>
    <x:row r="32">
      <x:c r="A32" t="str"/>
      <x:c r="B32" t="str"/>
      <x:c r="C32" t="str"/>
      <x:c r="D32" t="str"/>
      <x:c r="E32" t="str"/>
      <x:c r="F32" t="str"/>
      <x:c r="G32" t="str"/>
      <x:c r="H32" t="str"/>
    </x:row>
    <x:row r="33">
      <x:c r="A33" t="str"/>
      <x:c r="B33" t="str"/>
      <x:c r="C33" t="str"/>
      <x:c r="D33" t="str"/>
      <x:c r="E33" t="str"/>
      <x:c r="F33" t="str"/>
      <x:c r="G33" t="str"/>
      <x:c r="H33" t="str"/>
    </x:row>
    <x:row r="34">
      <x:c r="A34" t="str"/>
      <x:c r="B34" t="str"/>
      <x:c r="C34" t="str"/>
      <x:c r="D34" t="str"/>
      <x:c r="E34" t="str"/>
      <x:c r="F34" t="str"/>
      <x:c r="G34" t="str"/>
      <x:c r="H34" t="str"/>
    </x:row>
    <x:row r="35">
      <x:c r="A35" t="str"/>
      <x:c r="B35" t="str"/>
      <x:c r="C35" t="str"/>
      <x:c r="D35" t="str"/>
      <x:c r="E35" t="str"/>
      <x:c r="F35" t="str"/>
      <x:c r="G35" t="str"/>
      <x:c r="H35" t="str"/>
    </x:row>
    <x:row r="36">
      <x:c r="A36" t="str"/>
      <x:c r="B36" t="str"/>
      <x:c r="C36" t="str"/>
      <x:c r="D36" t="str"/>
      <x:c r="E36" t="str"/>
      <x:c r="F36" t="str"/>
      <x:c r="G36" t="str"/>
      <x:c r="H36" t="str"/>
    </x:row>
    <x:row r="37">
      <x:c r="A37" t="str"/>
      <x:c r="B37" t="str"/>
      <x:c r="C37" t="str"/>
      <x:c r="D37" t="str"/>
      <x:c r="E37" t="str"/>
      <x:c r="F37" t="str"/>
      <x:c r="G37" t="str"/>
      <x:c r="H37" t="str"/>
    </x:row>
    <x:row r="38">
      <x:c r="A38" t="str"/>
      <x:c r="B38" t="str"/>
      <x:c r="C38" t="str"/>
      <x:c r="D38" t="str"/>
      <x:c r="E38" t="str"/>
      <x:c r="F38" t="str"/>
      <x:c r="G38" t="str"/>
      <x:c r="H38" t="str"/>
    </x:row>
    <x:row r="39">
      <x:c r="A39" t="str"/>
      <x:c r="B39" t="str"/>
      <x:c r="C39" t="str"/>
      <x:c r="D39" t="str"/>
      <x:c r="E39" t="str"/>
      <x:c r="F39" t="str"/>
      <x:c r="G39" t="str"/>
      <x:c r="H39" t="str"/>
    </x:row>
    <x:row r="40">
      <x:c r="A40" t="str"/>
      <x:c r="B40" t="str"/>
      <x:c r="C40" t="str"/>
      <x:c r="D40" t="str"/>
      <x:c r="E40" t="str"/>
      <x:c r="F40" t="str"/>
      <x:c r="G40" t="str"/>
      <x:c r="H40" t="str"/>
    </x:row>
  </x:sheetData>
  <x:pageMargins left="0.7" right="0.7" top="0.75" bottom="0.75" header="0.3" footer="0.3"/>
  <x:tableParts count="1">
    <x:tablePart xmlns:r="http://schemas.openxmlformats.org/officeDocument/2006/relationships" r:id="Rc282ee349c6a4c5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24.8799991607666" hidden="0" customWidth="1"/>
    <x:col min="4" max="4" width="30.3799991607666" hidden="0" customWidth="1"/>
    <x:col min="5" max="5" width="13.880000114440918" hidden="0" customWidth="1"/>
    <x:col min="6" max="6" width="15.630000114440918" hidden="0" customWidth="1"/>
    <x:col min="7" max="7" width="18.6299991607666" hidden="0" customWidth="1"/>
    <x:col min="8" max="8" width="18.8799991607666" hidden="0" customWidth="1"/>
    <x:col min="9" max="9" width="22.75" hidden="0" customWidth="1"/>
    <x:col min="10" max="10" width="14.880000114440918" hidden="0" customWidth="1"/>
    <x:col min="11" max="11" width="22.75" hidden="0" customWidth="1"/>
    <x:col min="12" max="12" width="11.130000114440918" hidden="0" customWidth="1"/>
    <x:col min="13" max="13" width="11.25" hidden="0" customWidth="1"/>
    <x:col min="14" max="14" width="42.380001068115234" hidden="0" customWidth="1"/>
    <x:col min="15" max="15" width="11.630000114440918" hidden="0" customWidth="1"/>
    <x:col min="16" max="16" width="13.630000114440918" hidden="0" customWidth="1"/>
    <x:col min="17" max="17" width="15.5" hidden="0" customWidth="1"/>
    <x:col min="18" max="18" width="18.75" hidden="0" customWidth="1"/>
    <x:col min="19" max="19" width="20.8799991607666" hidden="0" customWidth="1"/>
    <x:col min="20" max="20" width="16.3799991607666" hidden="0" customWidth="1"/>
    <x:col min="21" max="21" width="19.6299991607666" hidden="0" customWidth="1"/>
    <x:col min="22" max="22" width="21.3799991607666" hidden="0" customWidth="1"/>
    <x:col min="23" max="23" width="17.8799991607666" hidden="0" customWidth="1"/>
    <x:col min="24" max="24" width="15.5" hidden="0" customWidth="1"/>
    <x:col min="25" max="25" width="18.75" hidden="0" customWidth="1"/>
    <x:col min="26" max="26" width="20.8799991607666" hidden="0" customWidth="1"/>
    <x:col min="27" max="27" width="16.3799991607666" hidden="0" customWidth="1"/>
    <x:col min="28" max="28" width="19.6299991607666" hidden="0" customWidth="1"/>
    <x:col min="29" max="29" width="21.3799991607666" hidden="0" customWidth="1"/>
    <x:col min="30" max="30" width="17.8799991607666" hidden="0" customWidth="1"/>
    <x:col min="31" max="31" width="11.25" hidden="0" customWidth="1"/>
    <x:col min="32" max="32" width="21.25" hidden="0" customWidth="1"/>
    <x:col min="33" max="33" width="119.87999725341797" hidden="0" customWidth="1"/>
    <x:col min="34" max="34" width="211.75" hidden="0" customWidth="1"/>
    <x:col min="36" max="36" width="25.8799991607666" hidden="0" customWidth="1"/>
    <x:col min="37" max="37" width="5.130000114440918" hidden="0" customWidth="1"/>
  </x:cols>
  <x:sheetData>
    <x:row r="1">
      <x:c r="A1" s="98" t="str">
        <x:v>source_row</x:v>
      </x:c>
      <x:c r="B1" s="98" t="str">
        <x:v>site_product_id</x:v>
      </x:c>
      <x:c r="C1" s="98" t="str">
        <x:v>نام محصول</x:v>
      </x:c>
      <x:c r="D1" s="98" t="str">
        <x:v>slug_suggested</x:v>
      </x:c>
      <x:c r="E1" s="98" t="str">
        <x:v>import_action</x:v>
      </x:c>
      <x:c r="F1" s="98" t="str">
        <x:v>matched_in_site</x:v>
      </x:c>
      <x:c r="G1" s="98" t="str">
        <x:v>دسته فعلی سایت</x:v>
      </x:c>
      <x:c r="H1" s="98" t="str">
        <x:v>دسته‌بندی فارسی</x:v>
      </x:c>
      <x:c r="I1" s="98" t="str">
        <x:v>category_id</x:v>
      </x:c>
      <x:c r="J1" s="98" t="str">
        <x:v>category_slug</x:v>
      </x:c>
      <x:c r="K1" s="98" t="str">
        <x:v>category_parent_id</x:v>
      </x:c>
      <x:c r="L1" s="98" t="str">
        <x:v>usageType</x:v>
      </x:c>
      <x:c r="M1" s="98" t="str">
        <x:v>خوراکی؟</x:v>
      </x:c>
      <x:c r="N1" s="98" t="str">
        <x:v>usage_note</x:v>
      </x:c>
      <x:c r="O1" s="98" t="str">
        <x:v>چند وزنه؟</x:v>
      </x:c>
      <x:c r="P1" s="98" t="str">
        <x:v>variant_count</x:v>
      </x:c>
      <x:c r="Q1" s="98" t="str">
        <x:v>variant_1_name</x:v>
      </x:c>
      <x:c r="R1" s="98" t="str">
        <x:v>variant_1_price_raw</x:v>
      </x:c>
      <x:c r="S1" s="98" t="str">
        <x:v>variant_1_price_toman</x:v>
      </x:c>
      <x:c r="T1" s="98" t="str">
        <x:v>variant_1_weight</x:v>
      </x:c>
      <x:c r="U1" s="98" t="str">
        <x:v>variant_1_weightUnit</x:v>
      </x:c>
      <x:c r="V1" s="98" t="str">
        <x:v>variant_1_containerSize</x:v>
      </x:c>
      <x:c r="W1" s="98" t="str">
        <x:v>variant_1_isDefault</x:v>
      </x:c>
      <x:c r="X1" s="98" t="str">
        <x:v>variant_2_name</x:v>
      </x:c>
      <x:c r="Y1" s="98" t="str">
        <x:v>variant_2_price_raw</x:v>
      </x:c>
      <x:c r="Z1" s="98" t="str">
        <x:v>variant_2_price_toman</x:v>
      </x:c>
      <x:c r="AA1" s="98" t="str">
        <x:v>variant_2_weight</x:v>
      </x:c>
      <x:c r="AB1" s="98" t="str">
        <x:v>variant_2_weightUnit</x:v>
      </x:c>
      <x:c r="AC1" s="98" t="str">
        <x:v>variant_2_containerSize</x:v>
      </x:c>
      <x:c r="AD1" s="98" t="str">
        <x:v>variant_2_isDefault</x:v>
      </x:c>
      <x:c r="AE1" s="98" t="str">
        <x:v>status</x:v>
      </x:c>
      <x:c r="AF1" s="98" t="str">
        <x:v>category_source</x:v>
      </x:c>
      <x:c r="AG1" s="98" t="str">
        <x:v>review_note</x:v>
      </x:c>
      <x:c r="AH1" s="98" t="str">
        <x:v>variants_json</x:v>
      </x:c>
      <x:c r="AI1" s="98"/>
      <x:c r="AJ1" s="98" t="str">
        <x:v>شاخص</x:v>
      </x:c>
      <x:c r="AK1" s="98" t="str">
        <x:v>تعداد</x:v>
      </x:c>
      <x:c r="AL1" s="125" t="str">
        <x:v>canonical_product_name</x:v>
      </x:c>
      <x:c r="AM1" s="125" t="str">
        <x:v>merge_group_id</x:v>
      </x:c>
      <x:c r="AN1" s="125" t="str">
        <x:v>final_action</x:v>
      </x:c>
      <x:c r="AO1" s="125" t="str">
        <x:v>final_category_name</x:v>
      </x:c>
      <x:c r="AP1" s="125" t="str">
        <x:v>final_category_id</x:v>
      </x:c>
      <x:c r="AQ1" s="125" t="str">
        <x:v>final_category_slug</x:v>
      </x:c>
      <x:c r="AR1" s="125" t="str">
        <x:v>final_usageType</x:v>
      </x:c>
      <x:c r="AS1" s="125" t="str">
        <x:v>final_edible</x:v>
      </x:c>
      <x:c r="AT1" s="125" t="str">
        <x:v>issue_status</x:v>
      </x:c>
      <x:c r="AU1" s="125" t="str">
        <x:v>final_note</x:v>
      </x:c>
    </x:row>
    <x:row r="2">
      <x:c r="A2" s="79" t="n">
        <x:v>4</x:v>
      </x:c>
      <x:c r="B2" s="79" t="str">
        <x:v>NS-0001-1</x:v>
      </x:c>
      <x:c r="C2" s="79" t="str">
        <x:v>ادویه استیک</x:v>
      </x:c>
      <x:c r="D2" s="79" t="str">
        <x:v>spice_steak</x:v>
      </x:c>
      <x:c r="E2" s="79" t="str">
        <x:v>update</x:v>
      </x:c>
      <x:c r="F2" s="79" t="str">
        <x:v>بله</x:v>
      </x:c>
      <x:c r="G2" s="79" t="str">
        <x:v>ادویه و چاشنی</x:v>
      </x:c>
      <x:c r="H2" s="79" t="str">
        <x:v>ادویه</x:v>
      </x:c>
      <x:c r="I2" s="79" t="str">
        <x:v>6a3781e4df5573f4e676e226</x:v>
      </x:c>
      <x:c r="J2" s="79" t="str">
        <x:v>spice</x:v>
      </x:c>
      <x:c r="K2" s="79"/>
      <x:c r="L2" s="79" t="str">
        <x:v>EDIBLE</x:v>
      </x:c>
      <x:c r="M2" s="79" t="str">
        <x:v>بله</x:v>
      </x:c>
      <x:c r="N2" s="79" t="str">
        <x:v>خوراکی</x:v>
      </x:c>
      <x:c r="O2" s="79" t="str">
        <x:v>خیر</x:v>
      </x:c>
      <x:c r="P2" s="79" t="n">
        <x:v>1</x:v>
      </x:c>
      <x:c r="Q2" s="79" t="str">
        <x:v>کیلو</x:v>
      </x:c>
      <x:c r="R2" s="79" t="str">
        <x:v>1/150</x:v>
      </x:c>
      <x:c r="S2" s="104" t="n">
        <x:v>1150000</x:v>
      </x:c>
      <x:c r="T2" s="79" t="n">
        <x:v>1</x:v>
      </x:c>
      <x:c r="U2" s="79" t="str">
        <x:v>kg</x:v>
      </x:c>
      <x:c r="V2" s="79" t="str">
        <x:v>کیلو</x:v>
      </x:c>
      <x:c r="W2" s="99" t="b">
        <x:v>1</x:v>
      </x:c>
      <x:c r="X2" s="79" t="str"/>
      <x:c r="Y2" s="79"/>
      <x:c r="Z2" s="104"/>
      <x:c r="AA2" s="79" t="str"/>
      <x:c r="AB2" s="79" t="str"/>
      <x:c r="AC2" s="79" t="str"/>
      <x:c r="AD2" s="79" t="str"/>
      <x:c r="AE2" s="79" t="str">
        <x:v>فعال</x:v>
      </x:c>
      <x:c r="AF2" s="79" t="str">
        <x:v>دسته‌بندی نهایی</x:v>
      </x:c>
      <x:c r="AG2" s="79" t="str">
        <x:v>OK</x:v>
      </x:c>
      <x:c r="AH2" s="79" t="str">
        <x:v>[{"name": "کیلو", "sku": "", "price": 1150000, "stock": "", "weight": 1, "weightUnit": "kg", "containerSize": "کیلو", "isDefault": true}]</x:v>
      </x:c>
      <x:c r="AI2" s="79"/>
      <x:c r="AJ2" s="79" t="str">
        <x:v>کل محصولات</x:v>
      </x:c>
      <x:c r="AK2" s="79" t="n">
        <x:v>388</x:v>
      </x:c>
      <x:c r="AL2" t="str">
        <x:v>ادویه استیک</x:v>
      </x:c>
      <x:c r="AM2" t="str">
        <x:v>single_4</x:v>
      </x:c>
      <x:c r="AN2" t="str">
        <x:v>canonical_group_row</x:v>
      </x:c>
      <x:c r="AO2" t="str">
        <x:v>ادویه</x:v>
      </x:c>
      <x:c r="AP2" t="str">
        <x:v>6a3781e4df5573f4e676e226</x:v>
      </x:c>
      <x:c r="AQ2" t="str">
        <x:v>spice</x:v>
      </x:c>
      <x:c r="AR2" t="str">
        <x:v>EDIBLE</x:v>
      </x:c>
      <x:c r="AS2" t="str">
        <x:v>بله</x:v>
      </x:c>
      <x:c r="AT2" t="str">
        <x:v>OK</x:v>
      </x:c>
      <x:c r="AU2"/>
    </x:row>
    <x:row r="3">
      <x:c r="A3" s="79" t="n">
        <x:v>5</x:v>
      </x:c>
      <x:c r="B3" s="79" t="str">
        <x:v>NS-0002-1</x:v>
      </x:c>
      <x:c r="C3" s="79" t="str">
        <x:v>ادویه الویه</x:v>
      </x:c>
      <x:c r="D3" s="79" t="str">
        <x:v>spice_olivieh</x:v>
      </x:c>
      <x:c r="E3" s="79" t="str">
        <x:v>update</x:v>
      </x:c>
      <x:c r="F3" s="79" t="str">
        <x:v>بله</x:v>
      </x:c>
      <x:c r="G3" s="79" t="str">
        <x:v>ادویه و چاشنی</x:v>
      </x:c>
      <x:c r="H3" s="79" t="str">
        <x:v>ادویه</x:v>
      </x:c>
      <x:c r="I3" s="79" t="str">
        <x:v>6a3781e4df5573f4e676e226</x:v>
      </x:c>
      <x:c r="J3" s="79" t="str">
        <x:v>spice</x:v>
      </x:c>
      <x:c r="K3" s="79"/>
      <x:c r="L3" s="79" t="str">
        <x:v>EDIBLE</x:v>
      </x:c>
      <x:c r="M3" s="79" t="str">
        <x:v>بله</x:v>
      </x:c>
      <x:c r="N3" s="79" t="str">
        <x:v>خوراکی</x:v>
      </x:c>
      <x:c r="O3" s="79" t="str">
        <x:v>خیر</x:v>
      </x:c>
      <x:c r="P3" s="79" t="n">
        <x:v>1</x:v>
      </x:c>
      <x:c r="Q3" s="79" t="str">
        <x:v>کیلو</x:v>
      </x:c>
      <x:c r="R3" s="79" t="n">
        <x:v>800</x:v>
      </x:c>
      <x:c r="S3" s="104" t="n">
        <x:v>800000</x:v>
      </x:c>
      <x:c r="T3" s="79" t="n">
        <x:v>1</x:v>
      </x:c>
      <x:c r="U3" s="79" t="str">
        <x:v>kg</x:v>
      </x:c>
      <x:c r="V3" s="79" t="str">
        <x:v>کیلو</x:v>
      </x:c>
      <x:c r="W3" s="99" t="b">
        <x:v>1</x:v>
      </x:c>
      <x:c r="X3" s="79" t="str"/>
      <x:c r="Y3" s="79"/>
      <x:c r="Z3" s="104"/>
      <x:c r="AA3" s="79" t="str"/>
      <x:c r="AB3" s="79" t="str"/>
      <x:c r="AC3" s="79" t="str"/>
      <x:c r="AD3" s="79" t="str"/>
      <x:c r="AE3" s="79" t="str">
        <x:v>فعال</x:v>
      </x:c>
      <x:c r="AF3" s="79" t="str">
        <x:v>دسته‌بندی نهایی</x:v>
      </x:c>
      <x:c r="AG3" s="79" t="str">
        <x:v>OK</x:v>
      </x:c>
      <x:c r="AH3" s="79" t="str">
        <x:v>[{"name": "کیلو", "sku": "", "price": 800000, "stock": "", "weight": 1, "weightUnit": "kg", "containerSize": "کیلو", "isDefault": true}]</x:v>
      </x:c>
      <x:c r="AI3" s="79"/>
      <x:c r="AJ3" s="79" t="str">
        <x:v>محصولات موجود برای update</x:v>
      </x:c>
      <x:c r="AK3" s="79" t="n">
        <x:v>328</x:v>
      </x:c>
      <x:c r="AL3" t="str">
        <x:v>ادویه الویه</x:v>
      </x:c>
      <x:c r="AM3" t="str">
        <x:v>single_5</x:v>
      </x:c>
      <x:c r="AN3" t="str">
        <x:v>canonical_group_row</x:v>
      </x:c>
      <x:c r="AO3" t="str">
        <x:v>ادویه</x:v>
      </x:c>
      <x:c r="AP3" t="str">
        <x:v>6a3781e4df5573f4e676e226</x:v>
      </x:c>
      <x:c r="AQ3" t="str">
        <x:v>spice</x:v>
      </x:c>
      <x:c r="AR3" t="str">
        <x:v>EDIBLE</x:v>
      </x:c>
      <x:c r="AS3" t="str">
        <x:v>بله</x:v>
      </x:c>
      <x:c r="AT3" t="str">
        <x:v>OK</x:v>
      </x:c>
      <x:c r="AU3"/>
    </x:row>
    <x:row r="4">
      <x:c r="A4" s="79" t="n">
        <x:v>6</x:v>
      </x:c>
      <x:c r="B4" s="79" t="str">
        <x:v>NS-0003-1</x:v>
      </x:c>
      <x:c r="C4" s="79" t="str">
        <x:v>ادویه آبگوشتی</x:v>
      </x:c>
      <x:c r="D4" s="79" t="str">
        <x:v>spice_abgoosht</x:v>
      </x:c>
      <x:c r="E4" s="79" t="str">
        <x:v>update</x:v>
      </x:c>
      <x:c r="F4" s="79" t="str">
        <x:v>بله</x:v>
      </x:c>
      <x:c r="G4" s="79" t="str">
        <x:v>ادویه و چاشنی</x:v>
      </x:c>
      <x:c r="H4" s="79" t="str">
        <x:v>ادویه</x:v>
      </x:c>
      <x:c r="I4" s="79" t="str">
        <x:v>6a3781e4df5573f4e676e226</x:v>
      </x:c>
      <x:c r="J4" s="79" t="str">
        <x:v>spice</x:v>
      </x:c>
      <x:c r="K4" s="79"/>
      <x:c r="L4" s="79" t="str">
        <x:v>EDIBLE</x:v>
      </x:c>
      <x:c r="M4" s="79" t="str">
        <x:v>بله</x:v>
      </x:c>
      <x:c r="N4" s="79" t="str">
        <x:v>خوراکی</x:v>
      </x:c>
      <x:c r="O4" s="79" t="str">
        <x:v>خیر</x:v>
      </x:c>
      <x:c r="P4" s="79" t="n">
        <x:v>1</x:v>
      </x:c>
      <x:c r="Q4" s="79" t="str">
        <x:v>کیلو</x:v>
      </x:c>
      <x:c r="R4" s="79" t="n">
        <x:v>600</x:v>
      </x:c>
      <x:c r="S4" s="104" t="n">
        <x:v>600000</x:v>
      </x:c>
      <x:c r="T4" s="79" t="n">
        <x:v>1</x:v>
      </x:c>
      <x:c r="U4" s="79" t="str">
        <x:v>kg</x:v>
      </x:c>
      <x:c r="V4" s="79" t="str">
        <x:v>کیلو</x:v>
      </x:c>
      <x:c r="W4" s="99" t="b">
        <x:v>1</x:v>
      </x:c>
      <x:c r="X4" s="79" t="str"/>
      <x:c r="Y4" s="79"/>
      <x:c r="Z4" s="104"/>
      <x:c r="AA4" s="79" t="str"/>
      <x:c r="AB4" s="79" t="str"/>
      <x:c r="AC4" s="79" t="str"/>
      <x:c r="AD4" s="79" t="str"/>
      <x:c r="AE4" s="79" t="str">
        <x:v>فعال</x:v>
      </x:c>
      <x:c r="AF4" s="79" t="str">
        <x:v>دسته‌بندی نهایی</x:v>
      </x:c>
      <x:c r="AG4" s="79" t="str">
        <x:v>OK</x:v>
      </x:c>
      <x:c r="AH4" s="79" t="str">
        <x:v>[{"name": "کیلو", "sku": "", "price": 600000, "stock": "", "weight": 1, "weightUnit": "kg", "containerSize": "کیلو", "isDefault": true}]</x:v>
      </x:c>
      <x:c r="AI4" s="79"/>
      <x:c r="AJ4" s="79" t="str">
        <x:v>محصولات جدید برای import</x:v>
      </x:c>
      <x:c r="AK4" s="79" t="n">
        <x:v>60</x:v>
      </x:c>
      <x:c r="AL4" t="str">
        <x:v>ادویه آبگوشتی</x:v>
      </x:c>
      <x:c r="AM4" t="str">
        <x:v>single_6</x:v>
      </x:c>
      <x:c r="AN4" t="str">
        <x:v>canonical_group_row</x:v>
      </x:c>
      <x:c r="AO4" t="str">
        <x:v>ادویه</x:v>
      </x:c>
      <x:c r="AP4" t="str">
        <x:v>6a3781e4df5573f4e676e226</x:v>
      </x:c>
      <x:c r="AQ4" t="str">
        <x:v>spice</x:v>
      </x:c>
      <x:c r="AR4" t="str">
        <x:v>EDIBLE</x:v>
      </x:c>
      <x:c r="AS4" t="str">
        <x:v>بله</x:v>
      </x:c>
      <x:c r="AT4" t="str">
        <x:v>OK</x:v>
      </x:c>
      <x:c r="AU4"/>
    </x:row>
    <x:row r="5">
      <x:c r="A5" s="79" t="n">
        <x:v>7</x:v>
      </x:c>
      <x:c r="B5" s="79" t="str">
        <x:v>NS-0004-1</x:v>
      </x:c>
      <x:c r="C5" s="79" t="str">
        <x:v>ادویه پلویی</x:v>
      </x:c>
      <x:c r="D5" s="79" t="str">
        <x:v>spice_polo</x:v>
      </x:c>
      <x:c r="E5" s="79" t="str">
        <x:v>update</x:v>
      </x:c>
      <x:c r="F5" s="79" t="str">
        <x:v>بله</x:v>
      </x:c>
      <x:c r="G5" s="79" t="str">
        <x:v>ادویه و چاشنی</x:v>
      </x:c>
      <x:c r="H5" s="79" t="str">
        <x:v>ادویه</x:v>
      </x:c>
      <x:c r="I5" s="79" t="str">
        <x:v>6a3781e4df5573f4e676e226</x:v>
      </x:c>
      <x:c r="J5" s="79" t="str">
        <x:v>spice</x:v>
      </x:c>
      <x:c r="K5" s="79"/>
      <x:c r="L5" s="79" t="str">
        <x:v>EDIBLE</x:v>
      </x:c>
      <x:c r="M5" s="79" t="str">
        <x:v>بله</x:v>
      </x:c>
      <x:c r="N5" s="79" t="str">
        <x:v>خوراکی</x:v>
      </x:c>
      <x:c r="O5" s="79" t="str">
        <x:v>خیر</x:v>
      </x:c>
      <x:c r="P5" s="79" t="n">
        <x:v>1</x:v>
      </x:c>
      <x:c r="Q5" s="79" t="str">
        <x:v>کیلو</x:v>
      </x:c>
      <x:c r="R5" s="79" t="n">
        <x:v>700</x:v>
      </x:c>
      <x:c r="S5" s="104" t="n">
        <x:v>700000</x:v>
      </x:c>
      <x:c r="T5" s="79" t="n">
        <x:v>1</x:v>
      </x:c>
      <x:c r="U5" s="79" t="str">
        <x:v>kg</x:v>
      </x:c>
      <x:c r="V5" s="79" t="str">
        <x:v>کیلو</x:v>
      </x:c>
      <x:c r="W5" s="99" t="b">
        <x:v>1</x:v>
      </x:c>
      <x:c r="X5" s="79" t="str"/>
      <x:c r="Y5" s="79"/>
      <x:c r="Z5" s="104"/>
      <x:c r="AA5" s="79" t="str"/>
      <x:c r="AB5" s="79" t="str"/>
      <x:c r="AC5" s="79" t="str"/>
      <x:c r="AD5" s="79" t="str"/>
      <x:c r="AE5" s="79" t="str">
        <x:v>فعال</x:v>
      </x:c>
      <x:c r="AF5" s="79" t="str">
        <x:v>دسته‌بندی نهایی</x:v>
      </x:c>
      <x:c r="AG5" s="79" t="str">
        <x:v>OK</x:v>
      </x:c>
      <x:c r="AH5" s="79" t="str">
        <x:v>[{"name": "کیلو", "sku": "", "price": 700000, "stock": "", "weight": 1, "weightUnit": "kg", "containerSize": "کیلو", "isDefault": true}]</x:v>
      </x:c>
      <x:c r="AI5" s="79"/>
      <x:c r="AJ5" s="79" t="str">
        <x:v>چندوزنه/چندتنوع</x:v>
      </x:c>
      <x:c r="AK5" s="79" t="n">
        <x:v>133</x:v>
      </x:c>
      <x:c r="AL5" t="str">
        <x:v>ادویه پلویی</x:v>
      </x:c>
      <x:c r="AM5" t="str">
        <x:v>single_7</x:v>
      </x:c>
      <x:c r="AN5" t="str">
        <x:v>canonical_group_row</x:v>
      </x:c>
      <x:c r="AO5" t="str">
        <x:v>ادویه</x:v>
      </x:c>
      <x:c r="AP5" t="str">
        <x:v>6a3781e4df5573f4e676e226</x:v>
      </x:c>
      <x:c r="AQ5" t="str">
        <x:v>spice</x:v>
      </x:c>
      <x:c r="AR5" t="str">
        <x:v>EDIBLE</x:v>
      </x:c>
      <x:c r="AS5" t="str">
        <x:v>بله</x:v>
      </x:c>
      <x:c r="AT5" t="str">
        <x:v>OK</x:v>
      </x:c>
      <x:c r="AU5"/>
    </x:row>
    <x:row r="6">
      <x:c r="A6" s="79" t="n">
        <x:v>8</x:v>
      </x:c>
      <x:c r="B6" s="79" t="str">
        <x:v>NS-0005-1</x:v>
      </x:c>
      <x:c r="C6" s="79" t="str">
        <x:v>ادویه پنیر فرانسه</x:v>
      </x:c>
      <x:c r="D6" s="79" t="str">
        <x:v>spice_cheese_french</x:v>
      </x:c>
      <x:c r="E6" s="79" t="str">
        <x:v>update</x:v>
      </x:c>
      <x:c r="F6" s="79" t="str">
        <x:v>بله</x:v>
      </x:c>
      <x:c r="G6" s="79" t="str">
        <x:v>ادویه و چاشنی</x:v>
      </x:c>
      <x:c r="H6" s="79" t="str">
        <x:v>ادویه</x:v>
      </x:c>
      <x:c r="I6" s="79" t="str">
        <x:v>6a3781e4df5573f4e676e226</x:v>
      </x:c>
      <x:c r="J6" s="79" t="str">
        <x:v>spice</x:v>
      </x:c>
      <x:c r="K6" s="79"/>
      <x:c r="L6" s="79" t="str">
        <x:v>EDIBLE</x:v>
      </x:c>
      <x:c r="M6" s="79" t="str">
        <x:v>بله</x:v>
      </x:c>
      <x:c r="N6" s="79" t="str">
        <x:v>خوراکی</x:v>
      </x:c>
      <x:c r="O6" s="79" t="str">
        <x:v>خیر</x:v>
      </x:c>
      <x:c r="P6" s="79" t="n">
        <x:v>1</x:v>
      </x:c>
      <x:c r="Q6" s="79" t="str">
        <x:v>کیلو</x:v>
      </x:c>
      <x:c r="R6" s="79" t="str">
        <x:v>1/100</x:v>
      </x:c>
      <x:c r="S6" s="104" t="n">
        <x:v>1100000</x:v>
      </x:c>
      <x:c r="T6" s="79" t="n">
        <x:v>1</x:v>
      </x:c>
      <x:c r="U6" s="79" t="str">
        <x:v>kg</x:v>
      </x:c>
      <x:c r="V6" s="79" t="str">
        <x:v>کیلو</x:v>
      </x:c>
      <x:c r="W6" s="99" t="b">
        <x:v>1</x:v>
      </x:c>
      <x:c r="X6" s="79" t="str"/>
      <x:c r="Y6" s="79"/>
      <x:c r="Z6" s="104"/>
      <x:c r="AA6" s="79" t="str"/>
      <x:c r="AB6" s="79" t="str"/>
      <x:c r="AC6" s="79" t="str"/>
      <x:c r="AD6" s="79" t="str"/>
      <x:c r="AE6" s="79" t="str">
        <x:v>فعال</x:v>
      </x:c>
      <x:c r="AF6" s="79" t="str">
        <x:v>دسته‌بندی نهایی</x:v>
      </x:c>
      <x:c r="AG6" s="79" t="str">
        <x:v>OK</x:v>
      </x:c>
      <x:c r="AH6" s="79" t="str">
        <x:v>[{"name": "کیلو", "sku": "", "price": 1100000, "stock": "", "weight": 1, "weightUnit": "kg", "containerSize": "کیلو", "isDefault": true}]</x:v>
      </x:c>
      <x:c r="AI6" s="79"/>
      <x:c r="AJ6" s="79" t="str">
        <x:v>دارای category_id</x:v>
      </x:c>
      <x:c r="AK6" s="79" t="n">
        <x:v>301</x:v>
      </x:c>
      <x:c r="AL6" t="str">
        <x:v>ادویه پنیر فرانسه</x:v>
      </x:c>
      <x:c r="AM6" t="str">
        <x:v>single_8</x:v>
      </x:c>
      <x:c r="AN6" t="str">
        <x:v>canonical_group_row</x:v>
      </x:c>
      <x:c r="AO6" t="str">
        <x:v>ادویه</x:v>
      </x:c>
      <x:c r="AP6" t="str">
        <x:v>6a3781e4df5573f4e676e226</x:v>
      </x:c>
      <x:c r="AQ6" t="str">
        <x:v>spice</x:v>
      </x:c>
      <x:c r="AR6" t="str">
        <x:v>EDIBLE</x:v>
      </x:c>
      <x:c r="AS6" t="str">
        <x:v>بله</x:v>
      </x:c>
      <x:c r="AT6" t="str">
        <x:v>OK</x:v>
      </x:c>
      <x:c r="AU6"/>
    </x:row>
    <x:row r="7">
      <x:c r="A7" s="79" t="n">
        <x:v>9</x:v>
      </x:c>
      <x:c r="B7" s="79" t="str">
        <x:v>NS-0006-1</x:v>
      </x:c>
      <x:c r="C7" s="79" t="str">
        <x:v>ادویه پیاز و سبزیجات</x:v>
      </x:c>
      <x:c r="D7" s="79" t="str">
        <x:v>spice_onion_v_vegetables</x:v>
      </x:c>
      <x:c r="E7" s="79" t="str">
        <x:v>update</x:v>
      </x:c>
      <x:c r="F7" s="79" t="str">
        <x:v>بله</x:v>
      </x:c>
      <x:c r="G7" s="79" t="str">
        <x:v>ادویه و چاشنی</x:v>
      </x:c>
      <x:c r="H7" s="79" t="str">
        <x:v>ادویه</x:v>
      </x:c>
      <x:c r="I7" s="79" t="str">
        <x:v>6a3781e4df5573f4e676e226</x:v>
      </x:c>
      <x:c r="J7" s="79" t="str">
        <x:v>spice</x:v>
      </x:c>
      <x:c r="K7" s="79"/>
      <x:c r="L7" s="79" t="str">
        <x:v>EDIBLE</x:v>
      </x:c>
      <x:c r="M7" s="79" t="str">
        <x:v>بله</x:v>
      </x:c>
      <x:c r="N7" s="79" t="str">
        <x:v>خوراکی</x:v>
      </x:c>
      <x:c r="O7" s="79" t="str">
        <x:v>خیر</x:v>
      </x:c>
      <x:c r="P7" s="79" t="n">
        <x:v>1</x:v>
      </x:c>
      <x:c r="Q7" s="79" t="str">
        <x:v>کیلو</x:v>
      </x:c>
      <x:c r="R7" s="79" t="n">
        <x:v>800</x:v>
      </x:c>
      <x:c r="S7" s="104" t="n">
        <x:v>800000</x:v>
      </x:c>
      <x:c r="T7" s="79" t="n">
        <x:v>1</x:v>
      </x:c>
      <x:c r="U7" s="79" t="str">
        <x:v>kg</x:v>
      </x:c>
      <x:c r="V7" s="79" t="str">
        <x:v>کیلو</x:v>
      </x:c>
      <x:c r="W7" s="99" t="b">
        <x:v>1</x:v>
      </x:c>
      <x:c r="X7" s="79" t="str"/>
      <x:c r="Y7" s="79"/>
      <x:c r="Z7" s="104"/>
      <x:c r="AA7" s="79" t="str"/>
      <x:c r="AB7" s="79" t="str"/>
      <x:c r="AC7" s="79" t="str"/>
      <x:c r="AD7" s="79" t="str"/>
      <x:c r="AE7" s="79" t="str">
        <x:v>فعال</x:v>
      </x:c>
      <x:c r="AF7" s="79" t="str">
        <x:v>دسته‌بندی نهایی</x:v>
      </x:c>
      <x:c r="AG7" s="79" t="str">
        <x:v>OK</x:v>
      </x:c>
      <x:c r="AH7" s="79" t="str">
        <x:v>[{"name": "کیلو", "sku": "", "price": 800000, "stock": "", "weight": 1, "weightUnit": "kg", "containerSize": "کیلو", "isDefault": true}]</x:v>
      </x:c>
      <x:c r="AI7" s="79"/>
      <x:c r="AJ7" s="79" t="str">
        <x:v>بدون category_id / نیازمند بررسی</x:v>
      </x:c>
      <x:c r="AK7" s="79" t="n">
        <x:v>87</x:v>
      </x:c>
      <x:c r="AL7" t="str">
        <x:v>ادویه پیاز و سبزیجات</x:v>
      </x:c>
      <x:c r="AM7" t="str">
        <x:v>single_9</x:v>
      </x:c>
      <x:c r="AN7" t="str">
        <x:v>canonical_group_row</x:v>
      </x:c>
      <x:c r="AO7" t="str">
        <x:v>ادویه</x:v>
      </x:c>
      <x:c r="AP7" t="str">
        <x:v>6a3781e4df5573f4e676e226</x:v>
      </x:c>
      <x:c r="AQ7" t="str">
        <x:v>spice</x:v>
      </x:c>
      <x:c r="AR7" t="str">
        <x:v>EDIBLE</x:v>
      </x:c>
      <x:c r="AS7" t="str">
        <x:v>بله</x:v>
      </x:c>
      <x:c r="AT7" t="str">
        <x:v>OK</x:v>
      </x:c>
      <x:c r="AU7"/>
    </x:row>
    <x:row r="8">
      <x:c r="A8" s="79" t="n">
        <x:v>10</x:v>
      </x:c>
      <x:c r="B8" s="79" t="str">
        <x:v>NS-0007-1</x:v>
      </x:c>
      <x:c r="C8" s="79" t="str">
        <x:v>ادویه ترشی</x:v>
      </x:c>
      <x:c r="D8" s="79" t="str">
        <x:v>spice_pickle</x:v>
      </x:c>
      <x:c r="E8" s="79" t="str">
        <x:v>update</x:v>
      </x:c>
      <x:c r="F8" s="79" t="str">
        <x:v>بله</x:v>
      </x:c>
      <x:c r="G8" s="79" t="str">
        <x:v>ادویه و چاشنی</x:v>
      </x:c>
      <x:c r="H8" s="79" t="str">
        <x:v>ادویه</x:v>
      </x:c>
      <x:c r="I8" s="79" t="str">
        <x:v>6a3781e4df5573f4e676e226</x:v>
      </x:c>
      <x:c r="J8" s="79" t="str">
        <x:v>spice</x:v>
      </x:c>
      <x:c r="K8" s="79"/>
      <x:c r="L8" s="79" t="str">
        <x:v>EDIBLE</x:v>
      </x:c>
      <x:c r="M8" s="79" t="str">
        <x:v>بله</x:v>
      </x:c>
      <x:c r="N8" s="79" t="str">
        <x:v>خوراکی</x:v>
      </x:c>
      <x:c r="O8" s="79" t="str">
        <x:v>خیر</x:v>
      </x:c>
      <x:c r="P8" s="79" t="n">
        <x:v>1</x:v>
      </x:c>
      <x:c r="Q8" s="79" t="str">
        <x:v>کیلو</x:v>
      </x:c>
      <x:c r="R8" s="79" t="n">
        <x:v>850</x:v>
      </x:c>
      <x:c r="S8" s="104" t="n">
        <x:v>850000</x:v>
      </x:c>
      <x:c r="T8" s="79" t="n">
        <x:v>1</x:v>
      </x:c>
      <x:c r="U8" s="79" t="str">
        <x:v>kg</x:v>
      </x:c>
      <x:c r="V8" s="79" t="str">
        <x:v>کیلو</x:v>
      </x:c>
      <x:c r="W8" s="99" t="b">
        <x:v>1</x:v>
      </x:c>
      <x:c r="X8" s="79" t="str"/>
      <x:c r="Y8" s="79"/>
      <x:c r="Z8" s="104"/>
      <x:c r="AA8" s="79" t="str"/>
      <x:c r="AB8" s="79" t="str"/>
      <x:c r="AC8" s="79" t="str"/>
      <x:c r="AD8" s="79" t="str"/>
      <x:c r="AE8" s="79" t="str">
        <x:v>فعال</x:v>
      </x:c>
      <x:c r="AF8" s="79" t="str">
        <x:v>دسته‌بندی نهایی</x:v>
      </x:c>
      <x:c r="AG8" s="79" t="str">
        <x:v>OK</x:v>
      </x:c>
      <x:c r="AH8" s="79" t="str">
        <x:v>[{"name": "کیلو", "sku": "", "price": 850000, "stock": "", "weight": 1, "weightUnit": "kg", "containerSize": "کیلو", "isDefault": true}]</x:v>
      </x:c>
      <x:c r="AI8" s="79"/>
      <x:c r="AJ8" s="79" t="str">
        <x:v>دسته اصلاح‌شده/منتقل‌شده</x:v>
      </x:c>
      <x:c r="AK8" s="79" t="n">
        <x:v>120</x:v>
      </x:c>
      <x:c r="AL8" t="str">
        <x:v>ادویه ترشی</x:v>
      </x:c>
      <x:c r="AM8" t="str">
        <x:v>single_10</x:v>
      </x:c>
      <x:c r="AN8" t="str">
        <x:v>canonical_group_row</x:v>
      </x:c>
      <x:c r="AO8" t="str">
        <x:v>ادویه</x:v>
      </x:c>
      <x:c r="AP8" t="str">
        <x:v>6a3781e4df5573f4e676e226</x:v>
      </x:c>
      <x:c r="AQ8" t="str">
        <x:v>spice</x:v>
      </x:c>
      <x:c r="AR8" t="str">
        <x:v>EDIBLE</x:v>
      </x:c>
      <x:c r="AS8" t="str">
        <x:v>بله</x:v>
      </x:c>
      <x:c r="AT8" t="str">
        <x:v>OK</x:v>
      </x:c>
      <x:c r="AU8"/>
    </x:row>
    <x:row r="9">
      <x:c r="A9" s="79" t="n">
        <x:v>11</x:v>
      </x:c>
      <x:c r="B9" s="79" t="str">
        <x:v>NS-0008-1</x:v>
      </x:c>
      <x:c r="C9" s="79" t="str">
        <x:v>ادویه تند</x:v>
      </x:c>
      <x:c r="D9" s="79" t="str">
        <x:v>spice_hot</x:v>
      </x:c>
      <x:c r="E9" s="79" t="str">
        <x:v>update</x:v>
      </x:c>
      <x:c r="F9" s="79" t="str">
        <x:v>بله</x:v>
      </x:c>
      <x:c r="G9" s="79" t="str">
        <x:v>ادویه و چاشنی</x:v>
      </x:c>
      <x:c r="H9" s="79" t="str">
        <x:v>ادویه</x:v>
      </x:c>
      <x:c r="I9" s="79" t="str">
        <x:v>6a3781e4df5573f4e676e226</x:v>
      </x:c>
      <x:c r="J9" s="79" t="str">
        <x:v>spice</x:v>
      </x:c>
      <x:c r="K9" s="79"/>
      <x:c r="L9" s="79" t="str">
        <x:v>EDIBLE</x:v>
      </x:c>
      <x:c r="M9" s="79" t="str">
        <x:v>بله</x:v>
      </x:c>
      <x:c r="N9" s="79" t="str">
        <x:v>خوراکی</x:v>
      </x:c>
      <x:c r="O9" s="79" t="str">
        <x:v>خیر</x:v>
      </x:c>
      <x:c r="P9" s="79" t="n">
        <x:v>1</x:v>
      </x:c>
      <x:c r="Q9" s="79" t="str">
        <x:v>کیلو</x:v>
      </x:c>
      <x:c r="R9" s="79" t="n">
        <x:v>750</x:v>
      </x:c>
      <x:c r="S9" s="104" t="n">
        <x:v>750000</x:v>
      </x:c>
      <x:c r="T9" s="79" t="n">
        <x:v>1</x:v>
      </x:c>
      <x:c r="U9" s="79" t="str">
        <x:v>kg</x:v>
      </x:c>
      <x:c r="V9" s="79" t="str">
        <x:v>کیلو</x:v>
      </x:c>
      <x:c r="W9" s="99" t="b">
        <x:v>1</x:v>
      </x:c>
      <x:c r="X9" s="79" t="str"/>
      <x:c r="Y9" s="79"/>
      <x:c r="Z9" s="104"/>
      <x:c r="AA9" s="79" t="str"/>
      <x:c r="AB9" s="79" t="str"/>
      <x:c r="AC9" s="79" t="str"/>
      <x:c r="AD9" s="79" t="str"/>
      <x:c r="AE9" s="79" t="str">
        <x:v>فعال</x:v>
      </x:c>
      <x:c r="AF9" s="79" t="str">
        <x:v>دسته‌بندی نهایی</x:v>
      </x:c>
      <x:c r="AG9" s="79" t="str">
        <x:v>OK</x:v>
      </x:c>
      <x:c r="AH9" s="79" t="str">
        <x:v>[{"name": "کیلو", "sku": "", "price": 750000, "stock": "", "weight": 1, "weightUnit": "kg", "containerSize": "کیلو", "isDefault": true}]</x:v>
      </x:c>
      <x:c r="AI9" s="79"/>
      <x:c r="AJ9" s="79" t="str">
        <x:v>محصولات با دسته حذف‌شده</x:v>
      </x:c>
      <x:c r="AK9" s="79" t="n">
        <x:v>86</x:v>
      </x:c>
      <x:c r="AL9" t="str">
        <x:v>ادویه تند</x:v>
      </x:c>
      <x:c r="AM9" t="str">
        <x:v>single_11</x:v>
      </x:c>
      <x:c r="AN9" t="str">
        <x:v>canonical_group_row</x:v>
      </x:c>
      <x:c r="AO9" t="str">
        <x:v>ادویه</x:v>
      </x:c>
      <x:c r="AP9" t="str">
        <x:v>6a3781e4df5573f4e676e226</x:v>
      </x:c>
      <x:c r="AQ9" t="str">
        <x:v>spice</x:v>
      </x:c>
      <x:c r="AR9" t="str">
        <x:v>EDIBLE</x:v>
      </x:c>
      <x:c r="AS9" t="str">
        <x:v>بله</x:v>
      </x:c>
      <x:c r="AT9" t="str">
        <x:v>OK</x:v>
      </x:c>
      <x:c r="AU9"/>
    </x:row>
    <x:row r="10">
      <x:c r="A10" s="79" t="n">
        <x:v>12</x:v>
      </x:c>
      <x:c r="B10" s="79" t="str">
        <x:v>NS-0009-1</x:v>
      </x:c>
      <x:c r="C10" s="79" t="str">
        <x:v>ادویه چدار</x:v>
      </x:c>
      <x:c r="D10" s="79" t="str">
        <x:v>spice_cheddar</x:v>
      </x:c>
      <x:c r="E10" s="79" t="str">
        <x:v>update</x:v>
      </x:c>
      <x:c r="F10" s="79" t="str">
        <x:v>بله</x:v>
      </x:c>
      <x:c r="G10" s="79" t="str">
        <x:v>ادویه و چاشنی</x:v>
      </x:c>
      <x:c r="H10" s="79" t="str">
        <x:v>ادویه</x:v>
      </x:c>
      <x:c r="I10" s="79" t="str">
        <x:v>6a3781e4df5573f4e676e226</x:v>
      </x:c>
      <x:c r="J10" s="79" t="str">
        <x:v>spice</x:v>
      </x:c>
      <x:c r="K10" s="79"/>
      <x:c r="L10" s="79" t="str">
        <x:v>EDIBLE</x:v>
      </x:c>
      <x:c r="M10" s="79" t="str">
        <x:v>بله</x:v>
      </x:c>
      <x:c r="N10" s="79" t="str">
        <x:v>خوراکی</x:v>
      </x:c>
      <x:c r="O10" s="79" t="str">
        <x:v>خیر</x:v>
      </x:c>
      <x:c r="P10" s="79" t="n">
        <x:v>1</x:v>
      </x:c>
      <x:c r="Q10" s="79" t="str">
        <x:v>کیلو</x:v>
      </x:c>
      <x:c r="R10" s="79" t="n">
        <x:v>800</x:v>
      </x:c>
      <x:c r="S10" s="104" t="n">
        <x:v>800000</x:v>
      </x:c>
      <x:c r="T10" s="79" t="n">
        <x:v>1</x:v>
      </x:c>
      <x:c r="U10" s="79" t="str">
        <x:v>kg</x:v>
      </x:c>
      <x:c r="V10" s="79" t="str">
        <x:v>کیلو</x:v>
      </x:c>
      <x:c r="W10" s="99" t="b">
        <x:v>1</x:v>
      </x:c>
      <x:c r="X10" s="79" t="str"/>
      <x:c r="Y10" s="79"/>
      <x:c r="Z10" s="104"/>
      <x:c r="AA10" s="79" t="str"/>
      <x:c r="AB10" s="79" t="str"/>
      <x:c r="AC10" s="79" t="str"/>
      <x:c r="AD10" s="79" t="str"/>
      <x:c r="AE10" s="79" t="str">
        <x:v>فعال</x:v>
      </x:c>
      <x:c r="AF10" s="79" t="str">
        <x:v>دسته‌بندی نهایی</x:v>
      </x:c>
      <x:c r="AG10" s="79" t="str">
        <x:v>OK</x:v>
      </x:c>
      <x:c r="AH10" s="79" t="str">
        <x:v>[{"name": "کیلو", "sku": "", "price": 800000, "stock": "", "weight": 1, "weightUnit": "kg", "containerSize": "کیلو", "isDefault": true}]</x:v>
      </x:c>
      <x:c r="AI10" s="79"/>
      <x:c r="AJ10" s="79" t="str"/>
      <x:c r="AK10" s="79" t="str"/>
      <x:c r="AL10" t="str">
        <x:v>ادویه چدار</x:v>
      </x:c>
      <x:c r="AM10" t="str">
        <x:v>single_12</x:v>
      </x:c>
      <x:c r="AN10" t="str">
        <x:v>canonical_group_row</x:v>
      </x:c>
      <x:c r="AO10" t="str">
        <x:v>ادویه</x:v>
      </x:c>
      <x:c r="AP10" t="str">
        <x:v>6a3781e4df5573f4e676e226</x:v>
      </x:c>
      <x:c r="AQ10" t="str">
        <x:v>spice</x:v>
      </x:c>
      <x:c r="AR10" t="str">
        <x:v>EDIBLE</x:v>
      </x:c>
      <x:c r="AS10" t="str">
        <x:v>بله</x:v>
      </x:c>
      <x:c r="AT10" t="str">
        <x:v>OK</x:v>
      </x:c>
      <x:c r="AU10"/>
    </x:row>
    <x:row r="11">
      <x:c r="A11" s="79" t="n">
        <x:v>13</x:v>
      </x:c>
      <x:c r="B11" s="79" t="str">
        <x:v>NS-0010-1</x:v>
      </x:c>
      <x:c r="C11" s="79" t="str">
        <x:v>ادویه دود</x:v>
      </x:c>
      <x:c r="D11" s="79" t="str">
        <x:v>spice_smoked</x:v>
      </x:c>
      <x:c r="E11" s="79" t="str">
        <x:v>update</x:v>
      </x:c>
      <x:c r="F11" s="79" t="str">
        <x:v>بله</x:v>
      </x:c>
      <x:c r="G11" s="79" t="str">
        <x:v>ادویه و چاشنی</x:v>
      </x:c>
      <x:c r="H11" s="79" t="str">
        <x:v>ادویه</x:v>
      </x:c>
      <x:c r="I11" s="79" t="str">
        <x:v>6a3781e4df5573f4e676e226</x:v>
      </x:c>
      <x:c r="J11" s="79" t="str">
        <x:v>spice</x:v>
      </x:c>
      <x:c r="K11" s="79"/>
      <x:c r="L11" s="79" t="str">
        <x:v>EDIBLE</x:v>
      </x:c>
      <x:c r="M11" s="79" t="str">
        <x:v>بله</x:v>
      </x:c>
      <x:c r="N11" s="79" t="str">
        <x:v>خوراکی</x:v>
      </x:c>
      <x:c r="O11" s="79" t="str">
        <x:v>خیر</x:v>
      </x:c>
      <x:c r="P11" s="79" t="n">
        <x:v>1</x:v>
      </x:c>
      <x:c r="Q11" s="79" t="str">
        <x:v>کیلو</x:v>
      </x:c>
      <x:c r="R11" s="79" t="str">
        <x:v>1/100</x:v>
      </x:c>
      <x:c r="S11" s="104" t="n">
        <x:v>1100000</x:v>
      </x:c>
      <x:c r="T11" s="79" t="n">
        <x:v>1</x:v>
      </x:c>
      <x:c r="U11" s="79" t="str">
        <x:v>kg</x:v>
      </x:c>
      <x:c r="V11" s="79" t="str">
        <x:v>کیلو</x:v>
      </x:c>
      <x:c r="W11" s="99" t="b">
        <x:v>1</x:v>
      </x:c>
      <x:c r="X11" s="79" t="str"/>
      <x:c r="Y11" s="79"/>
      <x:c r="Z11" s="104"/>
      <x:c r="AA11" s="79" t="str"/>
      <x:c r="AB11" s="79" t="str"/>
      <x:c r="AC11" s="79" t="str"/>
      <x:c r="AD11" s="79" t="str"/>
      <x:c r="AE11" s="79" t="str">
        <x:v>فعال</x:v>
      </x:c>
      <x:c r="AF11" s="79" t="str">
        <x:v>دسته‌بندی نهایی</x:v>
      </x:c>
      <x:c r="AG11" s="79" t="str">
        <x:v>OK</x:v>
      </x:c>
      <x:c r="AH11" s="79" t="str">
        <x:v>[{"name": "کیلو", "sku": "", "price": 1100000, "stock": "", "weight": 1, "weightUnit": "kg", "containerSize": "کیلو", "isDefault": true}]</x:v>
      </x:c>
      <x:c r="AI11" s="79"/>
      <x:c r="AJ11" s="79" t="str"/>
      <x:c r="AK11" s="79" t="str"/>
      <x:c r="AL11" t="str">
        <x:v>ادویه دود</x:v>
      </x:c>
      <x:c r="AM11" t="str">
        <x:v>single_13</x:v>
      </x:c>
      <x:c r="AN11" t="str">
        <x:v>canonical_group_row</x:v>
      </x:c>
      <x:c r="AO11" t="str">
        <x:v>ادویه</x:v>
      </x:c>
      <x:c r="AP11" t="str">
        <x:v>6a3781e4df5573f4e676e226</x:v>
      </x:c>
      <x:c r="AQ11" t="str">
        <x:v>spice</x:v>
      </x:c>
      <x:c r="AR11" t="str">
        <x:v>EDIBLE</x:v>
      </x:c>
      <x:c r="AS11" t="str">
        <x:v>بله</x:v>
      </x:c>
      <x:c r="AT11" t="str">
        <x:v>OK</x:v>
      </x:c>
      <x:c r="AU11"/>
    </x:row>
    <x:row r="12">
      <x:c r="A12" s="79" t="n">
        <x:v>14</x:v>
      </x:c>
      <x:c r="B12" s="79" t="str">
        <x:v>NS-0011-1</x:v>
      </x:c>
      <x:c r="C12" s="79" t="str">
        <x:v>ادویه سالاد ایتالیایی</x:v>
      </x:c>
      <x:c r="D12" s="79" t="str">
        <x:v>spice_salad_italian</x:v>
      </x:c>
      <x:c r="E12" s="79" t="str">
        <x:v>update</x:v>
      </x:c>
      <x:c r="F12" s="79" t="str">
        <x:v>بله</x:v>
      </x:c>
      <x:c r="G12" s="79" t="str">
        <x:v>ادویه و چاشنی</x:v>
      </x:c>
      <x:c r="H12" s="79" t="str">
        <x:v>ادویه</x:v>
      </x:c>
      <x:c r="I12" s="79" t="str">
        <x:v>6a3781e4df5573f4e676e226</x:v>
      </x:c>
      <x:c r="J12" s="79" t="str">
        <x:v>spice</x:v>
      </x:c>
      <x:c r="K12" s="79"/>
      <x:c r="L12" s="79" t="str">
        <x:v>EDIBLE</x:v>
      </x:c>
      <x:c r="M12" s="79" t="str">
        <x:v>بله</x:v>
      </x:c>
      <x:c r="N12" s="79" t="str">
        <x:v>خوراکی</x:v>
      </x:c>
      <x:c r="O12" s="79" t="str">
        <x:v>خیر</x:v>
      </x:c>
      <x:c r="P12" s="79" t="n">
        <x:v>1</x:v>
      </x:c>
      <x:c r="Q12" s="79" t="str">
        <x:v>کیلو</x:v>
      </x:c>
      <x:c r="R12" s="79" t="n">
        <x:v>800</x:v>
      </x:c>
      <x:c r="S12" s="104" t="n">
        <x:v>800000</x:v>
      </x:c>
      <x:c r="T12" s="79" t="n">
        <x:v>1</x:v>
      </x:c>
      <x:c r="U12" s="79" t="str">
        <x:v>kg</x:v>
      </x:c>
      <x:c r="V12" s="79" t="str">
        <x:v>کیلو</x:v>
      </x:c>
      <x:c r="W12" s="99" t="b">
        <x:v>1</x:v>
      </x:c>
      <x:c r="X12" s="79" t="str"/>
      <x:c r="Y12" s="79"/>
      <x:c r="Z12" s="104"/>
      <x:c r="AA12" s="79" t="str"/>
      <x:c r="AB12" s="79" t="str"/>
      <x:c r="AC12" s="79" t="str"/>
      <x:c r="AD12" s="79" t="str"/>
      <x:c r="AE12" s="79" t="str">
        <x:v>فعال</x:v>
      </x:c>
      <x:c r="AF12" s="79" t="str">
        <x:v>دسته‌بندی نهایی</x:v>
      </x:c>
      <x:c r="AG12" s="79" t="str">
        <x:v>OK</x:v>
      </x:c>
      <x:c r="AH12" s="79" t="str">
        <x:v>[{"name": "کیلو", "sku": "", "price": 800000, "stock": "", "weight": 1, "weightUnit": "kg", "containerSize": "کیلو", "isDefault": true}]</x:v>
      </x:c>
      <x:c r="AI12" s="79"/>
      <x:c r="AJ12" s="79" t="str"/>
      <x:c r="AK12" s="79" t="str"/>
      <x:c r="AL12" t="str">
        <x:v>ادویه سالاد ایتالیایی</x:v>
      </x:c>
      <x:c r="AM12" t="str">
        <x:v>single_14</x:v>
      </x:c>
      <x:c r="AN12" t="str">
        <x:v>canonical_group_row</x:v>
      </x:c>
      <x:c r="AO12" t="str">
        <x:v>ادویه</x:v>
      </x:c>
      <x:c r="AP12" t="str">
        <x:v>6a3781e4df5573f4e676e226</x:v>
      </x:c>
      <x:c r="AQ12" t="str">
        <x:v>spice</x:v>
      </x:c>
      <x:c r="AR12" t="str">
        <x:v>EDIBLE</x:v>
      </x:c>
      <x:c r="AS12" t="str">
        <x:v>بله</x:v>
      </x:c>
      <x:c r="AT12" t="str">
        <x:v>OK</x:v>
      </x:c>
      <x:c r="AU12"/>
    </x:row>
    <x:row r="13">
      <x:c r="A13" s="79" t="n">
        <x:v>15</x:v>
      </x:c>
      <x:c r="B13" s="79" t="str">
        <x:v>NS-0012-1</x:v>
      </x:c>
      <x:c r="C13" s="79" t="str">
        <x:v>ادویه سس سزار</x:v>
      </x:c>
      <x:c r="D13" s="79" t="str">
        <x:v>spice_sauce_caesar</x:v>
      </x:c>
      <x:c r="E13" s="79" t="str">
        <x:v>update</x:v>
      </x:c>
      <x:c r="F13" s="79" t="str">
        <x:v>بله</x:v>
      </x:c>
      <x:c r="G13" s="79" t="str">
        <x:v>ادویه و چاشنی</x:v>
      </x:c>
      <x:c r="H13" s="79" t="str">
        <x:v>ادویه</x:v>
      </x:c>
      <x:c r="I13" s="79" t="str">
        <x:v>6a3781e4df5573f4e676e226</x:v>
      </x:c>
      <x:c r="J13" s="79" t="str">
        <x:v>spice</x:v>
      </x:c>
      <x:c r="K13" s="79"/>
      <x:c r="L13" s="79" t="str">
        <x:v>EDIBLE</x:v>
      </x:c>
      <x:c r="M13" s="79" t="str">
        <x:v>بله</x:v>
      </x:c>
      <x:c r="N13" s="79" t="str">
        <x:v>خوراکی</x:v>
      </x:c>
      <x:c r="O13" s="79" t="str">
        <x:v>خیر</x:v>
      </x:c>
      <x:c r="P13" s="79" t="n">
        <x:v>1</x:v>
      </x:c>
      <x:c r="Q13" s="79" t="str">
        <x:v>کیلو</x:v>
      </x:c>
      <x:c r="R13" s="79" t="n">
        <x:v>850</x:v>
      </x:c>
      <x:c r="S13" s="104" t="n">
        <x:v>850000</x:v>
      </x:c>
      <x:c r="T13" s="79" t="n">
        <x:v>1</x:v>
      </x:c>
      <x:c r="U13" s="79" t="str">
        <x:v>kg</x:v>
      </x:c>
      <x:c r="V13" s="79" t="str">
        <x:v>کیلو</x:v>
      </x:c>
      <x:c r="W13" s="99" t="b">
        <x:v>1</x:v>
      </x:c>
      <x:c r="X13" s="79" t="str"/>
      <x:c r="Y13" s="79"/>
      <x:c r="Z13" s="104"/>
      <x:c r="AA13" s="79" t="str"/>
      <x:c r="AB13" s="79" t="str"/>
      <x:c r="AC13" s="79" t="str"/>
      <x:c r="AD13" s="79" t="str"/>
      <x:c r="AE13" s="79" t="str">
        <x:v>فعال</x:v>
      </x:c>
      <x:c r="AF13" s="79" t="str">
        <x:v>دسته‌بندی نهایی</x:v>
      </x:c>
      <x:c r="AG13" s="79" t="str">
        <x:v>OK</x:v>
      </x:c>
      <x:c r="AH13" s="79" t="str">
        <x:v>[{"name": "کیلو", "sku": "", "price": 850000, "stock": "", "weight": 1, "weightUnit": "kg", "containerSize": "کیلو", "isDefault": true}]</x:v>
      </x:c>
      <x:c r="AI13" s="79"/>
      <x:c r="AJ13" s="79" t="str"/>
      <x:c r="AK13" s="79" t="str"/>
      <x:c r="AL13" t="str">
        <x:v>ادویه سس سزار</x:v>
      </x:c>
      <x:c r="AM13" t="str">
        <x:v>single_15</x:v>
      </x:c>
      <x:c r="AN13" t="str">
        <x:v>canonical_group_row</x:v>
      </x:c>
      <x:c r="AO13" t="str">
        <x:v>ادویه</x:v>
      </x:c>
      <x:c r="AP13" t="str">
        <x:v>6a3781e4df5573f4e676e226</x:v>
      </x:c>
      <x:c r="AQ13" t="str">
        <x:v>spice</x:v>
      </x:c>
      <x:c r="AR13" t="str">
        <x:v>EDIBLE</x:v>
      </x:c>
      <x:c r="AS13" t="str">
        <x:v>بله</x:v>
      </x:c>
      <x:c r="AT13" t="str">
        <x:v>OK</x:v>
      </x:c>
      <x:c r="AU13"/>
    </x:row>
    <x:row r="14">
      <x:c r="A14" s="79" t="n">
        <x:v>16</x:v>
      </x:c>
      <x:c r="B14" s="79" t="str">
        <x:v>NS-0013-1</x:v>
      </x:c>
      <x:c r="C14" s="79" t="str">
        <x:v>ادویه سیب پنیری</x:v>
      </x:c>
      <x:c r="D14" s="79" t="str">
        <x:v>spice_apple_cheese</x:v>
      </x:c>
      <x:c r="E14" s="79" t="str">
        <x:v>update</x:v>
      </x:c>
      <x:c r="F14" s="79" t="str">
        <x:v>بله</x:v>
      </x:c>
      <x:c r="G14" s="79" t="str">
        <x:v>ادویه و چاشنی</x:v>
      </x:c>
      <x:c r="H14" s="79" t="str">
        <x:v>ادویه</x:v>
      </x:c>
      <x:c r="I14" s="79" t="str">
        <x:v>6a3781e4df5573f4e676e226</x:v>
      </x:c>
      <x:c r="J14" s="79" t="str">
        <x:v>spice</x:v>
      </x:c>
      <x:c r="K14" s="79"/>
      <x:c r="L14" s="79" t="str">
        <x:v>EDIBLE</x:v>
      </x:c>
      <x:c r="M14" s="79" t="str">
        <x:v>بله</x:v>
      </x:c>
      <x:c r="N14" s="79" t="str">
        <x:v>خوراکی</x:v>
      </x:c>
      <x:c r="O14" s="79" t="str">
        <x:v>خیر</x:v>
      </x:c>
      <x:c r="P14" s="79" t="n">
        <x:v>1</x:v>
      </x:c>
      <x:c r="Q14" s="79" t="str">
        <x:v>کیلو</x:v>
      </x:c>
      <x:c r="R14" s="79" t="str">
        <x:v>1/100</x:v>
      </x:c>
      <x:c r="S14" s="104" t="n">
        <x:v>1100000</x:v>
      </x:c>
      <x:c r="T14" s="79" t="n">
        <x:v>1</x:v>
      </x:c>
      <x:c r="U14" s="79" t="str">
        <x:v>kg</x:v>
      </x:c>
      <x:c r="V14" s="79" t="str">
        <x:v>کیلو</x:v>
      </x:c>
      <x:c r="W14" s="99" t="b">
        <x:v>1</x:v>
      </x:c>
      <x:c r="X14" s="79" t="str"/>
      <x:c r="Y14" s="79"/>
      <x:c r="Z14" s="104"/>
      <x:c r="AA14" s="79" t="str"/>
      <x:c r="AB14" s="79" t="str"/>
      <x:c r="AC14" s="79" t="str"/>
      <x:c r="AD14" s="79" t="str"/>
      <x:c r="AE14" s="79" t="str">
        <x:v>فعال</x:v>
      </x:c>
      <x:c r="AF14" s="79" t="str">
        <x:v>دسته‌بندی نهایی</x:v>
      </x:c>
      <x:c r="AG14" s="79" t="str">
        <x:v>OK</x:v>
      </x:c>
      <x:c r="AH14" s="79" t="str">
        <x:v>[{"name": "کیلو", "sku": "", "price": 1100000, "stock": "", "weight": 1, "weightUnit": "kg", "containerSize": "کیلو", "isDefault": true}]</x:v>
      </x:c>
      <x:c r="AI14" s="79"/>
      <x:c r="AJ14" s="79" t="str"/>
      <x:c r="AK14" s="79" t="str"/>
      <x:c r="AL14" t="str">
        <x:v>ادویه سیب پنیری</x:v>
      </x:c>
      <x:c r="AM14" t="str">
        <x:v>single_16</x:v>
      </x:c>
      <x:c r="AN14" t="str">
        <x:v>canonical_group_row</x:v>
      </x:c>
      <x:c r="AO14" t="str">
        <x:v>ادویه</x:v>
      </x:c>
      <x:c r="AP14" t="str">
        <x:v>6a3781e4df5573f4e676e226</x:v>
      </x:c>
      <x:c r="AQ14" t="str">
        <x:v>spice</x:v>
      </x:c>
      <x:c r="AR14" t="str">
        <x:v>EDIBLE</x:v>
      </x:c>
      <x:c r="AS14" t="str">
        <x:v>بله</x:v>
      </x:c>
      <x:c r="AT14" t="str">
        <x:v>OK</x:v>
      </x:c>
      <x:c r="AU14"/>
    </x:row>
    <x:row r="15">
      <x:c r="A15" s="79" t="n">
        <x:v>17</x:v>
      </x:c>
      <x:c r="B15" s="79" t="str">
        <x:v>NS-0014-1</x:v>
      </x:c>
      <x:c r="C15" s="79" t="str">
        <x:v>ادویه سیر و کره</x:v>
      </x:c>
      <x:c r="D15" s="79" t="str">
        <x:v>spice_garlic_v_butter</x:v>
      </x:c>
      <x:c r="E15" s="79" t="str">
        <x:v>update</x:v>
      </x:c>
      <x:c r="F15" s="79" t="str">
        <x:v>بله</x:v>
      </x:c>
      <x:c r="G15" s="79" t="str">
        <x:v>ادویه و چاشنی</x:v>
      </x:c>
      <x:c r="H15" s="79" t="str">
        <x:v>ادویه</x:v>
      </x:c>
      <x:c r="I15" s="79" t="str">
        <x:v>6a3781e4df5573f4e676e226</x:v>
      </x:c>
      <x:c r="J15" s="79" t="str">
        <x:v>spice</x:v>
      </x:c>
      <x:c r="K15" s="79"/>
      <x:c r="L15" s="79" t="str">
        <x:v>EDIBLE</x:v>
      </x:c>
      <x:c r="M15" s="79" t="str">
        <x:v>بله</x:v>
      </x:c>
      <x:c r="N15" s="79" t="str">
        <x:v>خوراکی</x:v>
      </x:c>
      <x:c r="O15" s="79" t="str">
        <x:v>خیر</x:v>
      </x:c>
      <x:c r="P15" s="79" t="n">
        <x:v>1</x:v>
      </x:c>
      <x:c r="Q15" s="79" t="str">
        <x:v>کیلو</x:v>
      </x:c>
      <x:c r="R15" s="79" t="n">
        <x:v>800</x:v>
      </x:c>
      <x:c r="S15" s="104" t="n">
        <x:v>800000</x:v>
      </x:c>
      <x:c r="T15" s="79" t="n">
        <x:v>1</x:v>
      </x:c>
      <x:c r="U15" s="79" t="str">
        <x:v>kg</x:v>
      </x:c>
      <x:c r="V15" s="79" t="str">
        <x:v>کیلو</x:v>
      </x:c>
      <x:c r="W15" s="99" t="b">
        <x:v>1</x:v>
      </x:c>
      <x:c r="X15" s="79" t="str"/>
      <x:c r="Y15" s="79"/>
      <x:c r="Z15" s="104"/>
      <x:c r="AA15" s="79" t="str"/>
      <x:c r="AB15" s="79" t="str"/>
      <x:c r="AC15" s="79" t="str"/>
      <x:c r="AD15" s="79" t="str"/>
      <x:c r="AE15" s="79" t="str">
        <x:v>فعال</x:v>
      </x:c>
      <x:c r="AF15" s="79" t="str">
        <x:v>دسته‌بندی نهایی</x:v>
      </x:c>
      <x:c r="AG15" s="79" t="str">
        <x:v>OK</x:v>
      </x:c>
      <x:c r="AH15" s="79" t="str">
        <x:v>[{"name": "کیلو", "sku": "", "price": 800000, "stock": "", "weight": 1, "weightUnit": "kg", "containerSize": "کیلو", "isDefault": true}]</x:v>
      </x:c>
      <x:c r="AI15" s="79"/>
      <x:c r="AJ15" s="79" t="str"/>
      <x:c r="AK15" s="79" t="str"/>
      <x:c r="AL15" t="str">
        <x:v>ادویه سیر و کره</x:v>
      </x:c>
      <x:c r="AM15" t="str">
        <x:v>single_17</x:v>
      </x:c>
      <x:c r="AN15" t="str">
        <x:v>canonical_group_row</x:v>
      </x:c>
      <x:c r="AO15" t="str">
        <x:v>ادویه</x:v>
      </x:c>
      <x:c r="AP15" t="str">
        <x:v>6a3781e4df5573f4e676e226</x:v>
      </x:c>
      <x:c r="AQ15" t="str">
        <x:v>spice</x:v>
      </x:c>
      <x:c r="AR15" t="str">
        <x:v>EDIBLE</x:v>
      </x:c>
      <x:c r="AS15" t="str">
        <x:v>بله</x:v>
      </x:c>
      <x:c r="AT15" t="str">
        <x:v>OK</x:v>
      </x:c>
      <x:c r="AU15"/>
    </x:row>
    <x:row r="16">
      <x:c r="A16" s="79" t="n">
        <x:v>18</x:v>
      </x:c>
      <x:c r="B16" s="79" t="str">
        <x:v>NS-0015-1</x:v>
      </x:c>
      <x:c r="C16" s="79" t="str">
        <x:v>ادویه عربی</x:v>
      </x:c>
      <x:c r="D16" s="79" t="str">
        <x:v>spice_arabic</x:v>
      </x:c>
      <x:c r="E16" s="79" t="str">
        <x:v>update</x:v>
      </x:c>
      <x:c r="F16" s="79" t="str">
        <x:v>بله</x:v>
      </x:c>
      <x:c r="G16" s="79" t="str">
        <x:v>ادویه و چاشنی</x:v>
      </x:c>
      <x:c r="H16" s="79" t="str">
        <x:v>ادویه</x:v>
      </x:c>
      <x:c r="I16" s="79" t="str">
        <x:v>6a3781e4df5573f4e676e226</x:v>
      </x:c>
      <x:c r="J16" s="79" t="str">
        <x:v>spice</x:v>
      </x:c>
      <x:c r="K16" s="79"/>
      <x:c r="L16" s="79" t="str">
        <x:v>EDIBLE</x:v>
      </x:c>
      <x:c r="M16" s="79" t="str">
        <x:v>بله</x:v>
      </x:c>
      <x:c r="N16" s="79" t="str">
        <x:v>خوراکی</x:v>
      </x:c>
      <x:c r="O16" s="79" t="str">
        <x:v>خیر</x:v>
      </x:c>
      <x:c r="P16" s="79" t="n">
        <x:v>1</x:v>
      </x:c>
      <x:c r="Q16" s="79" t="str">
        <x:v>کیلو</x:v>
      </x:c>
      <x:c r="R16" s="79" t="n">
        <x:v>190</x:v>
      </x:c>
      <x:c r="S16" s="104" t="n">
        <x:v>190000</x:v>
      </x:c>
      <x:c r="T16" s="79" t="n">
        <x:v>1</x:v>
      </x:c>
      <x:c r="U16" s="79" t="str">
        <x:v>kg</x:v>
      </x:c>
      <x:c r="V16" s="79" t="str">
        <x:v>کیلو</x:v>
      </x:c>
      <x:c r="W16" s="99" t="b">
        <x:v>1</x:v>
      </x:c>
      <x:c r="X16" s="79" t="str"/>
      <x:c r="Y16" s="79"/>
      <x:c r="Z16" s="104"/>
      <x:c r="AA16" s="79" t="str"/>
      <x:c r="AB16" s="79" t="str"/>
      <x:c r="AC16" s="79" t="str"/>
      <x:c r="AD16" s="79" t="str"/>
      <x:c r="AE16" s="79" t="str">
        <x:v>فعال</x:v>
      </x:c>
      <x:c r="AF16" s="79" t="str">
        <x:v>دسته‌بندی نهایی</x:v>
      </x:c>
      <x:c r="AG16" s="79" t="str">
        <x:v>OK</x:v>
      </x:c>
      <x:c r="AH16" s="79" t="str">
        <x:v>[{"name": "کیلو", "sku": "", "price": 190000, "stock": "", "weight": 1, "weightUnit": "kg", "containerSize": "کیلو", "isDefault": true}]</x:v>
      </x:c>
      <x:c r="AI16" s="79"/>
      <x:c r="AJ16" s="79" t="str"/>
      <x:c r="AK16" s="79" t="str"/>
      <x:c r="AL16" t="str">
        <x:v>ادویه عربی</x:v>
      </x:c>
      <x:c r="AM16" t="str">
        <x:v>single_18</x:v>
      </x:c>
      <x:c r="AN16" t="str">
        <x:v>canonical_group_row</x:v>
      </x:c>
      <x:c r="AO16" t="str">
        <x:v>ادویه</x:v>
      </x:c>
      <x:c r="AP16" t="str">
        <x:v>6a3781e4df5573f4e676e226</x:v>
      </x:c>
      <x:c r="AQ16" t="str">
        <x:v>spice</x:v>
      </x:c>
      <x:c r="AR16" t="str">
        <x:v>EDIBLE</x:v>
      </x:c>
      <x:c r="AS16" t="str">
        <x:v>بله</x:v>
      </x:c>
      <x:c r="AT16" t="str">
        <x:v>OK</x:v>
      </x:c>
      <x:c r="AU16"/>
    </x:row>
    <x:row r="17">
      <x:c r="A17" s="79" t="n">
        <x:v>19</x:v>
      </x:c>
      <x:c r="B17" s="79" t="str">
        <x:v>NS-0016-1</x:v>
      </x:c>
      <x:c r="C17" s="79" t="str">
        <x:v>ادویه فلافل</x:v>
      </x:c>
      <x:c r="D17" s="79" t="str">
        <x:v>spice_falafel</x:v>
      </x:c>
      <x:c r="E17" s="79" t="str">
        <x:v>update</x:v>
      </x:c>
      <x:c r="F17" s="79" t="str">
        <x:v>بله</x:v>
      </x:c>
      <x:c r="G17" s="79" t="str">
        <x:v>ادویه و چاشنی</x:v>
      </x:c>
      <x:c r="H17" s="79" t="str">
        <x:v>ادویه</x:v>
      </x:c>
      <x:c r="I17" s="79" t="str">
        <x:v>6a3781e4df5573f4e676e226</x:v>
      </x:c>
      <x:c r="J17" s="79" t="str">
        <x:v>spice</x:v>
      </x:c>
      <x:c r="K17" s="79"/>
      <x:c r="L17" s="79" t="str">
        <x:v>EDIBLE</x:v>
      </x:c>
      <x:c r="M17" s="79" t="str">
        <x:v>بله</x:v>
      </x:c>
      <x:c r="N17" s="79" t="str">
        <x:v>خوراکی</x:v>
      </x:c>
      <x:c r="O17" s="79" t="str">
        <x:v>خیر</x:v>
      </x:c>
      <x:c r="P17" s="79" t="n">
        <x:v>1</x:v>
      </x:c>
      <x:c r="Q17" s="79" t="str">
        <x:v>کیلو</x:v>
      </x:c>
      <x:c r="R17" s="79" t="n">
        <x:v>850</x:v>
      </x:c>
      <x:c r="S17" s="104" t="n">
        <x:v>850000</x:v>
      </x:c>
      <x:c r="T17" s="79" t="n">
        <x:v>1</x:v>
      </x:c>
      <x:c r="U17" s="79" t="str">
        <x:v>kg</x:v>
      </x:c>
      <x:c r="V17" s="79" t="str">
        <x:v>کیلو</x:v>
      </x:c>
      <x:c r="W17" s="99" t="b">
        <x:v>1</x:v>
      </x:c>
      <x:c r="X17" s="79" t="str"/>
      <x:c r="Y17" s="79"/>
      <x:c r="Z17" s="104"/>
      <x:c r="AA17" s="79" t="str"/>
      <x:c r="AB17" s="79" t="str"/>
      <x:c r="AC17" s="79" t="str"/>
      <x:c r="AD17" s="79" t="str"/>
      <x:c r="AE17" s="79" t="str">
        <x:v>فعال</x:v>
      </x:c>
      <x:c r="AF17" s="79" t="str">
        <x:v>دسته‌بندی نهایی</x:v>
      </x:c>
      <x:c r="AG17" s="79" t="str">
        <x:v>OK</x:v>
      </x:c>
      <x:c r="AH17" s="79" t="str">
        <x:v>[{"name": "کیلو", "sku": "", "price": 850000, "stock": "", "weight": 1, "weightUnit": "kg", "containerSize": "کیلو", "isDefault": true}]</x:v>
      </x:c>
      <x:c r="AI17" s="79"/>
      <x:c r="AJ17" s="79" t="str"/>
      <x:c r="AK17" s="79" t="str"/>
      <x:c r="AL17" t="str">
        <x:v>ادویه فلافل</x:v>
      </x:c>
      <x:c r="AM17" t="str">
        <x:v>single_19</x:v>
      </x:c>
      <x:c r="AN17" t="str">
        <x:v>canonical_group_row</x:v>
      </x:c>
      <x:c r="AO17" t="str">
        <x:v>ادویه</x:v>
      </x:c>
      <x:c r="AP17" t="str">
        <x:v>6a3781e4df5573f4e676e226</x:v>
      </x:c>
      <x:c r="AQ17" t="str">
        <x:v>spice</x:v>
      </x:c>
      <x:c r="AR17" t="str">
        <x:v>EDIBLE</x:v>
      </x:c>
      <x:c r="AS17" t="str">
        <x:v>بله</x:v>
      </x:c>
      <x:c r="AT17" t="str">
        <x:v>OK</x:v>
      </x:c>
      <x:c r="AU17"/>
    </x:row>
    <x:row r="18">
      <x:c r="A18" s="79" t="n">
        <x:v>20</x:v>
      </x:c>
      <x:c r="B18" s="79" t="str">
        <x:v>NS-0017-1</x:v>
      </x:c>
      <x:c r="C18" s="79" t="str">
        <x:v>ادویه قرمه سبزی</x:v>
      </x:c>
      <x:c r="D18" s="79" t="str">
        <x:v>spice_ghormeh_sabzi</x:v>
      </x:c>
      <x:c r="E18" s="79" t="str">
        <x:v>update</x:v>
      </x:c>
      <x:c r="F18" s="79" t="str">
        <x:v>بله</x:v>
      </x:c>
      <x:c r="G18" s="79" t="str">
        <x:v>ادویه و چاشنی</x:v>
      </x:c>
      <x:c r="H18" s="79" t="str">
        <x:v>ادویه</x:v>
      </x:c>
      <x:c r="I18" s="79" t="str">
        <x:v>6a3781e4df5573f4e676e226</x:v>
      </x:c>
      <x:c r="J18" s="79" t="str">
        <x:v>spice</x:v>
      </x:c>
      <x:c r="K18" s="79"/>
      <x:c r="L18" s="79" t="str">
        <x:v>EDIBLE</x:v>
      </x:c>
      <x:c r="M18" s="79" t="str">
        <x:v>بله</x:v>
      </x:c>
      <x:c r="N18" s="79" t="str">
        <x:v>خوراکی</x:v>
      </x:c>
      <x:c r="O18" s="79" t="str">
        <x:v>خیر</x:v>
      </x:c>
      <x:c r="P18" s="79" t="n">
        <x:v>1</x:v>
      </x:c>
      <x:c r="Q18" s="79" t="str">
        <x:v>کیلو</x:v>
      </x:c>
      <x:c r="R18" s="79" t="n">
        <x:v>950</x:v>
      </x:c>
      <x:c r="S18" s="104" t="n">
        <x:v>950000</x:v>
      </x:c>
      <x:c r="T18" s="79" t="n">
        <x:v>1</x:v>
      </x:c>
      <x:c r="U18" s="79" t="str">
        <x:v>kg</x:v>
      </x:c>
      <x:c r="V18" s="79" t="str">
        <x:v>کیلو</x:v>
      </x:c>
      <x:c r="W18" s="99" t="b">
        <x:v>1</x:v>
      </x:c>
      <x:c r="X18" s="79" t="str"/>
      <x:c r="Y18" s="79"/>
      <x:c r="Z18" s="104"/>
      <x:c r="AA18" s="79" t="str"/>
      <x:c r="AB18" s="79" t="str"/>
      <x:c r="AC18" s="79" t="str"/>
      <x:c r="AD18" s="79" t="str"/>
      <x:c r="AE18" s="79" t="str">
        <x:v>فعال</x:v>
      </x:c>
      <x:c r="AF18" s="79" t="str">
        <x:v>دسته‌بندی نهایی</x:v>
      </x:c>
      <x:c r="AG18" s="79" t="str">
        <x:v>OK</x:v>
      </x:c>
      <x:c r="AH18" s="79" t="str">
        <x:v>[{"name": "کیلو", "sku": "", "price": 950000, "stock": "", "weight": 1, "weightUnit": "kg", "containerSize": "کیلو", "isDefault": true}]</x:v>
      </x:c>
      <x:c r="AI18" s="79"/>
      <x:c r="AJ18" s="79" t="str"/>
      <x:c r="AK18" s="79" t="str"/>
      <x:c r="AL18" t="str">
        <x:v>ادویه قرمه سبزی</x:v>
      </x:c>
      <x:c r="AM18" t="str">
        <x:v>single_20</x:v>
      </x:c>
      <x:c r="AN18" t="str">
        <x:v>canonical_group_row</x:v>
      </x:c>
      <x:c r="AO18" t="str">
        <x:v>ادویه</x:v>
      </x:c>
      <x:c r="AP18" t="str">
        <x:v>6a3781e4df5573f4e676e226</x:v>
      </x:c>
      <x:c r="AQ18" t="str">
        <x:v>spice</x:v>
      </x:c>
      <x:c r="AR18" t="str">
        <x:v>EDIBLE</x:v>
      </x:c>
      <x:c r="AS18" t="str">
        <x:v>بله</x:v>
      </x:c>
      <x:c r="AT18" t="str">
        <x:v>OK</x:v>
      </x:c>
      <x:c r="AU18"/>
    </x:row>
    <x:row r="19">
      <x:c r="A19" s="79" t="n">
        <x:v>21</x:v>
      </x:c>
      <x:c r="B19" s="79" t="str">
        <x:v>NS-0018-1</x:v>
      </x:c>
      <x:c r="C19" s="79" t="str">
        <x:v>ادویه کاچی</x:v>
      </x:c>
      <x:c r="D19" s="79" t="str">
        <x:v>spice_kachi</x:v>
      </x:c>
      <x:c r="E19" s="79" t="str">
        <x:v>update</x:v>
      </x:c>
      <x:c r="F19" s="79" t="str">
        <x:v>بله</x:v>
      </x:c>
      <x:c r="G19" s="79" t="str">
        <x:v>ادویه و چاشنی</x:v>
      </x:c>
      <x:c r="H19" s="79" t="str">
        <x:v>ادویه</x:v>
      </x:c>
      <x:c r="I19" s="79" t="str">
        <x:v>6a3781e4df5573f4e676e226</x:v>
      </x:c>
      <x:c r="J19" s="79" t="str">
        <x:v>spice</x:v>
      </x:c>
      <x:c r="K19" s="79"/>
      <x:c r="L19" s="79" t="str">
        <x:v>EDIBLE</x:v>
      </x:c>
      <x:c r="M19" s="79" t="str">
        <x:v>بله</x:v>
      </x:c>
      <x:c r="N19" s="79" t="str">
        <x:v>خوراکی</x:v>
      </x:c>
      <x:c r="O19" s="79" t="str">
        <x:v>خیر</x:v>
      </x:c>
      <x:c r="P19" s="79" t="n">
        <x:v>1</x:v>
      </x:c>
      <x:c r="Q19" s="79" t="str">
        <x:v>کیلو</x:v>
      </x:c>
      <x:c r="R19" s="79" t="n">
        <x:v>700</x:v>
      </x:c>
      <x:c r="S19" s="104" t="n">
        <x:v>700000</x:v>
      </x:c>
      <x:c r="T19" s="79" t="n">
        <x:v>1</x:v>
      </x:c>
      <x:c r="U19" s="79" t="str">
        <x:v>kg</x:v>
      </x:c>
      <x:c r="V19" s="79" t="str">
        <x:v>کیلو</x:v>
      </x:c>
      <x:c r="W19" s="99" t="b">
        <x:v>1</x:v>
      </x:c>
      <x:c r="X19" s="79" t="str"/>
      <x:c r="Y19" s="79"/>
      <x:c r="Z19" s="104"/>
      <x:c r="AA19" s="79" t="str"/>
      <x:c r="AB19" s="79" t="str"/>
      <x:c r="AC19" s="79" t="str"/>
      <x:c r="AD19" s="79" t="str"/>
      <x:c r="AE19" s="79" t="str">
        <x:v>فعال</x:v>
      </x:c>
      <x:c r="AF19" s="79" t="str">
        <x:v>دسته‌بندی نهایی</x:v>
      </x:c>
      <x:c r="AG19" s="79" t="str">
        <x:v>OK</x:v>
      </x:c>
      <x:c r="AH19" s="79" t="str">
        <x:v>[{"name": "کیلو", "sku": "", "price": 700000, "stock": "", "weight": 1, "weightUnit": "kg", "containerSize": "کیلو", "isDefault": true}]</x:v>
      </x:c>
      <x:c r="AI19" s="79"/>
      <x:c r="AJ19" s="79" t="str"/>
      <x:c r="AK19" s="79" t="str"/>
      <x:c r="AL19" t="str">
        <x:v>ادویه کاچی</x:v>
      </x:c>
      <x:c r="AM19" t="str">
        <x:v>single_21</x:v>
      </x:c>
      <x:c r="AN19" t="str">
        <x:v>canonical_group_row</x:v>
      </x:c>
      <x:c r="AO19" t="str">
        <x:v>ادویه</x:v>
      </x:c>
      <x:c r="AP19" t="str">
        <x:v>6a3781e4df5573f4e676e226</x:v>
      </x:c>
      <x:c r="AQ19" t="str">
        <x:v>spice</x:v>
      </x:c>
      <x:c r="AR19" t="str">
        <x:v>EDIBLE</x:v>
      </x:c>
      <x:c r="AS19" t="str">
        <x:v>بله</x:v>
      </x:c>
      <x:c r="AT19" t="str">
        <x:v>OK</x:v>
      </x:c>
      <x:c r="AU19"/>
    </x:row>
    <x:row r="20">
      <x:c r="A20" s="79" t="n">
        <x:v>22</x:v>
      </x:c>
      <x:c r="B20" s="79" t="str">
        <x:v>NS-0019-1</x:v>
      </x:c>
      <x:c r="C20" s="79" t="str">
        <x:v>ادویه کاری</x:v>
      </x:c>
      <x:c r="D20" s="79" t="str">
        <x:v>spice_curry</x:v>
      </x:c>
      <x:c r="E20" s="79" t="str">
        <x:v>update</x:v>
      </x:c>
      <x:c r="F20" s="79" t="str">
        <x:v>بله</x:v>
      </x:c>
      <x:c r="G20" s="79" t="str">
        <x:v>ادویه و چاشنی</x:v>
      </x:c>
      <x:c r="H20" s="79" t="str">
        <x:v>ادویه</x:v>
      </x:c>
      <x:c r="I20" s="79" t="str">
        <x:v>6a3781e4df5573f4e676e226</x:v>
      </x:c>
      <x:c r="J20" s="79" t="str">
        <x:v>spice</x:v>
      </x:c>
      <x:c r="K20" s="79"/>
      <x:c r="L20" s="79" t="str">
        <x:v>EDIBLE</x:v>
      </x:c>
      <x:c r="M20" s="79" t="str">
        <x:v>بله</x:v>
      </x:c>
      <x:c r="N20" s="79" t="str">
        <x:v>خوراکی</x:v>
      </x:c>
      <x:c r="O20" s="79" t="str">
        <x:v>خیر</x:v>
      </x:c>
      <x:c r="P20" s="79" t="n">
        <x:v>1</x:v>
      </x:c>
      <x:c r="Q20" s="79" t="str">
        <x:v>کیلو</x:v>
      </x:c>
      <x:c r="R20" s="79" t="n">
        <x:v>850</x:v>
      </x:c>
      <x:c r="S20" s="104" t="n">
        <x:v>850000</x:v>
      </x:c>
      <x:c r="T20" s="79" t="n">
        <x:v>1</x:v>
      </x:c>
      <x:c r="U20" s="79" t="str">
        <x:v>kg</x:v>
      </x:c>
      <x:c r="V20" s="79" t="str">
        <x:v>کیلو</x:v>
      </x:c>
      <x:c r="W20" s="99" t="b">
        <x:v>1</x:v>
      </x:c>
      <x:c r="X20" s="79" t="str"/>
      <x:c r="Y20" s="79"/>
      <x:c r="Z20" s="104"/>
      <x:c r="AA20" s="79" t="str"/>
      <x:c r="AB20" s="79" t="str"/>
      <x:c r="AC20" s="79" t="str"/>
      <x:c r="AD20" s="79" t="str"/>
      <x:c r="AE20" s="79" t="str">
        <x:v>فعال</x:v>
      </x:c>
      <x:c r="AF20" s="79" t="str">
        <x:v>دسته‌بندی نهایی</x:v>
      </x:c>
      <x:c r="AG20" s="79" t="str">
        <x:v>OK</x:v>
      </x:c>
      <x:c r="AH20" s="79" t="str">
        <x:v>[{"name": "کیلو", "sku": "", "price": 850000, "stock": "", "weight": 1, "weightUnit": "kg", "containerSize": "کیلو", "isDefault": true}]</x:v>
      </x:c>
      <x:c r="AI20" s="79"/>
      <x:c r="AJ20" s="79" t="str"/>
      <x:c r="AK20" s="79" t="str"/>
      <x:c r="AL20" t="str">
        <x:v>ادویه کاری</x:v>
      </x:c>
      <x:c r="AM20" t="str">
        <x:v>single_22</x:v>
      </x:c>
      <x:c r="AN20" t="str">
        <x:v>canonical_group_row</x:v>
      </x:c>
      <x:c r="AO20" t="str">
        <x:v>ادویه</x:v>
      </x:c>
      <x:c r="AP20" t="str">
        <x:v>6a3781e4df5573f4e676e226</x:v>
      </x:c>
      <x:c r="AQ20" t="str">
        <x:v>spice</x:v>
      </x:c>
      <x:c r="AR20" t="str">
        <x:v>EDIBLE</x:v>
      </x:c>
      <x:c r="AS20" t="str">
        <x:v>بله</x:v>
      </x:c>
      <x:c r="AT20" t="str">
        <x:v>OK</x:v>
      </x:c>
      <x:c r="AU20"/>
    </x:row>
    <x:row r="21">
      <x:c r="A21" s="79" t="n">
        <x:v>23</x:v>
      </x:c>
      <x:c r="B21" s="79" t="str">
        <x:v>NS-0020-1</x:v>
      </x:c>
      <x:c r="C21" s="79" t="str">
        <x:v>ادویه کره</x:v>
      </x:c>
      <x:c r="D21" s="79" t="str">
        <x:v>spice_butter</x:v>
      </x:c>
      <x:c r="E21" s="79" t="str">
        <x:v>update</x:v>
      </x:c>
      <x:c r="F21" s="79" t="str">
        <x:v>بله</x:v>
      </x:c>
      <x:c r="G21" s="79" t="str">
        <x:v>ادویه و چاشنی</x:v>
      </x:c>
      <x:c r="H21" s="79" t="str">
        <x:v>ادویه</x:v>
      </x:c>
      <x:c r="I21" s="79" t="str">
        <x:v>6a3781e4df5573f4e676e226</x:v>
      </x:c>
      <x:c r="J21" s="79" t="str">
        <x:v>spice</x:v>
      </x:c>
      <x:c r="K21" s="79"/>
      <x:c r="L21" s="79" t="str">
        <x:v>EDIBLE</x:v>
      </x:c>
      <x:c r="M21" s="79" t="str">
        <x:v>بله</x:v>
      </x:c>
      <x:c r="N21" s="79" t="str">
        <x:v>خوراکی</x:v>
      </x:c>
      <x:c r="O21" s="79" t="str">
        <x:v>خیر</x:v>
      </x:c>
      <x:c r="P21" s="79" t="n">
        <x:v>1</x:v>
      </x:c>
      <x:c r="Q21" s="79" t="str">
        <x:v>کیلو</x:v>
      </x:c>
      <x:c r="R21" s="79" t="str">
        <x:v>1/100</x:v>
      </x:c>
      <x:c r="S21" s="104" t="n">
        <x:v>1100000</x:v>
      </x:c>
      <x:c r="T21" s="79" t="n">
        <x:v>1</x:v>
      </x:c>
      <x:c r="U21" s="79" t="str">
        <x:v>kg</x:v>
      </x:c>
      <x:c r="V21" s="79" t="str">
        <x:v>کیلو</x:v>
      </x:c>
      <x:c r="W21" s="99" t="b">
        <x:v>1</x:v>
      </x:c>
      <x:c r="X21" s="79" t="str"/>
      <x:c r="Y21" s="79"/>
      <x:c r="Z21" s="104"/>
      <x:c r="AA21" s="79" t="str"/>
      <x:c r="AB21" s="79" t="str"/>
      <x:c r="AC21" s="79" t="str"/>
      <x:c r="AD21" s="79" t="str"/>
      <x:c r="AE21" s="79" t="str">
        <x:v>فعال</x:v>
      </x:c>
      <x:c r="AF21" s="79" t="str">
        <x:v>دسته‌بندی نهایی</x:v>
      </x:c>
      <x:c r="AG21" s="79" t="str">
        <x:v>OK</x:v>
      </x:c>
      <x:c r="AH21" s="79" t="str">
        <x:v>[{"name": "کیلو", "sku": "", "price": 1100000, "stock": "", "weight": 1, "weightUnit": "kg", "containerSize": "کیلو", "isDefault": true}]</x:v>
      </x:c>
      <x:c r="AI21" s="79"/>
      <x:c r="AJ21" s="79"/>
      <x:c r="AK21" s="79"/>
      <x:c r="AL21" t="str">
        <x:v>ادویه کره</x:v>
      </x:c>
      <x:c r="AM21" t="str">
        <x:v>single_23</x:v>
      </x:c>
      <x:c r="AN21" t="str">
        <x:v>canonical_group_row</x:v>
      </x:c>
      <x:c r="AO21" t="str">
        <x:v>ادویه</x:v>
      </x:c>
      <x:c r="AP21" t="str">
        <x:v>6a3781e4df5573f4e676e226</x:v>
      </x:c>
      <x:c r="AQ21" t="str">
        <x:v>spice</x:v>
      </x:c>
      <x:c r="AR21" t="str">
        <x:v>EDIBLE</x:v>
      </x:c>
      <x:c r="AS21" t="str">
        <x:v>بله</x:v>
      </x:c>
      <x:c r="AT21" t="str">
        <x:v>OK</x:v>
      </x:c>
      <x:c r="AU21"/>
    </x:row>
    <x:row r="22">
      <x:c r="A22" s="79" t="n">
        <x:v>24</x:v>
      </x:c>
      <x:c r="B22" s="79" t="str">
        <x:v>NS-0021-1</x:v>
      </x:c>
      <x:c r="C22" s="79" t="str">
        <x:v>ادویه لیمو فلفلی</x:v>
      </x:c>
      <x:c r="D22" s="79" t="str">
        <x:v>spice_lemon_peppermint</x:v>
      </x:c>
      <x:c r="E22" s="79" t="str">
        <x:v>update</x:v>
      </x:c>
      <x:c r="F22" s="79" t="str">
        <x:v>بله</x:v>
      </x:c>
      <x:c r="G22" s="79" t="str">
        <x:v>ادویه و چاشنی</x:v>
      </x:c>
      <x:c r="H22" s="79" t="str">
        <x:v>ادویه</x:v>
      </x:c>
      <x:c r="I22" s="79" t="str">
        <x:v>6a3781e4df5573f4e676e226</x:v>
      </x:c>
      <x:c r="J22" s="79" t="str">
        <x:v>spice</x:v>
      </x:c>
      <x:c r="K22" s="79"/>
      <x:c r="L22" s="79" t="str">
        <x:v>EDIBLE</x:v>
      </x:c>
      <x:c r="M22" s="79" t="str">
        <x:v>بله</x:v>
      </x:c>
      <x:c r="N22" s="79" t="str">
        <x:v>خوراکی</x:v>
      </x:c>
      <x:c r="O22" s="79" t="str">
        <x:v>خیر</x:v>
      </x:c>
      <x:c r="P22" s="79" t="n">
        <x:v>1</x:v>
      </x:c>
      <x:c r="Q22" s="79" t="str">
        <x:v>کیلو</x:v>
      </x:c>
      <x:c r="R22" s="79" t="n">
        <x:v>800</x:v>
      </x:c>
      <x:c r="S22" s="104" t="n">
        <x:v>800000</x:v>
      </x:c>
      <x:c r="T22" s="79" t="n">
        <x:v>1</x:v>
      </x:c>
      <x:c r="U22" s="79" t="str">
        <x:v>kg</x:v>
      </x:c>
      <x:c r="V22" s="79" t="str">
        <x:v>کیلو</x:v>
      </x:c>
      <x:c r="W22" s="99" t="b">
        <x:v>1</x:v>
      </x:c>
      <x:c r="X22" s="79" t="str"/>
      <x:c r="Y22" s="79"/>
      <x:c r="Z22" s="104"/>
      <x:c r="AA22" s="79" t="str"/>
      <x:c r="AB22" s="79" t="str"/>
      <x:c r="AC22" s="79" t="str"/>
      <x:c r="AD22" s="79" t="str"/>
      <x:c r="AE22" s="79" t="str">
        <x:v>فعال</x:v>
      </x:c>
      <x:c r="AF22" s="79" t="str">
        <x:v>دسته‌بندی نهایی</x:v>
      </x:c>
      <x:c r="AG22" s="79" t="str">
        <x:v>OK</x:v>
      </x:c>
      <x:c r="AH22" s="79" t="str">
        <x:v>[{"name": "کیلو", "sku": "", "price": 800000, "stock": "", "weight": 1, "weightUnit": "kg", "containerSize": "کیلو", "isDefault": true}]</x:v>
      </x:c>
      <x:c r="AI22" s="79"/>
      <x:c r="AJ22" s="79"/>
      <x:c r="AK22" s="79"/>
      <x:c r="AL22" t="str">
        <x:v>ادویه لیمو فلفلی</x:v>
      </x:c>
      <x:c r="AM22" t="str">
        <x:v>single_24</x:v>
      </x:c>
      <x:c r="AN22" t="str">
        <x:v>canonical_group_row</x:v>
      </x:c>
      <x:c r="AO22" t="str">
        <x:v>ادویه</x:v>
      </x:c>
      <x:c r="AP22" t="str">
        <x:v>6a3781e4df5573f4e676e226</x:v>
      </x:c>
      <x:c r="AQ22" t="str">
        <x:v>spice</x:v>
      </x:c>
      <x:c r="AR22" t="str">
        <x:v>EDIBLE</x:v>
      </x:c>
      <x:c r="AS22" t="str">
        <x:v>بله</x:v>
      </x:c>
      <x:c r="AT22" t="str">
        <x:v>OK</x:v>
      </x:c>
      <x:c r="AU22"/>
    </x:row>
    <x:row r="23">
      <x:c r="A23" s="79" t="n">
        <x:v>25</x:v>
      </x:c>
      <x:c r="B23" s="79" t="str">
        <x:v>NS-0022-1</x:v>
      </x:c>
      <x:c r="C23" s="79" t="str">
        <x:v>ادویه ماهی</x:v>
      </x:c>
      <x:c r="D23" s="79" t="str">
        <x:v>spice_fish</x:v>
      </x:c>
      <x:c r="E23" s="79" t="str">
        <x:v>update</x:v>
      </x:c>
      <x:c r="F23" s="79" t="str">
        <x:v>بله</x:v>
      </x:c>
      <x:c r="G23" s="79" t="str">
        <x:v>ادویه و چاشنی</x:v>
      </x:c>
      <x:c r="H23" s="79" t="str">
        <x:v>ادویه</x:v>
      </x:c>
      <x:c r="I23" s="79" t="str">
        <x:v>6a3781e4df5573f4e676e226</x:v>
      </x:c>
      <x:c r="J23" s="79" t="str">
        <x:v>spice</x:v>
      </x:c>
      <x:c r="K23" s="79"/>
      <x:c r="L23" s="79" t="str">
        <x:v>EDIBLE</x:v>
      </x:c>
      <x:c r="M23" s="79" t="str">
        <x:v>بله</x:v>
      </x:c>
      <x:c r="N23" s="79" t="str">
        <x:v>خوراکی</x:v>
      </x:c>
      <x:c r="O23" s="79" t="str">
        <x:v>خیر</x:v>
      </x:c>
      <x:c r="P23" s="79" t="n">
        <x:v>1</x:v>
      </x:c>
      <x:c r="Q23" s="79" t="str">
        <x:v>کیلو</x:v>
      </x:c>
      <x:c r="R23" s="79" t="n">
        <x:v>900</x:v>
      </x:c>
      <x:c r="S23" s="104" t="n">
        <x:v>900000</x:v>
      </x:c>
      <x:c r="T23" s="79" t="n">
        <x:v>1</x:v>
      </x:c>
      <x:c r="U23" s="79" t="str">
        <x:v>kg</x:v>
      </x:c>
      <x:c r="V23" s="79" t="str">
        <x:v>کیلو</x:v>
      </x:c>
      <x:c r="W23" s="99" t="b">
        <x:v>1</x:v>
      </x:c>
      <x:c r="X23" s="79" t="str"/>
      <x:c r="Y23" s="79"/>
      <x:c r="Z23" s="104"/>
      <x:c r="AA23" s="79" t="str"/>
      <x:c r="AB23" s="79" t="str"/>
      <x:c r="AC23" s="79" t="str"/>
      <x:c r="AD23" s="79" t="str"/>
      <x:c r="AE23" s="79" t="str">
        <x:v>فعال</x:v>
      </x:c>
      <x:c r="AF23" s="79" t="str">
        <x:v>دسته‌بندی نهایی</x:v>
      </x:c>
      <x:c r="AG23" s="79" t="str">
        <x:v>OK</x:v>
      </x:c>
      <x:c r="AH23" s="79" t="str">
        <x:v>[{"name": "کیلو", "sku": "", "price": 900000, "stock": "", "weight": 1, "weightUnit": "kg", "containerSize": "کیلو", "isDefault": true}]</x:v>
      </x:c>
      <x:c r="AI23" s="79"/>
      <x:c r="AJ23" s="79"/>
      <x:c r="AK23" s="79"/>
      <x:c r="AL23" t="str">
        <x:v>ادویه ماهی</x:v>
      </x:c>
      <x:c r="AM23" t="str">
        <x:v>single_25</x:v>
      </x:c>
      <x:c r="AN23" t="str">
        <x:v>canonical_group_row</x:v>
      </x:c>
      <x:c r="AO23" t="str">
        <x:v>ادویه</x:v>
      </x:c>
      <x:c r="AP23" t="str">
        <x:v>6a3781e4df5573f4e676e226</x:v>
      </x:c>
      <x:c r="AQ23" t="str">
        <x:v>spice</x:v>
      </x:c>
      <x:c r="AR23" t="str">
        <x:v>EDIBLE</x:v>
      </x:c>
      <x:c r="AS23" t="str">
        <x:v>بله</x:v>
      </x:c>
      <x:c r="AT23" t="str">
        <x:v>OK</x:v>
      </x:c>
      <x:c r="AU23"/>
    </x:row>
    <x:row r="24">
      <x:c r="A24" s="79" t="n">
        <x:v>26</x:v>
      </x:c>
      <x:c r="B24" s="79" t="str">
        <x:v>NS-0023-1</x:v>
      </x:c>
      <x:c r="C24" s="79" t="str">
        <x:v>ادویه مرغ</x:v>
      </x:c>
      <x:c r="D24" s="79" t="str">
        <x:v>spice_chicken</x:v>
      </x:c>
      <x:c r="E24" s="79" t="str">
        <x:v>update</x:v>
      </x:c>
      <x:c r="F24" s="79" t="str">
        <x:v>بله</x:v>
      </x:c>
      <x:c r="G24" s="79" t="str">
        <x:v>ادویه و چاشنی</x:v>
      </x:c>
      <x:c r="H24" s="79" t="str">
        <x:v>ادویه</x:v>
      </x:c>
      <x:c r="I24" s="79" t="str">
        <x:v>6a3781e4df5573f4e676e226</x:v>
      </x:c>
      <x:c r="J24" s="79" t="str">
        <x:v>spice</x:v>
      </x:c>
      <x:c r="K24" s="79"/>
      <x:c r="L24" s="79" t="str">
        <x:v>EDIBLE</x:v>
      </x:c>
      <x:c r="M24" s="79" t="str">
        <x:v>بله</x:v>
      </x:c>
      <x:c r="N24" s="79" t="str">
        <x:v>خوراکی</x:v>
      </x:c>
      <x:c r="O24" s="79" t="str">
        <x:v>خیر</x:v>
      </x:c>
      <x:c r="P24" s="79" t="n">
        <x:v>1</x:v>
      </x:c>
      <x:c r="Q24" s="79" t="str">
        <x:v>کیلو</x:v>
      </x:c>
      <x:c r="R24" s="79" t="n">
        <x:v>950</x:v>
      </x:c>
      <x:c r="S24" s="104" t="n">
        <x:v>950000</x:v>
      </x:c>
      <x:c r="T24" s="79" t="n">
        <x:v>1</x:v>
      </x:c>
      <x:c r="U24" s="79" t="str">
        <x:v>kg</x:v>
      </x:c>
      <x:c r="V24" s="79" t="str">
        <x:v>کیلو</x:v>
      </x:c>
      <x:c r="W24" s="99" t="b">
        <x:v>1</x:v>
      </x:c>
      <x:c r="X24" s="79" t="str"/>
      <x:c r="Y24" s="79"/>
      <x:c r="Z24" s="104"/>
      <x:c r="AA24" s="79" t="str"/>
      <x:c r="AB24" s="79" t="str"/>
      <x:c r="AC24" s="79" t="str"/>
      <x:c r="AD24" s="79" t="str"/>
      <x:c r="AE24" s="79" t="str">
        <x:v>فعال</x:v>
      </x:c>
      <x:c r="AF24" s="79" t="str">
        <x:v>دسته‌بندی نهایی</x:v>
      </x:c>
      <x:c r="AG24" s="79" t="str">
        <x:v>OK</x:v>
      </x:c>
      <x:c r="AH24" s="79" t="str">
        <x:v>[{"name": "کیلو", "sku": "", "price": 950000, "stock": "", "weight": 1, "weightUnit": "kg", "containerSize": "کیلو", "isDefault": true}]</x:v>
      </x:c>
      <x:c r="AI24" s="79"/>
      <x:c r="AJ24" s="79"/>
      <x:c r="AK24" s="79"/>
      <x:c r="AL24" t="str">
        <x:v>ادویه مرغ</x:v>
      </x:c>
      <x:c r="AM24" t="str">
        <x:v>single_26</x:v>
      </x:c>
      <x:c r="AN24" t="str">
        <x:v>canonical_group_row</x:v>
      </x:c>
      <x:c r="AO24" t="str">
        <x:v>ادویه</x:v>
      </x:c>
      <x:c r="AP24" t="str">
        <x:v>6a3781e4df5573f4e676e226</x:v>
      </x:c>
      <x:c r="AQ24" t="str">
        <x:v>spice</x:v>
      </x:c>
      <x:c r="AR24" t="str">
        <x:v>EDIBLE</x:v>
      </x:c>
      <x:c r="AS24" t="str">
        <x:v>بله</x:v>
      </x:c>
      <x:c r="AT24" t="str">
        <x:v>OK</x:v>
      </x:c>
      <x:c r="AU24"/>
    </x:row>
    <x:row r="25">
      <x:c r="A25" s="79" t="n">
        <x:v>27</x:v>
      </x:c>
      <x:c r="B25" s="79" t="str">
        <x:v>NS-0024-1</x:v>
      </x:c>
      <x:c r="C25" s="79" t="str">
        <x:v>ارده</x:v>
      </x:c>
      <x:c r="D25" s="79" t="str">
        <x:v>tahini</x:v>
      </x:c>
      <x:c r="E25" s="79" t="str">
        <x:v>update</x:v>
      </x:c>
      <x:c r="F25" s="79" t="str">
        <x:v>بله</x:v>
      </x:c>
      <x:c r="G25" s="79" t="str">
        <x:v>قنادی و شیرینی</x:v>
      </x:c>
      <x:c r="H25" s="79" t="str">
        <x:v>قنادی و شیرینی</x:v>
      </x:c>
      <x:c r="I25" s="79" t="str">
        <x:v>6a3a00000000000000000003</x:v>
      </x:c>
      <x:c r="J25" s="79" t="str">
        <x:v>confectionery</x:v>
      </x:c>
      <x:c r="K25" s="79"/>
      <x:c r="L25" s="79" t="str">
        <x:v>EDIBLE</x:v>
      </x:c>
      <x:c r="M25" s="79" t="str">
        <x:v>بله</x:v>
      </x:c>
      <x:c r="N25" s="79" t="str">
        <x:v>خوراکی</x:v>
      </x:c>
      <x:c r="O25" s="79" t="str">
        <x:v>خیر</x:v>
      </x:c>
      <x:c r="P25" s="79" t="n">
        <x:v>1</x:v>
      </x:c>
      <x:c r="Q25" s="79" t="str">
        <x:v>کیلو</x:v>
      </x:c>
      <x:c r="R25" s="79" t="n">
        <x:v>710</x:v>
      </x:c>
      <x:c r="S25" s="104" t="n">
        <x:v>710000</x:v>
      </x:c>
      <x:c r="T25" s="79" t="n">
        <x:v>1</x:v>
      </x:c>
      <x:c r="U25" s="79" t="str">
        <x:v>kg</x:v>
      </x:c>
      <x:c r="V25" s="79" t="str">
        <x:v>کیلو</x:v>
      </x:c>
      <x:c r="W25" s="99" t="b">
        <x:v>1</x:v>
      </x:c>
      <x:c r="X25" s="79" t="str"/>
      <x:c r="Y25" s="79"/>
      <x:c r="Z25" s="104"/>
      <x:c r="AA25" s="79" t="str"/>
      <x:c r="AB25" s="79" t="str"/>
      <x:c r="AC25" s="79" t="str"/>
      <x:c r="AD25" s="79" t="str"/>
      <x:c r="AE25" s="79" t="str">
        <x:v>فعال</x:v>
      </x:c>
      <x:c r="AF25" s="79" t="str">
        <x:v>دسته‌بندی نهایی</x:v>
      </x:c>
      <x:c r="AG25" s="79" t="str">
        <x:v>OK</x:v>
      </x:c>
      <x:c r="AH25" s="79" t="str">
        <x:v>[{"name": "کیلو", "sku": "", "price": 710000, "stock": "", "weight": 1, "weightUnit": "kg", "containerSize": "کیلو", "isDefault": true}]</x:v>
      </x:c>
      <x:c r="AI25" s="79"/>
      <x:c r="AJ25" s="79"/>
      <x:c r="AK25" s="79"/>
      <x:c r="AL25" t="str">
        <x:v>ارده</x:v>
      </x:c>
      <x:c r="AM25" t="str">
        <x:v>single_27</x:v>
      </x:c>
      <x:c r="AN25" t="str">
        <x:v>canonical_group_row</x:v>
      </x:c>
      <x:c r="AO25" t="str">
        <x:v>قنادی و شیرینی</x:v>
      </x:c>
      <x:c r="AP25" t="str">
        <x:v>6a3a00000000000000000003</x:v>
      </x:c>
      <x:c r="AQ25" t="str">
        <x:v>confectionery</x:v>
      </x:c>
      <x:c r="AR25" t="str">
        <x:v>EDIBLE</x:v>
      </x:c>
      <x:c r="AS25" t="str">
        <x:v>بله</x:v>
      </x:c>
      <x:c r="AT25" t="str">
        <x:v>OK</x:v>
      </x:c>
      <x:c r="AU25"/>
    </x:row>
    <x:row r="26">
      <x:c r="A26" s="79" t="n">
        <x:v>28</x:v>
      </x:c>
      <x:c r="B26" s="79" t="str">
        <x:v>NS-0025-1</x:v>
      </x:c>
      <x:c r="C26" s="79" t="str">
        <x:v>اسپند پودر</x:v>
      </x:c>
      <x:c r="D26" s="79" t="str">
        <x:v>espand_powder</x:v>
      </x:c>
      <x:c r="E26" s="79" t="str">
        <x:v>update</x:v>
      </x:c>
      <x:c r="F26" s="79" t="str">
        <x:v>بله</x:v>
      </x:c>
      <x:c r="G26" s="79" t="str">
        <x:v>گیاهان دارویی</x:v>
      </x:c>
      <x:c r="H26" s="79" t="str">
        <x:v>گیاهان دارویی</x:v>
      </x:c>
      <x:c r="I26" s="79" t="str">
        <x:v>6a3782d7df5573f4e676e243</x:v>
      </x:c>
      <x:c r="J26" s="79" t="str">
        <x:v>medicinal-plants</x:v>
      </x:c>
      <x:c r="K26" s="79"/>
      <x:c r="L26" s="79" t="str">
        <x:v>EDIBLE</x:v>
      </x:c>
      <x:c r="M26" s="79" t="str">
        <x:v>بله</x:v>
      </x:c>
      <x:c r="N26" s="79" t="str">
        <x:v>خوراکی</x:v>
      </x:c>
      <x:c r="O26" s="79" t="str">
        <x:v>خیر</x:v>
      </x:c>
      <x:c r="P26" s="79" t="n">
        <x:v>1</x:v>
      </x:c>
      <x:c r="Q26" s="79" t="str">
        <x:v>کیلو</x:v>
      </x:c>
      <x:c r="R26" s="79" t="n">
        <x:v>140</x:v>
      </x:c>
      <x:c r="S26" s="104" t="n">
        <x:v>140000</x:v>
      </x:c>
      <x:c r="T26" s="79" t="n">
        <x:v>1</x:v>
      </x:c>
      <x:c r="U26" s="79" t="str">
        <x:v>kg</x:v>
      </x:c>
      <x:c r="V26" s="79" t="str">
        <x:v>کیلو</x:v>
      </x:c>
      <x:c r="W26" s="99" t="b">
        <x:v>1</x:v>
      </x:c>
      <x:c r="X26" s="79" t="str"/>
      <x:c r="Y26" s="79"/>
      <x:c r="Z26" s="104"/>
      <x:c r="AA26" s="79" t="str"/>
      <x:c r="AB26" s="79" t="str"/>
      <x:c r="AC26" s="79" t="str"/>
      <x:c r="AD26" s="79" t="str"/>
      <x:c r="AE26" s="79" t="str">
        <x:v>فعال</x:v>
      </x:c>
      <x:c r="AF26" s="79" t="str">
        <x:v>دسته‌بندی نهایی</x:v>
      </x:c>
      <x:c r="AG26" s="79" t="str">
        <x:v>OK</x:v>
      </x:c>
      <x:c r="AH26" s="79" t="str">
        <x:v>[{"name": "کیلو", "sku": "", "price": 140000, "stock": "", "weight": 1, "weightUnit": "kg", "containerSize": "کیلو", "isDefault": true}]</x:v>
      </x:c>
      <x:c r="AI26" s="79"/>
      <x:c r="AJ26" s="79"/>
      <x:c r="AK26" s="79"/>
      <x:c r="AL26" t="str">
        <x:v>اسپند پودر</x:v>
      </x:c>
      <x:c r="AM26" t="str">
        <x:v>single_28</x:v>
      </x:c>
      <x:c r="AN26" t="str">
        <x:v>canonical_group_row</x:v>
      </x:c>
      <x:c r="AO26" t="str">
        <x:v>گیاهان دارویی</x:v>
      </x:c>
      <x:c r="AP26" t="str">
        <x:v>6a3782d7df5573f4e676e243</x:v>
      </x:c>
      <x:c r="AQ26" t="str">
        <x:v>medicinal-plants</x:v>
      </x:c>
      <x:c r="AR26" t="str">
        <x:v>EDIBLE</x:v>
      </x:c>
      <x:c r="AS26" t="str">
        <x:v>بله</x:v>
      </x:c>
      <x:c r="AT26" t="str">
        <x:v>OK</x:v>
      </x:c>
      <x:c r="AU26"/>
    </x:row>
    <x:row r="27">
      <x:c r="A27" s="79" t="n">
        <x:v>29</x:v>
      </x:c>
      <x:c r="B27" s="79" t="str">
        <x:v>NS-0026-1</x:v>
      </x:c>
      <x:c r="C27" s="79" t="str">
        <x:v>اسپند تخم</x:v>
      </x:c>
      <x:c r="D27" s="79" t="str">
        <x:v>espand_seed</x:v>
      </x:c>
      <x:c r="E27" s="79" t="str">
        <x:v>update</x:v>
      </x:c>
      <x:c r="F27" s="79" t="str">
        <x:v>بله</x:v>
      </x:c>
      <x:c r="G27" s="79" t="str">
        <x:v>گیاهان دارویی</x:v>
      </x:c>
      <x:c r="H27" s="79" t="str">
        <x:v>خشکبار و آجیل</x:v>
      </x:c>
      <x:c r="I27" s="79" t="str">
        <x:v>6a37810ddf5573f4e676e201</x:v>
      </x:c>
      <x:c r="J27" s="79" t="str">
        <x:v>dried-fruits-nuts</x:v>
      </x:c>
      <x:c r="K27" s="79"/>
      <x:c r="L27" s="79" t="str">
        <x:v>EDIBLE</x:v>
      </x:c>
      <x:c r="M27" s="79" t="str">
        <x:v>بله</x:v>
      </x:c>
      <x:c r="N27" s="79" t="str">
        <x:v>خوراکی</x:v>
      </x:c>
      <x:c r="O27" s="79" t="str">
        <x:v>خیر</x:v>
      </x:c>
      <x:c r="P27" s="79" t="n">
        <x:v>1</x:v>
      </x:c>
      <x:c r="Q27" s="79" t="str">
        <x:v>کیلو</x:v>
      </x:c>
      <x:c r="R27" s="79" t="n">
        <x:v>200</x:v>
      </x:c>
      <x:c r="S27" s="104" t="n">
        <x:v>200000</x:v>
      </x:c>
      <x:c r="T27" s="79" t="n">
        <x:v>1</x:v>
      </x:c>
      <x:c r="U27" s="79" t="str">
        <x:v>kg</x:v>
      </x:c>
      <x:c r="V27" s="79" t="str">
        <x:v>کیلو</x:v>
      </x:c>
      <x:c r="W27" s="99" t="b">
        <x:v>1</x:v>
      </x:c>
      <x:c r="X27" s="79" t="str"/>
      <x:c r="Y27" s="79"/>
      <x:c r="Z27" s="104"/>
      <x:c r="AA27" s="79" t="str"/>
      <x:c r="AB27" s="79" t="str"/>
      <x:c r="AC27" s="79" t="str"/>
      <x:c r="AD27" s="79" t="str"/>
      <x:c r="AE27" s="79" t="str">
        <x:v>فعال</x:v>
      </x:c>
      <x:c r="AF27" s="79" t="str">
        <x:v>دسته‌بندی نهایی؛ اصلاح‌شده</x:v>
      </x:c>
      <x:c r="AG27" s="79" t="str">
        <x:v>OK</x:v>
      </x:c>
      <x:c r="AH27" s="79" t="str">
        <x:v>[{"name": "کیلو", "sku": "", "price": 200000, "stock": "", "weight": 1, "weightUnit": "kg", "containerSize": "کیلو", "isDefault": true}]</x:v>
      </x:c>
      <x:c r="AI27" s="79"/>
      <x:c r="AJ27" s="79"/>
      <x:c r="AK27" s="79"/>
      <x:c r="AL27" t="str">
        <x:v>اسپند تخم</x:v>
      </x:c>
      <x:c r="AM27" t="str">
        <x:v>single_29</x:v>
      </x:c>
      <x:c r="AN27" t="str">
        <x:v>canonical_group_row</x:v>
      </x:c>
      <x:c r="AO27" t="str">
        <x:v>خشکبار و آجیل</x:v>
      </x:c>
      <x:c r="AP27" t="str">
        <x:v>6a37810ddf5573f4e676e201</x:v>
      </x:c>
      <x:c r="AQ27" t="str">
        <x:v>dried-fruits-nuts</x:v>
      </x:c>
      <x:c r="AR27" t="str">
        <x:v>EDIBLE</x:v>
      </x:c>
      <x:c r="AS27" t="str">
        <x:v>بله</x:v>
      </x:c>
      <x:c r="AT27" t="str">
        <x:v>OK</x:v>
      </x:c>
      <x:c r="AU27"/>
    </x:row>
    <x:row r="28">
      <x:c r="A28" s="79" t="n">
        <x:v>30</x:v>
      </x:c>
      <x:c r="B28" s="79" t="str">
        <x:v>NS-0027-1</x:v>
      </x:c>
      <x:c r="C28" s="79" t="str">
        <x:v>اسپند نخودی</x:v>
      </x:c>
      <x:c r="D28" s="79" t="str">
        <x:v>espand_chickpea</x:v>
      </x:c>
      <x:c r="E28" s="79" t="str">
        <x:v>update</x:v>
      </x:c>
      <x:c r="F28" s="79" t="str">
        <x:v>بله</x:v>
      </x:c>
      <x:c r="G28" s="79" t="str">
        <x:v>حبوبات و غلات</x:v>
      </x:c>
      <x:c r="H28" s="79" t="str">
        <x:v>حبوبات و غلات</x:v>
      </x:c>
      <x:c r="I28" s="79" t="str">
        <x:v>6a3a00000000000000000002</x:v>
      </x:c>
      <x:c r="J28" s="79" t="str">
        <x:v>legumes-grains</x:v>
      </x:c>
      <x:c r="K28" s="79"/>
      <x:c r="L28" s="79" t="str">
        <x:v>EDIBLE</x:v>
      </x:c>
      <x:c r="M28" s="79" t="str">
        <x:v>بله</x:v>
      </x:c>
      <x:c r="N28" s="79" t="str">
        <x:v>خوراکی</x:v>
      </x:c>
      <x:c r="O28" s="79" t="str">
        <x:v>خیر</x:v>
      </x:c>
      <x:c r="P28" s="79" t="n">
        <x:v>1</x:v>
      </x:c>
      <x:c r="Q28" s="79" t="str">
        <x:v>کیلو</x:v>
      </x:c>
      <x:c r="R28" s="79" t="n">
        <x:v>180</x:v>
      </x:c>
      <x:c r="S28" s="104" t="n">
        <x:v>180000</x:v>
      </x:c>
      <x:c r="T28" s="79" t="n">
        <x:v>1</x:v>
      </x:c>
      <x:c r="U28" s="79" t="str">
        <x:v>kg</x:v>
      </x:c>
      <x:c r="V28" s="79" t="str">
        <x:v>کیلو</x:v>
      </x:c>
      <x:c r="W28" s="99" t="b">
        <x:v>1</x:v>
      </x:c>
      <x:c r="X28" s="79" t="str"/>
      <x:c r="Y28" s="79"/>
      <x:c r="Z28" s="104"/>
      <x:c r="AA28" s="79" t="str"/>
      <x:c r="AB28" s="79" t="str"/>
      <x:c r="AC28" s="79" t="str"/>
      <x:c r="AD28" s="79" t="str"/>
      <x:c r="AE28" s="79" t="str">
        <x:v>فعال</x:v>
      </x:c>
      <x:c r="AF28" s="79" t="str">
        <x:v>دسته‌بندی نهایی</x:v>
      </x:c>
      <x:c r="AG28" s="79" t="str">
        <x:v>OK</x:v>
      </x:c>
      <x:c r="AH28" s="79" t="str">
        <x:v>[{"name": "کیلو", "sku": "", "price": 180000, "stock": "", "weight": 1, "weightUnit": "kg", "containerSize": "کیلو", "isDefault": true}]</x:v>
      </x:c>
      <x:c r="AI28" s="79"/>
      <x:c r="AJ28" s="79"/>
      <x:c r="AK28" s="79"/>
      <x:c r="AL28" t="str">
        <x:v>اسپند نخودی</x:v>
      </x:c>
      <x:c r="AM28" t="str">
        <x:v>single_30</x:v>
      </x:c>
      <x:c r="AN28" t="str">
        <x:v>canonical_group_row</x:v>
      </x:c>
      <x:c r="AO28" t="str">
        <x:v>حبوبات و غلات</x:v>
      </x:c>
      <x:c r="AP28" t="str">
        <x:v>6a3a00000000000000000002</x:v>
      </x:c>
      <x:c r="AQ28" t="str">
        <x:v>legumes-grains</x:v>
      </x:c>
      <x:c r="AR28" t="str">
        <x:v>EDIBLE</x:v>
      </x:c>
      <x:c r="AS28" t="str">
        <x:v>بله</x:v>
      </x:c>
      <x:c r="AT28" t="str">
        <x:v>OK</x:v>
      </x:c>
      <x:c r="AU28"/>
    </x:row>
    <x:row r="29">
      <x:c r="A29" s="79" t="n">
        <x:v>31</x:v>
      </x:c>
      <x:c r="B29" s="79" t="str">
        <x:v>NS-0028-1</x:v>
      </x:c>
      <x:c r="C29" s="79" t="str">
        <x:v>استویا</x:v>
      </x:c>
      <x:c r="D29" s="79" t="str">
        <x:v>stevia</x:v>
      </x:c>
      <x:c r="E29" s="79" t="str">
        <x:v>update</x:v>
      </x:c>
      <x:c r="F29" s="79" t="str">
        <x:v>بله</x:v>
      </x:c>
      <x:c r="G29" s="79" t="str">
        <x:v>گیاهان دارویی</x:v>
      </x:c>
      <x:c r="H29" s="79" t="str">
        <x:v>گیاهان دارویی</x:v>
      </x:c>
      <x:c r="I29" s="79" t="str">
        <x:v>6a3782d7df5573f4e676e243</x:v>
      </x:c>
      <x:c r="J29" s="79" t="str">
        <x:v>medicinal-plants</x:v>
      </x:c>
      <x:c r="K29" s="79"/>
      <x:c r="L29" s="79" t="str">
        <x:v>EDIBLE</x:v>
      </x:c>
      <x:c r="M29" s="79" t="str">
        <x:v>بله</x:v>
      </x:c>
      <x:c r="N29" s="79" t="str">
        <x:v>خوراکی</x:v>
      </x:c>
      <x:c r="O29" s="79" t="str">
        <x:v>خیر</x:v>
      </x:c>
      <x:c r="P29" s="79" t="n">
        <x:v>1</x:v>
      </x:c>
      <x:c r="Q29" s="79" t="str">
        <x:v>کیلو</x:v>
      </x:c>
      <x:c r="R29" s="79" t="str">
        <x:v>2/400</x:v>
      </x:c>
      <x:c r="S29" s="104" t="n">
        <x:v>2400000</x:v>
      </x:c>
      <x:c r="T29" s="79" t="n">
        <x:v>1</x:v>
      </x:c>
      <x:c r="U29" s="79" t="str">
        <x:v>kg</x:v>
      </x:c>
      <x:c r="V29" s="79" t="str">
        <x:v>کیلو</x:v>
      </x:c>
      <x:c r="W29" s="99" t="b">
        <x:v>1</x:v>
      </x:c>
      <x:c r="X29" s="79" t="str"/>
      <x:c r="Y29" s="79"/>
      <x:c r="Z29" s="104"/>
      <x:c r="AA29" s="79" t="str"/>
      <x:c r="AB29" s="79" t="str"/>
      <x:c r="AC29" s="79" t="str"/>
      <x:c r="AD29" s="79" t="str"/>
      <x:c r="AE29" s="79" t="str">
        <x:v>فعال</x:v>
      </x:c>
      <x:c r="AF29" s="79" t="str">
        <x:v>دسته‌بندی نهایی</x:v>
      </x:c>
      <x:c r="AG29" s="79" t="str">
        <x:v>OK</x:v>
      </x:c>
      <x:c r="AH29" s="79" t="str">
        <x:v>[{"name": "کیلو", "sku": "", "price": 2400000, "stock": "", "weight": 1, "weightUnit": "kg", "containerSize": "کیلو", "isDefault": true}]</x:v>
      </x:c>
      <x:c r="AI29" s="79"/>
      <x:c r="AJ29" s="79"/>
      <x:c r="AK29" s="79"/>
      <x:c r="AL29" t="str">
        <x:v>استویا</x:v>
      </x:c>
      <x:c r="AM29" t="str">
        <x:v>single_31</x:v>
      </x:c>
      <x:c r="AN29" t="str">
        <x:v>canonical_group_row</x:v>
      </x:c>
      <x:c r="AO29" t="str">
        <x:v>گیاهان دارویی</x:v>
      </x:c>
      <x:c r="AP29" t="str">
        <x:v>6a3782d7df5573f4e676e243</x:v>
      </x:c>
      <x:c r="AQ29" t="str">
        <x:v>medicinal-plants</x:v>
      </x:c>
      <x:c r="AR29" t="str">
        <x:v>EDIBLE</x:v>
      </x:c>
      <x:c r="AS29" t="str">
        <x:v>بله</x:v>
      </x:c>
      <x:c r="AT29" t="str">
        <x:v>OK</x:v>
      </x:c>
      <x:c r="AU29"/>
    </x:row>
    <x:row r="30">
      <x:c r="A30" s="79" t="n">
        <x:v>32</x:v>
      </x:c>
      <x:c r="B30" s="79" t="str">
        <x:v>NS-0029-1</x:v>
      </x:c>
      <x:c r="C30" s="79" t="str">
        <x:v>اسطوخودوس</x:v>
      </x:c>
      <x:c r="D30" s="79" t="str">
        <x:v>lavender</x:v>
      </x:c>
      <x:c r="E30" s="79" t="str">
        <x:v>update</x:v>
      </x:c>
      <x:c r="F30" s="79" t="str">
        <x:v>بله</x:v>
      </x:c>
      <x:c r="G30" s="79" t="str">
        <x:v>گیاهان دارویی</x:v>
      </x:c>
      <x:c r="H30" s="79" t="str">
        <x:v>گیاهان دارویی</x:v>
      </x:c>
      <x:c r="I30" s="79" t="str">
        <x:v>6a3782d7df5573f4e676e243</x:v>
      </x:c>
      <x:c r="J30" s="79" t="str">
        <x:v>medicinal-plants</x:v>
      </x:c>
      <x:c r="K30" s="79"/>
      <x:c r="L30" s="79" t="str">
        <x:v>EDIBLE</x:v>
      </x:c>
      <x:c r="M30" s="79" t="str">
        <x:v>بله</x:v>
      </x:c>
      <x:c r="N30" s="79" t="str">
        <x:v>خوراکی</x:v>
      </x:c>
      <x:c r="O30" s="79" t="str">
        <x:v>خیر</x:v>
      </x:c>
      <x:c r="P30" s="79" t="n">
        <x:v>1</x:v>
      </x:c>
      <x:c r="Q30" s="79" t="str">
        <x:v>کیلو</x:v>
      </x:c>
      <x:c r="R30" s="79" t="str">
        <x:v>2/800</x:v>
      </x:c>
      <x:c r="S30" s="104" t="n">
        <x:v>2800000</x:v>
      </x:c>
      <x:c r="T30" s="79" t="n">
        <x:v>1</x:v>
      </x:c>
      <x:c r="U30" s="79" t="str">
        <x:v>kg</x:v>
      </x:c>
      <x:c r="V30" s="79" t="str">
        <x:v>کیلو</x:v>
      </x:c>
      <x:c r="W30" s="99" t="b">
        <x:v>1</x:v>
      </x:c>
      <x:c r="X30" s="79" t="str"/>
      <x:c r="Y30" s="79"/>
      <x:c r="Z30" s="104"/>
      <x:c r="AA30" s="79" t="str"/>
      <x:c r="AB30" s="79" t="str"/>
      <x:c r="AC30" s="79" t="str"/>
      <x:c r="AD30" s="79" t="str"/>
      <x:c r="AE30" s="79" t="str">
        <x:v>فعال</x:v>
      </x:c>
      <x:c r="AF30" s="79" t="str">
        <x:v>دسته‌بندی نهایی</x:v>
      </x:c>
      <x:c r="AG30" s="79" t="str">
        <x:v>OK</x:v>
      </x:c>
      <x:c r="AH30" s="79" t="str">
        <x:v>[{"name": "کیلو", "sku": "", "price": 2800000, "stock": "", "weight": 1, "weightUnit": "kg", "containerSize": "کیلو", "isDefault": true}]</x:v>
      </x:c>
      <x:c r="AI30" s="79"/>
      <x:c r="AJ30" s="79"/>
      <x:c r="AK30" s="79"/>
      <x:c r="AL30" t="str">
        <x:v>اسطوخودوس</x:v>
      </x:c>
      <x:c r="AM30" t="str">
        <x:v>single_32</x:v>
      </x:c>
      <x:c r="AN30" t="str">
        <x:v>canonical_group_row</x:v>
      </x:c>
      <x:c r="AO30" t="str">
        <x:v>گیاهان دارویی</x:v>
      </x:c>
      <x:c r="AP30" t="str">
        <x:v>6a3782d7df5573f4e676e243</x:v>
      </x:c>
      <x:c r="AQ30" t="str">
        <x:v>medicinal-plants</x:v>
      </x:c>
      <x:c r="AR30" t="str">
        <x:v>EDIBLE</x:v>
      </x:c>
      <x:c r="AS30" t="str">
        <x:v>بله</x:v>
      </x:c>
      <x:c r="AT30" t="str">
        <x:v>OK</x:v>
      </x:c>
      <x:c r="AU30"/>
    </x:row>
    <x:row r="31">
      <x:c r="A31" s="79" t="n">
        <x:v>33</x:v>
      </x:c>
      <x:c r="B31" s="79" t="str">
        <x:v>NS-0030-1</x:v>
      </x:c>
      <x:c r="C31" s="79" t="str">
        <x:v>انبه پودر</x:v>
      </x:c>
      <x:c r="D31" s="79" t="str">
        <x:v>mango_powder</x:v>
      </x:c>
      <x:c r="E31" s="79" t="str">
        <x:v>update</x:v>
      </x:c>
      <x:c r="F31" s="79" t="str">
        <x:v>بله</x:v>
      </x:c>
      <x:c r="G31" s="79" t="str">
        <x:v>سایر</x:v>
      </x:c>
      <x:c r="H31" s="79" t="str">
        <x:v>نوشیدنی‌ها</x:v>
      </x:c>
      <x:c r="I31" s="79" t="str">
        <x:v>6a3782ffdf5573f4e676e24b</x:v>
      </x:c>
      <x:c r="J31" s="79" t="str">
        <x:v>syrup</x:v>
      </x:c>
      <x:c r="K31" s="79" t="str">
        <x:v>6a3782d7df5573f4e676e243</x:v>
      </x:c>
      <x:c r="L31" s="79" t="str">
        <x:v>EDIBLE</x:v>
      </x:c>
      <x:c r="M31" s="79" t="str">
        <x:v>بله</x:v>
      </x:c>
      <x:c r="N31" s="79" t="str">
        <x:v>خوراکی</x:v>
      </x:c>
      <x:c r="O31" s="79" t="str">
        <x:v>خیر</x:v>
      </x:c>
      <x:c r="P31" s="79" t="n">
        <x:v>1</x:v>
      </x:c>
      <x:c r="Q31" s="79" t="str">
        <x:v>کیلو</x:v>
      </x:c>
      <x:c r="R31" s="79" t="str">
        <x:v>1/100</x:v>
      </x:c>
      <x:c r="S31" s="104" t="n">
        <x:v>1100000</x:v>
      </x:c>
      <x:c r="T31" s="79" t="n">
        <x:v>1</x:v>
      </x:c>
      <x:c r="U31" s="79" t="str">
        <x:v>kg</x:v>
      </x:c>
      <x:c r="V31" s="79" t="str">
        <x:v>کیلو</x:v>
      </x:c>
      <x:c r="W31" s="99" t="b">
        <x:v>1</x:v>
      </x:c>
      <x:c r="X31" s="79" t="str"/>
      <x:c r="Y31" s="79"/>
      <x:c r="Z31" s="104"/>
      <x:c r="AA31" s="79" t="str"/>
      <x:c r="AB31" s="79" t="str"/>
      <x:c r="AC31" s="79" t="str"/>
      <x:c r="AD31" s="79" t="str"/>
      <x:c r="AE31" s="79" t="str">
        <x:v>فعال</x:v>
      </x:c>
      <x:c r="AF31" s="79" t="str">
        <x:v>نیازمند بررسی دستی</x:v>
      </x:c>
      <x:c r="AG31" s="79" t="str">
        <x:v>دسته از «نیاز به بررسی» به «نوشیدنی‌ها» اصلاح شد</x:v>
      </x:c>
      <x:c r="AH31" s="79" t="str">
        <x:v>[{"name": "کیلو", "sku": "", "price": 1100000, "stock": "", "weight": 1, "weightUnit": "kg", "containerSize": "کیلو", "isDefault": true}]</x:v>
      </x:c>
      <x:c r="AI31" s="79"/>
      <x:c r="AJ31" s="79"/>
      <x:c r="AK31" s="79"/>
      <x:c r="AL31" t="str">
        <x:v>انبه پودر</x:v>
      </x:c>
      <x:c r="AM31" t="str">
        <x:v>single_33</x:v>
      </x:c>
      <x:c r="AN31" t="str">
        <x:v>canonical_group_row</x:v>
      </x:c>
      <x:c r="AO31" t="str">
        <x:v>نوشیدنی‌ها</x:v>
      </x:c>
      <x:c r="AP31" t="str">
        <x:v>6a3782ffdf5573f4e676e24b</x:v>
      </x:c>
      <x:c r="AQ31" t="str">
        <x:v>syrup</x:v>
      </x:c>
      <x:c r="AR31" t="str">
        <x:v>EDIBLE</x:v>
      </x:c>
      <x:c r="AS31" t="str">
        <x:v>بله</x:v>
      </x:c>
      <x:c r="AT31" t="str">
        <x:v>OK</x:v>
      </x:c>
      <x:c r="AU31" t="str">
        <x:v>دسته از «نیاز به بررسی» به «نوشیدنی‌ها» اصلاح شد</x:v>
      </x:c>
    </x:row>
    <x:row r="32">
      <x:c r="A32" s="79" t="n">
        <x:v>34</x:v>
      </x:c>
      <x:c r="B32" s="79" t="str">
        <x:v>NS-0031-1</x:v>
      </x:c>
      <x:c r="C32" s="79" t="str">
        <x:v>انجیر خشک</x:v>
      </x:c>
      <x:c r="D32" s="79" t="str">
        <x:v>dried_fig</x:v>
      </x:c>
      <x:c r="E32" s="79" t="str">
        <x:v>update</x:v>
      </x:c>
      <x:c r="F32" s="79" t="str">
        <x:v>بله</x:v>
      </x:c>
      <x:c r="G32" s="79" t="str">
        <x:v>خشکبار و آجیل</x:v>
      </x:c>
      <x:c r="H32" s="79" t="str">
        <x:v>خشکبار و آجیل</x:v>
      </x:c>
      <x:c r="I32" s="79" t="str">
        <x:v>6a37810ddf5573f4e676e201</x:v>
      </x:c>
      <x:c r="J32" s="79" t="str">
        <x:v>dried-fruits-nuts</x:v>
      </x:c>
      <x:c r="K32" s="79"/>
      <x:c r="L32" s="79" t="str">
        <x:v>EDIBLE</x:v>
      </x:c>
      <x:c r="M32" s="79" t="str">
        <x:v>بله</x:v>
      </x:c>
      <x:c r="N32" s="79" t="str">
        <x:v>خوراکی</x:v>
      </x:c>
      <x:c r="O32" s="79" t="str">
        <x:v>خیر</x:v>
      </x:c>
      <x:c r="P32" s="79" t="n">
        <x:v>1</x:v>
      </x:c>
      <x:c r="Q32" s="79" t="str">
        <x:v>کیلو</x:v>
      </x:c>
      <x:c r="R32" s="79" t="n">
        <x:v>400</x:v>
      </x:c>
      <x:c r="S32" s="104" t="n">
        <x:v>400000</x:v>
      </x:c>
      <x:c r="T32" s="79" t="n">
        <x:v>1</x:v>
      </x:c>
      <x:c r="U32" s="79" t="str">
        <x:v>kg</x:v>
      </x:c>
      <x:c r="V32" s="79" t="str">
        <x:v>کیلو</x:v>
      </x:c>
      <x:c r="W32" s="99" t="b">
        <x:v>1</x:v>
      </x:c>
      <x:c r="X32" s="79" t="str"/>
      <x:c r="Y32" s="79"/>
      <x:c r="Z32" s="104"/>
      <x:c r="AA32" s="79" t="str"/>
      <x:c r="AB32" s="79" t="str"/>
      <x:c r="AC32" s="79" t="str"/>
      <x:c r="AD32" s="79" t="str"/>
      <x:c r="AE32" s="79" t="str">
        <x:v>فعال</x:v>
      </x:c>
      <x:c r="AF32" s="79" t="str">
        <x:v>دسته‌بندی نهایی</x:v>
      </x:c>
      <x:c r="AG32" s="79" t="str">
        <x:v>OK</x:v>
      </x:c>
      <x:c r="AH32" s="79" t="str">
        <x:v>[{"name": "کیلو", "sku": "", "price": 400000, "stock": "", "weight": 1, "weightUnit": "kg", "containerSize": "کیلو", "isDefault": true}]</x:v>
      </x:c>
      <x:c r="AI32" s="79"/>
      <x:c r="AJ32" s="79"/>
      <x:c r="AK32" s="79"/>
      <x:c r="AL32" t="str">
        <x:v>انجیر خشک</x:v>
      </x:c>
      <x:c r="AM32" t="str">
        <x:v>single_34</x:v>
      </x:c>
      <x:c r="AN32" t="str">
        <x:v>canonical_group_row</x:v>
      </x:c>
      <x:c r="AO32" t="str">
        <x:v>خشکبار و آجیل</x:v>
      </x:c>
      <x:c r="AP32" t="str">
        <x:v>6a37810ddf5573f4e676e201</x:v>
      </x:c>
      <x:c r="AQ32" t="str">
        <x:v>dried-fruits-nuts</x:v>
      </x:c>
      <x:c r="AR32" t="str">
        <x:v>EDIBLE</x:v>
      </x:c>
      <x:c r="AS32" t="str">
        <x:v>بله</x:v>
      </x:c>
      <x:c r="AT32" t="str">
        <x:v>OK</x:v>
      </x:c>
      <x:c r="AU32"/>
    </x:row>
    <x:row r="33">
      <x:c r="A33" s="79" t="n">
        <x:v>35</x:v>
      </x:c>
      <x:c r="B33" s="79" t="str">
        <x:v>NS-0032-1</x:v>
      </x:c>
      <x:c r="C33" s="79" t="str">
        <x:v>آب زرشک</x:v>
      </x:c>
      <x:c r="D33" s="79" t="str">
        <x:v>barberry_juice</x:v>
      </x:c>
      <x:c r="E33" s="79" t="str">
        <x:v>update</x:v>
      </x:c>
      <x:c r="F33" s="79" t="str">
        <x:v>بله</x:v>
      </x:c>
      <x:c r="G33" s="79" t="str">
        <x:v>نوشیدنی و عرقیات</x:v>
      </x:c>
      <x:c r="H33" s="79" t="str">
        <x:v>نوشیدنی‌ها</x:v>
      </x:c>
      <x:c r="I33" s="79" t="str">
        <x:v>6a3782ffdf5573f4e676e24b</x:v>
      </x:c>
      <x:c r="J33" s="79" t="str">
        <x:v>syrup</x:v>
      </x:c>
      <x:c r="K33" s="79" t="str">
        <x:v>6a3782d7df5573f4e676e243</x:v>
      </x:c>
      <x:c r="L33" s="79" t="str">
        <x:v>EDIBLE</x:v>
      </x:c>
      <x:c r="M33" s="79" t="str">
        <x:v>بله</x:v>
      </x:c>
      <x:c r="N33" s="79" t="str">
        <x:v>خوراکی</x:v>
      </x:c>
      <x:c r="O33" s="79" t="str">
        <x:v>خیر</x:v>
      </x:c>
      <x:c r="P33" s="79" t="n">
        <x:v>1</x:v>
      </x:c>
      <x:c r="Q33" s="79" t="str">
        <x:v>کیلو</x:v>
      </x:c>
      <x:c r="R33" s="79" t="str">
        <x:v>؟</x:v>
      </x:c>
      <x:c r="S33" s="104"/>
      <x:c r="T33" s="79" t="n">
        <x:v>1</x:v>
      </x:c>
      <x:c r="U33" s="79" t="str">
        <x:v>kg</x:v>
      </x:c>
      <x:c r="V33" s="79" t="str">
        <x:v>کیلو</x:v>
      </x:c>
      <x:c r="W33" s="99" t="b">
        <x:v>1</x:v>
      </x:c>
      <x:c r="X33" s="79" t="str"/>
      <x:c r="Y33" s="79"/>
      <x:c r="Z33" s="104"/>
      <x:c r="AA33" s="79" t="str"/>
      <x:c r="AB33" s="79" t="str"/>
      <x:c r="AC33" s="79" t="str"/>
      <x:c r="AD33" s="79" t="str"/>
      <x:c r="AE33" s="79" t="str">
        <x:v>نیاز به استعلام</x:v>
      </x:c>
      <x:c r="AF33" s="79" t="str">
        <x:v>دسته‌بندی نهایی</x:v>
      </x:c>
      <x:c r="AG33" s="79" t="str">
        <x:v>یک یا چند قیمت نامشخص است</x:v>
      </x:c>
      <x:c r="AH33" s="79" t="str">
        <x:v>[{"name": "کیلو", "sku": "", "price": null, "stock": "", "weight": 1, "weightUnit": "kg", "containerSize": "کیلو", "isDefault": true}]</x:v>
      </x:c>
      <x:c r="AI33" s="79"/>
      <x:c r="AJ33" s="79"/>
      <x:c r="AK33" s="79"/>
      <x:c r="AL33" t="str">
        <x:v>آب زرشک</x:v>
      </x:c>
      <x:c r="AM33" t="str">
        <x:v>single_35</x:v>
      </x:c>
      <x:c r="AN33" t="str">
        <x:v>canonical_group_row</x:v>
      </x:c>
      <x:c r="AO33" t="str">
        <x:v>نوشیدنی‌ها</x:v>
      </x:c>
      <x:c r="AP33" t="str">
        <x:v>6a3782ffdf5573f4e676e24b</x:v>
      </x:c>
      <x:c r="AQ33" t="str">
        <x:v>syrup</x:v>
      </x:c>
      <x:c r="AR33" t="str">
        <x:v>EDIBLE</x:v>
      </x:c>
      <x:c r="AS33" t="str">
        <x:v>بله</x:v>
      </x:c>
      <x:c r="AT33" t="str">
        <x:v>MISSING_PRICE_REVIEW</x:v>
      </x:c>
      <x:c r="AU33" t="str">
        <x:v>یک یا چند قیمت نامشخص است</x:v>
      </x:c>
    </x:row>
    <x:row r="34">
      <x:c r="A34" s="79" t="n">
        <x:v>36</x:v>
      </x:c>
      <x:c r="B34" s="79" t="str">
        <x:v>NS-0033-1</x:v>
      </x:c>
      <x:c r="C34" s="79" t="str">
        <x:v>آبغوره</x:v>
      </x:c>
      <x:c r="D34" s="79" t="str">
        <x:v>sour_grape_juice_half_liter</x:v>
      </x:c>
      <x:c r="E34" s="79" t="str">
        <x:v>update</x:v>
      </x:c>
      <x:c r="F34" s="79" t="str">
        <x:v>بله</x:v>
      </x:c>
      <x:c r="G34" s="79" t="str">
        <x:v>نوشیدنی و عرقیات</x:v>
      </x:c>
      <x:c r="H34" s="79" t="str">
        <x:v>نوشیدنی‌ها</x:v>
      </x:c>
      <x:c r="I34" s="79" t="str">
        <x:v>6a3782ffdf5573f4e676e24b</x:v>
      </x:c>
      <x:c r="J34" s="79" t="str">
        <x:v>syrup</x:v>
      </x:c>
      <x:c r="K34" s="79" t="str">
        <x:v>6a3782d7df5573f4e676e243</x:v>
      </x:c>
      <x:c r="L34" s="79" t="str">
        <x:v>EDIBLE</x:v>
      </x:c>
      <x:c r="M34" s="79" t="str">
        <x:v>بله</x:v>
      </x:c>
      <x:c r="N34" s="79" t="str">
        <x:v>خوراکی</x:v>
      </x:c>
      <x:c r="O34" s="79" t="str">
        <x:v>بله</x:v>
      </x:c>
      <x:c r="P34" s="79" t="n">
        <x:v>2</x:v>
      </x:c>
      <x:c r="Q34" s="79" t="str">
        <x:v>نیم لیتر</x:v>
      </x:c>
      <x:c r="R34" s="79" t="n">
        <x:v>110</x:v>
      </x:c>
      <x:c r="S34" s="104" t="n">
        <x:v>110000</x:v>
      </x:c>
      <x:c r="T34" s="79" t="n">
        <x:v>500</x:v>
      </x:c>
      <x:c r="U34" s="79" t="str">
        <x:v>ml</x:v>
      </x:c>
      <x:c r="V34" s="79" t="str">
        <x:v>نیم لیتر</x:v>
      </x:c>
      <x:c r="W34" s="99" t="b">
        <x:v>1</x:v>
      </x:c>
      <x:c r="X34" s="79" t="str">
        <x:v>1 لیتر</x:v>
      </x:c>
      <x:c r="Y34" s="79" t="n">
        <x:v>210</x:v>
      </x:c>
      <x:c r="Z34" s="104" t="n">
        <x:v>210000</x:v>
      </x:c>
      <x:c r="AA34" s="79" t="n">
        <x:v>1000</x:v>
      </x:c>
      <x:c r="AB34" s="79" t="str">
        <x:v>ml</x:v>
      </x:c>
      <x:c r="AC34" s="79" t="str">
        <x:v>1 لیتر</x:v>
      </x:c>
      <x:c r="AD34" s="99" t="b">
        <x:v>0</x:v>
      </x:c>
      <x:c r="AE34" s="79" t="str">
        <x:v>فعال</x:v>
      </x:c>
      <x:c r="AF34" s="79" t="str">
        <x:v>دسته‌بندی نهایی</x:v>
      </x:c>
      <x:c r="AG34" s="79" t="str">
        <x:v>OK</x:v>
      </x:c>
      <x:c r="AH34" s="79" t="str">
        <x:v>[{"name": "نیم لیتر", "sku": "", "price": 110000, "stock": "", "weight": 500, "weightUnit": "ml", "containerSize": "نیم لیتر", "isDefault": true}, {"name": "1 لیتر", "sku": "", "price": 210000, "stock": "", "weight": 1000, "weightUnit": "ml", "containerSize": "1 لیتر", "isDefault": false}]</x:v>
      </x:c>
      <x:c r="AI34" s="79"/>
      <x:c r="AJ34" s="79"/>
      <x:c r="AK34" s="79"/>
      <x:c r="AL34" t="str">
        <x:v>آبغوره</x:v>
      </x:c>
      <x:c r="AM34" t="str">
        <x:v>single_36</x:v>
      </x:c>
      <x:c r="AN34" t="str">
        <x:v>canonical_group_row</x:v>
      </x:c>
      <x:c r="AO34" t="str">
        <x:v>نوشیدنی‌ها</x:v>
      </x:c>
      <x:c r="AP34" t="str">
        <x:v>6a3782ffdf5573f4e676e24b</x:v>
      </x:c>
      <x:c r="AQ34" t="str">
        <x:v>syrup</x:v>
      </x:c>
      <x:c r="AR34" t="str">
        <x:v>EDIBLE</x:v>
      </x:c>
      <x:c r="AS34" t="str">
        <x:v>بله</x:v>
      </x:c>
      <x:c r="AT34" t="str">
        <x:v>OK</x:v>
      </x:c>
      <x:c r="AU34"/>
    </x:row>
    <x:row r="35">
      <x:c r="A35" s="79" t="n">
        <x:v>37</x:v>
      </x:c>
      <x:c r="B35" s="79" t="str">
        <x:v>NS-0034-1</x:v>
      </x:c>
      <x:c r="C35" s="79" t="str">
        <x:v>آرد برنج</x:v>
      </x:c>
      <x:c r="D35" s="79" t="str">
        <x:v>rice_flour</x:v>
      </x:c>
      <x:c r="E35" s="79" t="str">
        <x:v>update</x:v>
      </x:c>
      <x:c r="F35" s="79" t="str">
        <x:v>بله</x:v>
      </x:c>
      <x:c r="G35" s="79" t="str">
        <x:v>آرد و قنادی</x:v>
      </x:c>
      <x:c r="H35" s="79" t="str">
        <x:v>آرد و قنادی</x:v>
      </x:c>
      <x:c r="I35" s="79" t="str">
        <x:v>6a3a00000000000000000004</x:v>
      </x:c>
      <x:c r="J35" s="79" t="str">
        <x:v>flour-confectionery</x:v>
      </x:c>
      <x:c r="K35" s="79" t="str">
        <x:v>6a3a00000000000000000003</x:v>
      </x:c>
      <x:c r="L35" s="79" t="str">
        <x:v>EDIBLE</x:v>
      </x:c>
      <x:c r="M35" s="79" t="str">
        <x:v>بله</x:v>
      </x:c>
      <x:c r="N35" s="79" t="str">
        <x:v>خوراکی</x:v>
      </x:c>
      <x:c r="O35" s="79" t="str">
        <x:v>خیر</x:v>
      </x:c>
      <x:c r="P35" s="79" t="n">
        <x:v>1</x:v>
      </x:c>
      <x:c r="Q35" s="79" t="str">
        <x:v>کیلو</x:v>
      </x:c>
      <x:c r="R35" s="79" t="n">
        <x:v>295</x:v>
      </x:c>
      <x:c r="S35" s="104" t="n">
        <x:v>295000</x:v>
      </x:c>
      <x:c r="T35" s="79" t="n">
        <x:v>1</x:v>
      </x:c>
      <x:c r="U35" s="79" t="str">
        <x:v>kg</x:v>
      </x:c>
      <x:c r="V35" s="79" t="str">
        <x:v>کیلو</x:v>
      </x:c>
      <x:c r="W35" s="99" t="b">
        <x:v>1</x:v>
      </x:c>
      <x:c r="X35" s="79" t="str"/>
      <x:c r="Y35" s="79"/>
      <x:c r="Z35" s="104"/>
      <x:c r="AA35" s="79" t="str"/>
      <x:c r="AB35" s="79" t="str"/>
      <x:c r="AC35" s="79" t="str"/>
      <x:c r="AD35" s="79" t="str"/>
      <x:c r="AE35" s="79" t="str">
        <x:v>فعال</x:v>
      </x:c>
      <x:c r="AF35" s="79" t="str">
        <x:v>دسته‌بندی نهایی</x:v>
      </x:c>
      <x:c r="AG35" s="79" t="str">
        <x:v>OK</x:v>
      </x:c>
      <x:c r="AH35" s="79" t="str">
        <x:v>[{"name": "کیلو", "sku": "", "price": 295000, "stock": "", "weight": 1, "weightUnit": "kg", "containerSize": "کیلو", "isDefault": true}]</x:v>
      </x:c>
      <x:c r="AI35" s="79"/>
      <x:c r="AJ35" s="79"/>
      <x:c r="AK35" s="79"/>
      <x:c r="AL35" t="str">
        <x:v>آرد برنج</x:v>
      </x:c>
      <x:c r="AM35" t="str">
        <x:v>single_37</x:v>
      </x:c>
      <x:c r="AN35" t="str">
        <x:v>canonical_group_row</x:v>
      </x:c>
      <x:c r="AO35" t="str">
        <x:v>آرد و قنادی</x:v>
      </x:c>
      <x:c r="AP35" t="str">
        <x:v>6a3a00000000000000000004</x:v>
      </x:c>
      <x:c r="AQ35" t="str">
        <x:v>flour-confectionery</x:v>
      </x:c>
      <x:c r="AR35" t="str">
        <x:v>EDIBLE</x:v>
      </x:c>
      <x:c r="AS35" t="str">
        <x:v>بله</x:v>
      </x:c>
      <x:c r="AT35" t="str">
        <x:v>OK</x:v>
      </x:c>
      <x:c r="AU35"/>
    </x:row>
    <x:row r="36">
      <x:c r="A36" s="79" t="n">
        <x:v>38</x:v>
      </x:c>
      <x:c r="B36" s="79" t="str">
        <x:v>NS-0035-1</x:v>
      </x:c>
      <x:c r="C36" s="79" t="str">
        <x:v>آرد سوخاری</x:v>
      </x:c>
      <x:c r="D36" s="79" t="str">
        <x:v>breadcrumbs</x:v>
      </x:c>
      <x:c r="E36" s="79" t="str">
        <x:v>update</x:v>
      </x:c>
      <x:c r="F36" s="79" t="str">
        <x:v>بله</x:v>
      </x:c>
      <x:c r="G36" s="79" t="str">
        <x:v>آرد و قنادی</x:v>
      </x:c>
      <x:c r="H36" s="79" t="str">
        <x:v>آرد و قنادی</x:v>
      </x:c>
      <x:c r="I36" s="79" t="str">
        <x:v>6a3a00000000000000000004</x:v>
      </x:c>
      <x:c r="J36" s="79" t="str">
        <x:v>flour-confectionery</x:v>
      </x:c>
      <x:c r="K36" s="79" t="str">
        <x:v>6a3a00000000000000000003</x:v>
      </x:c>
      <x:c r="L36" s="79" t="str">
        <x:v>EDIBLE</x:v>
      </x:c>
      <x:c r="M36" s="79" t="str">
        <x:v>بله</x:v>
      </x:c>
      <x:c r="N36" s="79" t="str">
        <x:v>خوراکی</x:v>
      </x:c>
      <x:c r="O36" s="79" t="str">
        <x:v>خیر</x:v>
      </x:c>
      <x:c r="P36" s="79" t="n">
        <x:v>1</x:v>
      </x:c>
      <x:c r="Q36" s="79" t="str">
        <x:v>کیلو</x:v>
      </x:c>
      <x:c r="R36" s="79" t="n">
        <x:v>270</x:v>
      </x:c>
      <x:c r="S36" s="104" t="n">
        <x:v>270000</x:v>
      </x:c>
      <x:c r="T36" s="79" t="n">
        <x:v>1</x:v>
      </x:c>
      <x:c r="U36" s="79" t="str">
        <x:v>kg</x:v>
      </x:c>
      <x:c r="V36" s="79" t="str">
        <x:v>کیلو</x:v>
      </x:c>
      <x:c r="W36" s="99" t="b">
        <x:v>1</x:v>
      </x:c>
      <x:c r="X36" s="79" t="str"/>
      <x:c r="Y36" s="79"/>
      <x:c r="Z36" s="104"/>
      <x:c r="AA36" s="79" t="str"/>
      <x:c r="AB36" s="79" t="str"/>
      <x:c r="AC36" s="79" t="str"/>
      <x:c r="AD36" s="79" t="str"/>
      <x:c r="AE36" s="79" t="str">
        <x:v>فعال</x:v>
      </x:c>
      <x:c r="AF36" s="79" t="str">
        <x:v>دسته‌بندی نهایی</x:v>
      </x:c>
      <x:c r="AG36" s="79" t="str">
        <x:v>OK</x:v>
      </x:c>
      <x:c r="AH36" s="79" t="str">
        <x:v>[{"name": "کیلو", "sku": "", "price": 270000, "stock": "", "weight": 1, "weightUnit": "kg", "containerSize": "کیلو", "isDefault": true}]</x:v>
      </x:c>
      <x:c r="AI36" s="79"/>
      <x:c r="AJ36" s="79"/>
      <x:c r="AK36" s="79"/>
      <x:c r="AL36" t="str">
        <x:v>آرد سوخاری</x:v>
      </x:c>
      <x:c r="AM36" t="str">
        <x:v>single_38</x:v>
      </x:c>
      <x:c r="AN36" t="str">
        <x:v>canonical_group_row</x:v>
      </x:c>
      <x:c r="AO36" t="str">
        <x:v>آرد و قنادی</x:v>
      </x:c>
      <x:c r="AP36" t="str">
        <x:v>6a3a00000000000000000004</x:v>
      </x:c>
      <x:c r="AQ36" t="str">
        <x:v>flour-confectionery</x:v>
      </x:c>
      <x:c r="AR36" t="str">
        <x:v>EDIBLE</x:v>
      </x:c>
      <x:c r="AS36" t="str">
        <x:v>بله</x:v>
      </x:c>
      <x:c r="AT36" t="str">
        <x:v>OK</x:v>
      </x:c>
      <x:c r="AU36"/>
    </x:row>
    <x:row r="37">
      <x:c r="A37" s="79" t="n">
        <x:v>39</x:v>
      </x:c>
      <x:c r="B37" s="79" t="str">
        <x:v>NS-0036-1</x:v>
      </x:c>
      <x:c r="C37" s="79" t="str">
        <x:v>آرد نخودچی</x:v>
      </x:c>
      <x:c r="D37" s="79" t="str">
        <x:v>chickpea_flour</x:v>
      </x:c>
      <x:c r="E37" s="79" t="str">
        <x:v>update</x:v>
      </x:c>
      <x:c r="F37" s="79" t="str">
        <x:v>بله</x:v>
      </x:c>
      <x:c r="G37" s="79" t="str">
        <x:v>آرد و قنادی</x:v>
      </x:c>
      <x:c r="H37" s="79" t="str">
        <x:v>آرد و قنادی</x:v>
      </x:c>
      <x:c r="I37" s="79" t="str">
        <x:v>6a3a00000000000000000004</x:v>
      </x:c>
      <x:c r="J37" s="79" t="str">
        <x:v>flour-confectionery</x:v>
      </x:c>
      <x:c r="K37" s="79" t="str">
        <x:v>6a3a00000000000000000003</x:v>
      </x:c>
      <x:c r="L37" s="79" t="str">
        <x:v>EDIBLE</x:v>
      </x:c>
      <x:c r="M37" s="79" t="str">
        <x:v>بله</x:v>
      </x:c>
      <x:c r="N37" s="79" t="str">
        <x:v>خوراکی</x:v>
      </x:c>
      <x:c r="O37" s="79" t="str">
        <x:v>خیر</x:v>
      </x:c>
      <x:c r="P37" s="79" t="n">
        <x:v>1</x:v>
      </x:c>
      <x:c r="Q37" s="79" t="str">
        <x:v>کیلو</x:v>
      </x:c>
      <x:c r="R37" s="79" t="n">
        <x:v>390</x:v>
      </x:c>
      <x:c r="S37" s="104" t="n">
        <x:v>390000</x:v>
      </x:c>
      <x:c r="T37" s="79" t="n">
        <x:v>1</x:v>
      </x:c>
      <x:c r="U37" s="79" t="str">
        <x:v>kg</x:v>
      </x:c>
      <x:c r="V37" s="79" t="str">
        <x:v>کیلو</x:v>
      </x:c>
      <x:c r="W37" s="99" t="b">
        <x:v>1</x:v>
      </x:c>
      <x:c r="X37" s="79" t="str"/>
      <x:c r="Y37" s="79"/>
      <x:c r="Z37" s="104"/>
      <x:c r="AA37" s="79" t="str"/>
      <x:c r="AB37" s="79" t="str"/>
      <x:c r="AC37" s="79" t="str"/>
      <x:c r="AD37" s="79" t="str"/>
      <x:c r="AE37" s="79" t="str">
        <x:v>فعال</x:v>
      </x:c>
      <x:c r="AF37" s="79" t="str">
        <x:v>دسته‌بندی نهایی</x:v>
      </x:c>
      <x:c r="AG37" s="79" t="str">
        <x:v>OK</x:v>
      </x:c>
      <x:c r="AH37" s="79" t="str">
        <x:v>[{"name": "کیلو", "sku": "", "price": 390000, "stock": "", "weight": 1, "weightUnit": "kg", "containerSize": "کیلو", "isDefault": true}]</x:v>
      </x:c>
      <x:c r="AI37" s="79"/>
      <x:c r="AJ37" s="79"/>
      <x:c r="AK37" s="79"/>
      <x:c r="AL37" t="str">
        <x:v>آرد نخودچی</x:v>
      </x:c>
      <x:c r="AM37" t="str">
        <x:v>single_39</x:v>
      </x:c>
      <x:c r="AN37" t="str">
        <x:v>canonical_group_row</x:v>
      </x:c>
      <x:c r="AO37" t="str">
        <x:v>آرد و قنادی</x:v>
      </x:c>
      <x:c r="AP37" t="str">
        <x:v>6a3a00000000000000000004</x:v>
      </x:c>
      <x:c r="AQ37" t="str">
        <x:v>flour-confectionery</x:v>
      </x:c>
      <x:c r="AR37" t="str">
        <x:v>EDIBLE</x:v>
      </x:c>
      <x:c r="AS37" t="str">
        <x:v>بله</x:v>
      </x:c>
      <x:c r="AT37" t="str">
        <x:v>OK</x:v>
      </x:c>
      <x:c r="AU37"/>
    </x:row>
    <x:row r="38">
      <x:c r="A38" s="79" t="n">
        <x:v>40</x:v>
      </x:c>
      <x:c r="B38" s="79" t="str">
        <x:v>NS-0037-1</x:v>
      </x:c>
      <x:c r="C38" s="79" t="str">
        <x:v>آسیاب ادویه</x:v>
      </x:c>
      <x:c r="D38" s="79" t="str">
        <x:v>spice_grinder</x:v>
      </x:c>
      <x:c r="E38" s="79" t="str">
        <x:v>update</x:v>
      </x:c>
      <x:c r="F38" s="79" t="str">
        <x:v>بله</x:v>
      </x:c>
      <x:c r="G38" s="79" t="str">
        <x:v>ملزومات</x:v>
      </x:c>
      <x:c r="H38" s="79" t="str">
        <x:v>عدم ایمپورت</x:v>
      </x:c>
      <x:c r="I38" s="79"/>
      <x:c r="J38" s="79" t="str">
        <x:v>SKIP</x:v>
      </x:c>
      <x:c r="K38" s="79"/>
      <x:c r="L38" s="79" t="str">
        <x:v>NON_PRODUCT</x:v>
      </x:c>
      <x:c r="M38" s="79" t="str">
        <x:v>خیر</x:v>
      </x:c>
      <x:c r="N38" s="79" t="str">
        <x:v>عدم ایمپورت</x:v>
      </x:c>
      <x:c r="O38" s="79" t="str">
        <x:v>خیر</x:v>
      </x:c>
      <x:c r="P38" s="79" t="n">
        <x:v>1</x:v>
      </x:c>
      <x:c r="Q38" s="79" t="str">
        <x:v>کیلویی</x:v>
      </x:c>
      <x:c r="R38" s="79" t="n">
        <x:v>50</x:v>
      </x:c>
      <x:c r="S38" s="104" t="n">
        <x:v>50000</x:v>
      </x:c>
      <x:c r="T38" s="79" t="n">
        <x:v>1</x:v>
      </x:c>
      <x:c r="U38" s="79" t="str">
        <x:v>kg</x:v>
      </x:c>
      <x:c r="V38" s="79" t="str">
        <x:v>کیلویی</x:v>
      </x:c>
      <x:c r="W38" s="99" t="b">
        <x:v>1</x:v>
      </x:c>
      <x:c r="X38" s="79" t="str"/>
      <x:c r="Y38" s="79"/>
      <x:c r="Z38" s="104"/>
      <x:c r="AA38" s="79" t="str"/>
      <x:c r="AB38" s="79" t="str"/>
      <x:c r="AC38" s="79" t="str"/>
      <x:c r="AD38" s="79" t="str"/>
      <x:c r="AE38" s="79" t="str">
        <x:v>فعال</x:v>
      </x:c>
      <x:c r="AF38" s="79" t="str">
        <x:v>نیازمند بررسی دستی</x:v>
      </x:c>
      <x:c r="AG38" s="79" t="str">
        <x:v>ملزومات/ظرف/ابزار است و چون دسته «ملزومات» حذف شده، برای سایت ایمپورت نشود.</x:v>
      </x:c>
      <x:c r="AH38" s="79" t="str">
        <x:v>[{"name": "کیلویی", "sku": "", "price": 50000, "stock": "", "weight": 1, "weightUnit": "kg", "containerSize": "کیلویی", "isDefault": true}]</x:v>
      </x:c>
      <x:c r="AI38" s="79"/>
      <x:c r="AJ38" s="79"/>
      <x:c r="AK38" s="79"/>
      <x:c r="AL38" t="str">
        <x:v>آسیاب ادویه</x:v>
      </x:c>
      <x:c r="AM38" t="str">
        <x:v>single_40</x:v>
      </x:c>
      <x:c r="AN38" t="str">
        <x:v>skip_do_not_import</x:v>
      </x:c>
      <x:c r="AO38" t="str">
        <x:v>عدم ایمپورت</x:v>
      </x:c>
      <x:c r="AP38"/>
      <x:c r="AQ38" t="str">
        <x:v>SKIP</x:v>
      </x:c>
      <x:c r="AR38" t="str">
        <x:v>NON_PRODUCT</x:v>
      </x:c>
      <x:c r="AS38" t="str">
        <x:v>خیر</x:v>
      </x:c>
      <x:c r="AT38" t="str">
        <x:v>SKIP_NON_PRODUCT</x:v>
      </x:c>
      <x:c r="AU38" t="str">
        <x:v>ملزومات/ظرف/ابزار است و چون دسته «ملزومات» حذف شده، برای سایت ایمپورت نشود.</x:v>
      </x:c>
    </x:row>
    <x:row r="39">
      <x:c r="A39" s="79" t="n">
        <x:v>41</x:v>
      </x:c>
      <x:c r="B39" s="79" t="str">
        <x:v>NS-0038-1</x:v>
      </x:c>
      <x:c r="C39" s="79" t="str">
        <x:v>آویشن شیرازی</x:v>
      </x:c>
      <x:c r="D39" s="79" t="str">
        <x:v>shirazi_thyme</x:v>
      </x:c>
      <x:c r="E39" s="79" t="str">
        <x:v>update</x:v>
      </x:c>
      <x:c r="F39" s="79" t="str">
        <x:v>بله</x:v>
      </x:c>
      <x:c r="G39" s="79" t="str">
        <x:v>گیاهان دارویی</x:v>
      </x:c>
      <x:c r="H39" s="79" t="str">
        <x:v>گیاهان دارویی</x:v>
      </x:c>
      <x:c r="I39" s="79" t="str">
        <x:v>6a3782d7df5573f4e676e243</x:v>
      </x:c>
      <x:c r="J39" s="79" t="str">
        <x:v>medicinal-plants</x:v>
      </x:c>
      <x:c r="K39" s="79"/>
      <x:c r="L39" s="79" t="str">
        <x:v>EDIBLE</x:v>
      </x:c>
      <x:c r="M39" s="79" t="str">
        <x:v>بله</x:v>
      </x:c>
      <x:c r="N39" s="79" t="str">
        <x:v>خوراکی</x:v>
      </x:c>
      <x:c r="O39" s="79" t="str">
        <x:v>خیر</x:v>
      </x:c>
      <x:c r="P39" s="79" t="n">
        <x:v>1</x:v>
      </x:c>
      <x:c r="Q39" s="79" t="str">
        <x:v>کیلو</x:v>
      </x:c>
      <x:c r="R39" s="79" t="str">
        <x:v>4/500</x:v>
      </x:c>
      <x:c r="S39" s="104" t="n">
        <x:v>4500000</x:v>
      </x:c>
      <x:c r="T39" s="79" t="n">
        <x:v>1</x:v>
      </x:c>
      <x:c r="U39" s="79" t="str">
        <x:v>kg</x:v>
      </x:c>
      <x:c r="V39" s="79" t="str">
        <x:v>کیلو</x:v>
      </x:c>
      <x:c r="W39" s="99" t="b">
        <x:v>1</x:v>
      </x:c>
      <x:c r="X39" s="79" t="str"/>
      <x:c r="Y39" s="79"/>
      <x:c r="Z39" s="104"/>
      <x:c r="AA39" s="79" t="str"/>
      <x:c r="AB39" s="79" t="str"/>
      <x:c r="AC39" s="79" t="str"/>
      <x:c r="AD39" s="79" t="str"/>
      <x:c r="AE39" s="79" t="str">
        <x:v>فعال</x:v>
      </x:c>
      <x:c r="AF39" s="79" t="str">
        <x:v>دسته‌بندی نهایی</x:v>
      </x:c>
      <x:c r="AG39" s="79" t="str">
        <x:v>OK</x:v>
      </x:c>
      <x:c r="AH39" s="79" t="str">
        <x:v>[{"name": "کیلو", "sku": "", "price": 4500000, "stock": "", "weight": 1, "weightUnit": "kg", "containerSize": "کیلو", "isDefault": true}]</x:v>
      </x:c>
      <x:c r="AI39" s="79"/>
      <x:c r="AJ39" s="79"/>
      <x:c r="AK39" s="79"/>
      <x:c r="AL39" t="str">
        <x:v>آویشن شیرازی</x:v>
      </x:c>
      <x:c r="AM39" t="str">
        <x:v>single_41</x:v>
      </x:c>
      <x:c r="AN39" t="str">
        <x:v>canonical_group_row</x:v>
      </x:c>
      <x:c r="AO39" t="str">
        <x:v>گیاهان دارویی</x:v>
      </x:c>
      <x:c r="AP39" t="str">
        <x:v>6a3782d7df5573f4e676e243</x:v>
      </x:c>
      <x:c r="AQ39" t="str">
        <x:v>medicinal-plants</x:v>
      </x:c>
      <x:c r="AR39" t="str">
        <x:v>EDIBLE</x:v>
      </x:c>
      <x:c r="AS39" t="str">
        <x:v>بله</x:v>
      </x:c>
      <x:c r="AT39" t="str">
        <x:v>OK</x:v>
      </x:c>
      <x:c r="AU39"/>
    </x:row>
    <x:row r="40">
      <x:c r="A40" s="79" t="n">
        <x:v>42</x:v>
      </x:c>
      <x:c r="B40" s="79" t="str">
        <x:v>NS-0039-1</x:v>
      </x:c>
      <x:c r="C40" s="79" t="str">
        <x:v>آویشن کوهی</x:v>
      </x:c>
      <x:c r="D40" s="79" t="str">
        <x:v>wild_thyme</x:v>
      </x:c>
      <x:c r="E40" s="79" t="str">
        <x:v>update</x:v>
      </x:c>
      <x:c r="F40" s="79" t="str">
        <x:v>بله</x:v>
      </x:c>
      <x:c r="G40" s="79" t="str">
        <x:v>گیاهان دارویی</x:v>
      </x:c>
      <x:c r="H40" s="79" t="str">
        <x:v>گیاهان دارویی</x:v>
      </x:c>
      <x:c r="I40" s="79" t="str">
        <x:v>6a3782d7df5573f4e676e243</x:v>
      </x:c>
      <x:c r="J40" s="79" t="str">
        <x:v>medicinal-plants</x:v>
      </x:c>
      <x:c r="K40" s="79"/>
      <x:c r="L40" s="79" t="str">
        <x:v>EDIBLE</x:v>
      </x:c>
      <x:c r="M40" s="79" t="str">
        <x:v>بله</x:v>
      </x:c>
      <x:c r="N40" s="79" t="str">
        <x:v>خوراکی</x:v>
      </x:c>
      <x:c r="O40" s="79" t="str">
        <x:v>خیر</x:v>
      </x:c>
      <x:c r="P40" s="79" t="n">
        <x:v>1</x:v>
      </x:c>
      <x:c r="Q40" s="79" t="str">
        <x:v>کیلو</x:v>
      </x:c>
      <x:c r="R40" s="79" t="str">
        <x:v>3/900</x:v>
      </x:c>
      <x:c r="S40" s="104" t="n">
        <x:v>3900000</x:v>
      </x:c>
      <x:c r="T40" s="79" t="n">
        <x:v>1</x:v>
      </x:c>
      <x:c r="U40" s="79" t="str">
        <x:v>kg</x:v>
      </x:c>
      <x:c r="V40" s="79" t="str">
        <x:v>کیلو</x:v>
      </x:c>
      <x:c r="W40" s="99" t="b">
        <x:v>1</x:v>
      </x:c>
      <x:c r="X40" s="79" t="str"/>
      <x:c r="Y40" s="79"/>
      <x:c r="Z40" s="104"/>
      <x:c r="AA40" s="79" t="str"/>
      <x:c r="AB40" s="79" t="str"/>
      <x:c r="AC40" s="79" t="str"/>
      <x:c r="AD40" s="79" t="str"/>
      <x:c r="AE40" s="79" t="str">
        <x:v>فعال</x:v>
      </x:c>
      <x:c r="AF40" s="79" t="str">
        <x:v>دسته‌بندی نهایی</x:v>
      </x:c>
      <x:c r="AG40" s="79" t="str">
        <x:v>OK</x:v>
      </x:c>
      <x:c r="AH40" s="79" t="str">
        <x:v>[{"name": "کیلو", "sku": "", "price": 3900000, "stock": "", "weight": 1, "weightUnit": "kg", "containerSize": "کیلو", "isDefault": true}]</x:v>
      </x:c>
      <x:c r="AI40" s="79"/>
      <x:c r="AJ40" s="79"/>
      <x:c r="AK40" s="79"/>
      <x:c r="AL40" t="str">
        <x:v>آویشن کوهی</x:v>
      </x:c>
      <x:c r="AM40" t="str">
        <x:v>single_42</x:v>
      </x:c>
      <x:c r="AN40" t="str">
        <x:v>canonical_group_row</x:v>
      </x:c>
      <x:c r="AO40" t="str">
        <x:v>گیاهان دارویی</x:v>
      </x:c>
      <x:c r="AP40" t="str">
        <x:v>6a3782d7df5573f4e676e243</x:v>
      </x:c>
      <x:c r="AQ40" t="str">
        <x:v>medicinal-plants</x:v>
      </x:c>
      <x:c r="AR40" t="str">
        <x:v>EDIBLE</x:v>
      </x:c>
      <x:c r="AS40" t="str">
        <x:v>بله</x:v>
      </x:c>
      <x:c r="AT40" t="str">
        <x:v>OK</x:v>
      </x:c>
      <x:c r="AU40"/>
    </x:row>
    <x:row r="41">
      <x:c r="A41" s="79" t="n">
        <x:v>43</x:v>
      </x:c>
      <x:c r="B41" s="79" t="str">
        <x:v>NS-0040-1</x:v>
      </x:c>
      <x:c r="C41" s="79" t="str">
        <x:v>بابونه</x:v>
      </x:c>
      <x:c r="D41" s="79" t="str">
        <x:v>chamomile</x:v>
      </x:c>
      <x:c r="E41" s="79" t="str">
        <x:v>update</x:v>
      </x:c>
      <x:c r="F41" s="79" t="str">
        <x:v>بله</x:v>
      </x:c>
      <x:c r="G41" s="79" t="str">
        <x:v>گیاهان دارویی</x:v>
      </x:c>
      <x:c r="H41" s="79" t="str">
        <x:v>گیاهان دارویی</x:v>
      </x:c>
      <x:c r="I41" s="79" t="str">
        <x:v>6a3782d7df5573f4e676e243</x:v>
      </x:c>
      <x:c r="J41" s="79" t="str">
        <x:v>medicinal-plants</x:v>
      </x:c>
      <x:c r="K41" s="79"/>
      <x:c r="L41" s="79" t="str">
        <x:v>EDIBLE</x:v>
      </x:c>
      <x:c r="M41" s="79" t="str">
        <x:v>بله</x:v>
      </x:c>
      <x:c r="N41" s="79" t="str">
        <x:v>خوراکی</x:v>
      </x:c>
      <x:c r="O41" s="79" t="str">
        <x:v>خیر</x:v>
      </x:c>
      <x:c r="P41" s="79" t="n">
        <x:v>1</x:v>
      </x:c>
      <x:c r="Q41" s="79" t="str">
        <x:v>کیلو</x:v>
      </x:c>
      <x:c r="R41" s="79" t="str">
        <x:v>1/800</x:v>
      </x:c>
      <x:c r="S41" s="104" t="n">
        <x:v>1800000</x:v>
      </x:c>
      <x:c r="T41" s="79" t="n">
        <x:v>1</x:v>
      </x:c>
      <x:c r="U41" s="79" t="str">
        <x:v>kg</x:v>
      </x:c>
      <x:c r="V41" s="79" t="str">
        <x:v>کیلو</x:v>
      </x:c>
      <x:c r="W41" s="99" t="b">
        <x:v>1</x:v>
      </x:c>
      <x:c r="X41" s="79" t="str"/>
      <x:c r="Y41" s="79"/>
      <x:c r="Z41" s="104"/>
      <x:c r="AA41" s="79" t="str"/>
      <x:c r="AB41" s="79" t="str"/>
      <x:c r="AC41" s="79" t="str"/>
      <x:c r="AD41" s="79" t="str"/>
      <x:c r="AE41" s="79" t="str">
        <x:v>فعال</x:v>
      </x:c>
      <x:c r="AF41" s="79" t="str">
        <x:v>دسته‌بندی نهایی</x:v>
      </x:c>
      <x:c r="AG41" s="79" t="str">
        <x:v>OK</x:v>
      </x:c>
      <x:c r="AH41" s="79" t="str">
        <x:v>[{"name": "کیلو", "sku": "", "price": 1800000, "stock": "", "weight": 1, "weightUnit": "kg", "containerSize": "کیلو", "isDefault": true}]</x:v>
      </x:c>
      <x:c r="AI41" s="79"/>
      <x:c r="AJ41" s="79"/>
      <x:c r="AK41" s="79"/>
      <x:c r="AL41" t="str">
        <x:v>بابونه</x:v>
      </x:c>
      <x:c r="AM41" t="str">
        <x:v>single_43</x:v>
      </x:c>
      <x:c r="AN41" t="str">
        <x:v>canonical_group_row</x:v>
      </x:c>
      <x:c r="AO41" t="str">
        <x:v>گیاهان دارویی</x:v>
      </x:c>
      <x:c r="AP41" t="str">
        <x:v>6a3782d7df5573f4e676e243</x:v>
      </x:c>
      <x:c r="AQ41" t="str">
        <x:v>medicinal-plants</x:v>
      </x:c>
      <x:c r="AR41" t="str">
        <x:v>EDIBLE</x:v>
      </x:c>
      <x:c r="AS41" t="str">
        <x:v>بله</x:v>
      </x:c>
      <x:c r="AT41" t="str">
        <x:v>OK</x:v>
      </x:c>
      <x:c r="AU41"/>
    </x:row>
    <x:row r="42">
      <x:c r="A42" s="79" t="n">
        <x:v>44</x:v>
      </x:c>
      <x:c r="B42" s="79" t="str">
        <x:v>NS-0041-1</x:v>
      </x:c>
      <x:c r="C42" s="79" t="str">
        <x:v>بادام زمینی</x:v>
      </x:c>
      <x:c r="D42" s="79" t="str">
        <x:v>peanut</x:v>
      </x:c>
      <x:c r="E42" s="79" t="str">
        <x:v>update</x:v>
      </x:c>
      <x:c r="F42" s="79" t="str">
        <x:v>بله</x:v>
      </x:c>
      <x:c r="G42" s="79" t="str">
        <x:v>خشکبار و آجیل</x:v>
      </x:c>
      <x:c r="H42" s="79" t="str">
        <x:v>خشکبار و آجیل</x:v>
      </x:c>
      <x:c r="I42" s="79" t="str">
        <x:v>6a37810ddf5573f4e676e201</x:v>
      </x:c>
      <x:c r="J42" s="79" t="str">
        <x:v>dried-fruits-nuts</x:v>
      </x:c>
      <x:c r="K42" s="79"/>
      <x:c r="L42" s="79" t="str">
        <x:v>EDIBLE</x:v>
      </x:c>
      <x:c r="M42" s="79" t="str">
        <x:v>بله</x:v>
      </x:c>
      <x:c r="N42" s="79" t="str">
        <x:v>خوراکی</x:v>
      </x:c>
      <x:c r="O42" s="79" t="str">
        <x:v>خیر</x:v>
      </x:c>
      <x:c r="P42" s="79" t="n">
        <x:v>1</x:v>
      </x:c>
      <x:c r="Q42" s="79" t="str">
        <x:v>کیلو</x:v>
      </x:c>
      <x:c r="R42" s="79" t="n">
        <x:v>660</x:v>
      </x:c>
      <x:c r="S42" s="104" t="n">
        <x:v>660000</x:v>
      </x:c>
      <x:c r="T42" s="79" t="n">
        <x:v>1</x:v>
      </x:c>
      <x:c r="U42" s="79" t="str">
        <x:v>kg</x:v>
      </x:c>
      <x:c r="V42" s="79" t="str">
        <x:v>کیلو</x:v>
      </x:c>
      <x:c r="W42" s="99" t="b">
        <x:v>1</x:v>
      </x:c>
      <x:c r="X42" s="79" t="str"/>
      <x:c r="Y42" s="79"/>
      <x:c r="Z42" s="104"/>
      <x:c r="AA42" s="79" t="str"/>
      <x:c r="AB42" s="79" t="str"/>
      <x:c r="AC42" s="79" t="str"/>
      <x:c r="AD42" s="79" t="str"/>
      <x:c r="AE42" s="79" t="str">
        <x:v>فعال</x:v>
      </x:c>
      <x:c r="AF42" s="79" t="str">
        <x:v>دسته‌بندی نهایی</x:v>
      </x:c>
      <x:c r="AG42" s="79" t="str">
        <x:v>MERGED</x:v>
      </x:c>
      <x:c r="AH42" s="79" t="str">
        <x:v>[{"name": "کیلو", "sku": "", "price": 660000, "stock": "", "weight": 1, "weightUnit": "kg", "containerSize": "کیلو", "isDefault": true}]</x:v>
      </x:c>
      <x:c r="AI42" s="79"/>
      <x:c r="AJ42" s="79"/>
      <x:c r="AK42" s="79"/>
      <x:c r="AL42" t="str">
        <x:v>بادام زمینی</x:v>
      </x:c>
      <x:c r="AM42" t="str">
        <x:v>grp_peanut</x:v>
      </x:c>
      <x:c r="AN42" t="str">
        <x:v>canonical_group_row</x:v>
      </x:c>
      <x:c r="AO42" t="str">
        <x:v>خشکبار و آجیل</x:v>
      </x:c>
      <x:c r="AP42" t="str">
        <x:v>6a37810ddf5573f4e676e201</x:v>
      </x:c>
      <x:c r="AQ42" t="str">
        <x:v>dried-fruits-nuts</x:v>
      </x:c>
      <x:c r="AR42" t="str">
        <x:v>EDIBLE</x:v>
      </x:c>
      <x:c r="AS42" t="str">
        <x:v>بله</x:v>
      </x:c>
      <x:c r="AT42" t="str">
        <x:v>MERGED</x:v>
      </x:c>
      <x:c r="AU42"/>
    </x:row>
    <x:row r="43">
      <x:c r="A43" s="79" t="n">
        <x:v>45</x:v>
      </x:c>
      <x:c r="B43" s="79" t="str">
        <x:v>NS-0042-1</x:v>
      </x:c>
      <x:c r="C43" s="79" t="str">
        <x:v>بادام زمینی آستانه</x:v>
      </x:c>
      <x:c r="D43" s="79" t="str">
        <x:v>almond_peanut_astaneh</x:v>
      </x:c>
      <x:c r="E43" s="79" t="str">
        <x:v>update</x:v>
      </x:c>
      <x:c r="F43" s="79" t="str">
        <x:v>بله</x:v>
      </x:c>
      <x:c r="G43" s="79" t="str">
        <x:v>خشکبار و آجیل</x:v>
      </x:c>
      <x:c r="H43" s="79" t="str">
        <x:v>خشکبار و آجیل</x:v>
      </x:c>
      <x:c r="I43" s="79" t="str">
        <x:v>6a37810ddf5573f4e676e201</x:v>
      </x:c>
      <x:c r="J43" s="79" t="str">
        <x:v>dried-fruits-nuts</x:v>
      </x:c>
      <x:c r="K43" s="79"/>
      <x:c r="L43" s="79" t="str">
        <x:v>EDIBLE</x:v>
      </x:c>
      <x:c r="M43" s="79" t="str">
        <x:v>بله</x:v>
      </x:c>
      <x:c r="N43" s="79" t="str">
        <x:v>خوراکی</x:v>
      </x:c>
      <x:c r="O43" s="79" t="str">
        <x:v>خیر</x:v>
      </x:c>
      <x:c r="P43" s="79" t="n">
        <x:v>1</x:v>
      </x:c>
      <x:c r="Q43" s="79" t="str">
        <x:v>کیلو</x:v>
      </x:c>
      <x:c r="R43" s="79" t="str">
        <x:v>؟</x:v>
      </x:c>
      <x:c r="S43" s="104"/>
      <x:c r="T43" s="79" t="n">
        <x:v>1</x:v>
      </x:c>
      <x:c r="U43" s="79" t="str">
        <x:v>kg</x:v>
      </x:c>
      <x:c r="V43" s="79" t="str">
        <x:v>کیلو</x:v>
      </x:c>
      <x:c r="W43" s="99" t="b">
        <x:v>1</x:v>
      </x:c>
      <x:c r="X43" s="79" t="str"/>
      <x:c r="Y43" s="79"/>
      <x:c r="Z43" s="104"/>
      <x:c r="AA43" s="79" t="str"/>
      <x:c r="AB43" s="79" t="str"/>
      <x:c r="AC43" s="79" t="str"/>
      <x:c r="AD43" s="79" t="str"/>
      <x:c r="AE43" s="79" t="str">
        <x:v>نیاز به استعلام</x:v>
      </x:c>
      <x:c r="AF43" s="79" t="str">
        <x:v>دسته‌بندی نهایی</x:v>
      </x:c>
      <x:c r="AG43" s="79" t="str">
        <x:v>یک یا چند قیمت نامشخص است</x:v>
      </x:c>
      <x:c r="AH43" s="79" t="str">
        <x:v>[{"name": "کیلو", "sku": "", "price": null, "stock": "", "weight": 1, "weightUnit": "kg", "containerSize": "کیلو", "isDefault": true}]</x:v>
      </x:c>
      <x:c r="AI43" s="79"/>
      <x:c r="AJ43" s="79"/>
      <x:c r="AK43" s="79"/>
      <x:c r="AL43" t="str">
        <x:v>بادام زمینی</x:v>
      </x:c>
      <x:c r="AM43" t="str">
        <x:v>grp_peanut</x:v>
      </x:c>
      <x:c r="AN43" t="str">
        <x:v>merge_into_canonical_group</x:v>
      </x:c>
      <x:c r="AO43" t="str">
        <x:v>خشکبار و آجیل</x:v>
      </x:c>
      <x:c r="AP43" t="str">
        <x:v>6a37810ddf5573f4e676e201</x:v>
      </x:c>
      <x:c r="AQ43" t="str">
        <x:v>dried-fruits-nuts</x:v>
      </x:c>
      <x:c r="AR43" t="str">
        <x:v>EDIBLE</x:v>
      </x:c>
      <x:c r="AS43" t="str">
        <x:v>بله</x:v>
      </x:c>
      <x:c r="AT43" t="str">
        <x:v>MERGED + MISSING_PRICE_REVIEW</x:v>
      </x:c>
      <x:c r="AU43" t="str">
        <x:v>یک یا چند قیمت نامشخص است</x:v>
      </x:c>
    </x:row>
    <x:row r="44">
      <x:c r="A44" s="79" t="n">
        <x:v>46</x:v>
      </x:c>
      <x:c r="B44" s="79" t="str">
        <x:v>NS-0043-1</x:v>
      </x:c>
      <x:c r="C44" s="79" t="str">
        <x:v>بادرنجبویه</x:v>
      </x:c>
      <x:c r="D44" s="79" t="str">
        <x:v>lemon_balm</x:v>
      </x:c>
      <x:c r="E44" s="79" t="str">
        <x:v>update</x:v>
      </x:c>
      <x:c r="F44" s="79" t="str">
        <x:v>بله</x:v>
      </x:c>
      <x:c r="G44" s="79" t="str">
        <x:v>گیاهان دارویی</x:v>
      </x:c>
      <x:c r="H44" s="79" t="str">
        <x:v>گیاهان دارویی</x:v>
      </x:c>
      <x:c r="I44" s="79" t="str">
        <x:v>6a3782d7df5573f4e676e243</x:v>
      </x:c>
      <x:c r="J44" s="79" t="str">
        <x:v>medicinal-plants</x:v>
      </x:c>
      <x:c r="K44" s="79"/>
      <x:c r="L44" s="79" t="str">
        <x:v>EDIBLE</x:v>
      </x:c>
      <x:c r="M44" s="79" t="str">
        <x:v>بله</x:v>
      </x:c>
      <x:c r="N44" s="79" t="str">
        <x:v>خوراکی</x:v>
      </x:c>
      <x:c r="O44" s="79" t="str">
        <x:v>خیر</x:v>
      </x:c>
      <x:c r="P44" s="79" t="n">
        <x:v>1</x:v>
      </x:c>
      <x:c r="Q44" s="79" t="str">
        <x:v>کیلو</x:v>
      </x:c>
      <x:c r="R44" s="79" t="str">
        <x:v>2/900</x:v>
      </x:c>
      <x:c r="S44" s="104" t="n">
        <x:v>2900000</x:v>
      </x:c>
      <x:c r="T44" s="79" t="n">
        <x:v>1</x:v>
      </x:c>
      <x:c r="U44" s="79" t="str">
        <x:v>kg</x:v>
      </x:c>
      <x:c r="V44" s="79" t="str">
        <x:v>کیلو</x:v>
      </x:c>
      <x:c r="W44" s="99" t="b">
        <x:v>1</x:v>
      </x:c>
      <x:c r="X44" s="79" t="str"/>
      <x:c r="Y44" s="79"/>
      <x:c r="Z44" s="104"/>
      <x:c r="AA44" s="79" t="str"/>
      <x:c r="AB44" s="79" t="str"/>
      <x:c r="AC44" s="79" t="str"/>
      <x:c r="AD44" s="79" t="str"/>
      <x:c r="AE44" s="79" t="str">
        <x:v>فعال</x:v>
      </x:c>
      <x:c r="AF44" s="79" t="str">
        <x:v>دسته‌بندی نهایی</x:v>
      </x:c>
      <x:c r="AG44" s="79" t="str">
        <x:v>OK</x:v>
      </x:c>
      <x:c r="AH44" s="79" t="str">
        <x:v>[{"name": "کیلو", "sku": "", "price": 2900000, "stock": "", "weight": 1, "weightUnit": "kg", "containerSize": "کیلو", "isDefault": true}]</x:v>
      </x:c>
      <x:c r="AI44" s="79"/>
      <x:c r="AJ44" s="79"/>
      <x:c r="AK44" s="79"/>
      <x:c r="AL44" t="str">
        <x:v>بادرنجبویه</x:v>
      </x:c>
      <x:c r="AM44" t="str">
        <x:v>single_46</x:v>
      </x:c>
      <x:c r="AN44" t="str">
        <x:v>canonical_group_row</x:v>
      </x:c>
      <x:c r="AO44" t="str">
        <x:v>گیاهان دارویی</x:v>
      </x:c>
      <x:c r="AP44" t="str">
        <x:v>6a3782d7df5573f4e676e243</x:v>
      </x:c>
      <x:c r="AQ44" t="str">
        <x:v>medicinal-plants</x:v>
      </x:c>
      <x:c r="AR44" t="str">
        <x:v>EDIBLE</x:v>
      </x:c>
      <x:c r="AS44" t="str">
        <x:v>بله</x:v>
      </x:c>
      <x:c r="AT44" t="str">
        <x:v>OK</x:v>
      </x:c>
      <x:c r="AU44"/>
    </x:row>
    <x:row r="45">
      <x:c r="A45" s="79" t="n">
        <x:v>47</x:v>
      </x:c>
      <x:c r="B45" s="79" t="str">
        <x:v>NS-0044-1</x:v>
      </x:c>
      <x:c r="C45" s="79" t="str">
        <x:v>بادیان ستاره ای</x:v>
      </x:c>
      <x:c r="D45" s="79" t="str">
        <x:v>star_anise</x:v>
      </x:c>
      <x:c r="E45" s="79" t="str">
        <x:v>update</x:v>
      </x:c>
      <x:c r="F45" s="79" t="str">
        <x:v>بله</x:v>
      </x:c>
      <x:c r="G45" s="79" t="str">
        <x:v>گیاهان دارویی</x:v>
      </x:c>
      <x:c r="H45" s="79" t="str">
        <x:v>گیاهان دارویی</x:v>
      </x:c>
      <x:c r="I45" s="79" t="str">
        <x:v>6a3782d7df5573f4e676e243</x:v>
      </x:c>
      <x:c r="J45" s="79" t="str">
        <x:v>medicinal-plants</x:v>
      </x:c>
      <x:c r="K45" s="79"/>
      <x:c r="L45" s="79" t="str">
        <x:v>EDIBLE</x:v>
      </x:c>
      <x:c r="M45" s="79" t="str">
        <x:v>بله</x:v>
      </x:c>
      <x:c r="N45" s="79" t="str">
        <x:v>خوراکی</x:v>
      </x:c>
      <x:c r="O45" s="79" t="str">
        <x:v>خیر</x:v>
      </x:c>
      <x:c r="P45" s="79" t="n">
        <x:v>1</x:v>
      </x:c>
      <x:c r="Q45" s="79" t="str">
        <x:v>کیلو</x:v>
      </x:c>
      <x:c r="R45" s="79" t="str">
        <x:v>1/950</x:v>
      </x:c>
      <x:c r="S45" s="104" t="n">
        <x:v>1950000</x:v>
      </x:c>
      <x:c r="T45" s="79" t="n">
        <x:v>1</x:v>
      </x:c>
      <x:c r="U45" s="79" t="str">
        <x:v>kg</x:v>
      </x:c>
      <x:c r="V45" s="79" t="str">
        <x:v>کیلو</x:v>
      </x:c>
      <x:c r="W45" s="99" t="b">
        <x:v>1</x:v>
      </x:c>
      <x:c r="X45" s="79" t="str"/>
      <x:c r="Y45" s="79"/>
      <x:c r="Z45" s="104"/>
      <x:c r="AA45" s="79" t="str"/>
      <x:c r="AB45" s="79" t="str"/>
      <x:c r="AC45" s="79" t="str"/>
      <x:c r="AD45" s="79" t="str"/>
      <x:c r="AE45" s="79" t="str">
        <x:v>فعال</x:v>
      </x:c>
      <x:c r="AF45" s="79" t="str">
        <x:v>دسته‌بندی نهایی</x:v>
      </x:c>
      <x:c r="AG45" s="79" t="str">
        <x:v>OK</x:v>
      </x:c>
      <x:c r="AH45" s="79" t="str">
        <x:v>[{"name": "کیلو", "sku": "", "price": 1950000, "stock": "", "weight": 1, "weightUnit": "kg", "containerSize": "کیلو", "isDefault": true}]</x:v>
      </x:c>
      <x:c r="AI45" s="79"/>
      <x:c r="AJ45" s="79"/>
      <x:c r="AK45" s="79"/>
      <x:c r="AL45" t="str">
        <x:v>بادیان ستاره ای</x:v>
      </x:c>
      <x:c r="AM45" t="str">
        <x:v>single_47</x:v>
      </x:c>
      <x:c r="AN45" t="str">
        <x:v>canonical_group_row</x:v>
      </x:c>
      <x:c r="AO45" t="str">
        <x:v>گیاهان دارویی</x:v>
      </x:c>
      <x:c r="AP45" t="str">
        <x:v>6a3782d7df5573f4e676e243</x:v>
      </x:c>
      <x:c r="AQ45" t="str">
        <x:v>medicinal-plants</x:v>
      </x:c>
      <x:c r="AR45" t="str">
        <x:v>EDIBLE</x:v>
      </x:c>
      <x:c r="AS45" t="str">
        <x:v>بله</x:v>
      </x:c>
      <x:c r="AT45" t="str">
        <x:v>OK</x:v>
      </x:c>
      <x:c r="AU45"/>
    </x:row>
    <x:row r="46">
      <x:c r="A46" s="79" t="n">
        <x:v>48</x:v>
      </x:c>
      <x:c r="B46" s="79" t="str">
        <x:v>NS-0045-1</x:v>
      </x:c>
      <x:c r="C46" s="79" t="str">
        <x:v>بارهنگ</x:v>
      </x:c>
      <x:c r="D46" s="79" t="str">
        <x:v>plantain</x:v>
      </x:c>
      <x:c r="E46" s="79" t="str">
        <x:v>update</x:v>
      </x:c>
      <x:c r="F46" s="79" t="str">
        <x:v>بله</x:v>
      </x:c>
      <x:c r="G46" s="79" t="str">
        <x:v>گیاهان دارویی</x:v>
      </x:c>
      <x:c r="H46" s="79" t="str">
        <x:v>گیاهان دارویی</x:v>
      </x:c>
      <x:c r="I46" s="79" t="str">
        <x:v>6a3782d7df5573f4e676e243</x:v>
      </x:c>
      <x:c r="J46" s="79" t="str">
        <x:v>medicinal-plants</x:v>
      </x:c>
      <x:c r="K46" s="79"/>
      <x:c r="L46" s="79" t="str">
        <x:v>EDIBLE</x:v>
      </x:c>
      <x:c r="M46" s="79" t="str">
        <x:v>بله</x:v>
      </x:c>
      <x:c r="N46" s="79" t="str">
        <x:v>خوراکی</x:v>
      </x:c>
      <x:c r="O46" s="79" t="str">
        <x:v>خیر</x:v>
      </x:c>
      <x:c r="P46" s="79" t="n">
        <x:v>1</x:v>
      </x:c>
      <x:c r="Q46" s="79" t="str">
        <x:v>کیلو</x:v>
      </x:c>
      <x:c r="R46" s="79" t="n">
        <x:v>890</x:v>
      </x:c>
      <x:c r="S46" s="104" t="n">
        <x:v>890000</x:v>
      </x:c>
      <x:c r="T46" s="79" t="n">
        <x:v>1</x:v>
      </x:c>
      <x:c r="U46" s="79" t="str">
        <x:v>kg</x:v>
      </x:c>
      <x:c r="V46" s="79" t="str">
        <x:v>کیلو</x:v>
      </x:c>
      <x:c r="W46" s="99" t="b">
        <x:v>1</x:v>
      </x:c>
      <x:c r="X46" s="79" t="str"/>
      <x:c r="Y46" s="79"/>
      <x:c r="Z46" s="104"/>
      <x:c r="AA46" s="79" t="str"/>
      <x:c r="AB46" s="79" t="str"/>
      <x:c r="AC46" s="79" t="str"/>
      <x:c r="AD46" s="79" t="str"/>
      <x:c r="AE46" s="79" t="str">
        <x:v>فعال</x:v>
      </x:c>
      <x:c r="AF46" s="79" t="str">
        <x:v>دسته‌بندی نهایی</x:v>
      </x:c>
      <x:c r="AG46" s="79" t="str">
        <x:v>OK</x:v>
      </x:c>
      <x:c r="AH46" s="79" t="str">
        <x:v>[{"name": "کیلو", "sku": "", "price": 890000, "stock": "", "weight": 1, "weightUnit": "kg", "containerSize": "کیلو", "isDefault": true}]</x:v>
      </x:c>
      <x:c r="AI46" s="79"/>
      <x:c r="AJ46" s="79"/>
      <x:c r="AK46" s="79"/>
      <x:c r="AL46" t="str">
        <x:v>بارهنگ</x:v>
      </x:c>
      <x:c r="AM46" t="str">
        <x:v>single_48</x:v>
      </x:c>
      <x:c r="AN46" t="str">
        <x:v>canonical_group_row</x:v>
      </x:c>
      <x:c r="AO46" t="str">
        <x:v>گیاهان دارویی</x:v>
      </x:c>
      <x:c r="AP46" t="str">
        <x:v>6a3782d7df5573f4e676e243</x:v>
      </x:c>
      <x:c r="AQ46" t="str">
        <x:v>medicinal-plants</x:v>
      </x:c>
      <x:c r="AR46" t="str">
        <x:v>EDIBLE</x:v>
      </x:c>
      <x:c r="AS46" t="str">
        <x:v>بله</x:v>
      </x:c>
      <x:c r="AT46" t="str">
        <x:v>OK</x:v>
      </x:c>
      <x:c r="AU46"/>
    </x:row>
    <x:row r="47">
      <x:c r="A47" s="79" t="n">
        <x:v>49</x:v>
      </x:c>
      <x:c r="B47" s="79" t="str">
        <x:v>NS-0046-1</x:v>
      </x:c>
      <x:c r="C47" s="79" t="str">
        <x:v>باقلا خشک</x:v>
      </x:c>
      <x:c r="D47" s="79" t="str">
        <x:v>fava_bean_dried</x:v>
      </x:c>
      <x:c r="E47" s="79" t="str">
        <x:v>update</x:v>
      </x:c>
      <x:c r="F47" s="79" t="str">
        <x:v>بله</x:v>
      </x:c>
      <x:c r="G47" s="79" t="str">
        <x:v>حبوبات و غلات</x:v>
      </x:c>
      <x:c r="H47" s="79" t="str">
        <x:v>حبوبات و غلات</x:v>
      </x:c>
      <x:c r="I47" s="79" t="str">
        <x:v>6a3a00000000000000000002</x:v>
      </x:c>
      <x:c r="J47" s="79" t="str">
        <x:v>legumes-grains</x:v>
      </x:c>
      <x:c r="K47" s="79"/>
      <x:c r="L47" s="79" t="str">
        <x:v>EDIBLE</x:v>
      </x:c>
      <x:c r="M47" s="79" t="str">
        <x:v>بله</x:v>
      </x:c>
      <x:c r="N47" s="79" t="str">
        <x:v>خوراکی</x:v>
      </x:c>
      <x:c r="O47" s="79" t="str">
        <x:v>خیر</x:v>
      </x:c>
      <x:c r="P47" s="79" t="n">
        <x:v>1</x:v>
      </x:c>
      <x:c r="Q47" s="79" t="str">
        <x:v>کیلو</x:v>
      </x:c>
      <x:c r="R47" s="79" t="n">
        <x:v>140</x:v>
      </x:c>
      <x:c r="S47" s="104" t="n">
        <x:v>140000</x:v>
      </x:c>
      <x:c r="T47" s="79" t="n">
        <x:v>1</x:v>
      </x:c>
      <x:c r="U47" s="79" t="str">
        <x:v>kg</x:v>
      </x:c>
      <x:c r="V47" s="79" t="str">
        <x:v>کیلو</x:v>
      </x:c>
      <x:c r="W47" s="99" t="b">
        <x:v>1</x:v>
      </x:c>
      <x:c r="X47" s="79" t="str"/>
      <x:c r="Y47" s="79"/>
      <x:c r="Z47" s="104"/>
      <x:c r="AA47" s="79" t="str"/>
      <x:c r="AB47" s="79" t="str"/>
      <x:c r="AC47" s="79" t="str"/>
      <x:c r="AD47" s="79" t="str"/>
      <x:c r="AE47" s="79" t="str">
        <x:v>فعال</x:v>
      </x:c>
      <x:c r="AF47" s="79" t="str">
        <x:v>دسته‌بندی نهایی</x:v>
      </x:c>
      <x:c r="AG47" s="79" t="str">
        <x:v>OK</x:v>
      </x:c>
      <x:c r="AH47" s="79" t="str">
        <x:v>[{"name": "کیلو", "sku": "", "price": 140000, "stock": "", "weight": 1, "weightUnit": "kg", "containerSize": "کیلو", "isDefault": true}]</x:v>
      </x:c>
      <x:c r="AI47" s="79"/>
      <x:c r="AJ47" s="79"/>
      <x:c r="AK47" s="79"/>
      <x:c r="AL47" t="str">
        <x:v>باقلا خشک</x:v>
      </x:c>
      <x:c r="AM47" t="str">
        <x:v>single_49</x:v>
      </x:c>
      <x:c r="AN47" t="str">
        <x:v>canonical_group_row</x:v>
      </x:c>
      <x:c r="AO47" t="str">
        <x:v>حبوبات و غلات</x:v>
      </x:c>
      <x:c r="AP47" t="str">
        <x:v>6a3a00000000000000000002</x:v>
      </x:c>
      <x:c r="AQ47" t="str">
        <x:v>legumes-grains</x:v>
      </x:c>
      <x:c r="AR47" t="str">
        <x:v>EDIBLE</x:v>
      </x:c>
      <x:c r="AS47" t="str">
        <x:v>بله</x:v>
      </x:c>
      <x:c r="AT47" t="str">
        <x:v>OK</x:v>
      </x:c>
      <x:c r="AU47"/>
    </x:row>
    <x:row r="48">
      <x:c r="A48" s="79" t="n">
        <x:v>50</x:v>
      </x:c>
      <x:c r="B48" s="79" t="str">
        <x:v>NS-0047-1</x:v>
      </x:c>
      <x:c r="C48" s="79" t="str">
        <x:v>بامیه پودر</x:v>
      </x:c>
      <x:c r="D48" s="79" t="str">
        <x:v>okra_powder</x:v>
      </x:c>
      <x:c r="E48" s="79" t="str">
        <x:v>update</x:v>
      </x:c>
      <x:c r="F48" s="79" t="str">
        <x:v>بله</x:v>
      </x:c>
      <x:c r="G48" s="79" t="str">
        <x:v>سایر</x:v>
      </x:c>
      <x:c r="H48" s="79" t="str">
        <x:v>گیاهان دارویی</x:v>
      </x:c>
      <x:c r="I48" s="79" t="str">
        <x:v>6a3782d7df5573f4e676e243</x:v>
      </x:c>
      <x:c r="J48" s="79" t="str">
        <x:v>medicinal-plants</x:v>
      </x:c>
      <x:c r="K48" s="79"/>
      <x:c r="L48" s="79" t="str">
        <x:v>EDIBLE</x:v>
      </x:c>
      <x:c r="M48" s="79" t="str">
        <x:v>بله</x:v>
      </x:c>
      <x:c r="N48" s="79" t="str">
        <x:v>خوراکی</x:v>
      </x:c>
      <x:c r="O48" s="79" t="str">
        <x:v>خیر</x:v>
      </x:c>
      <x:c r="P48" s="79" t="n">
        <x:v>1</x:v>
      </x:c>
      <x:c r="Q48" s="79" t="str">
        <x:v>کیلو</x:v>
      </x:c>
      <x:c r="R48" s="79" t="str">
        <x:v>1/250</x:v>
      </x:c>
      <x:c r="S48" s="104" t="n">
        <x:v>1250000</x:v>
      </x:c>
      <x:c r="T48" s="79" t="n">
        <x:v>1</x:v>
      </x:c>
      <x:c r="U48" s="79" t="str">
        <x:v>kg</x:v>
      </x:c>
      <x:c r="V48" s="79" t="str">
        <x:v>کیلو</x:v>
      </x:c>
      <x:c r="W48" s="99" t="b">
        <x:v>1</x:v>
      </x:c>
      <x:c r="X48" s="79" t="str"/>
      <x:c r="Y48" s="79"/>
      <x:c r="Z48" s="104"/>
      <x:c r="AA48" s="79" t="str"/>
      <x:c r="AB48" s="79" t="str"/>
      <x:c r="AC48" s="79" t="str"/>
      <x:c r="AD48" s="79" t="str"/>
      <x:c r="AE48" s="79" t="str">
        <x:v>فعال</x:v>
      </x:c>
      <x:c r="AF48" s="79" t="str">
        <x:v>نیازمند بررسی دستی</x:v>
      </x:c>
      <x:c r="AG48" s="79" t="str">
        <x:v>دسته از «نیاز به بررسی» به «گیاهان دارویی» اصلاح شد</x:v>
      </x:c>
      <x:c r="AH48" s="79" t="str">
        <x:v>[{"name": "کیلو", "sku": "", "price": 1250000, "stock": "", "weight": 1, "weightUnit": "kg", "containerSize": "کیلو", "isDefault": true}]</x:v>
      </x:c>
      <x:c r="AI48" s="79"/>
      <x:c r="AJ48" s="79"/>
      <x:c r="AK48" s="79"/>
      <x:c r="AL48" t="str">
        <x:v>بامیه پودر</x:v>
      </x:c>
      <x:c r="AM48" t="str">
        <x:v>single_50</x:v>
      </x:c>
      <x:c r="AN48" t="str">
        <x:v>canonical_group_row</x:v>
      </x:c>
      <x:c r="AO48" t="str">
        <x:v>گیاهان دارویی</x:v>
      </x:c>
      <x:c r="AP48" t="str">
        <x:v>6a3782d7df5573f4e676e243</x:v>
      </x:c>
      <x:c r="AQ48" t="str">
        <x:v>medicinal-plants</x:v>
      </x:c>
      <x:c r="AR48" t="str">
        <x:v>EDIBLE</x:v>
      </x:c>
      <x:c r="AS48" t="str">
        <x:v>بله</x:v>
      </x:c>
      <x:c r="AT48" t="str">
        <x:v>OK</x:v>
      </x:c>
      <x:c r="AU48" t="str">
        <x:v>دسته از «نیاز به بررسی» به «گیاهان دارویی» اصلاح شد</x:v>
      </x:c>
    </x:row>
    <x:row r="49">
      <x:c r="A49" s="79" t="n">
        <x:v>51</x:v>
      </x:c>
      <x:c r="B49" s="79" t="str">
        <x:v>NS-0048-1</x:v>
      </x:c>
      <x:c r="C49" s="79" t="str">
        <x:v>برگ بو</x:v>
      </x:c>
      <x:c r="D49" s="79" t="str">
        <x:v>bay_leaf</x:v>
      </x:c>
      <x:c r="E49" s="79" t="str">
        <x:v>update</x:v>
      </x:c>
      <x:c r="F49" s="79" t="str">
        <x:v>بله</x:v>
      </x:c>
      <x:c r="G49" s="79" t="str">
        <x:v>گیاهان دارویی</x:v>
      </x:c>
      <x:c r="H49" s="79" t="str">
        <x:v>گیاهان دارویی</x:v>
      </x:c>
      <x:c r="I49" s="79" t="str">
        <x:v>6a3782d7df5573f4e676e243</x:v>
      </x:c>
      <x:c r="J49" s="79" t="str">
        <x:v>medicinal-plants</x:v>
      </x:c>
      <x:c r="K49" s="79"/>
      <x:c r="L49" s="79" t="str">
        <x:v>EDIBLE</x:v>
      </x:c>
      <x:c r="M49" s="79" t="str">
        <x:v>بله</x:v>
      </x:c>
      <x:c r="N49" s="79" t="str">
        <x:v>خوراکی</x:v>
      </x:c>
      <x:c r="O49" s="79" t="str">
        <x:v>خیر</x:v>
      </x:c>
      <x:c r="P49" s="79" t="n">
        <x:v>1</x:v>
      </x:c>
      <x:c r="Q49" s="79" t="str">
        <x:v>کیلو</x:v>
      </x:c>
      <x:c r="R49" s="79" t="str">
        <x:v>1/500</x:v>
      </x:c>
      <x:c r="S49" s="104" t="n">
        <x:v>1500000</x:v>
      </x:c>
      <x:c r="T49" s="79" t="n">
        <x:v>1</x:v>
      </x:c>
      <x:c r="U49" s="79" t="str">
        <x:v>kg</x:v>
      </x:c>
      <x:c r="V49" s="79" t="str">
        <x:v>کیلو</x:v>
      </x:c>
      <x:c r="W49" s="99" t="b">
        <x:v>1</x:v>
      </x:c>
      <x:c r="X49" s="79" t="str"/>
      <x:c r="Y49" s="79"/>
      <x:c r="Z49" s="104"/>
      <x:c r="AA49" s="79" t="str"/>
      <x:c r="AB49" s="79" t="str"/>
      <x:c r="AC49" s="79" t="str"/>
      <x:c r="AD49" s="79" t="str"/>
      <x:c r="AE49" s="79" t="str">
        <x:v>فعال</x:v>
      </x:c>
      <x:c r="AF49" s="79" t="str">
        <x:v>دسته‌بندی نهایی</x:v>
      </x:c>
      <x:c r="AG49" s="79" t="str">
        <x:v>OK</x:v>
      </x:c>
      <x:c r="AH49" s="79" t="str">
        <x:v>[{"name": "کیلو", "sku": "", "price": 1500000, "stock": "", "weight": 1, "weightUnit": "kg", "containerSize": "کیلو", "isDefault": true}]</x:v>
      </x:c>
      <x:c r="AI49" s="79"/>
      <x:c r="AJ49" s="79"/>
      <x:c r="AK49" s="79"/>
      <x:c r="AL49" t="str">
        <x:v>برگ بو</x:v>
      </x:c>
      <x:c r="AM49" t="str">
        <x:v>single_51</x:v>
      </x:c>
      <x:c r="AN49" t="str">
        <x:v>canonical_group_row</x:v>
      </x:c>
      <x:c r="AO49" t="str">
        <x:v>گیاهان دارویی</x:v>
      </x:c>
      <x:c r="AP49" t="str">
        <x:v>6a3782d7df5573f4e676e243</x:v>
      </x:c>
      <x:c r="AQ49" t="str">
        <x:v>medicinal-plants</x:v>
      </x:c>
      <x:c r="AR49" t="str">
        <x:v>EDIBLE</x:v>
      </x:c>
      <x:c r="AS49" t="str">
        <x:v>بله</x:v>
      </x:c>
      <x:c r="AT49" t="str">
        <x:v>OK</x:v>
      </x:c>
      <x:c r="AU49"/>
    </x:row>
    <x:row r="50">
      <x:c r="A50" s="79" t="n">
        <x:v>52</x:v>
      </x:c>
      <x:c r="B50" s="79" t="str">
        <x:v>NS-0049-1</x:v>
      </x:c>
      <x:c r="C50" s="79" t="str">
        <x:v>بکینگ پودر</x:v>
      </x:c>
      <x:c r="D50" s="79" t="str">
        <x:v>baking_powder</x:v>
      </x:c>
      <x:c r="E50" s="79" t="str">
        <x:v>update</x:v>
      </x:c>
      <x:c r="F50" s="79" t="str">
        <x:v>بله</x:v>
      </x:c>
      <x:c r="G50" s="79" t="str">
        <x:v>آرد و قنادی</x:v>
      </x:c>
      <x:c r="H50" s="79" t="str">
        <x:v>آرد و قنادی</x:v>
      </x:c>
      <x:c r="I50" s="79" t="str">
        <x:v>6a3a00000000000000000004</x:v>
      </x:c>
      <x:c r="J50" s="79" t="str">
        <x:v>flour-confectionery</x:v>
      </x:c>
      <x:c r="K50" s="79" t="str">
        <x:v>6a3a00000000000000000003</x:v>
      </x:c>
      <x:c r="L50" s="79" t="str">
        <x:v>EDIBLE</x:v>
      </x:c>
      <x:c r="M50" s="79" t="str">
        <x:v>بله</x:v>
      </x:c>
      <x:c r="N50" s="79" t="str">
        <x:v>خوراکی</x:v>
      </x:c>
      <x:c r="O50" s="79" t="str">
        <x:v>خیر</x:v>
      </x:c>
      <x:c r="P50" s="79" t="n">
        <x:v>1</x:v>
      </x:c>
      <x:c r="Q50" s="79" t="str">
        <x:v>کیلو</x:v>
      </x:c>
      <x:c r="R50" s="79" t="n">
        <x:v>610</x:v>
      </x:c>
      <x:c r="S50" s="104" t="n">
        <x:v>610000</x:v>
      </x:c>
      <x:c r="T50" s="79" t="n">
        <x:v>1</x:v>
      </x:c>
      <x:c r="U50" s="79" t="str">
        <x:v>kg</x:v>
      </x:c>
      <x:c r="V50" s="79" t="str">
        <x:v>کیلو</x:v>
      </x:c>
      <x:c r="W50" s="99" t="b">
        <x:v>1</x:v>
      </x:c>
      <x:c r="X50" s="79" t="str"/>
      <x:c r="Y50" s="79"/>
      <x:c r="Z50" s="104"/>
      <x:c r="AA50" s="79" t="str"/>
      <x:c r="AB50" s="79" t="str"/>
      <x:c r="AC50" s="79" t="str"/>
      <x:c r="AD50" s="79" t="str"/>
      <x:c r="AE50" s="79" t="str">
        <x:v>فعال</x:v>
      </x:c>
      <x:c r="AF50" s="79" t="str">
        <x:v>دسته‌بندی نهایی</x:v>
      </x:c>
      <x:c r="AG50" s="79" t="str">
        <x:v>OK</x:v>
      </x:c>
      <x:c r="AH50" s="79" t="str">
        <x:v>[{"name": "کیلو", "sku": "", "price": 610000, "stock": "", "weight": 1, "weightUnit": "kg", "containerSize": "کیلو", "isDefault": true}]</x:v>
      </x:c>
      <x:c r="AI50" s="79"/>
      <x:c r="AJ50" s="79"/>
      <x:c r="AK50" s="79"/>
      <x:c r="AL50" t="str">
        <x:v>بکینگ پودر</x:v>
      </x:c>
      <x:c r="AM50" t="str">
        <x:v>single_52</x:v>
      </x:c>
      <x:c r="AN50" t="str">
        <x:v>canonical_group_row</x:v>
      </x:c>
      <x:c r="AO50" t="str">
        <x:v>آرد و قنادی</x:v>
      </x:c>
      <x:c r="AP50" t="str">
        <x:v>6a3a00000000000000000004</x:v>
      </x:c>
      <x:c r="AQ50" t="str">
        <x:v>flour-confectionery</x:v>
      </x:c>
      <x:c r="AR50" t="str">
        <x:v>EDIBLE</x:v>
      </x:c>
      <x:c r="AS50" t="str">
        <x:v>بله</x:v>
      </x:c>
      <x:c r="AT50" t="str">
        <x:v>OK</x:v>
      </x:c>
      <x:c r="AU50"/>
    </x:row>
    <x:row r="51">
      <x:c r="A51" s="79" t="n">
        <x:v>53</x:v>
      </x:c>
      <x:c r="B51" s="79" t="str">
        <x:v>NS-0050-1</x:v>
      </x:c>
      <x:c r="C51" s="79" t="str">
        <x:v>بلوط</x:v>
      </x:c>
      <x:c r="D51" s="79" t="str">
        <x:v>acorn</x:v>
      </x:c>
      <x:c r="E51" s="79" t="str">
        <x:v>update</x:v>
      </x:c>
      <x:c r="F51" s="79" t="str">
        <x:v>بله</x:v>
      </x:c>
      <x:c r="G51" s="79" t="str">
        <x:v>سایر</x:v>
      </x:c>
      <x:c r="H51" s="79" t="str">
        <x:v>خشکبار و آجیل</x:v>
      </x:c>
      <x:c r="I51" s="79" t="str">
        <x:v>6a37810ddf5573f4e676e201</x:v>
      </x:c>
      <x:c r="J51" s="79" t="str">
        <x:v>dried-fruits-nuts</x:v>
      </x:c>
      <x:c r="K51" s="79"/>
      <x:c r="L51" s="79" t="str">
        <x:v>EDIBLE</x:v>
      </x:c>
      <x:c r="M51" s="79" t="str">
        <x:v>بله</x:v>
      </x:c>
      <x:c r="N51" s="79" t="str">
        <x:v>خوراکی</x:v>
      </x:c>
      <x:c r="O51" s="79" t="str">
        <x:v>خیر</x:v>
      </x:c>
      <x:c r="P51" s="79" t="n">
        <x:v>1</x:v>
      </x:c>
      <x:c r="Q51" s="79" t="str">
        <x:v>کیلو</x:v>
      </x:c>
      <x:c r="R51" s="79" t="n">
        <x:v>800</x:v>
      </x:c>
      <x:c r="S51" s="104" t="n">
        <x:v>800000</x:v>
      </x:c>
      <x:c r="T51" s="79" t="n">
        <x:v>1</x:v>
      </x:c>
      <x:c r="U51" s="79" t="str">
        <x:v>kg</x:v>
      </x:c>
      <x:c r="V51" s="79" t="str">
        <x:v>کیلو</x:v>
      </x:c>
      <x:c r="W51" s="99" t="b">
        <x:v>1</x:v>
      </x:c>
      <x:c r="X51" s="79" t="str"/>
      <x:c r="Y51" s="79"/>
      <x:c r="Z51" s="104"/>
      <x:c r="AA51" s="79" t="str"/>
      <x:c r="AB51" s="79" t="str"/>
      <x:c r="AC51" s="79" t="str"/>
      <x:c r="AD51" s="79" t="str"/>
      <x:c r="AE51" s="79" t="str">
        <x:v>فعال</x:v>
      </x:c>
      <x:c r="AF51" s="79" t="str">
        <x:v>نیازمند بررسی دستی</x:v>
      </x:c>
      <x:c r="AG51" s="79" t="str">
        <x:v>دسته از «نیاز به بررسی» به «خشکبار و آجیل» اصلاح شد</x:v>
      </x:c>
      <x:c r="AH51" s="79" t="str">
        <x:v>[{"name": "کیلو", "sku": "", "price": 800000, "stock": "", "weight": 1, "weightUnit": "kg", "containerSize": "کیلو", "isDefault": true}]</x:v>
      </x:c>
      <x:c r="AI51" s="79"/>
      <x:c r="AJ51" s="79"/>
      <x:c r="AK51" s="79"/>
      <x:c r="AL51" t="str">
        <x:v>بلوط</x:v>
      </x:c>
      <x:c r="AM51" t="str">
        <x:v>single_53</x:v>
      </x:c>
      <x:c r="AN51" t="str">
        <x:v>canonical_group_row</x:v>
      </x:c>
      <x:c r="AO51" t="str">
        <x:v>خشکبار و آجیل</x:v>
      </x:c>
      <x:c r="AP51" t="str">
        <x:v>6a37810ddf5573f4e676e201</x:v>
      </x:c>
      <x:c r="AQ51" t="str">
        <x:v>dried-fruits-nuts</x:v>
      </x:c>
      <x:c r="AR51" t="str">
        <x:v>EDIBLE</x:v>
      </x:c>
      <x:c r="AS51" t="str">
        <x:v>بله</x:v>
      </x:c>
      <x:c r="AT51" t="str">
        <x:v>OK</x:v>
      </x:c>
      <x:c r="AU51" t="str">
        <x:v>دسته از «نیاز به بررسی» به «خشکبار و آجیل» اصلاح شد</x:v>
      </x:c>
    </x:row>
    <x:row r="52">
      <x:c r="A52" s="79" t="n">
        <x:v>54</x:v>
      </x:c>
      <x:c r="B52" s="79" t="str">
        <x:v>NS-0051-1</x:v>
      </x:c>
      <x:c r="C52" s="79" t="str">
        <x:v>به خشک</x:v>
      </x:c>
      <x:c r="D52" s="79" t="str">
        <x:v>dried_quince</x:v>
      </x:c>
      <x:c r="E52" s="79" t="str">
        <x:v>update</x:v>
      </x:c>
      <x:c r="F52" s="79" t="str">
        <x:v>بله</x:v>
      </x:c>
      <x:c r="G52" s="79" t="str">
        <x:v>گیاهان دارویی</x:v>
      </x:c>
      <x:c r="H52" s="79" t="str">
        <x:v>گیاهان دارویی</x:v>
      </x:c>
      <x:c r="I52" s="79" t="str">
        <x:v>6a3782d7df5573f4e676e243</x:v>
      </x:c>
      <x:c r="J52" s="79" t="str">
        <x:v>medicinal-plants</x:v>
      </x:c>
      <x:c r="K52" s="79"/>
      <x:c r="L52" s="79" t="str">
        <x:v>EDIBLE</x:v>
      </x:c>
      <x:c r="M52" s="79" t="str">
        <x:v>بله</x:v>
      </x:c>
      <x:c r="N52" s="79" t="str">
        <x:v>خوراکی</x:v>
      </x:c>
      <x:c r="O52" s="79" t="str">
        <x:v>خیر</x:v>
      </x:c>
      <x:c r="P52" s="79" t="n">
        <x:v>1</x:v>
      </x:c>
      <x:c r="Q52" s="79" t="str">
        <x:v>کیلو</x:v>
      </x:c>
      <x:c r="R52" s="79" t="n">
        <x:v>650</x:v>
      </x:c>
      <x:c r="S52" s="104" t="n">
        <x:v>650000</x:v>
      </x:c>
      <x:c r="T52" s="79" t="n">
        <x:v>1</x:v>
      </x:c>
      <x:c r="U52" s="79" t="str">
        <x:v>kg</x:v>
      </x:c>
      <x:c r="V52" s="79" t="str">
        <x:v>کیلو</x:v>
      </x:c>
      <x:c r="W52" s="99" t="b">
        <x:v>1</x:v>
      </x:c>
      <x:c r="X52" s="79" t="str"/>
      <x:c r="Y52" s="79"/>
      <x:c r="Z52" s="104"/>
      <x:c r="AA52" s="79" t="str"/>
      <x:c r="AB52" s="79" t="str"/>
      <x:c r="AC52" s="79" t="str"/>
      <x:c r="AD52" s="79" t="str"/>
      <x:c r="AE52" s="79" t="str">
        <x:v>فعال</x:v>
      </x:c>
      <x:c r="AF52" s="79" t="str">
        <x:v>دسته‌بندی نهایی</x:v>
      </x:c>
      <x:c r="AG52" s="79" t="str">
        <x:v>OK</x:v>
      </x:c>
      <x:c r="AH52" s="79" t="str">
        <x:v>[{"name": "کیلو", "sku": "", "price": 650000, "stock": "", "weight": 1, "weightUnit": "kg", "containerSize": "کیلو", "isDefault": true}]</x:v>
      </x:c>
      <x:c r="AI52" s="79"/>
      <x:c r="AJ52" s="79"/>
      <x:c r="AK52" s="79"/>
      <x:c r="AL52" t="str">
        <x:v>به خشک</x:v>
      </x:c>
      <x:c r="AM52" t="str">
        <x:v>single_54</x:v>
      </x:c>
      <x:c r="AN52" t="str">
        <x:v>canonical_group_row</x:v>
      </x:c>
      <x:c r="AO52" t="str">
        <x:v>گیاهان دارویی</x:v>
      </x:c>
      <x:c r="AP52" t="str">
        <x:v>6a3782d7df5573f4e676e243</x:v>
      </x:c>
      <x:c r="AQ52" t="str">
        <x:v>medicinal-plants</x:v>
      </x:c>
      <x:c r="AR52" t="str">
        <x:v>EDIBLE</x:v>
      </x:c>
      <x:c r="AS52" t="str">
        <x:v>بله</x:v>
      </x:c>
      <x:c r="AT52" t="str">
        <x:v>OK</x:v>
      </x:c>
      <x:c r="AU52"/>
    </x:row>
    <x:row r="53">
      <x:c r="A53" s="79" t="n">
        <x:v>55</x:v>
      </x:c>
      <x:c r="B53" s="79" t="str">
        <x:v>NS-0052-1</x:v>
      </x:c>
      <x:c r="C53" s="79" t="str">
        <x:v>پاپریکا</x:v>
      </x:c>
      <x:c r="D53" s="79" t="str">
        <x:v>paprika</x:v>
      </x:c>
      <x:c r="E53" s="79" t="str">
        <x:v>update</x:v>
      </x:c>
      <x:c r="F53" s="79" t="str">
        <x:v>بله</x:v>
      </x:c>
      <x:c r="G53" s="79" t="str">
        <x:v>ادویه و چاشنی</x:v>
      </x:c>
      <x:c r="H53" s="79" t="str">
        <x:v>ادویه</x:v>
      </x:c>
      <x:c r="I53" s="79" t="str">
        <x:v>6a3781e4df5573f4e676e226</x:v>
      </x:c>
      <x:c r="J53" s="79" t="str">
        <x:v>spice</x:v>
      </x:c>
      <x:c r="K53" s="79"/>
      <x:c r="L53" s="79" t="str">
        <x:v>EDIBLE</x:v>
      </x:c>
      <x:c r="M53" s="79" t="str">
        <x:v>بله</x:v>
      </x:c>
      <x:c r="N53" s="79" t="str">
        <x:v>خوراکی</x:v>
      </x:c>
      <x:c r="O53" s="79" t="str">
        <x:v>خیر</x:v>
      </x:c>
      <x:c r="P53" s="79" t="n">
        <x:v>1</x:v>
      </x:c>
      <x:c r="Q53" s="79" t="str">
        <x:v>کیلو</x:v>
      </x:c>
      <x:c r="R53" s="79" t="n">
        <x:v>990</x:v>
      </x:c>
      <x:c r="S53" s="104" t="n">
        <x:v>990000</x:v>
      </x:c>
      <x:c r="T53" s="79" t="n">
        <x:v>1</x:v>
      </x:c>
      <x:c r="U53" s="79" t="str">
        <x:v>kg</x:v>
      </x:c>
      <x:c r="V53" s="79" t="str">
        <x:v>کیلو</x:v>
      </x:c>
      <x:c r="W53" s="99" t="b">
        <x:v>1</x:v>
      </x:c>
      <x:c r="X53" s="79" t="str"/>
      <x:c r="Y53" s="79"/>
      <x:c r="Z53" s="104"/>
      <x:c r="AA53" s="79" t="str"/>
      <x:c r="AB53" s="79" t="str"/>
      <x:c r="AC53" s="79" t="str"/>
      <x:c r="AD53" s="79" t="str"/>
      <x:c r="AE53" s="79" t="str">
        <x:v>فعال</x:v>
      </x:c>
      <x:c r="AF53" s="79" t="str">
        <x:v>دسته‌بندی نهایی</x:v>
      </x:c>
      <x:c r="AG53" s="79" t="str">
        <x:v>OK</x:v>
      </x:c>
      <x:c r="AH53" s="79" t="str">
        <x:v>[{"name": "کیلو", "sku": "", "price": 990000, "stock": "", "weight": 1, "weightUnit": "kg", "containerSize": "کیلو", "isDefault": true}]</x:v>
      </x:c>
      <x:c r="AI53" s="79"/>
      <x:c r="AJ53" s="79"/>
      <x:c r="AK53" s="79"/>
      <x:c r="AL53" t="str">
        <x:v>پاپریکا</x:v>
      </x:c>
      <x:c r="AM53" t="str">
        <x:v>single_55</x:v>
      </x:c>
      <x:c r="AN53" t="str">
        <x:v>canonical_group_row</x:v>
      </x:c>
      <x:c r="AO53" t="str">
        <x:v>ادویه</x:v>
      </x:c>
      <x:c r="AP53" t="str">
        <x:v>6a3781e4df5573f4e676e226</x:v>
      </x:c>
      <x:c r="AQ53" t="str">
        <x:v>spice</x:v>
      </x:c>
      <x:c r="AR53" t="str">
        <x:v>EDIBLE</x:v>
      </x:c>
      <x:c r="AS53" t="str">
        <x:v>بله</x:v>
      </x:c>
      <x:c r="AT53" t="str">
        <x:v>OK</x:v>
      </x:c>
      <x:c r="AU53"/>
    </x:row>
    <x:row r="54">
      <x:c r="A54" s="79" t="n">
        <x:v>56</x:v>
      </x:c>
      <x:c r="B54" s="79" t="str">
        <x:v>NS-0053-1</x:v>
      </x:c>
      <x:c r="C54" s="79" t="str">
        <x:v>پاکت</x:v>
      </x:c>
      <x:c r="D54" s="79" t="str">
        <x:v>pouch</x:v>
      </x:c>
      <x:c r="E54" s="79" t="str">
        <x:v>update</x:v>
      </x:c>
      <x:c r="F54" s="79" t="str">
        <x:v>بله</x:v>
      </x:c>
      <x:c r="G54" s="79" t="str">
        <x:v>ملزومات</x:v>
      </x:c>
      <x:c r="H54" s="79" t="str">
        <x:v>عدم ایمپورت</x:v>
      </x:c>
      <x:c r="I54" s="79"/>
      <x:c r="J54" s="79" t="str">
        <x:v>SKIP</x:v>
      </x:c>
      <x:c r="K54" s="79"/>
      <x:c r="L54" s="79" t="str">
        <x:v>NON_PRODUCT</x:v>
      </x:c>
      <x:c r="M54" s="79" t="str">
        <x:v>خیر</x:v>
      </x:c>
      <x:c r="N54" s="79" t="str">
        <x:v>عدم ایمپورت</x:v>
      </x:c>
      <x:c r="O54" s="79" t="str">
        <x:v>خیر</x:v>
      </x:c>
      <x:c r="P54" s="79" t="n">
        <x:v>1</x:v>
      </x:c>
      <x:c r="Q54" s="79" t="str">
        <x:v>کیلویی</x:v>
      </x:c>
      <x:c r="R54" s="79" t="n">
        <x:v>700</x:v>
      </x:c>
      <x:c r="S54" s="104" t="n">
        <x:v>700000</x:v>
      </x:c>
      <x:c r="T54" s="79" t="n">
        <x:v>1</x:v>
      </x:c>
      <x:c r="U54" s="79" t="str">
        <x:v>kg</x:v>
      </x:c>
      <x:c r="V54" s="79" t="str">
        <x:v>کیلویی</x:v>
      </x:c>
      <x:c r="W54" s="99" t="b">
        <x:v>1</x:v>
      </x:c>
      <x:c r="X54" s="79" t="str"/>
      <x:c r="Y54" s="79"/>
      <x:c r="Z54" s="104"/>
      <x:c r="AA54" s="79" t="str"/>
      <x:c r="AB54" s="79" t="str"/>
      <x:c r="AC54" s="79" t="str"/>
      <x:c r="AD54" s="79" t="str"/>
      <x:c r="AE54" s="79" t="str">
        <x:v>فعال</x:v>
      </x:c>
      <x:c r="AF54" s="79" t="str">
        <x:v>نیازمند بررسی دستی</x:v>
      </x:c>
      <x:c r="AG54" s="79" t="str">
        <x:v>ملزومات/ظرف/ابزار است و چون دسته «ملزومات» حذف شده، برای سایت ایمپورت نشود.</x:v>
      </x:c>
      <x:c r="AH54" s="79" t="str">
        <x:v>[{"name": "کیلویی", "sku": "", "price": 700000, "stock": "", "weight": 1, "weightUnit": "kg", "containerSize": "کیلویی", "isDefault": true}]</x:v>
      </x:c>
      <x:c r="AI54" s="79"/>
      <x:c r="AJ54" s="79"/>
      <x:c r="AK54" s="79"/>
      <x:c r="AL54" t="str">
        <x:v>پاکت</x:v>
      </x:c>
      <x:c r="AM54" t="str">
        <x:v>single_56</x:v>
      </x:c>
      <x:c r="AN54" t="str">
        <x:v>skip_do_not_import</x:v>
      </x:c>
      <x:c r="AO54" t="str">
        <x:v>عدم ایمپورت</x:v>
      </x:c>
      <x:c r="AP54"/>
      <x:c r="AQ54" t="str">
        <x:v>SKIP</x:v>
      </x:c>
      <x:c r="AR54" t="str">
        <x:v>NON_PRODUCT</x:v>
      </x:c>
      <x:c r="AS54" t="str">
        <x:v>خیر</x:v>
      </x:c>
      <x:c r="AT54" t="str">
        <x:v>SKIP_NON_PRODUCT</x:v>
      </x:c>
      <x:c r="AU54" t="str">
        <x:v>ملزومات/ظرف/ابزار است و چون دسته «ملزومات» حذف شده، برای سایت ایمپورت نشود.</x:v>
      </x:c>
    </x:row>
    <x:row r="55">
      <x:c r="A55" s="79" t="n">
        <x:v>57</x:v>
      </x:c>
      <x:c r="B55" s="79" t="str">
        <x:v>NS-0054-1</x:v>
      </x:c>
      <x:c r="C55" s="79" t="str">
        <x:v>پماد سرد</x:v>
      </x:c>
      <x:c r="D55" s="79" t="str">
        <x:v>ointment_cold_10_gram</x:v>
      </x:c>
      <x:c r="E55" s="79" t="str">
        <x:v>update</x:v>
      </x:c>
      <x:c r="F55" s="79" t="str">
        <x:v>بله</x:v>
      </x:c>
      <x:c r="G55" s="79" t="str">
        <x:v>سایر</x:v>
      </x:c>
      <x:c r="H55" s="79" t="str">
        <x:v>گیاهان دارویی</x:v>
      </x:c>
      <x:c r="I55" s="79" t="str">
        <x:v>6a3782d7df5573f4e676e243</x:v>
      </x:c>
      <x:c r="J55" s="79" t="str">
        <x:v>medicinal-plants</x:v>
      </x:c>
      <x:c r="K55" s="79"/>
      <x:c r="L55" s="79" t="str">
        <x:v>TOPICAL</x:v>
      </x:c>
      <x:c r="M55" s="79" t="str">
        <x:v>خیر</x:v>
      </x:c>
      <x:c r="N55" s="79" t="str">
        <x:v>غیرخوراکی/موضعی</x:v>
      </x:c>
      <x:c r="O55" s="79" t="str">
        <x:v>بله</x:v>
      </x:c>
      <x:c r="P55" s="79" t="n">
        <x:v>2</x:v>
      </x:c>
      <x:c r="Q55" s="79" t="str">
        <x:v>10 گرمی</x:v>
      </x:c>
      <x:c r="R55" s="79" t="n">
        <x:v>250</x:v>
      </x:c>
      <x:c r="S55" s="104" t="n">
        <x:v>250000</x:v>
      </x:c>
      <x:c r="T55" s="79" t="n">
        <x:v>10</x:v>
      </x:c>
      <x:c r="U55" s="79" t="str">
        <x:v>g</x:v>
      </x:c>
      <x:c r="V55" s="79" t="str">
        <x:v>10 گرمی</x:v>
      </x:c>
      <x:c r="W55" s="99" t="b">
        <x:v>1</x:v>
      </x:c>
      <x:c r="X55" s="79" t="str">
        <x:v>20 گرمی</x:v>
      </x:c>
      <x:c r="Y55" s="79" t="n">
        <x:v>360</x:v>
      </x:c>
      <x:c r="Z55" s="104" t="n">
        <x:v>360000</x:v>
      </x:c>
      <x:c r="AA55" s="79" t="n">
        <x:v>20</x:v>
      </x:c>
      <x:c r="AB55" s="79" t="str">
        <x:v>g</x:v>
      </x:c>
      <x:c r="AC55" s="79" t="str">
        <x:v>20 گرمی</x:v>
      </x:c>
      <x:c r="AD55" s="99" t="b">
        <x:v>0</x:v>
      </x:c>
      <x:c r="AE55" s="79" t="str">
        <x:v>فعال</x:v>
      </x:c>
      <x:c r="AF55" s="79" t="str">
        <x:v>نیازمند بررسی دستی</x:v>
      </x:c>
      <x:c r="AG55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55" s="79" t="str">
        <x:v>[{"name": "10 گرمی", "sku": "", "price": 250000, "stock": "", "weight": 10, "weightUnit": "g", "containerSize": "10 گرمی", "isDefault": true}, {"name": "20 گرمی", "sku": "", "price": 360000, "stock": "", "weight": 20, "weightUnit": "g", "containerSize": "20 گرمی", "isDefault": false}]</x:v>
      </x:c>
      <x:c r="AI55" s="79"/>
      <x:c r="AJ55" s="79"/>
      <x:c r="AK55" s="79"/>
      <x:c r="AL55" t="str">
        <x:v>پماد سرد</x:v>
      </x:c>
      <x:c r="AM55" t="str">
        <x:v>single_57</x:v>
      </x:c>
      <x:c r="AN55" t="str">
        <x:v>canonical_group_row</x:v>
      </x:c>
      <x:c r="AO55" t="str">
        <x:v>گیاهان دارویی</x:v>
      </x:c>
      <x:c r="AP55" t="str">
        <x:v>6a3782d7df5573f4e676e243</x:v>
      </x:c>
      <x:c r="AQ55" t="str">
        <x:v>medicinal-plants</x:v>
      </x:c>
      <x:c r="AR55" t="str">
        <x:v>TOPICAL</x:v>
      </x:c>
      <x:c r="AS55" t="str">
        <x:v>خیر</x:v>
      </x:c>
      <x:c r="AT55" t="str">
        <x:v>OK</x:v>
      </x:c>
      <x:c r="AU55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56">
      <x:c r="A56" s="79" t="n">
        <x:v>58</x:v>
      </x:c>
      <x:c r="B56" s="79" t="str">
        <x:v>NS-0055-1</x:v>
      </x:c>
      <x:c r="C56" s="79" t="str">
        <x:v>پماد سیاه</x:v>
      </x:c>
      <x:c r="D56" s="79" t="str">
        <x:v>ointment_black</x:v>
      </x:c>
      <x:c r="E56" s="79" t="str">
        <x:v>update</x:v>
      </x:c>
      <x:c r="F56" s="79" t="str">
        <x:v>بله</x:v>
      </x:c>
      <x:c r="G56" s="79" t="str">
        <x:v>سایر</x:v>
      </x:c>
      <x:c r="H56" s="79" t="str">
        <x:v>گیاهان دارویی</x:v>
      </x:c>
      <x:c r="I56" s="79" t="str">
        <x:v>6a3782d7df5573f4e676e243</x:v>
      </x:c>
      <x:c r="J56" s="79" t="str">
        <x:v>medicinal-plants</x:v>
      </x:c>
      <x:c r="K56" s="79"/>
      <x:c r="L56" s="79" t="str">
        <x:v>TOPICAL</x:v>
      </x:c>
      <x:c r="M56" s="79" t="str">
        <x:v>خیر</x:v>
      </x:c>
      <x:c r="N56" s="79" t="str">
        <x:v>غیرخوراکی/موضعی</x:v>
      </x:c>
      <x:c r="O56" s="79" t="str">
        <x:v>خیر</x:v>
      </x:c>
      <x:c r="P56" s="79" t="n">
        <x:v>1</x:v>
      </x:c>
      <x:c r="Q56" s="79" t="str">
        <x:v>کیلو</x:v>
      </x:c>
      <x:c r="R56" s="79" t="n">
        <x:v>120</x:v>
      </x:c>
      <x:c r="S56" s="104" t="n">
        <x:v>120000</x:v>
      </x:c>
      <x:c r="T56" s="79" t="n">
        <x:v>1</x:v>
      </x:c>
      <x:c r="U56" s="79" t="str">
        <x:v>kg</x:v>
      </x:c>
      <x:c r="V56" s="79" t="str">
        <x:v>کیلو</x:v>
      </x:c>
      <x:c r="W56" s="99" t="b">
        <x:v>1</x:v>
      </x:c>
      <x:c r="X56" s="79" t="str"/>
      <x:c r="Y56" s="79"/>
      <x:c r="Z56" s="104"/>
      <x:c r="AA56" s="79" t="str"/>
      <x:c r="AB56" s="79" t="str"/>
      <x:c r="AC56" s="79" t="str"/>
      <x:c r="AD56" s="79" t="str"/>
      <x:c r="AE56" s="79" t="str">
        <x:v>فعال</x:v>
      </x:c>
      <x:c r="AF56" s="79" t="str">
        <x:v>نیازمند بررسی دستی</x:v>
      </x:c>
      <x:c r="AG56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56" s="79" t="str">
        <x:v>[{"name": "کیلو", "sku": "", "price": 120000, "stock": "", "weight": 1, "weightUnit": "kg", "containerSize": "کیلو", "isDefault": true}]</x:v>
      </x:c>
      <x:c r="AI56" s="79"/>
      <x:c r="AJ56" s="79"/>
      <x:c r="AK56" s="79"/>
      <x:c r="AL56" t="str">
        <x:v>پماد سیاه</x:v>
      </x:c>
      <x:c r="AM56" t="str">
        <x:v>single_58</x:v>
      </x:c>
      <x:c r="AN56" t="str">
        <x:v>canonical_group_row</x:v>
      </x:c>
      <x:c r="AO56" t="str">
        <x:v>گیاهان دارویی</x:v>
      </x:c>
      <x:c r="AP56" t="str">
        <x:v>6a3782d7df5573f4e676e243</x:v>
      </x:c>
      <x:c r="AQ56" t="str">
        <x:v>medicinal-plants</x:v>
      </x:c>
      <x:c r="AR56" t="str">
        <x:v>TOPICAL</x:v>
      </x:c>
      <x:c r="AS56" t="str">
        <x:v>خیر</x:v>
      </x:c>
      <x:c r="AT56" t="str">
        <x:v>OK</x:v>
      </x:c>
      <x:c r="AU56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57">
      <x:c r="A57" s="79" t="n">
        <x:v>59</x:v>
      </x:c>
      <x:c r="B57" s="79" t="str">
        <x:v>NS-0056-1</x:v>
      </x:c>
      <x:c r="C57" s="79" t="str">
        <x:v>پماد گرم</x:v>
      </x:c>
      <x:c r="D57" s="79" t="str">
        <x:v>ointment_warm_10_gram</x:v>
      </x:c>
      <x:c r="E57" s="79" t="str">
        <x:v>update</x:v>
      </x:c>
      <x:c r="F57" s="79" t="str">
        <x:v>بله</x:v>
      </x:c>
      <x:c r="G57" s="79" t="str">
        <x:v>سایر</x:v>
      </x:c>
      <x:c r="H57" s="79" t="str">
        <x:v>گیاهان دارویی</x:v>
      </x:c>
      <x:c r="I57" s="79" t="str">
        <x:v>6a3782d7df5573f4e676e243</x:v>
      </x:c>
      <x:c r="J57" s="79" t="str">
        <x:v>medicinal-plants</x:v>
      </x:c>
      <x:c r="K57" s="79"/>
      <x:c r="L57" s="79" t="str">
        <x:v>TOPICAL</x:v>
      </x:c>
      <x:c r="M57" s="79" t="str">
        <x:v>خیر</x:v>
      </x:c>
      <x:c r="N57" s="79" t="str">
        <x:v>غیرخوراکی/موضعی</x:v>
      </x:c>
      <x:c r="O57" s="79" t="str">
        <x:v>بله</x:v>
      </x:c>
      <x:c r="P57" s="79" t="n">
        <x:v>2</x:v>
      </x:c>
      <x:c r="Q57" s="79" t="str">
        <x:v>10 گرمی</x:v>
      </x:c>
      <x:c r="R57" s="79" t="n">
        <x:v>250</x:v>
      </x:c>
      <x:c r="S57" s="104" t="n">
        <x:v>250000</x:v>
      </x:c>
      <x:c r="T57" s="79" t="n">
        <x:v>10</x:v>
      </x:c>
      <x:c r="U57" s="79" t="str">
        <x:v>g</x:v>
      </x:c>
      <x:c r="V57" s="79" t="str">
        <x:v>10 گرمی</x:v>
      </x:c>
      <x:c r="W57" s="99" t="b">
        <x:v>1</x:v>
      </x:c>
      <x:c r="X57" s="79" t="str">
        <x:v>20 گرمی</x:v>
      </x:c>
      <x:c r="Y57" s="79" t="n">
        <x:v>360</x:v>
      </x:c>
      <x:c r="Z57" s="104" t="n">
        <x:v>360000</x:v>
      </x:c>
      <x:c r="AA57" s="79" t="n">
        <x:v>20</x:v>
      </x:c>
      <x:c r="AB57" s="79" t="str">
        <x:v>g</x:v>
      </x:c>
      <x:c r="AC57" s="79" t="str">
        <x:v>20 گرمی</x:v>
      </x:c>
      <x:c r="AD57" s="99" t="b">
        <x:v>0</x:v>
      </x:c>
      <x:c r="AE57" s="79" t="str">
        <x:v>فعال</x:v>
      </x:c>
      <x:c r="AF57" s="79" t="str">
        <x:v>نیازمند بررسی دستی</x:v>
      </x:c>
      <x:c r="AG57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57" s="79" t="str">
        <x:v>[{"name": "10 گرمی", "sku": "", "price": 250000, "stock": "", "weight": 10, "weightUnit": "g", "containerSize": "10 گرمی", "isDefault": true}, {"name": "20 گرمی", "sku": "", "price": 360000, "stock": "", "weight": 20, "weightUnit": "g", "containerSize": "20 گرمی", "isDefault": false}]</x:v>
      </x:c>
      <x:c r="AI57" s="79"/>
      <x:c r="AJ57" s="79"/>
      <x:c r="AK57" s="79"/>
      <x:c r="AL57" t="str">
        <x:v>پماد گرم</x:v>
      </x:c>
      <x:c r="AM57" t="str">
        <x:v>single_59</x:v>
      </x:c>
      <x:c r="AN57" t="str">
        <x:v>canonical_group_row</x:v>
      </x:c>
      <x:c r="AO57" t="str">
        <x:v>گیاهان دارویی</x:v>
      </x:c>
      <x:c r="AP57" t="str">
        <x:v>6a3782d7df5573f4e676e243</x:v>
      </x:c>
      <x:c r="AQ57" t="str">
        <x:v>medicinal-plants</x:v>
      </x:c>
      <x:c r="AR57" t="str">
        <x:v>TOPICAL</x:v>
      </x:c>
      <x:c r="AS57" t="str">
        <x:v>خیر</x:v>
      </x:c>
      <x:c r="AT57" t="str">
        <x:v>OK</x:v>
      </x:c>
      <x:c r="AU57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58">
      <x:c r="A58" s="79" t="n">
        <x:v>60</x:v>
      </x:c>
      <x:c r="B58" s="79" t="str">
        <x:v>NS-0057-1</x:v>
      </x:c>
      <x:c r="C58" s="79" t="str">
        <x:v>پماد لطیف</x:v>
      </x:c>
      <x:c r="D58" s="79" t="str">
        <x:v>ointment_latif_20_gram</x:v>
      </x:c>
      <x:c r="E58" s="79" t="str">
        <x:v>update</x:v>
      </x:c>
      <x:c r="F58" s="79" t="str">
        <x:v>بله</x:v>
      </x:c>
      <x:c r="G58" s="79" t="str">
        <x:v>سایر</x:v>
      </x:c>
      <x:c r="H58" s="79" t="str">
        <x:v>گیاهان دارویی</x:v>
      </x:c>
      <x:c r="I58" s="79" t="str">
        <x:v>6a3782d7df5573f4e676e243</x:v>
      </x:c>
      <x:c r="J58" s="79" t="str">
        <x:v>medicinal-plants</x:v>
      </x:c>
      <x:c r="K58" s="79"/>
      <x:c r="L58" s="79" t="str">
        <x:v>TOPICAL</x:v>
      </x:c>
      <x:c r="M58" s="79" t="str">
        <x:v>خیر</x:v>
      </x:c>
      <x:c r="N58" s="79" t="str">
        <x:v>غیرخوراکی/موضعی</x:v>
      </x:c>
      <x:c r="O58" s="79" t="str">
        <x:v>بله</x:v>
      </x:c>
      <x:c r="P58" s="79" t="n">
        <x:v>2</x:v>
      </x:c>
      <x:c r="Q58" s="79" t="str">
        <x:v>20 گرمی</x:v>
      </x:c>
      <x:c r="R58" s="79" t="n">
        <x:v>250</x:v>
      </x:c>
      <x:c r="S58" s="104" t="n">
        <x:v>250000</x:v>
      </x:c>
      <x:c r="T58" s="79" t="n">
        <x:v>20</x:v>
      </x:c>
      <x:c r="U58" s="79" t="str">
        <x:v>g</x:v>
      </x:c>
      <x:c r="V58" s="79" t="str">
        <x:v>20 گرمی</x:v>
      </x:c>
      <x:c r="W58" s="99" t="b">
        <x:v>1</x:v>
      </x:c>
      <x:c r="X58" s="79" t="str">
        <x:v>30 گرمی</x:v>
      </x:c>
      <x:c r="Y58" s="79" t="n">
        <x:v>360</x:v>
      </x:c>
      <x:c r="Z58" s="104" t="n">
        <x:v>360000</x:v>
      </x:c>
      <x:c r="AA58" s="79" t="n">
        <x:v>30</x:v>
      </x:c>
      <x:c r="AB58" s="79" t="str">
        <x:v>g</x:v>
      </x:c>
      <x:c r="AC58" s="79" t="str">
        <x:v>30 گرمی</x:v>
      </x:c>
      <x:c r="AD58" s="99" t="b">
        <x:v>0</x:v>
      </x:c>
      <x:c r="AE58" s="79" t="str">
        <x:v>فعال</x:v>
      </x:c>
      <x:c r="AF58" s="79" t="str">
        <x:v>نیازمند بررسی دستی</x:v>
      </x:c>
      <x:c r="AG5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58" s="79" t="str">
        <x:v>[{"name": "20 گرمی", "sku": "", "price": 250000, "stock": "", "weight": 20, "weightUnit": "g", "containerSize": "20 گرمی", "isDefault": true}, {"name": "30 گرمی", "sku": "", "price": 360000, "stock": "", "weight": 30, "weightUnit": "g", "containerSize": "30 گرمی", "isDefault": false}]</x:v>
      </x:c>
      <x:c r="AI58" s="79"/>
      <x:c r="AJ58" s="79"/>
      <x:c r="AK58" s="79"/>
      <x:c r="AL58" t="str">
        <x:v>پماد لطیف</x:v>
      </x:c>
      <x:c r="AM58" t="str">
        <x:v>single_60</x:v>
      </x:c>
      <x:c r="AN58" t="str">
        <x:v>canonical_group_row</x:v>
      </x:c>
      <x:c r="AO58" t="str">
        <x:v>گیاهان دارویی</x:v>
      </x:c>
      <x:c r="AP58" t="str">
        <x:v>6a3782d7df5573f4e676e243</x:v>
      </x:c>
      <x:c r="AQ58" t="str">
        <x:v>medicinal-plants</x:v>
      </x:c>
      <x:c r="AR58" t="str">
        <x:v>TOPICAL</x:v>
      </x:c>
      <x:c r="AS58" t="str">
        <x:v>خیر</x:v>
      </x:c>
      <x:c r="AT58" t="str">
        <x:v>OK</x:v>
      </x:c>
      <x:c r="AU58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59">
      <x:c r="A59" s="79" t="n">
        <x:v>61</x:v>
      </x:c>
      <x:c r="B59" s="79" t="str">
        <x:v>NS-0058-1</x:v>
      </x:c>
      <x:c r="C59" s="79" t="str">
        <x:v>پمادر درد (پماد ویکس)</x:v>
      </x:c>
      <x:c r="D59" s="79" t="str">
        <x:v>pmadr_pain_10_gram</x:v>
      </x:c>
      <x:c r="E59" s="79" t="str">
        <x:v>update</x:v>
      </x:c>
      <x:c r="F59" s="79" t="str">
        <x:v>بله</x:v>
      </x:c>
      <x:c r="G59" s="79" t="str">
        <x:v>سایر</x:v>
      </x:c>
      <x:c r="H59" s="79" t="str">
        <x:v>گیاهان دارویی</x:v>
      </x:c>
      <x:c r="I59" s="79" t="str">
        <x:v>6a3782d7df5573f4e676e243</x:v>
      </x:c>
      <x:c r="J59" s="79" t="str">
        <x:v>medicinal-plants</x:v>
      </x:c>
      <x:c r="K59" s="79"/>
      <x:c r="L59" s="79" t="str">
        <x:v>TOPICAL</x:v>
      </x:c>
      <x:c r="M59" s="79" t="str">
        <x:v>خیر</x:v>
      </x:c>
      <x:c r="N59" s="79" t="str">
        <x:v>غیرخوراکی/موضعی</x:v>
      </x:c>
      <x:c r="O59" s="79" t="str">
        <x:v>بله</x:v>
      </x:c>
      <x:c r="P59" s="79" t="n">
        <x:v>2</x:v>
      </x:c>
      <x:c r="Q59" s="79" t="str">
        <x:v>10 گرمی</x:v>
      </x:c>
      <x:c r="R59" s="79" t="n">
        <x:v>250</x:v>
      </x:c>
      <x:c r="S59" s="104" t="n">
        <x:v>250000</x:v>
      </x:c>
      <x:c r="T59" s="79" t="n">
        <x:v>10</x:v>
      </x:c>
      <x:c r="U59" s="79" t="str">
        <x:v>g</x:v>
      </x:c>
      <x:c r="V59" s="79" t="str">
        <x:v>10 گرمی</x:v>
      </x:c>
      <x:c r="W59" s="99" t="b">
        <x:v>1</x:v>
      </x:c>
      <x:c r="X59" s="79" t="str">
        <x:v>20 گرمی</x:v>
      </x:c>
      <x:c r="Y59" s="79" t="n">
        <x:v>360</x:v>
      </x:c>
      <x:c r="Z59" s="104" t="n">
        <x:v>360000</x:v>
      </x:c>
      <x:c r="AA59" s="79" t="n">
        <x:v>20</x:v>
      </x:c>
      <x:c r="AB59" s="79" t="str">
        <x:v>g</x:v>
      </x:c>
      <x:c r="AC59" s="79" t="str">
        <x:v>20 گرمی</x:v>
      </x:c>
      <x:c r="AD59" s="99" t="b">
        <x:v>0</x:v>
      </x:c>
      <x:c r="AE59" s="79" t="str">
        <x:v>فعال</x:v>
      </x:c>
      <x:c r="AF59" s="79" t="str">
        <x:v>نیازمند بررسی دستی</x:v>
      </x:c>
      <x:c r="AG5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59" s="79" t="str">
        <x:v>[{"name": "10 گرمی", "sku": "", "price": 250000, "stock": "", "weight": 10, "weightUnit": "g", "containerSize": "10 گرمی", "isDefault": true}, {"name": "20 گرمی", "sku": "", "price": 360000, "stock": "", "weight": 20, "weightUnit": "g", "containerSize": "20 گرمی", "isDefault": false}]</x:v>
      </x:c>
      <x:c r="AI59" s="79"/>
      <x:c r="AJ59" s="79"/>
      <x:c r="AK59" s="79"/>
      <x:c r="AL59" t="str">
        <x:v>پمادر درد (پماد ویکس)</x:v>
      </x:c>
      <x:c r="AM59" t="str">
        <x:v>single_61</x:v>
      </x:c>
      <x:c r="AN59" t="str">
        <x:v>canonical_group_row</x:v>
      </x:c>
      <x:c r="AO59" t="str">
        <x:v>گیاهان دارویی</x:v>
      </x:c>
      <x:c r="AP59" t="str">
        <x:v>6a3782d7df5573f4e676e243</x:v>
      </x:c>
      <x:c r="AQ59" t="str">
        <x:v>medicinal-plants</x:v>
      </x:c>
      <x:c r="AR59" t="str">
        <x:v>TOPICAL</x:v>
      </x:c>
      <x:c r="AS59" t="str">
        <x:v>خیر</x:v>
      </x:c>
      <x:c r="AT59" t="str">
        <x:v>OK</x:v>
      </x:c>
      <x:c r="AU5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60">
      <x:c r="A60" s="79" t="n">
        <x:v>62</x:v>
      </x:c>
      <x:c r="B60" s="79" t="str">
        <x:v>NS-0059-1</x:v>
      </x:c>
      <x:c r="C60" s="79" t="str">
        <x:v>پمادر درد (پماد ویکس) 55 گرمی</x:v>
      </x:c>
      <x:c r="D60" s="79" t="str">
        <x:v>pmadr_pain_55_gram</x:v>
      </x:c>
      <x:c r="E60" s="79" t="str">
        <x:v>update</x:v>
      </x:c>
      <x:c r="F60" s="79" t="str">
        <x:v>بله</x:v>
      </x:c>
      <x:c r="G60" s="79" t="str">
        <x:v>سایر</x:v>
      </x:c>
      <x:c r="H60" s="79" t="str">
        <x:v>گیاهان دارویی</x:v>
      </x:c>
      <x:c r="I60" s="79" t="str">
        <x:v>6a3782d7df5573f4e676e243</x:v>
      </x:c>
      <x:c r="J60" s="79" t="str">
        <x:v>medicinal-plants</x:v>
      </x:c>
      <x:c r="K60" s="79"/>
      <x:c r="L60" s="79" t="str">
        <x:v>TOPICAL</x:v>
      </x:c>
      <x:c r="M60" s="79" t="str">
        <x:v>خیر</x:v>
      </x:c>
      <x:c r="N60" s="79" t="str">
        <x:v>غیرخوراکی/موضعی</x:v>
      </x:c>
      <x:c r="O60" s="79" t="str">
        <x:v>خیر</x:v>
      </x:c>
      <x:c r="P60" s="79" t="n">
        <x:v>1</x:v>
      </x:c>
      <x:c r="Q60" s="79" t="str">
        <x:v>کیلو</x:v>
      </x:c>
      <x:c r="R60" s="79" t="n">
        <x:v>240</x:v>
      </x:c>
      <x:c r="S60" s="104" t="n">
        <x:v>240000</x:v>
      </x:c>
      <x:c r="T60" s="79" t="n">
        <x:v>1</x:v>
      </x:c>
      <x:c r="U60" s="79" t="str">
        <x:v>kg</x:v>
      </x:c>
      <x:c r="V60" s="79" t="str">
        <x:v>کیلو</x:v>
      </x:c>
      <x:c r="W60" s="99" t="b">
        <x:v>1</x:v>
      </x:c>
      <x:c r="X60" s="79" t="str"/>
      <x:c r="Y60" s="79"/>
      <x:c r="Z60" s="104"/>
      <x:c r="AA60" s="79" t="str"/>
      <x:c r="AB60" s="79" t="str"/>
      <x:c r="AC60" s="79" t="str"/>
      <x:c r="AD60" s="79" t="str"/>
      <x:c r="AE60" s="79" t="str">
        <x:v>فعال</x:v>
      </x:c>
      <x:c r="AF60" s="79" t="str">
        <x:v>نیازمند بررسی دستی</x:v>
      </x:c>
      <x:c r="AG6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60" s="79" t="str">
        <x:v>[{"name": "کیلو", "sku": "", "price": 240000, "stock": "", "weight": 1, "weightUnit": "kg", "containerSize": "کیلو", "isDefault": true}]</x:v>
      </x:c>
      <x:c r="AI60" s="79"/>
      <x:c r="AJ60" s="79"/>
      <x:c r="AK60" s="79"/>
      <x:c r="AL60" t="str">
        <x:v>پمادر درد (پماد ویکس) 55 گرمی</x:v>
      </x:c>
      <x:c r="AM60" t="str">
        <x:v>single_62</x:v>
      </x:c>
      <x:c r="AN60" t="str">
        <x:v>canonical_group_row</x:v>
      </x:c>
      <x:c r="AO60" t="str">
        <x:v>گیاهان دارویی</x:v>
      </x:c>
      <x:c r="AP60" t="str">
        <x:v>6a3782d7df5573f4e676e243</x:v>
      </x:c>
      <x:c r="AQ60" t="str">
        <x:v>medicinal-plants</x:v>
      </x:c>
      <x:c r="AR60" t="str">
        <x:v>TOPICAL</x:v>
      </x:c>
      <x:c r="AS60" t="str">
        <x:v>خیر</x:v>
      </x:c>
      <x:c r="AT60" t="str">
        <x:v>OK</x:v>
      </x:c>
      <x:c r="AU60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61">
      <x:c r="A61" s="79" t="n">
        <x:v>63</x:v>
      </x:c>
      <x:c r="B61" s="79" t="str">
        <x:v>NS-0060-1</x:v>
      </x:c>
      <x:c r="C61" s="79" t="str">
        <x:v>پودر خربزه</x:v>
      </x:c>
      <x:c r="D61" s="79" t="str">
        <x:v>melon_powder</x:v>
      </x:c>
      <x:c r="E61" s="79" t="str">
        <x:v>update</x:v>
      </x:c>
      <x:c r="F61" s="79" t="str">
        <x:v>بله</x:v>
      </x:c>
      <x:c r="G61" s="79" t="str">
        <x:v>سایر</x:v>
      </x:c>
      <x:c r="H61" s="79" t="str">
        <x:v>گیاهان دارویی</x:v>
      </x:c>
      <x:c r="I61" s="79" t="str">
        <x:v>6a3782d7df5573f4e676e243</x:v>
      </x:c>
      <x:c r="J61" s="79" t="str">
        <x:v>medicinal-plants</x:v>
      </x:c>
      <x:c r="K61" s="79"/>
      <x:c r="L61" s="79" t="str">
        <x:v>EDIBLE</x:v>
      </x:c>
      <x:c r="M61" s="79" t="str">
        <x:v>بله</x:v>
      </x:c>
      <x:c r="N61" s="79" t="str">
        <x:v>خوراکی</x:v>
      </x:c>
      <x:c r="O61" s="79" t="str">
        <x:v>خیر</x:v>
      </x:c>
      <x:c r="P61" s="79" t="n">
        <x:v>1</x:v>
      </x:c>
      <x:c r="Q61" s="79" t="str">
        <x:v>کیلو</x:v>
      </x:c>
      <x:c r="R61" s="79" t="str">
        <x:v>؟</x:v>
      </x:c>
      <x:c r="S61" s="104"/>
      <x:c r="T61" s="79" t="n">
        <x:v>1</x:v>
      </x:c>
      <x:c r="U61" s="79" t="str">
        <x:v>kg</x:v>
      </x:c>
      <x:c r="V61" s="79" t="str">
        <x:v>کیلو</x:v>
      </x:c>
      <x:c r="W61" s="99" t="b">
        <x:v>1</x:v>
      </x:c>
      <x:c r="X61" s="79" t="str"/>
      <x:c r="Y61" s="79"/>
      <x:c r="Z61" s="104"/>
      <x:c r="AA61" s="79" t="str"/>
      <x:c r="AB61" s="79" t="str"/>
      <x:c r="AC61" s="79" t="str"/>
      <x:c r="AD61" s="79" t="str"/>
      <x:c r="AE61" s="79" t="str">
        <x:v>نیاز به استعلام</x:v>
      </x:c>
      <x:c r="AF61" s="79" t="str">
        <x:v>نیازمند بررسی دستی</x:v>
      </x:c>
      <x:c r="AG61" s="79" t="str">
        <x:v>دسته از «نیاز به بررسی» به «گیاهان دارویی» اصلاح شد | یک یا چند قیمت نامشخص است</x:v>
      </x:c>
      <x:c r="AH61" s="79" t="str">
        <x:v>[{"name": "کیلو", "sku": "", "price": null, "stock": "", "weight": 1, "weightUnit": "kg", "containerSize": "کیلو", "isDefault": true}]</x:v>
      </x:c>
      <x:c r="AI61" s="79"/>
      <x:c r="AJ61" s="79"/>
      <x:c r="AK61" s="79"/>
      <x:c r="AL61" t="str">
        <x:v>پودر خربزه</x:v>
      </x:c>
      <x:c r="AM61" t="str">
        <x:v>single_63</x:v>
      </x:c>
      <x:c r="AN61" t="str">
        <x:v>canonical_group_row</x:v>
      </x:c>
      <x:c r="AO61" t="str">
        <x:v>گیاهان دارویی</x:v>
      </x:c>
      <x:c r="AP61" t="str">
        <x:v>6a3782d7df5573f4e676e243</x:v>
      </x:c>
      <x:c r="AQ61" t="str">
        <x:v>medicinal-plants</x:v>
      </x:c>
      <x:c r="AR61" t="str">
        <x:v>EDIBLE</x:v>
      </x:c>
      <x:c r="AS61" t="str">
        <x:v>بله</x:v>
      </x:c>
      <x:c r="AT61" t="str">
        <x:v>MISSING_PRICE_REVIEW</x:v>
      </x:c>
      <x:c r="AU61" t="str">
        <x:v>دسته از «نیاز به بررسی» به «گیاهان دارویی» اصلاح شد | یک یا چند قیمت نامشخص است</x:v>
      </x:c>
    </x:row>
    <x:row r="62">
      <x:c r="A62" s="79" t="n">
        <x:v>64</x:v>
      </x:c>
      <x:c r="B62" s="79" t="str">
        <x:v>NS-0061-1</x:v>
      </x:c>
      <x:c r="C62" s="79" t="str">
        <x:v>پودر سوخاری دانه درشت نارنجی</x:v>
      </x:c>
      <x:c r="D62" s="79" t="str">
        <x:v>coarse_orange_breadcrumbs</x:v>
      </x:c>
      <x:c r="E62" s="79" t="str">
        <x:v>update</x:v>
      </x:c>
      <x:c r="F62" s="79" t="str">
        <x:v>بله</x:v>
      </x:c>
      <x:c r="G62" s="79" t="str">
        <x:v>سایر</x:v>
      </x:c>
      <x:c r="H62" s="79" t="str">
        <x:v>آرد و قنادی</x:v>
      </x:c>
      <x:c r="I62" s="79" t="str">
        <x:v>6a3a00000000000000000004</x:v>
      </x:c>
      <x:c r="J62" s="79" t="str">
        <x:v>flour-confectionery</x:v>
      </x:c>
      <x:c r="K62" s="79" t="str">
        <x:v>6a3a00000000000000000003</x:v>
      </x:c>
      <x:c r="L62" s="79" t="str">
        <x:v>EDIBLE</x:v>
      </x:c>
      <x:c r="M62" s="79" t="str">
        <x:v>بله</x:v>
      </x:c>
      <x:c r="N62" s="79" t="str">
        <x:v>خوراکی</x:v>
      </x:c>
      <x:c r="O62" s="79" t="str">
        <x:v>خیر</x:v>
      </x:c>
      <x:c r="P62" s="79" t="n">
        <x:v>1</x:v>
      </x:c>
      <x:c r="Q62" s="79" t="str">
        <x:v>کیلو</x:v>
      </x:c>
      <x:c r="R62" s="79" t="n">
        <x:v>320</x:v>
      </x:c>
      <x:c r="S62" s="104" t="n">
        <x:v>320000</x:v>
      </x:c>
      <x:c r="T62" s="79" t="n">
        <x:v>1</x:v>
      </x:c>
      <x:c r="U62" s="79" t="str">
        <x:v>kg</x:v>
      </x:c>
      <x:c r="V62" s="79" t="str">
        <x:v>کیلو</x:v>
      </x:c>
      <x:c r="W62" s="99" t="b">
        <x:v>1</x:v>
      </x:c>
      <x:c r="X62" s="79" t="str"/>
      <x:c r="Y62" s="79"/>
      <x:c r="Z62" s="104"/>
      <x:c r="AA62" s="79" t="str"/>
      <x:c r="AB62" s="79" t="str"/>
      <x:c r="AC62" s="79" t="str"/>
      <x:c r="AD62" s="79" t="str"/>
      <x:c r="AE62" s="79" t="str">
        <x:v>فعال</x:v>
      </x:c>
      <x:c r="AF62" s="79" t="str">
        <x:v>نیازمند بررسی دستی</x:v>
      </x:c>
      <x:c r="AG62" s="79" t="str">
        <x:v>دسته از «نیاز به بررسی» به «آرد و قنادی» اصلاح شد</x:v>
      </x:c>
      <x:c r="AH62" s="79" t="str">
        <x:v>[{"name": "کیلو", "sku": "", "price": 320000, "stock": "", "weight": 1, "weightUnit": "kg", "containerSize": "کیلو", "isDefault": true}]</x:v>
      </x:c>
      <x:c r="AI62" s="79"/>
      <x:c r="AJ62" s="79"/>
      <x:c r="AK62" s="79"/>
      <x:c r="AL62" t="str">
        <x:v>پودر سوخاری دانه درشت نارنجی</x:v>
      </x:c>
      <x:c r="AM62" t="str">
        <x:v>single_64</x:v>
      </x:c>
      <x:c r="AN62" t="str">
        <x:v>canonical_group_row</x:v>
      </x:c>
      <x:c r="AO62" t="str">
        <x:v>آرد و قنادی</x:v>
      </x:c>
      <x:c r="AP62" t="str">
        <x:v>6a3a00000000000000000004</x:v>
      </x:c>
      <x:c r="AQ62" t="str">
        <x:v>flour-confectionery</x:v>
      </x:c>
      <x:c r="AR62" t="str">
        <x:v>EDIBLE</x:v>
      </x:c>
      <x:c r="AS62" t="str">
        <x:v>بله</x:v>
      </x:c>
      <x:c r="AT62" t="str">
        <x:v>OK</x:v>
      </x:c>
      <x:c r="AU62" t="str">
        <x:v>دسته از «نیاز به بررسی» به «آرد و قنادی» اصلاح شد</x:v>
      </x:c>
    </x:row>
    <x:row r="63">
      <x:c r="A63" s="79" t="n">
        <x:v>65</x:v>
      </x:c>
      <x:c r="B63" s="79" t="str"/>
      <x:c r="C63" s="79" t="str">
        <x:v>پودر شربت</x:v>
      </x:c>
      <x:c r="D63" s="79" t="str">
        <x:v>pvdr-shrbt</x:v>
      </x:c>
      <x:c r="E63" s="79" t="str">
        <x:v>import</x:v>
      </x:c>
      <x:c r="F63" s="79" t="str">
        <x:v>خیر</x:v>
      </x:c>
      <x:c r="G63" s="79" t="str"/>
      <x:c r="H63" s="79" t="str">
        <x:v>نوشیدنی‌ها</x:v>
      </x:c>
      <x:c r="I63" s="79" t="str">
        <x:v>6a3782ffdf5573f4e676e24b</x:v>
      </x:c>
      <x:c r="J63" s="79" t="str">
        <x:v>syrup</x:v>
      </x:c>
      <x:c r="K63" s="79" t="str">
        <x:v>6a3782d7df5573f4e676e243</x:v>
      </x:c>
      <x:c r="L63" s="79" t="str">
        <x:v>EDIBLE</x:v>
      </x:c>
      <x:c r="M63" s="79" t="str">
        <x:v>بله</x:v>
      </x:c>
      <x:c r="N63" s="79" t="str">
        <x:v>خوراکی</x:v>
      </x:c>
      <x:c r="O63" s="79" t="str">
        <x:v>خیر</x:v>
      </x:c>
      <x:c r="P63" s="79" t="n">
        <x:v>1</x:v>
      </x:c>
      <x:c r="Q63" s="79" t="str">
        <x:v>کیلو</x:v>
      </x:c>
      <x:c r="R63" s="79" t="n">
        <x:v>700</x:v>
      </x:c>
      <x:c r="S63" s="104" t="n">
        <x:v>700000</x:v>
      </x:c>
      <x:c r="T63" s="79" t="n">
        <x:v>1</x:v>
      </x:c>
      <x:c r="U63" s="79" t="str">
        <x:v>kg</x:v>
      </x:c>
      <x:c r="V63" s="79" t="str">
        <x:v>کیلو</x:v>
      </x:c>
      <x:c r="W63" s="99" t="b">
        <x:v>1</x:v>
      </x:c>
      <x:c r="X63" s="79" t="str"/>
      <x:c r="Y63" s="79"/>
      <x:c r="Z63" s="104"/>
      <x:c r="AA63" s="79" t="str"/>
      <x:c r="AB63" s="79" t="str"/>
      <x:c r="AC63" s="79" t="str"/>
      <x:c r="AD63" s="79" t="str"/>
      <x:c r="AE63" s="79" t="str">
        <x:v>فعال</x:v>
      </x:c>
      <x:c r="AF63" s="79" t="str">
        <x:v>دسته‌بندی نهایی</x:v>
      </x:c>
      <x:c r="AG63" s="79" t="str">
        <x:v>OK</x:v>
      </x:c>
      <x:c r="AH63" s="79" t="str">
        <x:v>[{"name": "کیلو", "sku": "", "price": 700000, "stock": "", "weight": 1, "weightUnit": "kg", "containerSize": "کیلو", "isDefault": true}]</x:v>
      </x:c>
      <x:c r="AI63" s="79"/>
      <x:c r="AJ63" s="79"/>
      <x:c r="AK63" s="79"/>
      <x:c r="AL63" t="str">
        <x:v>پودر شربت</x:v>
      </x:c>
      <x:c r="AM63" t="str">
        <x:v>single_65</x:v>
      </x:c>
      <x:c r="AN63" t="str">
        <x:v>canonical_group_row</x:v>
      </x:c>
      <x:c r="AO63" t="str">
        <x:v>نوشیدنی‌ها</x:v>
      </x:c>
      <x:c r="AP63" t="str">
        <x:v>6a3782ffdf5573f4e676e24b</x:v>
      </x:c>
      <x:c r="AQ63" t="str">
        <x:v>syrup</x:v>
      </x:c>
      <x:c r="AR63" t="str">
        <x:v>EDIBLE</x:v>
      </x:c>
      <x:c r="AS63" t="str">
        <x:v>بله</x:v>
      </x:c>
      <x:c r="AT63" t="str">
        <x:v>OK</x:v>
      </x:c>
      <x:c r="AU63"/>
    </x:row>
    <x:row r="64">
      <x:c r="A64" s="79" t="n">
        <x:v>66</x:v>
      </x:c>
      <x:c r="B64" s="79" t="str">
        <x:v>NS-0063-1</x:v>
      </x:c>
      <x:c r="C64" s="79" t="str">
        <x:v>پودر کشک گوسفندی</x:v>
      </x:c>
      <x:c r="D64" s="79" t="str">
        <x:v>sheep_kashk_powder</x:v>
      </x:c>
      <x:c r="E64" s="79" t="str">
        <x:v>update</x:v>
      </x:c>
      <x:c r="F64" s="79" t="str">
        <x:v>بله</x:v>
      </x:c>
      <x:c r="G64" s="79" t="str">
        <x:v>سایر</x:v>
      </x:c>
      <x:c r="H64" s="79" t="str">
        <x:v>قنادی و شیرینی</x:v>
      </x:c>
      <x:c r="I64" s="79" t="str">
        <x:v>6a3a00000000000000000003</x:v>
      </x:c>
      <x:c r="J64" s="79" t="str">
        <x:v>confectionery</x:v>
      </x:c>
      <x:c r="K64" s="79"/>
      <x:c r="L64" s="79" t="str">
        <x:v>EDIBLE</x:v>
      </x:c>
      <x:c r="M64" s="79" t="str">
        <x:v>بله</x:v>
      </x:c>
      <x:c r="N64" s="79" t="str">
        <x:v>خوراکی</x:v>
      </x:c>
      <x:c r="O64" s="79" t="str">
        <x:v>خیر</x:v>
      </x:c>
      <x:c r="P64" s="79" t="n">
        <x:v>1</x:v>
      </x:c>
      <x:c r="Q64" s="79" t="str">
        <x:v>کیلو</x:v>
      </x:c>
      <x:c r="R64" s="79" t="str">
        <x:v>1/100</x:v>
      </x:c>
      <x:c r="S64" s="104" t="n">
        <x:v>1100000</x:v>
      </x:c>
      <x:c r="T64" s="79" t="n">
        <x:v>1</x:v>
      </x:c>
      <x:c r="U64" s="79" t="str">
        <x:v>kg</x:v>
      </x:c>
      <x:c r="V64" s="79" t="str">
        <x:v>کیلو</x:v>
      </x:c>
      <x:c r="W64" s="99" t="b">
        <x:v>1</x:v>
      </x:c>
      <x:c r="X64" s="79" t="str"/>
      <x:c r="Y64" s="79"/>
      <x:c r="Z64" s="104"/>
      <x:c r="AA64" s="79" t="str"/>
      <x:c r="AB64" s="79" t="str"/>
      <x:c r="AC64" s="79" t="str"/>
      <x:c r="AD64" s="79" t="str"/>
      <x:c r="AE64" s="79" t="str">
        <x:v>فعال</x:v>
      </x:c>
      <x:c r="AF64" s="79" t="str">
        <x:v>نیازمند بررسی دستی</x:v>
      </x:c>
      <x:c r="AG64" s="79" t="str">
        <x:v>دسته از «نیاز به بررسی» به «قنادی و شیرینی» اصلاح شد</x:v>
      </x:c>
      <x:c r="AH64" s="79" t="str">
        <x:v>[{"name": "کیلو", "sku": "", "price": 1100000, "stock": "", "weight": 1, "weightUnit": "kg", "containerSize": "کیلو", "isDefault": true}]</x:v>
      </x:c>
      <x:c r="AI64" s="79"/>
      <x:c r="AJ64" s="79"/>
      <x:c r="AK64" s="79"/>
      <x:c r="AL64" t="str">
        <x:v>پودر کشک گوسفندی</x:v>
      </x:c>
      <x:c r="AM64" t="str">
        <x:v>single_66</x:v>
      </x:c>
      <x:c r="AN64" t="str">
        <x:v>canonical_group_row</x:v>
      </x:c>
      <x:c r="AO64" t="str">
        <x:v>قنادی و شیرینی</x:v>
      </x:c>
      <x:c r="AP64" t="str">
        <x:v>6a3a00000000000000000003</x:v>
      </x:c>
      <x:c r="AQ64" t="str">
        <x:v>confectionery</x:v>
      </x:c>
      <x:c r="AR64" t="str">
        <x:v>EDIBLE</x:v>
      </x:c>
      <x:c r="AS64" t="str">
        <x:v>بله</x:v>
      </x:c>
      <x:c r="AT64" t="str">
        <x:v>OK</x:v>
      </x:c>
      <x:c r="AU64" t="str">
        <x:v>دسته از «نیاز به بررسی» به «قنادی و شیرینی» اصلاح شد</x:v>
      </x:c>
    </x:row>
    <x:row r="65">
      <x:c r="A65" s="79" t="n">
        <x:v>67</x:v>
      </x:c>
      <x:c r="B65" s="79" t="str">
        <x:v>NS-0064-1</x:v>
      </x:c>
      <x:c r="C65" s="79" t="str">
        <x:v>پونه خشک</x:v>
      </x:c>
      <x:c r="D65" s="79" t="str">
        <x:v>pennyroyal_dried</x:v>
      </x:c>
      <x:c r="E65" s="79" t="str">
        <x:v>update</x:v>
      </x:c>
      <x:c r="F65" s="79" t="str">
        <x:v>بله</x:v>
      </x:c>
      <x:c r="G65" s="79" t="str">
        <x:v>سایر</x:v>
      </x:c>
      <x:c r="H65" s="79" t="str">
        <x:v>گیاهان دارویی</x:v>
      </x:c>
      <x:c r="I65" s="79" t="str">
        <x:v>6a3782d7df5573f4e676e243</x:v>
      </x:c>
      <x:c r="J65" s="79" t="str">
        <x:v>medicinal-plants</x:v>
      </x:c>
      <x:c r="K65" s="79"/>
      <x:c r="L65" s="79" t="str">
        <x:v>EDIBLE</x:v>
      </x:c>
      <x:c r="M65" s="79" t="str">
        <x:v>بله</x:v>
      </x:c>
      <x:c r="N65" s="79" t="str">
        <x:v>خوراکی</x:v>
      </x:c>
      <x:c r="O65" s="79" t="str">
        <x:v>خیر</x:v>
      </x:c>
      <x:c r="P65" s="79" t="n">
        <x:v>1</x:v>
      </x:c>
      <x:c r="Q65" s="79" t="str">
        <x:v>کیلو</x:v>
      </x:c>
      <x:c r="R65" s="79" t="n">
        <x:v>700</x:v>
      </x:c>
      <x:c r="S65" s="104" t="n">
        <x:v>700000</x:v>
      </x:c>
      <x:c r="T65" s="79" t="n">
        <x:v>1</x:v>
      </x:c>
      <x:c r="U65" s="79" t="str">
        <x:v>kg</x:v>
      </x:c>
      <x:c r="V65" s="79" t="str">
        <x:v>کیلو</x:v>
      </x:c>
      <x:c r="W65" s="99" t="b">
        <x:v>1</x:v>
      </x:c>
      <x:c r="X65" s="79" t="str"/>
      <x:c r="Y65" s="79"/>
      <x:c r="Z65" s="104"/>
      <x:c r="AA65" s="79" t="str"/>
      <x:c r="AB65" s="79" t="str"/>
      <x:c r="AC65" s="79" t="str"/>
      <x:c r="AD65" s="79" t="str"/>
      <x:c r="AE65" s="79" t="str">
        <x:v>فعال</x:v>
      </x:c>
      <x:c r="AF65" s="79" t="str">
        <x:v>نیازمند بررسی دستی</x:v>
      </x:c>
      <x:c r="AG65" s="79" t="str">
        <x:v>دسته از «نیاز به بررسی» به «گیاهان دارویی» اصلاح شد</x:v>
      </x:c>
      <x:c r="AH65" s="79" t="str">
        <x:v>[{"name": "کیلو", "sku": "", "price": 700000, "stock": "", "weight": 1, "weightUnit": "kg", "containerSize": "کیلو", "isDefault": true}]</x:v>
      </x:c>
      <x:c r="AI65" s="79"/>
      <x:c r="AJ65" s="79"/>
      <x:c r="AK65" s="79"/>
      <x:c r="AL65" t="str">
        <x:v>پونه خشک</x:v>
      </x:c>
      <x:c r="AM65" t="str">
        <x:v>single_67</x:v>
      </x:c>
      <x:c r="AN65" t="str">
        <x:v>canonical_group_row</x:v>
      </x:c>
      <x:c r="AO65" t="str">
        <x:v>گیاهان دارویی</x:v>
      </x:c>
      <x:c r="AP65" t="str">
        <x:v>6a3782d7df5573f4e676e243</x:v>
      </x:c>
      <x:c r="AQ65" t="str">
        <x:v>medicinal-plants</x:v>
      </x:c>
      <x:c r="AR65" t="str">
        <x:v>EDIBLE</x:v>
      </x:c>
      <x:c r="AS65" t="str">
        <x:v>بله</x:v>
      </x:c>
      <x:c r="AT65" t="str">
        <x:v>OK</x:v>
      </x:c>
      <x:c r="AU65" t="str">
        <x:v>دسته از «نیاز به بررسی» به «گیاهان دارویی» اصلاح شد</x:v>
      </x:c>
    </x:row>
    <x:row r="66">
      <x:c r="A66" s="79" t="n">
        <x:v>68</x:v>
      </x:c>
      <x:c r="B66" s="79" t="str">
        <x:v>NS-0065-1</x:v>
      </x:c>
      <x:c r="C66" s="79" t="str">
        <x:v>پیاز پودر</x:v>
      </x:c>
      <x:c r="D66" s="79" t="str">
        <x:v>onion_powder</x:v>
      </x:c>
      <x:c r="E66" s="79" t="str">
        <x:v>update</x:v>
      </x:c>
      <x:c r="F66" s="79" t="str">
        <x:v>بله</x:v>
      </x:c>
      <x:c r="G66" s="79" t="str">
        <x:v>ادویه و چاشنی</x:v>
      </x:c>
      <x:c r="H66" s="79" t="str">
        <x:v>ادویه</x:v>
      </x:c>
      <x:c r="I66" s="79" t="str">
        <x:v>6a3781e4df5573f4e676e226</x:v>
      </x:c>
      <x:c r="J66" s="79" t="str">
        <x:v>spice</x:v>
      </x:c>
      <x:c r="K66" s="79"/>
      <x:c r="L66" s="79" t="str">
        <x:v>EDIBLE</x:v>
      </x:c>
      <x:c r="M66" s="79" t="str">
        <x:v>بله</x:v>
      </x:c>
      <x:c r="N66" s="79" t="str">
        <x:v>خوراکی</x:v>
      </x:c>
      <x:c r="O66" s="79" t="str">
        <x:v>خیر</x:v>
      </x:c>
      <x:c r="P66" s="79" t="n">
        <x:v>1</x:v>
      </x:c>
      <x:c r="Q66" s="79" t="str">
        <x:v>کیلو</x:v>
      </x:c>
      <x:c r="R66" s="79" t="n">
        <x:v>700</x:v>
      </x:c>
      <x:c r="S66" s="104" t="n">
        <x:v>700000</x:v>
      </x:c>
      <x:c r="T66" s="79" t="n">
        <x:v>1</x:v>
      </x:c>
      <x:c r="U66" s="79" t="str">
        <x:v>kg</x:v>
      </x:c>
      <x:c r="V66" s="79" t="str">
        <x:v>کیلو</x:v>
      </x:c>
      <x:c r="W66" s="99" t="b">
        <x:v>1</x:v>
      </x:c>
      <x:c r="X66" s="79" t="str"/>
      <x:c r="Y66" s="79"/>
      <x:c r="Z66" s="104"/>
      <x:c r="AA66" s="79" t="str"/>
      <x:c r="AB66" s="79" t="str"/>
      <x:c r="AC66" s="79" t="str"/>
      <x:c r="AD66" s="79" t="str"/>
      <x:c r="AE66" s="79" t="str">
        <x:v>فعال</x:v>
      </x:c>
      <x:c r="AF66" s="79" t="str">
        <x:v>دسته‌بندی نهایی</x:v>
      </x:c>
      <x:c r="AG66" s="79" t="str">
        <x:v>OK</x:v>
      </x:c>
      <x:c r="AH66" s="79" t="str">
        <x:v>[{"name": "کیلو", "sku": "", "price": 700000, "stock": "", "weight": 1, "weightUnit": "kg", "containerSize": "کیلو", "isDefault": true}]</x:v>
      </x:c>
      <x:c r="AI66" s="79"/>
      <x:c r="AJ66" s="79"/>
      <x:c r="AK66" s="79"/>
      <x:c r="AL66" t="str">
        <x:v>پیاز پودر</x:v>
      </x:c>
      <x:c r="AM66" t="str">
        <x:v>single_68</x:v>
      </x:c>
      <x:c r="AN66" t="str">
        <x:v>canonical_group_row</x:v>
      </x:c>
      <x:c r="AO66" t="str">
        <x:v>ادویه</x:v>
      </x:c>
      <x:c r="AP66" t="str">
        <x:v>6a3781e4df5573f4e676e226</x:v>
      </x:c>
      <x:c r="AQ66" t="str">
        <x:v>spice</x:v>
      </x:c>
      <x:c r="AR66" t="str">
        <x:v>EDIBLE</x:v>
      </x:c>
      <x:c r="AS66" t="str">
        <x:v>بله</x:v>
      </x:c>
      <x:c r="AT66" t="str">
        <x:v>OK</x:v>
      </x:c>
      <x:c r="AU66"/>
    </x:row>
    <x:row r="67">
      <x:c r="A67" s="79" t="n">
        <x:v>69</x:v>
      </x:c>
      <x:c r="B67" s="79" t="str">
        <x:v>NS-0066-1</x:v>
      </x:c>
      <x:c r="C67" s="79" t="str">
        <x:v>تخم ریحان</x:v>
      </x:c>
      <x:c r="D67" s="79" t="str">
        <x:v>seed_basil</x:v>
      </x:c>
      <x:c r="E67" s="79" t="str">
        <x:v>update</x:v>
      </x:c>
      <x:c r="F67" s="79" t="str">
        <x:v>بله</x:v>
      </x:c>
      <x:c r="G67" s="79" t="str">
        <x:v>سایر</x:v>
      </x:c>
      <x:c r="H67" s="79" t="str">
        <x:v>خشکبار و آجیل</x:v>
      </x:c>
      <x:c r="I67" s="79" t="str">
        <x:v>6a37810ddf5573f4e676e201</x:v>
      </x:c>
      <x:c r="J67" s="79" t="str">
        <x:v>dried-fruits-nuts</x:v>
      </x:c>
      <x:c r="K67" s="79"/>
      <x:c r="L67" s="79" t="str">
        <x:v>EDIBLE</x:v>
      </x:c>
      <x:c r="M67" s="79" t="str">
        <x:v>بله</x:v>
      </x:c>
      <x:c r="N67" s="79" t="str">
        <x:v>خوراکی</x:v>
      </x:c>
      <x:c r="O67" s="79" t="str">
        <x:v>خیر</x:v>
      </x:c>
      <x:c r="P67" s="79" t="n">
        <x:v>1</x:v>
      </x:c>
      <x:c r="Q67" s="79" t="str">
        <x:v>کیلو</x:v>
      </x:c>
      <x:c r="R67" s="79" t="n">
        <x:v>550</x:v>
      </x:c>
      <x:c r="S67" s="104" t="n">
        <x:v>550000</x:v>
      </x:c>
      <x:c r="T67" s="79" t="n">
        <x:v>1</x:v>
      </x:c>
      <x:c r="U67" s="79" t="str">
        <x:v>kg</x:v>
      </x:c>
      <x:c r="V67" s="79" t="str">
        <x:v>کیلو</x:v>
      </x:c>
      <x:c r="W67" s="99" t="b">
        <x:v>1</x:v>
      </x:c>
      <x:c r="X67" s="79" t="str"/>
      <x:c r="Y67" s="79"/>
      <x:c r="Z67" s="104"/>
      <x:c r="AA67" s="79" t="str"/>
      <x:c r="AB67" s="79" t="str"/>
      <x:c r="AC67" s="79" t="str"/>
      <x:c r="AD67" s="79" t="str"/>
      <x:c r="AE67" s="79" t="str">
        <x:v>فعال</x:v>
      </x:c>
      <x:c r="AF67" s="79" t="str">
        <x:v>دسته‌بندی نهایی؛ اصلاح‌شده</x:v>
      </x:c>
      <x:c r="AG67" s="79" t="str">
        <x:v>OK</x:v>
      </x:c>
      <x:c r="AH67" s="79" t="str">
        <x:v>[{"name": "کیلو", "sku": "", "price": 550000, "stock": "", "weight": 1, "weightUnit": "kg", "containerSize": "کیلو", "isDefault": true}]</x:v>
      </x:c>
      <x:c r="AI67" s="79"/>
      <x:c r="AJ67" s="79"/>
      <x:c r="AK67" s="79"/>
      <x:c r="AL67" t="str">
        <x:v>تخم ریحان</x:v>
      </x:c>
      <x:c r="AM67" t="str">
        <x:v>single_69</x:v>
      </x:c>
      <x:c r="AN67" t="str">
        <x:v>canonical_group_row</x:v>
      </x:c>
      <x:c r="AO67" t="str">
        <x:v>خشکبار و آجیل</x:v>
      </x:c>
      <x:c r="AP67" t="str">
        <x:v>6a37810ddf5573f4e676e201</x:v>
      </x:c>
      <x:c r="AQ67" t="str">
        <x:v>dried-fruits-nuts</x:v>
      </x:c>
      <x:c r="AR67" t="str">
        <x:v>EDIBLE</x:v>
      </x:c>
      <x:c r="AS67" t="str">
        <x:v>بله</x:v>
      </x:c>
      <x:c r="AT67" t="str">
        <x:v>OK</x:v>
      </x:c>
      <x:c r="AU67"/>
    </x:row>
    <x:row r="68">
      <x:c r="A68" s="79" t="n">
        <x:v>70</x:v>
      </x:c>
      <x:c r="B68" s="79" t="str"/>
      <x:c r="C68" s="79" t="str">
        <x:v>تخم شربتی</x:v>
      </x:c>
      <x:c r="D68" s="79" t="str">
        <x:v>tkhm-shrbty</x:v>
      </x:c>
      <x:c r="E68" s="79" t="str">
        <x:v>import</x:v>
      </x:c>
      <x:c r="F68" s="79" t="str">
        <x:v>خیر</x:v>
      </x:c>
      <x:c r="G68" s="79" t="str"/>
      <x:c r="H68" s="79" t="str">
        <x:v>خشکبار و آجیل</x:v>
      </x:c>
      <x:c r="I68" s="79" t="str">
        <x:v>6a37810ddf5573f4e676e201</x:v>
      </x:c>
      <x:c r="J68" s="79" t="str">
        <x:v>dried-fruits-nuts</x:v>
      </x:c>
      <x:c r="K68" s="79"/>
      <x:c r="L68" s="79" t="str">
        <x:v>EDIBLE</x:v>
      </x:c>
      <x:c r="M68" s="79" t="str">
        <x:v>بله</x:v>
      </x:c>
      <x:c r="N68" s="79" t="str">
        <x:v>خوراکی</x:v>
      </x:c>
      <x:c r="O68" s="79" t="str">
        <x:v>خیر</x:v>
      </x:c>
      <x:c r="P68" s="79" t="n">
        <x:v>1</x:v>
      </x:c>
      <x:c r="Q68" s="79" t="str">
        <x:v>کیلو</x:v>
      </x:c>
      <x:c r="R68" s="79" t="n">
        <x:v>890</x:v>
      </x:c>
      <x:c r="S68" s="104" t="n">
        <x:v>890000</x:v>
      </x:c>
      <x:c r="T68" s="79" t="n">
        <x:v>1</x:v>
      </x:c>
      <x:c r="U68" s="79" t="str">
        <x:v>kg</x:v>
      </x:c>
      <x:c r="V68" s="79" t="str">
        <x:v>کیلو</x:v>
      </x:c>
      <x:c r="W68" s="99" t="b">
        <x:v>1</x:v>
      </x:c>
      <x:c r="X68" s="79" t="str"/>
      <x:c r="Y68" s="79"/>
      <x:c r="Z68" s="104"/>
      <x:c r="AA68" s="79" t="str"/>
      <x:c r="AB68" s="79" t="str"/>
      <x:c r="AC68" s="79" t="str"/>
      <x:c r="AD68" s="79" t="str"/>
      <x:c r="AE68" s="79" t="str">
        <x:v>فعال</x:v>
      </x:c>
      <x:c r="AF68" s="79" t="str">
        <x:v>دسته‌بندی نهایی؛ اصلاح‌شده</x:v>
      </x:c>
      <x:c r="AG68" s="79" t="str">
        <x:v>OK</x:v>
      </x:c>
      <x:c r="AH68" s="79" t="str">
        <x:v>[{"name": "کیلو", "sku": "", "price": 890000, "stock": "", "weight": 1, "weightUnit": "kg", "containerSize": "کیلو", "isDefault": true}]</x:v>
      </x:c>
      <x:c r="AI68" s="79"/>
      <x:c r="AJ68" s="79"/>
      <x:c r="AK68" s="79"/>
      <x:c r="AL68" t="str">
        <x:v>تخم شربتی</x:v>
      </x:c>
      <x:c r="AM68" t="str">
        <x:v>single_70</x:v>
      </x:c>
      <x:c r="AN68" t="str">
        <x:v>canonical_group_row</x:v>
      </x:c>
      <x:c r="AO68" t="str">
        <x:v>خشکبار و آجیل</x:v>
      </x:c>
      <x:c r="AP68" t="str">
        <x:v>6a37810ddf5573f4e676e201</x:v>
      </x:c>
      <x:c r="AQ68" t="str">
        <x:v>dried-fruits-nuts</x:v>
      </x:c>
      <x:c r="AR68" t="str">
        <x:v>EDIBLE</x:v>
      </x:c>
      <x:c r="AS68" t="str">
        <x:v>بله</x:v>
      </x:c>
      <x:c r="AT68" t="str">
        <x:v>OK</x:v>
      </x:c>
      <x:c r="AU68"/>
    </x:row>
    <x:row r="69">
      <x:c r="A69" s="79" t="n">
        <x:v>71</x:v>
      </x:c>
      <x:c r="B69" s="79" t="str">
        <x:v>NS-0068-1</x:v>
      </x:c>
      <x:c r="C69" s="79" t="str">
        <x:v>تخم کتان</x:v>
      </x:c>
      <x:c r="D69" s="79" t="str">
        <x:v>seed_flax</x:v>
      </x:c>
      <x:c r="E69" s="79" t="str">
        <x:v>update</x:v>
      </x:c>
      <x:c r="F69" s="79" t="str">
        <x:v>بله</x:v>
      </x:c>
      <x:c r="G69" s="79" t="str">
        <x:v>سایر</x:v>
      </x:c>
      <x:c r="H69" s="79" t="str">
        <x:v>خشکبار و آجیل</x:v>
      </x:c>
      <x:c r="I69" s="79" t="str">
        <x:v>6a37810ddf5573f4e676e201</x:v>
      </x:c>
      <x:c r="J69" s="79" t="str">
        <x:v>dried-fruits-nuts</x:v>
      </x:c>
      <x:c r="K69" s="79"/>
      <x:c r="L69" s="79" t="str">
        <x:v>EDIBLE</x:v>
      </x:c>
      <x:c r="M69" s="79" t="str">
        <x:v>بله</x:v>
      </x:c>
      <x:c r="N69" s="79" t="str">
        <x:v>خوراکی</x:v>
      </x:c>
      <x:c r="O69" s="79" t="str">
        <x:v>خیر</x:v>
      </x:c>
      <x:c r="P69" s="79" t="n">
        <x:v>1</x:v>
      </x:c>
      <x:c r="Q69" s="79" t="str">
        <x:v>کیلو</x:v>
      </x:c>
      <x:c r="R69" s="79" t="n">
        <x:v>400</x:v>
      </x:c>
      <x:c r="S69" s="104" t="n">
        <x:v>400000</x:v>
      </x:c>
      <x:c r="T69" s="79" t="n">
        <x:v>1</x:v>
      </x:c>
      <x:c r="U69" s="79" t="str">
        <x:v>kg</x:v>
      </x:c>
      <x:c r="V69" s="79" t="str">
        <x:v>کیلو</x:v>
      </x:c>
      <x:c r="W69" s="99" t="b">
        <x:v>1</x:v>
      </x:c>
      <x:c r="X69" s="79" t="str"/>
      <x:c r="Y69" s="79"/>
      <x:c r="Z69" s="104"/>
      <x:c r="AA69" s="79" t="str"/>
      <x:c r="AB69" s="79" t="str"/>
      <x:c r="AC69" s="79" t="str"/>
      <x:c r="AD69" s="79" t="str"/>
      <x:c r="AE69" s="79" t="str">
        <x:v>فعال</x:v>
      </x:c>
      <x:c r="AF69" s="79" t="str">
        <x:v>دسته‌بندی نهایی؛ اصلاح‌شده</x:v>
      </x:c>
      <x:c r="AG69" s="79" t="str">
        <x:v>OK</x:v>
      </x:c>
      <x:c r="AH69" s="79" t="str">
        <x:v>[{"name": "کیلو", "sku": "", "price": 400000, "stock": "", "weight": 1, "weightUnit": "kg", "containerSize": "کیلو", "isDefault": true}]</x:v>
      </x:c>
      <x:c r="AI69" s="79"/>
      <x:c r="AJ69" s="79"/>
      <x:c r="AK69" s="79"/>
      <x:c r="AL69" t="str">
        <x:v>تخم کتان</x:v>
      </x:c>
      <x:c r="AM69" t="str">
        <x:v>single_71</x:v>
      </x:c>
      <x:c r="AN69" t="str">
        <x:v>canonical_group_row</x:v>
      </x:c>
      <x:c r="AO69" t="str">
        <x:v>خشکبار و آجیل</x:v>
      </x:c>
      <x:c r="AP69" t="str">
        <x:v>6a37810ddf5573f4e676e201</x:v>
      </x:c>
      <x:c r="AQ69" t="str">
        <x:v>dried-fruits-nuts</x:v>
      </x:c>
      <x:c r="AR69" t="str">
        <x:v>EDIBLE</x:v>
      </x:c>
      <x:c r="AS69" t="str">
        <x:v>بله</x:v>
      </x:c>
      <x:c r="AT69" t="str">
        <x:v>OK</x:v>
      </x:c>
      <x:c r="AU69"/>
    </x:row>
    <x:row r="70">
      <x:c r="A70" s="79" t="n">
        <x:v>72</x:v>
      </x:c>
      <x:c r="B70" s="79" t="str">
        <x:v>NS-0069-1</x:v>
      </x:c>
      <x:c r="C70" s="79" t="str">
        <x:v>تخم مغز آفتابگردان</x:v>
      </x:c>
      <x:c r="D70" s="79" t="str">
        <x:v>seed_kernel_sunflower</x:v>
      </x:c>
      <x:c r="E70" s="79" t="str">
        <x:v>update</x:v>
      </x:c>
      <x:c r="F70" s="79" t="str">
        <x:v>بله</x:v>
      </x:c>
      <x:c r="G70" s="79" t="str">
        <x:v>سایر</x:v>
      </x:c>
      <x:c r="H70" s="79" t="str">
        <x:v>خشکبار و آجیل</x:v>
      </x:c>
      <x:c r="I70" s="79" t="str">
        <x:v>6a37810ddf5573f4e676e201</x:v>
      </x:c>
      <x:c r="J70" s="79" t="str">
        <x:v>dried-fruits-nuts</x:v>
      </x:c>
      <x:c r="K70" s="79"/>
      <x:c r="L70" s="79" t="str">
        <x:v>EDIBLE</x:v>
      </x:c>
      <x:c r="M70" s="79" t="str">
        <x:v>بله</x:v>
      </x:c>
      <x:c r="N70" s="79" t="str">
        <x:v>خوراکی</x:v>
      </x:c>
      <x:c r="O70" s="79" t="str">
        <x:v>خیر</x:v>
      </x:c>
      <x:c r="P70" s="79" t="n">
        <x:v>1</x:v>
      </x:c>
      <x:c r="Q70" s="79" t="str">
        <x:v>کیلو</x:v>
      </x:c>
      <x:c r="R70" s="79" t="str">
        <x:v>1/100</x:v>
      </x:c>
      <x:c r="S70" s="104" t="n">
        <x:v>1100000</x:v>
      </x:c>
      <x:c r="T70" s="79" t="n">
        <x:v>1</x:v>
      </x:c>
      <x:c r="U70" s="79" t="str">
        <x:v>kg</x:v>
      </x:c>
      <x:c r="V70" s="79" t="str">
        <x:v>کیلو</x:v>
      </x:c>
      <x:c r="W70" s="99" t="b">
        <x:v>1</x:v>
      </x:c>
      <x:c r="X70" s="79" t="str"/>
      <x:c r="Y70" s="79"/>
      <x:c r="Z70" s="104"/>
      <x:c r="AA70" s="79" t="str"/>
      <x:c r="AB70" s="79" t="str"/>
      <x:c r="AC70" s="79" t="str"/>
      <x:c r="AD70" s="79" t="str"/>
      <x:c r="AE70" s="79" t="str">
        <x:v>فعال</x:v>
      </x:c>
      <x:c r="AF70" s="79" t="str">
        <x:v>دسته‌بندی نهایی؛ اصلاح‌شده</x:v>
      </x:c>
      <x:c r="AG70" s="79" t="str">
        <x:v>OK</x:v>
      </x:c>
      <x:c r="AH70" s="79" t="str">
        <x:v>[{"name": "کیلو", "sku": "", "price": 1100000, "stock": "", "weight": 1, "weightUnit": "kg", "containerSize": "کیلو", "isDefault": true}]</x:v>
      </x:c>
      <x:c r="AI70" s="79"/>
      <x:c r="AJ70" s="79"/>
      <x:c r="AK70" s="79"/>
      <x:c r="AL70" t="str">
        <x:v>تخم مغز آفتابگردان</x:v>
      </x:c>
      <x:c r="AM70" t="str">
        <x:v>single_72</x:v>
      </x:c>
      <x:c r="AN70" t="str">
        <x:v>canonical_group_row</x:v>
      </x:c>
      <x:c r="AO70" t="str">
        <x:v>خشکبار و آجیل</x:v>
      </x:c>
      <x:c r="AP70" t="str">
        <x:v>6a37810ddf5573f4e676e201</x:v>
      </x:c>
      <x:c r="AQ70" t="str">
        <x:v>dried-fruits-nuts</x:v>
      </x:c>
      <x:c r="AR70" t="str">
        <x:v>EDIBLE</x:v>
      </x:c>
      <x:c r="AS70" t="str">
        <x:v>بله</x:v>
      </x:c>
      <x:c r="AT70" t="str">
        <x:v>OK</x:v>
      </x:c>
      <x:c r="AU70"/>
    </x:row>
    <x:row r="71">
      <x:c r="A71" s="79" t="n">
        <x:v>73</x:v>
      </x:c>
      <x:c r="B71" s="79" t="str">
        <x:v>NS-0070-1</x:v>
      </x:c>
      <x:c r="C71" s="79" t="str">
        <x:v>تخم مغز کدو</x:v>
      </x:c>
      <x:c r="D71" s="79" t="str">
        <x:v>seed_kernel_pumpkin</x:v>
      </x:c>
      <x:c r="E71" s="79" t="str">
        <x:v>update</x:v>
      </x:c>
      <x:c r="F71" s="79" t="str">
        <x:v>بله</x:v>
      </x:c>
      <x:c r="G71" s="79" t="str">
        <x:v>سایر</x:v>
      </x:c>
      <x:c r="H71" s="79" t="str">
        <x:v>خشکبار و آجیل</x:v>
      </x:c>
      <x:c r="I71" s="79" t="str">
        <x:v>6a37810ddf5573f4e676e201</x:v>
      </x:c>
      <x:c r="J71" s="79" t="str">
        <x:v>dried-fruits-nuts</x:v>
      </x:c>
      <x:c r="K71" s="79"/>
      <x:c r="L71" s="79" t="str">
        <x:v>EDIBLE</x:v>
      </x:c>
      <x:c r="M71" s="79" t="str">
        <x:v>بله</x:v>
      </x:c>
      <x:c r="N71" s="79" t="str">
        <x:v>خوراکی</x:v>
      </x:c>
      <x:c r="O71" s="79" t="str">
        <x:v>خیر</x:v>
      </x:c>
      <x:c r="P71" s="79" t="n">
        <x:v>1</x:v>
      </x:c>
      <x:c r="Q71" s="79" t="str">
        <x:v>کیلو</x:v>
      </x:c>
      <x:c r="R71" s="79" t="str">
        <x:v>1/800</x:v>
      </x:c>
      <x:c r="S71" s="104" t="n">
        <x:v>1800000</x:v>
      </x:c>
      <x:c r="T71" s="79" t="n">
        <x:v>1</x:v>
      </x:c>
      <x:c r="U71" s="79" t="str">
        <x:v>kg</x:v>
      </x:c>
      <x:c r="V71" s="79" t="str">
        <x:v>کیلو</x:v>
      </x:c>
      <x:c r="W71" s="99" t="b">
        <x:v>1</x:v>
      </x:c>
      <x:c r="X71" s="79" t="str"/>
      <x:c r="Y71" s="79"/>
      <x:c r="Z71" s="104"/>
      <x:c r="AA71" s="79" t="str"/>
      <x:c r="AB71" s="79" t="str"/>
      <x:c r="AC71" s="79" t="str"/>
      <x:c r="AD71" s="79" t="str"/>
      <x:c r="AE71" s="79" t="str">
        <x:v>فعال</x:v>
      </x:c>
      <x:c r="AF71" s="79" t="str">
        <x:v>دسته‌بندی نهایی؛ اصلاح‌شده</x:v>
      </x:c>
      <x:c r="AG71" s="79" t="str">
        <x:v>OK</x:v>
      </x:c>
      <x:c r="AH71" s="79" t="str">
        <x:v>[{"name": "کیلو", "sku": "", "price": 1800000, "stock": "", "weight": 1, "weightUnit": "kg", "containerSize": "کیلو", "isDefault": true}]</x:v>
      </x:c>
      <x:c r="AI71" s="79"/>
      <x:c r="AJ71" s="79"/>
      <x:c r="AK71" s="79"/>
      <x:c r="AL71" t="str">
        <x:v>تخم مغز کدو</x:v>
      </x:c>
      <x:c r="AM71" t="str">
        <x:v>single_73</x:v>
      </x:c>
      <x:c r="AN71" t="str">
        <x:v>canonical_group_row</x:v>
      </x:c>
      <x:c r="AO71" t="str">
        <x:v>خشکبار و آجیل</x:v>
      </x:c>
      <x:c r="AP71" t="str">
        <x:v>6a37810ddf5573f4e676e201</x:v>
      </x:c>
      <x:c r="AQ71" t="str">
        <x:v>dried-fruits-nuts</x:v>
      </x:c>
      <x:c r="AR71" t="str">
        <x:v>EDIBLE</x:v>
      </x:c>
      <x:c r="AS71" t="str">
        <x:v>بله</x:v>
      </x:c>
      <x:c r="AT71" t="str">
        <x:v>OK</x:v>
      </x:c>
      <x:c r="AU71"/>
    </x:row>
    <x:row r="72">
      <x:c r="A72" s="79" t="n">
        <x:v>74</x:v>
      </x:c>
      <x:c r="B72" s="79" t="str">
        <x:v>NS-0071-1</x:v>
      </x:c>
      <x:c r="C72" s="79" t="str">
        <x:v>تمرهندی</x:v>
      </x:c>
      <x:c r="D72" s="79" t="str">
        <x:v>tamarind</x:v>
      </x:c>
      <x:c r="E72" s="79" t="str">
        <x:v>update</x:v>
      </x:c>
      <x:c r="F72" s="79" t="str">
        <x:v>بله</x:v>
      </x:c>
      <x:c r="G72" s="79" t="str">
        <x:v>سایر</x:v>
      </x:c>
      <x:c r="H72" s="79" t="str">
        <x:v>خشکبار و آجیل</x:v>
      </x:c>
      <x:c r="I72" s="79" t="str">
        <x:v>6a37810ddf5573f4e676e201</x:v>
      </x:c>
      <x:c r="J72" s="79" t="str">
        <x:v>dried-fruits-nuts</x:v>
      </x:c>
      <x:c r="K72" s="79"/>
      <x:c r="L72" s="79" t="str">
        <x:v>EDIBLE</x:v>
      </x:c>
      <x:c r="M72" s="79" t="str">
        <x:v>بله</x:v>
      </x:c>
      <x:c r="N72" s="79" t="str">
        <x:v>خوراکی</x:v>
      </x:c>
      <x:c r="O72" s="79" t="str">
        <x:v>خیر</x:v>
      </x:c>
      <x:c r="P72" s="79" t="n">
        <x:v>1</x:v>
      </x:c>
      <x:c r="Q72" s="79" t="str">
        <x:v>کیلو</x:v>
      </x:c>
      <x:c r="R72" s="79" t="n">
        <x:v>130</x:v>
      </x:c>
      <x:c r="S72" s="104" t="n">
        <x:v>130000</x:v>
      </x:c>
      <x:c r="T72" s="79" t="n">
        <x:v>1</x:v>
      </x:c>
      <x:c r="U72" s="79" t="str">
        <x:v>kg</x:v>
      </x:c>
      <x:c r="V72" s="79" t="str">
        <x:v>کیلو</x:v>
      </x:c>
      <x:c r="W72" s="99" t="b">
        <x:v>1</x:v>
      </x:c>
      <x:c r="X72" s="79" t="str"/>
      <x:c r="Y72" s="79"/>
      <x:c r="Z72" s="104"/>
      <x:c r="AA72" s="79" t="str"/>
      <x:c r="AB72" s="79" t="str"/>
      <x:c r="AC72" s="79" t="str"/>
      <x:c r="AD72" s="79" t="str"/>
      <x:c r="AE72" s="79" t="str">
        <x:v>فعال</x:v>
      </x:c>
      <x:c r="AF72" s="79" t="str">
        <x:v>نیازمند بررسی دستی</x:v>
      </x:c>
      <x:c r="AG72" s="79" t="str">
        <x:v>دسته از «نیاز به بررسی» به «خشکبار و آجیل» اصلاح شد</x:v>
      </x:c>
      <x:c r="AH72" s="79" t="str">
        <x:v>[{"name": "کیلو", "sku": "", "price": 130000, "stock": "", "weight": 1, "weightUnit": "kg", "containerSize": "کیلو", "isDefault": true}]</x:v>
      </x:c>
      <x:c r="AI72" s="79"/>
      <x:c r="AJ72" s="79"/>
      <x:c r="AK72" s="79"/>
      <x:c r="AL72" t="str">
        <x:v>تمرهندی</x:v>
      </x:c>
      <x:c r="AM72" t="str">
        <x:v>single_74</x:v>
      </x:c>
      <x:c r="AN72" t="str">
        <x:v>canonical_group_row</x:v>
      </x:c>
      <x:c r="AO72" t="str">
        <x:v>خشکبار و آجیل</x:v>
      </x:c>
      <x:c r="AP72" t="str">
        <x:v>6a37810ddf5573f4e676e201</x:v>
      </x:c>
      <x:c r="AQ72" t="str">
        <x:v>dried-fruits-nuts</x:v>
      </x:c>
      <x:c r="AR72" t="str">
        <x:v>EDIBLE</x:v>
      </x:c>
      <x:c r="AS72" t="str">
        <x:v>بله</x:v>
      </x:c>
      <x:c r="AT72" t="str">
        <x:v>OK</x:v>
      </x:c>
      <x:c r="AU72" t="str">
        <x:v>دسته از «نیاز به بررسی» به «خشکبار و آجیل» اصلاح شد</x:v>
      </x:c>
    </x:row>
    <x:row r="73">
      <x:c r="A73" s="79" t="n">
        <x:v>75</x:v>
      </x:c>
      <x:c r="B73" s="79" t="str">
        <x:v>NS-0072-1</x:v>
      </x:c>
      <x:c r="C73" s="79" t="str">
        <x:v>توت خشک</x:v>
      </x:c>
      <x:c r="D73" s="79" t="str">
        <x:v>dried_mulberry</x:v>
      </x:c>
      <x:c r="E73" s="79" t="str">
        <x:v>update</x:v>
      </x:c>
      <x:c r="F73" s="79" t="str">
        <x:v>بله</x:v>
      </x:c>
      <x:c r="G73" s="79" t="str">
        <x:v>خشکبار و آجیل</x:v>
      </x:c>
      <x:c r="H73" s="79" t="str">
        <x:v>خشکبار و آجیل</x:v>
      </x:c>
      <x:c r="I73" s="79" t="str">
        <x:v>6a37810ddf5573f4e676e201</x:v>
      </x:c>
      <x:c r="J73" s="79" t="str">
        <x:v>dried-fruits-nuts</x:v>
      </x:c>
      <x:c r="K73" s="79"/>
      <x:c r="L73" s="79" t="str">
        <x:v>EDIBLE</x:v>
      </x:c>
      <x:c r="M73" s="79" t="str">
        <x:v>بله</x:v>
      </x:c>
      <x:c r="N73" s="79" t="str">
        <x:v>خوراکی</x:v>
      </x:c>
      <x:c r="O73" s="79" t="str">
        <x:v>خیر</x:v>
      </x:c>
      <x:c r="P73" s="79" t="n">
        <x:v>1</x:v>
      </x:c>
      <x:c r="Q73" s="79" t="str">
        <x:v>کیلو</x:v>
      </x:c>
      <x:c r="R73" s="79" t="str">
        <x:v>؟</x:v>
      </x:c>
      <x:c r="S73" s="104"/>
      <x:c r="T73" s="79" t="n">
        <x:v>1</x:v>
      </x:c>
      <x:c r="U73" s="79" t="str">
        <x:v>kg</x:v>
      </x:c>
      <x:c r="V73" s="79" t="str">
        <x:v>کیلو</x:v>
      </x:c>
      <x:c r="W73" s="99" t="b">
        <x:v>1</x:v>
      </x:c>
      <x:c r="X73" s="79" t="str"/>
      <x:c r="Y73" s="79"/>
      <x:c r="Z73" s="104"/>
      <x:c r="AA73" s="79" t="str"/>
      <x:c r="AB73" s="79" t="str"/>
      <x:c r="AC73" s="79" t="str"/>
      <x:c r="AD73" s="79" t="str"/>
      <x:c r="AE73" s="79" t="str">
        <x:v>نیاز به استعلام</x:v>
      </x:c>
      <x:c r="AF73" s="79" t="str">
        <x:v>دسته‌بندی نهایی</x:v>
      </x:c>
      <x:c r="AG73" s="79" t="str">
        <x:v>یک یا چند قیمت نامشخص است</x:v>
      </x:c>
      <x:c r="AH73" s="79" t="str">
        <x:v>[{"name": "کیلو", "sku": "", "price": null, "stock": "", "weight": 1, "weightUnit": "kg", "containerSize": "کیلو", "isDefault": true}]</x:v>
      </x:c>
      <x:c r="AI73" s="79"/>
      <x:c r="AJ73" s="79"/>
      <x:c r="AK73" s="79"/>
      <x:c r="AL73" t="str">
        <x:v>توت خشک</x:v>
      </x:c>
      <x:c r="AM73" t="str">
        <x:v>single_75</x:v>
      </x:c>
      <x:c r="AN73" t="str">
        <x:v>canonical_group_row</x:v>
      </x:c>
      <x:c r="AO73" t="str">
        <x:v>خشکبار و آجیل</x:v>
      </x:c>
      <x:c r="AP73" t="str">
        <x:v>6a37810ddf5573f4e676e201</x:v>
      </x:c>
      <x:c r="AQ73" t="str">
        <x:v>dried-fruits-nuts</x:v>
      </x:c>
      <x:c r="AR73" t="str">
        <x:v>EDIBLE</x:v>
      </x:c>
      <x:c r="AS73" t="str">
        <x:v>بله</x:v>
      </x:c>
      <x:c r="AT73" t="str">
        <x:v>MISSING_PRICE_REVIEW</x:v>
      </x:c>
      <x:c r="AU73" t="str">
        <x:v>یک یا چند قیمت نامشخص است</x:v>
      </x:c>
    </x:row>
    <x:row r="74">
      <x:c r="A74" s="79" t="n">
        <x:v>76</x:v>
      </x:c>
      <x:c r="B74" s="79" t="str"/>
      <x:c r="C74" s="79" t="str">
        <x:v>تی بگ چربی سوز 15 گرمی</x:v>
      </x:c>
      <x:c r="D74" s="79" t="str">
        <x:v>ty-bg-chrby-svz-15-grmy</x:v>
      </x:c>
      <x:c r="E74" s="79" t="str">
        <x:v>import</x:v>
      </x:c>
      <x:c r="F74" s="79" t="str">
        <x:v>خیر</x:v>
      </x:c>
      <x:c r="G74" s="79" t="str"/>
      <x:c r="H74" s="79" t="str">
        <x:v>چای</x:v>
      </x:c>
      <x:c r="I74" s="79" t="str">
        <x:v>6a30f5728337d8d2af170bb3</x:v>
      </x:c>
      <x:c r="J74" s="79" t="str">
        <x:v>tea</x:v>
      </x:c>
      <x:c r="K74" s="79"/>
      <x:c r="L74" s="79" t="str">
        <x:v>EDIBLE</x:v>
      </x:c>
      <x:c r="M74" s="79" t="str">
        <x:v>بله</x:v>
      </x:c>
      <x:c r="N74" s="79" t="str">
        <x:v>خوراکی</x:v>
      </x:c>
      <x:c r="O74" s="79" t="str">
        <x:v>بله</x:v>
      </x:c>
      <x:c r="P74" s="79" t="n">
        <x:v>2</x:v>
      </x:c>
      <x:c r="Q74" s="79" t="str">
        <x:v>بسته</x:v>
      </x:c>
      <x:c r="R74" s="79" t="n">
        <x:v>15</x:v>
      </x:c>
      <x:c r="S74" s="104" t="n">
        <x:v>15000</x:v>
      </x:c>
      <x:c r="T74" s="79" t="str"/>
      <x:c r="U74" s="79" t="str"/>
      <x:c r="V74" s="79" t="str">
        <x:v>بسته</x:v>
      </x:c>
      <x:c r="W74" s="99" t="b">
        <x:v>1</x:v>
      </x:c>
      <x:c r="X74" s="79" t="str">
        <x:v>کیلو</x:v>
      </x:c>
      <x:c r="Y74" s="79" t="str">
        <x:v>1/150</x:v>
      </x:c>
      <x:c r="Z74" s="104" t="n">
        <x:v>1150000</x:v>
      </x:c>
      <x:c r="AA74" s="79" t="n">
        <x:v>1</x:v>
      </x:c>
      <x:c r="AB74" s="79" t="str">
        <x:v>kg</x:v>
      </x:c>
      <x:c r="AC74" s="79" t="str">
        <x:v>کیلو</x:v>
      </x:c>
      <x:c r="AD74" s="99" t="b">
        <x:v>0</x:v>
      </x:c>
      <x:c r="AE74" s="79" t="str">
        <x:v>فعال</x:v>
      </x:c>
      <x:c r="AF74" s="79" t="str">
        <x:v>دسته‌بندی نهایی</x:v>
      </x:c>
      <x:c r="AG74" s="79" t="str">
        <x:v>OK</x:v>
      </x:c>
      <x:c r="AH74" s="79" t="str">
        <x:v>[{"name": "بسته", "sku": "", "price": 15000, "stock": "", "weight": "", "weightUnit": "", "containerSize": "بسته", "isDefault": true}, {"name": "کیلو", "sku": "", "price": 1150000, "stock": "", "weight": 1, "weightUnit": "kg", "containerSize": "کیلو", "isDefault": false}]</x:v>
      </x:c>
      <x:c r="AI74" s="79"/>
      <x:c r="AJ74" s="79"/>
      <x:c r="AK74" s="79"/>
      <x:c r="AL74" t="str">
        <x:v>تی بگ چربی سوز 15 گرمی</x:v>
      </x:c>
      <x:c r="AM74" t="str">
        <x:v>single_76</x:v>
      </x:c>
      <x:c r="AN74" t="str">
        <x:v>canonical_group_row</x:v>
      </x:c>
      <x:c r="AO74" t="str">
        <x:v>چای</x:v>
      </x:c>
      <x:c r="AP74" t="str">
        <x:v>6a30f5728337d8d2af170bb3</x:v>
      </x:c>
      <x:c r="AQ74" t="str">
        <x:v>tea</x:v>
      </x:c>
      <x:c r="AR74" t="str">
        <x:v>EDIBLE</x:v>
      </x:c>
      <x:c r="AS74" t="str">
        <x:v>بله</x:v>
      </x:c>
      <x:c r="AT74" t="str">
        <x:v>OK</x:v>
      </x:c>
      <x:c r="AU74"/>
    </x:row>
    <x:row r="75">
      <x:c r="A75" s="79" t="n">
        <x:v>77</x:v>
      </x:c>
      <x:c r="B75" s="79" t="str"/>
      <x:c r="C75" s="79" t="str">
        <x:v>تی بگ خواب آور 7 گرمی</x:v>
      </x:c>
      <x:c r="D75" s="79" t="str">
        <x:v>ty-bg-khvab-avr-7-grmy</x:v>
      </x:c>
      <x:c r="E75" s="79" t="str">
        <x:v>import</x:v>
      </x:c>
      <x:c r="F75" s="79" t="str">
        <x:v>خیر</x:v>
      </x:c>
      <x:c r="G75" s="79" t="str"/>
      <x:c r="H75" s="79" t="str">
        <x:v>چای</x:v>
      </x:c>
      <x:c r="I75" s="79" t="str">
        <x:v>6a30f5728337d8d2af170bb3</x:v>
      </x:c>
      <x:c r="J75" s="79" t="str">
        <x:v>tea</x:v>
      </x:c>
      <x:c r="K75" s="79"/>
      <x:c r="L75" s="79" t="str">
        <x:v>EDIBLE</x:v>
      </x:c>
      <x:c r="M75" s="79" t="str">
        <x:v>بله</x:v>
      </x:c>
      <x:c r="N75" s="79" t="str">
        <x:v>خوراکی</x:v>
      </x:c>
      <x:c r="O75" s="79" t="str">
        <x:v>بله</x:v>
      </x:c>
      <x:c r="P75" s="79" t="n">
        <x:v>2</x:v>
      </x:c>
      <x:c r="Q75" s="79" t="str">
        <x:v>بسته</x:v>
      </x:c>
      <x:c r="R75" s="79" t="n">
        <x:v>20</x:v>
      </x:c>
      <x:c r="S75" s="104" t="n">
        <x:v>20000</x:v>
      </x:c>
      <x:c r="T75" s="79" t="str"/>
      <x:c r="U75" s="79" t="str"/>
      <x:c r="V75" s="79" t="str">
        <x:v>بسته</x:v>
      </x:c>
      <x:c r="W75" s="99" t="b">
        <x:v>1</x:v>
      </x:c>
      <x:c r="X75" s="79" t="str">
        <x:v>کیلو</x:v>
      </x:c>
      <x:c r="Y75" s="79" t="str">
        <x:v>2/800</x:v>
      </x:c>
      <x:c r="Z75" s="104" t="n">
        <x:v>2800000</x:v>
      </x:c>
      <x:c r="AA75" s="79" t="n">
        <x:v>1</x:v>
      </x:c>
      <x:c r="AB75" s="79" t="str">
        <x:v>kg</x:v>
      </x:c>
      <x:c r="AC75" s="79" t="str">
        <x:v>کیلو</x:v>
      </x:c>
      <x:c r="AD75" s="99" t="b">
        <x:v>0</x:v>
      </x:c>
      <x:c r="AE75" s="79" t="str">
        <x:v>فعال</x:v>
      </x:c>
      <x:c r="AF75" s="79" t="str">
        <x:v>دسته‌بندی نهایی</x:v>
      </x:c>
      <x:c r="AG75" s="79" t="str">
        <x:v>OK</x:v>
      </x:c>
      <x:c r="AH75" s="79" t="str">
        <x:v>[{"name": "بسته", "sku": "", "price": 20000, "stock": "", "weight": "", "weightUnit": "", "containerSize": "بسته", "isDefault": true}, {"name": "کیلو", "sku": "", "price": 2800000, "stock": "", "weight": 1, "weightUnit": "kg", "containerSize": "کیلو", "isDefault": false}]</x:v>
      </x:c>
      <x:c r="AI75" s="79"/>
      <x:c r="AJ75" s="79"/>
      <x:c r="AK75" s="79"/>
      <x:c r="AL75" t="str">
        <x:v>تی بگ خواب آور 7 گرمی</x:v>
      </x:c>
      <x:c r="AM75" t="str">
        <x:v>single_77</x:v>
      </x:c>
      <x:c r="AN75" t="str">
        <x:v>canonical_group_row</x:v>
      </x:c>
      <x:c r="AO75" t="str">
        <x:v>چای</x:v>
      </x:c>
      <x:c r="AP75" t="str">
        <x:v>6a30f5728337d8d2af170bb3</x:v>
      </x:c>
      <x:c r="AQ75" t="str">
        <x:v>tea</x:v>
      </x:c>
      <x:c r="AR75" t="str">
        <x:v>EDIBLE</x:v>
      </x:c>
      <x:c r="AS75" t="str">
        <x:v>بله</x:v>
      </x:c>
      <x:c r="AT75" t="str">
        <x:v>OK</x:v>
      </x:c>
      <x:c r="AU75"/>
    </x:row>
    <x:row r="76">
      <x:c r="A76" s="79" t="n">
        <x:v>78</x:v>
      </x:c>
      <x:c r="B76" s="79" t="str"/>
      <x:c r="C76" s="79" t="str">
        <x:v>تی بگ ناب سرا</x:v>
      </x:c>
      <x:c r="D76" s="79" t="str">
        <x:v>ty-bg-nab-sra</x:v>
      </x:c>
      <x:c r="E76" s="79" t="str">
        <x:v>import</x:v>
      </x:c>
      <x:c r="F76" s="79" t="str">
        <x:v>خیر</x:v>
      </x:c>
      <x:c r="G76" s="79" t="str"/>
      <x:c r="H76" s="79" t="str">
        <x:v>چای</x:v>
      </x:c>
      <x:c r="I76" s="79" t="str">
        <x:v>6a30f5728337d8d2af170bb3</x:v>
      </x:c>
      <x:c r="J76" s="79" t="str">
        <x:v>tea</x:v>
      </x:c>
      <x:c r="K76" s="79"/>
      <x:c r="L76" s="79" t="str">
        <x:v>EDIBLE</x:v>
      </x:c>
      <x:c r="M76" s="79" t="str">
        <x:v>بله</x:v>
      </x:c>
      <x:c r="N76" s="79" t="str">
        <x:v>خوراکی</x:v>
      </x:c>
      <x:c r="O76" s="79" t="str">
        <x:v>خیر</x:v>
      </x:c>
      <x:c r="P76" s="79" t="n">
        <x:v>1</x:v>
      </x:c>
      <x:c r="Q76" s="79" t="str">
        <x:v>بسته</x:v>
      </x:c>
      <x:c r="R76" s="79" t="n">
        <x:v>20</x:v>
      </x:c>
      <x:c r="S76" s="104" t="n">
        <x:v>20000</x:v>
      </x:c>
      <x:c r="T76" s="79" t="str"/>
      <x:c r="U76" s="79" t="str"/>
      <x:c r="V76" s="79" t="str">
        <x:v>بسته</x:v>
      </x:c>
      <x:c r="W76" s="99" t="b">
        <x:v>1</x:v>
      </x:c>
      <x:c r="X76" s="79" t="str"/>
      <x:c r="Y76" s="79"/>
      <x:c r="Z76" s="104"/>
      <x:c r="AA76" s="79" t="str"/>
      <x:c r="AB76" s="79" t="str"/>
      <x:c r="AC76" s="79" t="str"/>
      <x:c r="AD76" s="79" t="str"/>
      <x:c r="AE76" s="79" t="str">
        <x:v>فعال</x:v>
      </x:c>
      <x:c r="AF76" s="79" t="str">
        <x:v>دسته‌بندی نهایی</x:v>
      </x:c>
      <x:c r="AG76" s="79" t="str">
        <x:v>OK</x:v>
      </x:c>
      <x:c r="AH76" s="79" t="str">
        <x:v>[{"name": "بسته", "sku": "", "price": 20000, "stock": "", "weight": "", "weightUnit": "", "containerSize": "بسته", "isDefault": true}]</x:v>
      </x:c>
      <x:c r="AI76" s="79"/>
      <x:c r="AJ76" s="79"/>
      <x:c r="AK76" s="79"/>
      <x:c r="AL76" t="str">
        <x:v>تی بگ ناب سرا</x:v>
      </x:c>
      <x:c r="AM76" t="str">
        <x:v>single_78</x:v>
      </x:c>
      <x:c r="AN76" t="str">
        <x:v>canonical_group_row</x:v>
      </x:c>
      <x:c r="AO76" t="str">
        <x:v>چای</x:v>
      </x:c>
      <x:c r="AP76" t="str">
        <x:v>6a30f5728337d8d2af170bb3</x:v>
      </x:c>
      <x:c r="AQ76" t="str">
        <x:v>tea</x:v>
      </x:c>
      <x:c r="AR76" t="str">
        <x:v>EDIBLE</x:v>
      </x:c>
      <x:c r="AS76" t="str">
        <x:v>بله</x:v>
      </x:c>
      <x:c r="AT76" t="str">
        <x:v>OK</x:v>
      </x:c>
      <x:c r="AU76"/>
    </x:row>
    <x:row r="77">
      <x:c r="A77" s="79" t="n">
        <x:v>79</x:v>
      </x:c>
      <x:c r="B77" s="79" t="str"/>
      <x:c r="C77" s="79" t="str">
        <x:v>تی بگ ویتامین سی 7 گرمی</x:v>
      </x:c>
      <x:c r="D77" s="79" t="str">
        <x:v>ty-bg-vytamyn-sy-7-grmy</x:v>
      </x:c>
      <x:c r="E77" s="79" t="str">
        <x:v>import</x:v>
      </x:c>
      <x:c r="F77" s="79" t="str">
        <x:v>خیر</x:v>
      </x:c>
      <x:c r="G77" s="79" t="str"/>
      <x:c r="H77" s="79" t="str">
        <x:v>چای</x:v>
      </x:c>
      <x:c r="I77" s="79" t="str">
        <x:v>6a30f5728337d8d2af170bb3</x:v>
      </x:c>
      <x:c r="J77" s="79" t="str">
        <x:v>tea</x:v>
      </x:c>
      <x:c r="K77" s="79"/>
      <x:c r="L77" s="79" t="str">
        <x:v>EDIBLE</x:v>
      </x:c>
      <x:c r="M77" s="79" t="str">
        <x:v>بله</x:v>
      </x:c>
      <x:c r="N77" s="79" t="str">
        <x:v>خوراکی</x:v>
      </x:c>
      <x:c r="O77" s="79" t="str">
        <x:v>بله</x:v>
      </x:c>
      <x:c r="P77" s="79" t="n">
        <x:v>2</x:v>
      </x:c>
      <x:c r="Q77" s="79" t="str">
        <x:v>بسته</x:v>
      </x:c>
      <x:c r="R77" s="79" t="n">
        <x:v>15</x:v>
      </x:c>
      <x:c r="S77" s="104" t="n">
        <x:v>15000</x:v>
      </x:c>
      <x:c r="T77" s="79" t="str"/>
      <x:c r="U77" s="79" t="str"/>
      <x:c r="V77" s="79" t="str">
        <x:v>بسته</x:v>
      </x:c>
      <x:c r="W77" s="99" t="b">
        <x:v>1</x:v>
      </x:c>
      <x:c r="X77" s="79" t="str">
        <x:v>کیلو</x:v>
      </x:c>
      <x:c r="Y77" s="79" t="str">
        <x:v>2/100</x:v>
      </x:c>
      <x:c r="Z77" s="104" t="n">
        <x:v>2100000</x:v>
      </x:c>
      <x:c r="AA77" s="79" t="n">
        <x:v>1</x:v>
      </x:c>
      <x:c r="AB77" s="79" t="str">
        <x:v>kg</x:v>
      </x:c>
      <x:c r="AC77" s="79" t="str">
        <x:v>کیلو</x:v>
      </x:c>
      <x:c r="AD77" s="99" t="b">
        <x:v>0</x:v>
      </x:c>
      <x:c r="AE77" s="79" t="str">
        <x:v>فعال</x:v>
      </x:c>
      <x:c r="AF77" s="79" t="str">
        <x:v>دسته‌بندی نهایی</x:v>
      </x:c>
      <x:c r="AG77" s="79" t="str">
        <x:v>OK</x:v>
      </x:c>
      <x:c r="AH77" s="79" t="str">
        <x:v>[{"name": "بسته", "sku": "", "price": 15000, "stock": "", "weight": "", "weightUnit": "", "containerSize": "بسته", "isDefault": true}, {"name": "کیلو", "sku": "", "price": 2100000, "stock": "", "weight": 1, "weightUnit": "kg", "containerSize": "کیلو", "isDefault": false}]</x:v>
      </x:c>
      <x:c r="AI77" s="79"/>
      <x:c r="AJ77" s="79"/>
      <x:c r="AK77" s="79"/>
      <x:c r="AL77" t="str">
        <x:v>تی بگ ویتامین سی 7 گرمی</x:v>
      </x:c>
      <x:c r="AM77" t="str">
        <x:v>single_79</x:v>
      </x:c>
      <x:c r="AN77" t="str">
        <x:v>canonical_group_row</x:v>
      </x:c>
      <x:c r="AO77" t="str">
        <x:v>چای</x:v>
      </x:c>
      <x:c r="AP77" t="str">
        <x:v>6a30f5728337d8d2af170bb3</x:v>
      </x:c>
      <x:c r="AQ77" t="str">
        <x:v>tea</x:v>
      </x:c>
      <x:c r="AR77" t="str">
        <x:v>EDIBLE</x:v>
      </x:c>
      <x:c r="AS77" t="str">
        <x:v>بله</x:v>
      </x:c>
      <x:c r="AT77" t="str">
        <x:v>OK</x:v>
      </x:c>
      <x:c r="AU77"/>
    </x:row>
    <x:row r="78">
      <x:c r="A78" s="79" t="n">
        <x:v>80</x:v>
      </x:c>
      <x:c r="B78" s="79" t="str">
        <x:v>NS-0077-1</x:v>
      </x:c>
      <x:c r="C78" s="79" t="str">
        <x:v>جدوار</x:v>
      </x:c>
      <x:c r="D78" s="79" t="str">
        <x:v>zedoary</x:v>
      </x:c>
      <x:c r="E78" s="79" t="str">
        <x:v>update</x:v>
      </x:c>
      <x:c r="F78" s="79" t="str">
        <x:v>بله</x:v>
      </x:c>
      <x:c r="G78" s="79" t="str">
        <x:v>سایر</x:v>
      </x:c>
      <x:c r="H78" s="79" t="str">
        <x:v>گیاهان دارویی</x:v>
      </x:c>
      <x:c r="I78" s="79" t="str">
        <x:v>6a3782d7df5573f4e676e243</x:v>
      </x:c>
      <x:c r="J78" s="79" t="str">
        <x:v>medicinal-plants</x:v>
      </x:c>
      <x:c r="K78" s="79"/>
      <x:c r="L78" s="79" t="str">
        <x:v>EDIBLE</x:v>
      </x:c>
      <x:c r="M78" s="79" t="str">
        <x:v>بله</x:v>
      </x:c>
      <x:c r="N78" s="79" t="str">
        <x:v>خوراکی</x:v>
      </x:c>
      <x:c r="O78" s="79" t="str">
        <x:v>خیر</x:v>
      </x:c>
      <x:c r="P78" s="79" t="n">
        <x:v>1</x:v>
      </x:c>
      <x:c r="Q78" s="79" t="str">
        <x:v>کیلو</x:v>
      </x:c>
      <x:c r="R78" s="79" t="str">
        <x:v>1/200</x:v>
      </x:c>
      <x:c r="S78" s="104" t="n">
        <x:v>1200000</x:v>
      </x:c>
      <x:c r="T78" s="79" t="n">
        <x:v>1</x:v>
      </x:c>
      <x:c r="U78" s="79" t="str">
        <x:v>kg</x:v>
      </x:c>
      <x:c r="V78" s="79" t="str">
        <x:v>کیلو</x:v>
      </x:c>
      <x:c r="W78" s="99" t="b">
        <x:v>1</x:v>
      </x:c>
      <x:c r="X78" s="79" t="str"/>
      <x:c r="Y78" s="79"/>
      <x:c r="Z78" s="104"/>
      <x:c r="AA78" s="79" t="str"/>
      <x:c r="AB78" s="79" t="str"/>
      <x:c r="AC78" s="79" t="str"/>
      <x:c r="AD78" s="79" t="str"/>
      <x:c r="AE78" s="79" t="str">
        <x:v>فعال</x:v>
      </x:c>
      <x:c r="AF78" s="79" t="str">
        <x:v>نیازمند بررسی دستی</x:v>
      </x:c>
      <x:c r="AG78" s="79" t="str">
        <x:v>دسته از «نیاز به بررسی» به «گیاهان دارویی» اصلاح شد</x:v>
      </x:c>
      <x:c r="AH78" s="79" t="str">
        <x:v>[{"name": "کیلو", "sku": "", "price": 1200000, "stock": "", "weight": 1, "weightUnit": "kg", "containerSize": "کیلو", "isDefault": true}]</x:v>
      </x:c>
      <x:c r="AI78" s="79"/>
      <x:c r="AJ78" s="79"/>
      <x:c r="AK78" s="79"/>
      <x:c r="AL78" t="str">
        <x:v>جدوار</x:v>
      </x:c>
      <x:c r="AM78" t="str">
        <x:v>single_80</x:v>
      </x:c>
      <x:c r="AN78" t="str">
        <x:v>canonical_group_row</x:v>
      </x:c>
      <x:c r="AO78" t="str">
        <x:v>گیاهان دارویی</x:v>
      </x:c>
      <x:c r="AP78" t="str">
        <x:v>6a3782d7df5573f4e676e243</x:v>
      </x:c>
      <x:c r="AQ78" t="str">
        <x:v>medicinal-plants</x:v>
      </x:c>
      <x:c r="AR78" t="str">
        <x:v>EDIBLE</x:v>
      </x:c>
      <x:c r="AS78" t="str">
        <x:v>بله</x:v>
      </x:c>
      <x:c r="AT78" t="str">
        <x:v>OK</x:v>
      </x:c>
      <x:c r="AU78" t="str">
        <x:v>دسته از «نیاز به بررسی» به «گیاهان دارویی» اصلاح شد</x:v>
      </x:c>
    </x:row>
    <x:row r="79">
      <x:c r="A79" s="79" t="n">
        <x:v>81</x:v>
      </x:c>
      <x:c r="B79" s="79" t="str">
        <x:v>NS-0078-1</x:v>
      </x:c>
      <x:c r="C79" s="79" t="str">
        <x:v>جو دوسر پرک خارجی</x:v>
      </x:c>
      <x:c r="D79" s="79" t="str">
        <x:v>imported_rolled_oats</x:v>
      </x:c>
      <x:c r="E79" s="79" t="str">
        <x:v>update</x:v>
      </x:c>
      <x:c r="F79" s="79" t="str">
        <x:v>بله</x:v>
      </x:c>
      <x:c r="G79" s="79" t="str">
        <x:v>حبوبات و غلات</x:v>
      </x:c>
      <x:c r="H79" s="79" t="str">
        <x:v>حبوبات و غلات</x:v>
      </x:c>
      <x:c r="I79" s="79" t="str">
        <x:v>6a3a00000000000000000002</x:v>
      </x:c>
      <x:c r="J79" s="79" t="str">
        <x:v>legumes-grains</x:v>
      </x:c>
      <x:c r="K79" s="79"/>
      <x:c r="L79" s="79" t="str">
        <x:v>EDIBLE</x:v>
      </x:c>
      <x:c r="M79" s="79" t="str">
        <x:v>بله</x:v>
      </x:c>
      <x:c r="N79" s="79" t="str">
        <x:v>خوراکی</x:v>
      </x:c>
      <x:c r="O79" s="79" t="str">
        <x:v>خیر</x:v>
      </x:c>
      <x:c r="P79" s="79" t="n">
        <x:v>1</x:v>
      </x:c>
      <x:c r="Q79" s="79" t="str">
        <x:v>کیلو</x:v>
      </x:c>
      <x:c r="R79" s="79" t="n">
        <x:v>490</x:v>
      </x:c>
      <x:c r="S79" s="104" t="n">
        <x:v>490000</x:v>
      </x:c>
      <x:c r="T79" s="79" t="n">
        <x:v>1</x:v>
      </x:c>
      <x:c r="U79" s="79" t="str">
        <x:v>kg</x:v>
      </x:c>
      <x:c r="V79" s="79" t="str">
        <x:v>کیلو</x:v>
      </x:c>
      <x:c r="W79" s="99" t="b">
        <x:v>1</x:v>
      </x:c>
      <x:c r="X79" s="79" t="str"/>
      <x:c r="Y79" s="79"/>
      <x:c r="Z79" s="104"/>
      <x:c r="AA79" s="79" t="str"/>
      <x:c r="AB79" s="79" t="str"/>
      <x:c r="AC79" s="79" t="str"/>
      <x:c r="AD79" s="79" t="str"/>
      <x:c r="AE79" s="79" t="str">
        <x:v>فعال</x:v>
      </x:c>
      <x:c r="AF79" s="79" t="str">
        <x:v>دسته‌بندی نهایی</x:v>
      </x:c>
      <x:c r="AG79" s="79" t="str">
        <x:v>OK</x:v>
      </x:c>
      <x:c r="AH79" s="79" t="str">
        <x:v>[{"name": "کیلو", "sku": "", "price": 490000, "stock": "", "weight": 1, "weightUnit": "kg", "containerSize": "کیلو", "isDefault": true}]</x:v>
      </x:c>
      <x:c r="AI79" s="79"/>
      <x:c r="AJ79" s="79"/>
      <x:c r="AK79" s="79"/>
      <x:c r="AL79" t="str">
        <x:v>جو دوسر پرک خارجی</x:v>
      </x:c>
      <x:c r="AM79" t="str">
        <x:v>single_81</x:v>
      </x:c>
      <x:c r="AN79" t="str">
        <x:v>canonical_group_row</x:v>
      </x:c>
      <x:c r="AO79" t="str">
        <x:v>حبوبات و غلات</x:v>
      </x:c>
      <x:c r="AP79" t="str">
        <x:v>6a3a00000000000000000002</x:v>
      </x:c>
      <x:c r="AQ79" t="str">
        <x:v>legumes-grains</x:v>
      </x:c>
      <x:c r="AR79" t="str">
        <x:v>EDIBLE</x:v>
      </x:c>
      <x:c r="AS79" t="str">
        <x:v>بله</x:v>
      </x:c>
      <x:c r="AT79" t="str">
        <x:v>OK</x:v>
      </x:c>
      <x:c r="AU79"/>
    </x:row>
    <x:row r="80">
      <x:c r="A80" s="79" t="n">
        <x:v>82</x:v>
      </x:c>
      <x:c r="B80" s="79" t="str">
        <x:v>NS-0079-1</x:v>
      </x:c>
      <x:c r="C80" s="79" t="str">
        <x:v>جوانه گندم</x:v>
      </x:c>
      <x:c r="D80" s="79" t="str">
        <x:v>wheat_germ_powder</x:v>
      </x:c>
      <x:c r="E80" s="79" t="str">
        <x:v>update</x:v>
      </x:c>
      <x:c r="F80" s="79" t="str">
        <x:v>بله</x:v>
      </x:c>
      <x:c r="G80" s="79" t="str">
        <x:v>حبوبات و غلات</x:v>
      </x:c>
      <x:c r="H80" s="79" t="str">
        <x:v>حبوبات و غلات</x:v>
      </x:c>
      <x:c r="I80" s="79" t="str">
        <x:v>6a3a00000000000000000002</x:v>
      </x:c>
      <x:c r="J80" s="79" t="str">
        <x:v>legumes-grains</x:v>
      </x:c>
      <x:c r="K80" s="79"/>
      <x:c r="L80" s="79" t="str">
        <x:v>EDIBLE</x:v>
      </x:c>
      <x:c r="M80" s="79" t="str">
        <x:v>بله</x:v>
      </x:c>
      <x:c r="N80" s="79" t="str">
        <x:v>خوراکی</x:v>
      </x:c>
      <x:c r="O80" s="79" t="str">
        <x:v>بله</x:v>
      </x:c>
      <x:c r="P80" s="79" t="n">
        <x:v>2</x:v>
      </x:c>
      <x:c r="Q80" s="79" t="str">
        <x:v>پودر</x:v>
      </x:c>
      <x:c r="R80" s="79" t="n">
        <x:v>340</x:v>
      </x:c>
      <x:c r="S80" s="104" t="n">
        <x:v>340000</x:v>
      </x:c>
      <x:c r="T80" s="79" t="str"/>
      <x:c r="U80" s="79" t="str"/>
      <x:c r="V80" s="79" t="str">
        <x:v>پودر</x:v>
      </x:c>
      <x:c r="W80" s="99" t="b">
        <x:v>1</x:v>
      </x:c>
      <x:c r="X80" s="79" t="str">
        <x:v>تازه</x:v>
      </x:c>
      <x:c r="Y80" s="79" t="n">
        <x:v>110</x:v>
      </x:c>
      <x:c r="Z80" s="104" t="n">
        <x:v>110000</x:v>
      </x:c>
      <x:c r="AA80" s="79" t="str"/>
      <x:c r="AB80" s="79" t="str"/>
      <x:c r="AC80" s="79" t="str">
        <x:v>تازه</x:v>
      </x:c>
      <x:c r="AD80" s="99" t="b">
        <x:v>0</x:v>
      </x:c>
      <x:c r="AE80" s="79" t="str">
        <x:v>فعال</x:v>
      </x:c>
      <x:c r="AF80" s="79" t="str">
        <x:v>دسته‌بندی نهایی</x:v>
      </x:c>
      <x:c r="AG80" s="79" t="str">
        <x:v>OK</x:v>
      </x:c>
      <x:c r="AH80" s="79" t="str">
        <x:v>[{"name": "پودر", "sku": "", "price": 340000, "stock": "", "weight": "", "weightUnit": "", "containerSize": "پودر", "isDefault": true}, {"name": "تازه", "sku": "", "price": 110000, "stock": "", "weight": "", "weightUnit": "", "containerSize": "تازه", "isDefault": false}]</x:v>
      </x:c>
      <x:c r="AI80" s="79"/>
      <x:c r="AJ80" s="79"/>
      <x:c r="AK80" s="79"/>
      <x:c r="AL80" t="str">
        <x:v>جوانه گندم</x:v>
      </x:c>
      <x:c r="AM80" t="str">
        <x:v>single_82</x:v>
      </x:c>
      <x:c r="AN80" t="str">
        <x:v>canonical_group_row</x:v>
      </x:c>
      <x:c r="AO80" t="str">
        <x:v>حبوبات و غلات</x:v>
      </x:c>
      <x:c r="AP80" t="str">
        <x:v>6a3a00000000000000000002</x:v>
      </x:c>
      <x:c r="AQ80" t="str">
        <x:v>legumes-grains</x:v>
      </x:c>
      <x:c r="AR80" t="str">
        <x:v>EDIBLE</x:v>
      </x:c>
      <x:c r="AS80" t="str">
        <x:v>بله</x:v>
      </x:c>
      <x:c r="AT80" t="str">
        <x:v>OK</x:v>
      </x:c>
      <x:c r="AU80"/>
    </x:row>
    <x:row r="81">
      <x:c r="A81" s="79" t="n">
        <x:v>83</x:v>
      </x:c>
      <x:c r="B81" s="79" t="str">
        <x:v>NS-0080-1</x:v>
      </x:c>
      <x:c r="C81" s="79" t="str">
        <x:v>جوز هندی</x:v>
      </x:c>
      <x:c r="D81" s="79" t="str">
        <x:v>nutmeg_cashew</x:v>
      </x:c>
      <x:c r="E81" s="79" t="str">
        <x:v>update</x:v>
      </x:c>
      <x:c r="F81" s="79" t="str">
        <x:v>بله</x:v>
      </x:c>
      <x:c r="G81" s="79" t="str">
        <x:v>حبوبات و غلات</x:v>
      </x:c>
      <x:c r="H81" s="79" t="str">
        <x:v>ادویه</x:v>
      </x:c>
      <x:c r="I81" s="79" t="str">
        <x:v>6a3781e4df5573f4e676e226</x:v>
      </x:c>
      <x:c r="J81" s="79" t="str">
        <x:v>spice</x:v>
      </x:c>
      <x:c r="K81" s="79"/>
      <x:c r="L81" s="79" t="str">
        <x:v>EDIBLE</x:v>
      </x:c>
      <x:c r="M81" s="79" t="str">
        <x:v>بله</x:v>
      </x:c>
      <x:c r="N81" s="79" t="str">
        <x:v>خوراکی</x:v>
      </x:c>
      <x:c r="O81" s="79" t="str">
        <x:v>خیر</x:v>
      </x:c>
      <x:c r="P81" s="79" t="n">
        <x:v>1</x:v>
      </x:c>
      <x:c r="Q81" s="79" t="str">
        <x:v>کیلو</x:v>
      </x:c>
      <x:c r="R81" s="79" t="str">
        <x:v>3/800</x:v>
      </x:c>
      <x:c r="S81" s="104" t="n">
        <x:v>3800000</x:v>
      </x:c>
      <x:c r="T81" s="79" t="n">
        <x:v>1</x:v>
      </x:c>
      <x:c r="U81" s="79" t="str">
        <x:v>kg</x:v>
      </x:c>
      <x:c r="V81" s="79" t="str">
        <x:v>کیلو</x:v>
      </x:c>
      <x:c r="W81" s="99" t="b">
        <x:v>1</x:v>
      </x:c>
      <x:c r="X81" s="79" t="str"/>
      <x:c r="Y81" s="79"/>
      <x:c r="Z81" s="104"/>
      <x:c r="AA81" s="79" t="str"/>
      <x:c r="AB81" s="79" t="str"/>
      <x:c r="AC81" s="79" t="str"/>
      <x:c r="AD81" s="79" t="str"/>
      <x:c r="AE81" s="79" t="str">
        <x:v>فعال</x:v>
      </x:c>
      <x:c r="AF81" s="79" t="str">
        <x:v>دسته‌بندی نهایی</x:v>
      </x:c>
      <x:c r="AG81" s="79" t="str">
        <x:v>OK</x:v>
      </x:c>
      <x:c r="AH81" s="79" t="str">
        <x:v>[{"name": "کیلو", "sku": "", "price": 3800000, "stock": "", "weight": 1, "weightUnit": "kg", "containerSize": "کیلو", "isDefault": true}]</x:v>
      </x:c>
      <x:c r="AI81" s="79"/>
      <x:c r="AJ81" s="79"/>
      <x:c r="AK81" s="79"/>
      <x:c r="AL81" t="str">
        <x:v>جوز هندی</x:v>
      </x:c>
      <x:c r="AM81" t="str">
        <x:v>single_83</x:v>
      </x:c>
      <x:c r="AN81" t="str">
        <x:v>canonical_group_row</x:v>
      </x:c>
      <x:c r="AO81" t="str">
        <x:v>ادویه</x:v>
      </x:c>
      <x:c r="AP81" t="str">
        <x:v>6a3781e4df5573f4e676e226</x:v>
      </x:c>
      <x:c r="AQ81" t="str">
        <x:v>spice</x:v>
      </x:c>
      <x:c r="AR81" t="str">
        <x:v>EDIBLE</x:v>
      </x:c>
      <x:c r="AS81" t="str">
        <x:v>بله</x:v>
      </x:c>
      <x:c r="AT81" t="str">
        <x:v>OK</x:v>
      </x:c>
      <x:c r="AU81"/>
    </x:row>
    <x:row r="82">
      <x:c r="A82" s="79" t="n">
        <x:v>84</x:v>
      </x:c>
      <x:c r="B82" s="79" t="str">
        <x:v>NS-0081-1</x:v>
      </x:c>
      <x:c r="C82" s="79" t="str">
        <x:v>جوش شیرین</x:v>
      </x:c>
      <x:c r="D82" s="79" t="str">
        <x:v>baking_soda</x:v>
      </x:c>
      <x:c r="E82" s="79" t="str">
        <x:v>update</x:v>
      </x:c>
      <x:c r="F82" s="79" t="str">
        <x:v>بله</x:v>
      </x:c>
      <x:c r="G82" s="79" t="str">
        <x:v>حبوبات و غلات</x:v>
      </x:c>
      <x:c r="H82" s="79" t="str">
        <x:v>حبوبات و غلات</x:v>
      </x:c>
      <x:c r="I82" s="79" t="str">
        <x:v>6a3a00000000000000000002</x:v>
      </x:c>
      <x:c r="J82" s="79" t="str">
        <x:v>legumes-grains</x:v>
      </x:c>
      <x:c r="K82" s="79"/>
      <x:c r="L82" s="79" t="str">
        <x:v>EDIBLE</x:v>
      </x:c>
      <x:c r="M82" s="79" t="str">
        <x:v>بله</x:v>
      </x:c>
      <x:c r="N82" s="79" t="str">
        <x:v>خوراکی</x:v>
      </x:c>
      <x:c r="O82" s="79" t="str">
        <x:v>خیر</x:v>
      </x:c>
      <x:c r="P82" s="79" t="n">
        <x:v>1</x:v>
      </x:c>
      <x:c r="Q82" s="79" t="str">
        <x:v>کیلو</x:v>
      </x:c>
      <x:c r="R82" s="79" t="n">
        <x:v>180</x:v>
      </x:c>
      <x:c r="S82" s="104" t="n">
        <x:v>180000</x:v>
      </x:c>
      <x:c r="T82" s="79" t="n">
        <x:v>1</x:v>
      </x:c>
      <x:c r="U82" s="79" t="str">
        <x:v>kg</x:v>
      </x:c>
      <x:c r="V82" s="79" t="str">
        <x:v>کیلو</x:v>
      </x:c>
      <x:c r="W82" s="99" t="b">
        <x:v>1</x:v>
      </x:c>
      <x:c r="X82" s="79" t="str"/>
      <x:c r="Y82" s="79"/>
      <x:c r="Z82" s="104"/>
      <x:c r="AA82" s="79" t="str"/>
      <x:c r="AB82" s="79" t="str"/>
      <x:c r="AC82" s="79" t="str"/>
      <x:c r="AD82" s="79" t="str"/>
      <x:c r="AE82" s="79" t="str">
        <x:v>فعال</x:v>
      </x:c>
      <x:c r="AF82" s="79" t="str">
        <x:v>دسته‌بندی نهایی</x:v>
      </x:c>
      <x:c r="AG82" s="79" t="str">
        <x:v>OK</x:v>
      </x:c>
      <x:c r="AH82" s="79" t="str">
        <x:v>[{"name": "کیلو", "sku": "", "price": 180000, "stock": "", "weight": 1, "weightUnit": "kg", "containerSize": "کیلو", "isDefault": true}]</x:v>
      </x:c>
      <x:c r="AI82" s="79"/>
      <x:c r="AJ82" s="79"/>
      <x:c r="AK82" s="79"/>
      <x:c r="AL82" t="str">
        <x:v>جوش شیرین</x:v>
      </x:c>
      <x:c r="AM82" t="str">
        <x:v>single_84</x:v>
      </x:c>
      <x:c r="AN82" t="str">
        <x:v>canonical_group_row</x:v>
      </x:c>
      <x:c r="AO82" t="str">
        <x:v>حبوبات و غلات</x:v>
      </x:c>
      <x:c r="AP82" t="str">
        <x:v>6a3a00000000000000000002</x:v>
      </x:c>
      <x:c r="AQ82" t="str">
        <x:v>legumes-grains</x:v>
      </x:c>
      <x:c r="AR82" t="str">
        <x:v>EDIBLE</x:v>
      </x:c>
      <x:c r="AS82" t="str">
        <x:v>بله</x:v>
      </x:c>
      <x:c r="AT82" t="str">
        <x:v>OK</x:v>
      </x:c>
      <x:c r="AU82"/>
    </x:row>
    <x:row r="83">
      <x:c r="A83" s="79" t="n">
        <x:v>85</x:v>
      </x:c>
      <x:c r="B83" s="79" t="str">
        <x:v>NS-0082-1</x:v>
      </x:c>
      <x:c r="C83" s="79" t="str">
        <x:v>جوهر لیمو</x:v>
      </x:c>
      <x:c r="D83" s="79" t="str">
        <x:v>citric_acid</x:v>
      </x:c>
      <x:c r="E83" s="79" t="str">
        <x:v>update</x:v>
      </x:c>
      <x:c r="F83" s="79" t="str">
        <x:v>بله</x:v>
      </x:c>
      <x:c r="G83" s="79" t="str">
        <x:v>حبوبات و غلات</x:v>
      </x:c>
      <x:c r="H83" s="79" t="str">
        <x:v>ادویه</x:v>
      </x:c>
      <x:c r="I83" s="79" t="str">
        <x:v>6a3781e4df5573f4e676e226</x:v>
      </x:c>
      <x:c r="J83" s="79" t="str">
        <x:v>spice</x:v>
      </x:c>
      <x:c r="K83" s="79"/>
      <x:c r="L83" s="79" t="str">
        <x:v>EDIBLE</x:v>
      </x:c>
      <x:c r="M83" s="79" t="str">
        <x:v>بله</x:v>
      </x:c>
      <x:c r="N83" s="79" t="str">
        <x:v>خوراکی</x:v>
      </x:c>
      <x:c r="O83" s="79" t="str">
        <x:v>خیر</x:v>
      </x:c>
      <x:c r="P83" s="79" t="n">
        <x:v>1</x:v>
      </x:c>
      <x:c r="Q83" s="79" t="str">
        <x:v>کیلو</x:v>
      </x:c>
      <x:c r="R83" s="79" t="n">
        <x:v>580</x:v>
      </x:c>
      <x:c r="S83" s="104" t="n">
        <x:v>580000</x:v>
      </x:c>
      <x:c r="T83" s="79" t="n">
        <x:v>1</x:v>
      </x:c>
      <x:c r="U83" s="79" t="str">
        <x:v>kg</x:v>
      </x:c>
      <x:c r="V83" s="79" t="str">
        <x:v>کیلو</x:v>
      </x:c>
      <x:c r="W83" s="99" t="b">
        <x:v>1</x:v>
      </x:c>
      <x:c r="X83" s="79" t="str"/>
      <x:c r="Y83" s="79"/>
      <x:c r="Z83" s="104"/>
      <x:c r="AA83" s="79" t="str"/>
      <x:c r="AB83" s="79" t="str"/>
      <x:c r="AC83" s="79" t="str"/>
      <x:c r="AD83" s="79" t="str"/>
      <x:c r="AE83" s="79" t="str">
        <x:v>فعال</x:v>
      </x:c>
      <x:c r="AF83" s="79" t="str">
        <x:v>دسته‌بندی نهایی</x:v>
      </x:c>
      <x:c r="AG83" s="79" t="str">
        <x:v>OK</x:v>
      </x:c>
      <x:c r="AH83" s="79" t="str">
        <x:v>[{"name": "کیلو", "sku": "", "price": 580000, "stock": "", "weight": 1, "weightUnit": "kg", "containerSize": "کیلو", "isDefault": true}]</x:v>
      </x:c>
      <x:c r="AI83" s="79"/>
      <x:c r="AJ83" s="79"/>
      <x:c r="AK83" s="79"/>
      <x:c r="AL83" t="str">
        <x:v>جوهر لیمو</x:v>
      </x:c>
      <x:c r="AM83" t="str">
        <x:v>single_85</x:v>
      </x:c>
      <x:c r="AN83" t="str">
        <x:v>canonical_group_row</x:v>
      </x:c>
      <x:c r="AO83" t="str">
        <x:v>ادویه</x:v>
      </x:c>
      <x:c r="AP83" t="str">
        <x:v>6a3781e4df5573f4e676e226</x:v>
      </x:c>
      <x:c r="AQ83" t="str">
        <x:v>spice</x:v>
      </x:c>
      <x:c r="AR83" t="str">
        <x:v>EDIBLE</x:v>
      </x:c>
      <x:c r="AS83" t="str">
        <x:v>بله</x:v>
      </x:c>
      <x:c r="AT83" t="str">
        <x:v>OK</x:v>
      </x:c>
      <x:c r="AU83"/>
    </x:row>
    <x:row r="84">
      <x:c r="A84" s="79" t="n">
        <x:v>86</x:v>
      </x:c>
      <x:c r="B84" s="79" t="str"/>
      <x:c r="C84" s="79" t="str">
        <x:v>چای انبه</x:v>
      </x:c>
      <x:c r="D84" s="79" t="str">
        <x:v>chay-anbh</x:v>
      </x:c>
      <x:c r="E84" s="79" t="str">
        <x:v>import</x:v>
      </x:c>
      <x:c r="F84" s="79" t="str">
        <x:v>خیر</x:v>
      </x:c>
      <x:c r="G84" s="79" t="str"/>
      <x:c r="H84" s="79" t="str">
        <x:v>چای</x:v>
      </x:c>
      <x:c r="I84" s="79" t="str">
        <x:v>6a30f5728337d8d2af170bb3</x:v>
      </x:c>
      <x:c r="J84" s="79" t="str">
        <x:v>tea</x:v>
      </x:c>
      <x:c r="K84" s="79"/>
      <x:c r="L84" s="79" t="str">
        <x:v>EDIBLE</x:v>
      </x:c>
      <x:c r="M84" s="79" t="str">
        <x:v>بله</x:v>
      </x:c>
      <x:c r="N84" s="79" t="str">
        <x:v>خوراکی</x:v>
      </x:c>
      <x:c r="O84" s="79" t="str">
        <x:v>خیر</x:v>
      </x:c>
      <x:c r="P84" s="79" t="n">
        <x:v>1</x:v>
      </x:c>
      <x:c r="Q84" s="79" t="str">
        <x:v>کیلو</x:v>
      </x:c>
      <x:c r="R84" s="79" t="str">
        <x:v>4/500</x:v>
      </x:c>
      <x:c r="S84" s="104" t="n">
        <x:v>4500000</x:v>
      </x:c>
      <x:c r="T84" s="79" t="n">
        <x:v>1</x:v>
      </x:c>
      <x:c r="U84" s="79" t="str">
        <x:v>kg</x:v>
      </x:c>
      <x:c r="V84" s="79" t="str">
        <x:v>کیلو</x:v>
      </x:c>
      <x:c r="W84" s="99" t="b">
        <x:v>1</x:v>
      </x:c>
      <x:c r="X84" s="79" t="str"/>
      <x:c r="Y84" s="79"/>
      <x:c r="Z84" s="104"/>
      <x:c r="AA84" s="79" t="str"/>
      <x:c r="AB84" s="79" t="str"/>
      <x:c r="AC84" s="79" t="str"/>
      <x:c r="AD84" s="79" t="str"/>
      <x:c r="AE84" s="79" t="str">
        <x:v>فعال</x:v>
      </x:c>
      <x:c r="AF84" s="79" t="str">
        <x:v>دسته‌بندی نهایی</x:v>
      </x:c>
      <x:c r="AG84" s="79" t="str">
        <x:v>OK</x:v>
      </x:c>
      <x:c r="AH84" s="79" t="str">
        <x:v>[{"name": "کیلو", "sku": "", "price": 4500000, "stock": "", "weight": 1, "weightUnit": "kg", "containerSize": "کیلو", "isDefault": true}]</x:v>
      </x:c>
      <x:c r="AI84" s="79"/>
      <x:c r="AJ84" s="79"/>
      <x:c r="AK84" s="79"/>
      <x:c r="AL84" t="str">
        <x:v>چای انبه</x:v>
      </x:c>
      <x:c r="AM84" t="str">
        <x:v>single_86</x:v>
      </x:c>
      <x:c r="AN84" t="str">
        <x:v>canonical_group_row</x:v>
      </x:c>
      <x:c r="AO84" t="str">
        <x:v>چای</x:v>
      </x:c>
      <x:c r="AP84" t="str">
        <x:v>6a30f5728337d8d2af170bb3</x:v>
      </x:c>
      <x:c r="AQ84" t="str">
        <x:v>tea</x:v>
      </x:c>
      <x:c r="AR84" t="str">
        <x:v>EDIBLE</x:v>
      </x:c>
      <x:c r="AS84" t="str">
        <x:v>بله</x:v>
      </x:c>
      <x:c r="AT84" t="str">
        <x:v>OK</x:v>
      </x:c>
      <x:c r="AU84"/>
    </x:row>
    <x:row r="85">
      <x:c r="A85" s="79" t="n">
        <x:v>87</x:v>
      </x:c>
      <x:c r="B85" s="79" t="str"/>
      <x:c r="C85" s="79" t="str">
        <x:v>چای ترش ایرانی</x:v>
      </x:c>
      <x:c r="D85" s="79" t="str">
        <x:v>chay-trsh-ayrany</x:v>
      </x:c>
      <x:c r="E85" s="79" t="str">
        <x:v>import</x:v>
      </x:c>
      <x:c r="F85" s="79" t="str">
        <x:v>خیر</x:v>
      </x:c>
      <x:c r="G85" s="79" t="str"/>
      <x:c r="H85" s="79" t="str">
        <x:v>چای</x:v>
      </x:c>
      <x:c r="I85" s="79" t="str">
        <x:v>6a30f5728337d8d2af170bb3</x:v>
      </x:c>
      <x:c r="J85" s="79" t="str">
        <x:v>tea</x:v>
      </x:c>
      <x:c r="K85" s="79"/>
      <x:c r="L85" s="79" t="str">
        <x:v>EDIBLE</x:v>
      </x:c>
      <x:c r="M85" s="79" t="str">
        <x:v>بله</x:v>
      </x:c>
      <x:c r="N85" s="79" t="str">
        <x:v>خوراکی</x:v>
      </x:c>
      <x:c r="O85" s="79" t="str">
        <x:v>خیر</x:v>
      </x:c>
      <x:c r="P85" s="79" t="n">
        <x:v>1</x:v>
      </x:c>
      <x:c r="Q85" s="79" t="str">
        <x:v>کیلو</x:v>
      </x:c>
      <x:c r="R85" s="79" t="str">
        <x:v>3/250</x:v>
      </x:c>
      <x:c r="S85" s="104" t="n">
        <x:v>3250000</x:v>
      </x:c>
      <x:c r="T85" s="79" t="n">
        <x:v>1</x:v>
      </x:c>
      <x:c r="U85" s="79" t="str">
        <x:v>kg</x:v>
      </x:c>
      <x:c r="V85" s="79" t="str">
        <x:v>کیلو</x:v>
      </x:c>
      <x:c r="W85" s="99" t="b">
        <x:v>1</x:v>
      </x:c>
      <x:c r="X85" s="79" t="str"/>
      <x:c r="Y85" s="79"/>
      <x:c r="Z85" s="104"/>
      <x:c r="AA85" s="79" t="str"/>
      <x:c r="AB85" s="79" t="str"/>
      <x:c r="AC85" s="79" t="str"/>
      <x:c r="AD85" s="79" t="str"/>
      <x:c r="AE85" s="79" t="str">
        <x:v>فعال</x:v>
      </x:c>
      <x:c r="AF85" s="79" t="str">
        <x:v>دسته‌بندی نهایی</x:v>
      </x:c>
      <x:c r="AG85" s="79" t="str">
        <x:v>MERGED</x:v>
      </x:c>
      <x:c r="AH85" s="79" t="str">
        <x:v>[{"name": "کیلو", "sku": "", "price": 3250000, "stock": "", "weight": 1, "weightUnit": "kg", "containerSize": "کیلو", "isDefault": true}]</x:v>
      </x:c>
      <x:c r="AI85" s="79"/>
      <x:c r="AJ85" s="79"/>
      <x:c r="AK85" s="79"/>
      <x:c r="AL85" t="str">
        <x:v>چای ترش</x:v>
      </x:c>
      <x:c r="AM85" t="str">
        <x:v>grp_hibiscus_tea</x:v>
      </x:c>
      <x:c r="AN85" t="str">
        <x:v>canonical_group_row</x:v>
      </x:c>
      <x:c r="AO85" t="str">
        <x:v>چای</x:v>
      </x:c>
      <x:c r="AP85" t="str">
        <x:v>6a30f5728337d8d2af170bb3</x:v>
      </x:c>
      <x:c r="AQ85" t="str">
        <x:v>tea</x:v>
      </x:c>
      <x:c r="AR85" t="str">
        <x:v>EDIBLE</x:v>
      </x:c>
      <x:c r="AS85" t="str">
        <x:v>بله</x:v>
      </x:c>
      <x:c r="AT85" t="str">
        <x:v>MERGED</x:v>
      </x:c>
      <x:c r="AU85"/>
    </x:row>
    <x:row r="86">
      <x:c r="A86" s="79" t="n">
        <x:v>88</x:v>
      </x:c>
      <x:c r="B86" s="79" t="str"/>
      <x:c r="C86" s="79" t="str">
        <x:v>چای ترش خارجی</x:v>
      </x:c>
      <x:c r="D86" s="79" t="str">
        <x:v>chay-trsh-kharjy</x:v>
      </x:c>
      <x:c r="E86" s="79" t="str">
        <x:v>import</x:v>
      </x:c>
      <x:c r="F86" s="79" t="str">
        <x:v>خیر</x:v>
      </x:c>
      <x:c r="G86" s="79" t="str"/>
      <x:c r="H86" s="79" t="str">
        <x:v>چای</x:v>
      </x:c>
      <x:c r="I86" s="79" t="str">
        <x:v>6a30f5728337d8d2af170bb3</x:v>
      </x:c>
      <x:c r="J86" s="79" t="str">
        <x:v>tea</x:v>
      </x:c>
      <x:c r="K86" s="79"/>
      <x:c r="L86" s="79" t="str">
        <x:v>EDIBLE</x:v>
      </x:c>
      <x:c r="M86" s="79" t="str">
        <x:v>بله</x:v>
      </x:c>
      <x:c r="N86" s="79" t="str">
        <x:v>خوراکی</x:v>
      </x:c>
      <x:c r="O86" s="79" t="str">
        <x:v>خیر</x:v>
      </x:c>
      <x:c r="P86" s="79" t="n">
        <x:v>1</x:v>
      </x:c>
      <x:c r="Q86" s="79" t="str">
        <x:v>کیلو</x:v>
      </x:c>
      <x:c r="R86" s="79" t="str">
        <x:v>؟</x:v>
      </x:c>
      <x:c r="S86" s="104"/>
      <x:c r="T86" s="79" t="n">
        <x:v>1</x:v>
      </x:c>
      <x:c r="U86" s="79" t="str">
        <x:v>kg</x:v>
      </x:c>
      <x:c r="V86" s="79" t="str">
        <x:v>کیلو</x:v>
      </x:c>
      <x:c r="W86" s="99" t="b">
        <x:v>1</x:v>
      </x:c>
      <x:c r="X86" s="79" t="str"/>
      <x:c r="Y86" s="79"/>
      <x:c r="Z86" s="104"/>
      <x:c r="AA86" s="79" t="str"/>
      <x:c r="AB86" s="79" t="str"/>
      <x:c r="AC86" s="79" t="str"/>
      <x:c r="AD86" s="79" t="str"/>
      <x:c r="AE86" s="79" t="str">
        <x:v>نیاز به استعلام</x:v>
      </x:c>
      <x:c r="AF86" s="79" t="str">
        <x:v>دسته‌بندی نهایی</x:v>
      </x:c>
      <x:c r="AG86" s="79" t="str">
        <x:v>یک یا چند قیمت نامشخص است</x:v>
      </x:c>
      <x:c r="AH86" s="79" t="str">
        <x:v>[{"name": "کیلو", "sku": "", "price": null, "stock": "", "weight": 1, "weightUnit": "kg", "containerSize": "کیلو", "isDefault": true}]</x:v>
      </x:c>
      <x:c r="AI86" s="79"/>
      <x:c r="AJ86" s="79"/>
      <x:c r="AK86" s="79"/>
      <x:c r="AL86" t="str">
        <x:v>چای ترش</x:v>
      </x:c>
      <x:c r="AM86" t="str">
        <x:v>grp_hibiscus_tea</x:v>
      </x:c>
      <x:c r="AN86" t="str">
        <x:v>merge_into_canonical_group</x:v>
      </x:c>
      <x:c r="AO86" t="str">
        <x:v>چای</x:v>
      </x:c>
      <x:c r="AP86" t="str">
        <x:v>6a30f5728337d8d2af170bb3</x:v>
      </x:c>
      <x:c r="AQ86" t="str">
        <x:v>tea</x:v>
      </x:c>
      <x:c r="AR86" t="str">
        <x:v>EDIBLE</x:v>
      </x:c>
      <x:c r="AS86" t="str">
        <x:v>بله</x:v>
      </x:c>
      <x:c r="AT86" t="str">
        <x:v>MERGED + MISSING_PRICE_REVIEW</x:v>
      </x:c>
      <x:c r="AU86" t="str">
        <x:v>یک یا چند قیمت نامشخص است</x:v>
      </x:c>
    </x:row>
    <x:row r="87">
      <x:c r="A87" s="79" t="n">
        <x:v>89</x:v>
      </x:c>
      <x:c r="B87" s="79" t="str"/>
      <x:c r="C87" s="79" t="str">
        <x:v>چای توت فرنگی</x:v>
      </x:c>
      <x:c r="D87" s="79" t="str">
        <x:v>chay-tvt-frngy</x:v>
      </x:c>
      <x:c r="E87" s="79" t="str">
        <x:v>import</x:v>
      </x:c>
      <x:c r="F87" s="79" t="str">
        <x:v>خیر</x:v>
      </x:c>
      <x:c r="G87" s="79" t="str"/>
      <x:c r="H87" s="79" t="str">
        <x:v>چای</x:v>
      </x:c>
      <x:c r="I87" s="79" t="str">
        <x:v>6a30f5728337d8d2af170bb3</x:v>
      </x:c>
      <x:c r="J87" s="79" t="str">
        <x:v>tea</x:v>
      </x:c>
      <x:c r="K87" s="79"/>
      <x:c r="L87" s="79" t="str">
        <x:v>EDIBLE</x:v>
      </x:c>
      <x:c r="M87" s="79" t="str">
        <x:v>بله</x:v>
      </x:c>
      <x:c r="N87" s="79" t="str">
        <x:v>خوراکی</x:v>
      </x:c>
      <x:c r="O87" s="79" t="str">
        <x:v>خیر</x:v>
      </x:c>
      <x:c r="P87" s="79" t="n">
        <x:v>1</x:v>
      </x:c>
      <x:c r="Q87" s="79" t="str">
        <x:v>کیلو</x:v>
      </x:c>
      <x:c r="R87" s="79" t="str">
        <x:v>3/700</x:v>
      </x:c>
      <x:c r="S87" s="104" t="n">
        <x:v>3700000</x:v>
      </x:c>
      <x:c r="T87" s="79" t="n">
        <x:v>1</x:v>
      </x:c>
      <x:c r="U87" s="79" t="str">
        <x:v>kg</x:v>
      </x:c>
      <x:c r="V87" s="79" t="str">
        <x:v>کیلو</x:v>
      </x:c>
      <x:c r="W87" s="99" t="b">
        <x:v>1</x:v>
      </x:c>
      <x:c r="X87" s="79" t="str"/>
      <x:c r="Y87" s="79"/>
      <x:c r="Z87" s="104"/>
      <x:c r="AA87" s="79" t="str"/>
      <x:c r="AB87" s="79" t="str"/>
      <x:c r="AC87" s="79" t="str"/>
      <x:c r="AD87" s="79" t="str"/>
      <x:c r="AE87" s="79" t="str">
        <x:v>فعال</x:v>
      </x:c>
      <x:c r="AF87" s="79" t="str">
        <x:v>دسته‌بندی نهایی</x:v>
      </x:c>
      <x:c r="AG87" s="79" t="str">
        <x:v>OK</x:v>
      </x:c>
      <x:c r="AH87" s="79" t="str">
        <x:v>[{"name": "کیلو", "sku": "", "price": 3700000, "stock": "", "weight": 1, "weightUnit": "kg", "containerSize": "کیلو", "isDefault": true}]</x:v>
      </x:c>
      <x:c r="AI87" s="79"/>
      <x:c r="AJ87" s="79"/>
      <x:c r="AK87" s="79"/>
      <x:c r="AL87" t="str">
        <x:v>چای توت فرنگی</x:v>
      </x:c>
      <x:c r="AM87" t="str">
        <x:v>single_89</x:v>
      </x:c>
      <x:c r="AN87" t="str">
        <x:v>canonical_group_row</x:v>
      </x:c>
      <x:c r="AO87" t="str">
        <x:v>چای</x:v>
      </x:c>
      <x:c r="AP87" t="str">
        <x:v>6a30f5728337d8d2af170bb3</x:v>
      </x:c>
      <x:c r="AQ87" t="str">
        <x:v>tea</x:v>
      </x:c>
      <x:c r="AR87" t="str">
        <x:v>EDIBLE</x:v>
      </x:c>
      <x:c r="AS87" t="str">
        <x:v>بله</x:v>
      </x:c>
      <x:c r="AT87" t="str">
        <x:v>OK</x:v>
      </x:c>
      <x:c r="AU87"/>
    </x:row>
    <x:row r="88">
      <x:c r="A88" s="79" t="n">
        <x:v>90</x:v>
      </x:c>
      <x:c r="B88" s="79" t="str"/>
      <x:c r="C88" s="79" t="str">
        <x:v>چای چوب</x:v>
      </x:c>
      <x:c r="D88" s="79" t="str">
        <x:v>chay-chvb</x:v>
      </x:c>
      <x:c r="E88" s="79" t="str">
        <x:v>import</x:v>
      </x:c>
      <x:c r="F88" s="79" t="str">
        <x:v>خیر</x:v>
      </x:c>
      <x:c r="G88" s="79" t="str"/>
      <x:c r="H88" s="79" t="str">
        <x:v>چای</x:v>
      </x:c>
      <x:c r="I88" s="79" t="str">
        <x:v>6a30f5728337d8d2af170bb3</x:v>
      </x:c>
      <x:c r="J88" s="79" t="str">
        <x:v>tea</x:v>
      </x:c>
      <x:c r="K88" s="79"/>
      <x:c r="L88" s="79" t="str">
        <x:v>EDIBLE</x:v>
      </x:c>
      <x:c r="M88" s="79" t="str">
        <x:v>بله</x:v>
      </x:c>
      <x:c r="N88" s="79" t="str">
        <x:v>خوراکی</x:v>
      </x:c>
      <x:c r="O88" s="79" t="str">
        <x:v>خیر</x:v>
      </x:c>
      <x:c r="P88" s="79" t="n">
        <x:v>1</x:v>
      </x:c>
      <x:c r="Q88" s="79" t="str">
        <x:v>کیلو</x:v>
      </x:c>
      <x:c r="R88" s="79" t="n">
        <x:v>350</x:v>
      </x:c>
      <x:c r="S88" s="104" t="n">
        <x:v>350000</x:v>
      </x:c>
      <x:c r="T88" s="79" t="n">
        <x:v>1</x:v>
      </x:c>
      <x:c r="U88" s="79" t="str">
        <x:v>kg</x:v>
      </x:c>
      <x:c r="V88" s="79" t="str">
        <x:v>کیلو</x:v>
      </x:c>
      <x:c r="W88" s="99" t="b">
        <x:v>1</x:v>
      </x:c>
      <x:c r="X88" s="79" t="str"/>
      <x:c r="Y88" s="79"/>
      <x:c r="Z88" s="104"/>
      <x:c r="AA88" s="79" t="str"/>
      <x:c r="AB88" s="79" t="str"/>
      <x:c r="AC88" s="79" t="str"/>
      <x:c r="AD88" s="79" t="str"/>
      <x:c r="AE88" s="79" t="str">
        <x:v>فعال</x:v>
      </x:c>
      <x:c r="AF88" s="79" t="str">
        <x:v>دسته‌بندی نهایی</x:v>
      </x:c>
      <x:c r="AG88" s="79" t="str">
        <x:v>OK</x:v>
      </x:c>
      <x:c r="AH88" s="79" t="str">
        <x:v>[{"name": "کیلو", "sku": "", "price": 350000, "stock": "", "weight": 1, "weightUnit": "kg", "containerSize": "کیلو", "isDefault": true}]</x:v>
      </x:c>
      <x:c r="AI88" s="79"/>
      <x:c r="AJ88" s="79"/>
      <x:c r="AK88" s="79"/>
      <x:c r="AL88" t="str">
        <x:v>چای چوب</x:v>
      </x:c>
      <x:c r="AM88" t="str">
        <x:v>single_90</x:v>
      </x:c>
      <x:c r="AN88" t="str">
        <x:v>canonical_group_row</x:v>
      </x:c>
      <x:c r="AO88" t="str">
        <x:v>چای</x:v>
      </x:c>
      <x:c r="AP88" t="str">
        <x:v>6a30f5728337d8d2af170bb3</x:v>
      </x:c>
      <x:c r="AQ88" t="str">
        <x:v>tea</x:v>
      </x:c>
      <x:c r="AR88" t="str">
        <x:v>EDIBLE</x:v>
      </x:c>
      <x:c r="AS88" t="str">
        <x:v>بله</x:v>
      </x:c>
      <x:c r="AT88" t="str">
        <x:v>OK</x:v>
      </x:c>
      <x:c r="AU88"/>
    </x:row>
    <x:row r="89">
      <x:c r="A89" s="79" t="n">
        <x:v>91</x:v>
      </x:c>
      <x:c r="B89" s="79" t="str"/>
      <x:c r="C89" s="79" t="str">
        <x:v>چای سبز ایرانی</x:v>
      </x:c>
      <x:c r="D89" s="79" t="str">
        <x:v>chay-sbz-ayrany</x:v>
      </x:c>
      <x:c r="E89" s="79" t="str">
        <x:v>import</x:v>
      </x:c>
      <x:c r="F89" s="79" t="str">
        <x:v>خیر</x:v>
      </x:c>
      <x:c r="G89" s="79" t="str"/>
      <x:c r="H89" s="79" t="str">
        <x:v>چای</x:v>
      </x:c>
      <x:c r="I89" s="79" t="str">
        <x:v>6a30f5728337d8d2af170bb3</x:v>
      </x:c>
      <x:c r="J89" s="79" t="str">
        <x:v>tea</x:v>
      </x:c>
      <x:c r="K89" s="79"/>
      <x:c r="L89" s="79" t="str">
        <x:v>EDIBLE</x:v>
      </x:c>
      <x:c r="M89" s="79" t="str">
        <x:v>بله</x:v>
      </x:c>
      <x:c r="N89" s="79" t="str">
        <x:v>خوراکی</x:v>
      </x:c>
      <x:c r="O89" s="79" t="str">
        <x:v>خیر</x:v>
      </x:c>
      <x:c r="P89" s="79" t="n">
        <x:v>1</x:v>
      </x:c>
      <x:c r="Q89" s="79" t="str">
        <x:v>کیلو</x:v>
      </x:c>
      <x:c r="R89" s="79" t="n">
        <x:v>900</x:v>
      </x:c>
      <x:c r="S89" s="104" t="n">
        <x:v>900000</x:v>
      </x:c>
      <x:c r="T89" s="79" t="n">
        <x:v>1</x:v>
      </x:c>
      <x:c r="U89" s="79" t="str">
        <x:v>kg</x:v>
      </x:c>
      <x:c r="V89" s="79" t="str">
        <x:v>کیلو</x:v>
      </x:c>
      <x:c r="W89" s="99" t="b">
        <x:v>1</x:v>
      </x:c>
      <x:c r="X89" s="79" t="str"/>
      <x:c r="Y89" s="79"/>
      <x:c r="Z89" s="104"/>
      <x:c r="AA89" s="79" t="str"/>
      <x:c r="AB89" s="79" t="str"/>
      <x:c r="AC89" s="79" t="str"/>
      <x:c r="AD89" s="79" t="str"/>
      <x:c r="AE89" s="79" t="str">
        <x:v>فعال</x:v>
      </x:c>
      <x:c r="AF89" s="79" t="str">
        <x:v>دسته‌بندی نهایی</x:v>
      </x:c>
      <x:c r="AG89" s="79" t="str">
        <x:v>OK</x:v>
      </x:c>
      <x:c r="AH89" s="79" t="str">
        <x:v>[{"name": "کیلو", "sku": "", "price": 900000, "stock": "", "weight": 1, "weightUnit": "kg", "containerSize": "کیلو", "isDefault": true}]</x:v>
      </x:c>
      <x:c r="AI89" s="79"/>
      <x:c r="AJ89" s="79"/>
      <x:c r="AK89" s="79"/>
      <x:c r="AL89" t="str">
        <x:v>چای سبز ایرانی</x:v>
      </x:c>
      <x:c r="AM89" t="str">
        <x:v>single_91</x:v>
      </x:c>
      <x:c r="AN89" t="str">
        <x:v>canonical_group_row</x:v>
      </x:c>
      <x:c r="AO89" t="str">
        <x:v>چای</x:v>
      </x:c>
      <x:c r="AP89" t="str">
        <x:v>6a30f5728337d8d2af170bb3</x:v>
      </x:c>
      <x:c r="AQ89" t="str">
        <x:v>tea</x:v>
      </x:c>
      <x:c r="AR89" t="str">
        <x:v>EDIBLE</x:v>
      </x:c>
      <x:c r="AS89" t="str">
        <x:v>بله</x:v>
      </x:c>
      <x:c r="AT89" t="str">
        <x:v>OK</x:v>
      </x:c>
      <x:c r="AU89"/>
    </x:row>
    <x:row r="90">
      <x:c r="A90" s="79" t="n">
        <x:v>92</x:v>
      </x:c>
      <x:c r="B90" s="79" t="str"/>
      <x:c r="C90" s="79" t="str">
        <x:v>چای کرک پسته زعفران</x:v>
      </x:c>
      <x:c r="D90" s="79" t="str">
        <x:v>chay-krk-psth-zafran</x:v>
      </x:c>
      <x:c r="E90" s="79" t="str">
        <x:v>import</x:v>
      </x:c>
      <x:c r="F90" s="79" t="str">
        <x:v>خیر</x:v>
      </x:c>
      <x:c r="G90" s="79" t="str"/>
      <x:c r="H90" s="79" t="str">
        <x:v>چای</x:v>
      </x:c>
      <x:c r="I90" s="79" t="str">
        <x:v>6a30f5728337d8d2af170bb3</x:v>
      </x:c>
      <x:c r="J90" s="79" t="str">
        <x:v>tea</x:v>
      </x:c>
      <x:c r="K90" s="79"/>
      <x:c r="L90" s="79" t="str">
        <x:v>EDIBLE</x:v>
      </x:c>
      <x:c r="M90" s="79" t="str">
        <x:v>بله</x:v>
      </x:c>
      <x:c r="N90" s="79" t="str">
        <x:v>خوراکی</x:v>
      </x:c>
      <x:c r="O90" s="79" t="str">
        <x:v>خیر</x:v>
      </x:c>
      <x:c r="P90" s="79" t="n">
        <x:v>1</x:v>
      </x:c>
      <x:c r="Q90" s="79" t="str">
        <x:v>کیلو</x:v>
      </x:c>
      <x:c r="R90" s="79" t="str">
        <x:v>1/850</x:v>
      </x:c>
      <x:c r="S90" s="104" t="n">
        <x:v>1850000</x:v>
      </x:c>
      <x:c r="T90" s="79" t="n">
        <x:v>1</x:v>
      </x:c>
      <x:c r="U90" s="79" t="str">
        <x:v>kg</x:v>
      </x:c>
      <x:c r="V90" s="79" t="str">
        <x:v>کیلو</x:v>
      </x:c>
      <x:c r="W90" s="99" t="b">
        <x:v>1</x:v>
      </x:c>
      <x:c r="X90" s="79" t="str"/>
      <x:c r="Y90" s="79"/>
      <x:c r="Z90" s="104"/>
      <x:c r="AA90" s="79" t="str"/>
      <x:c r="AB90" s="79" t="str"/>
      <x:c r="AC90" s="79" t="str"/>
      <x:c r="AD90" s="79" t="str"/>
      <x:c r="AE90" s="79" t="str">
        <x:v>فعال</x:v>
      </x:c>
      <x:c r="AF90" s="79" t="str">
        <x:v>دسته‌بندی نهایی</x:v>
      </x:c>
      <x:c r="AG90" s="79" t="str">
        <x:v>OK</x:v>
      </x:c>
      <x:c r="AH90" s="79" t="str">
        <x:v>[{"name": "کیلو", "sku": "", "price": 1850000, "stock": "", "weight": 1, "weightUnit": "kg", "containerSize": "کیلو", "isDefault": true}]</x:v>
      </x:c>
      <x:c r="AI90" s="79"/>
      <x:c r="AJ90" s="79"/>
      <x:c r="AK90" s="79"/>
      <x:c r="AL90" t="str">
        <x:v>چای کرک پسته زعفران</x:v>
      </x:c>
      <x:c r="AM90" t="str">
        <x:v>single_92</x:v>
      </x:c>
      <x:c r="AN90" t="str">
        <x:v>canonical_group_row</x:v>
      </x:c>
      <x:c r="AO90" t="str">
        <x:v>چای</x:v>
      </x:c>
      <x:c r="AP90" t="str">
        <x:v>6a30f5728337d8d2af170bb3</x:v>
      </x:c>
      <x:c r="AQ90" t="str">
        <x:v>tea</x:v>
      </x:c>
      <x:c r="AR90" t="str">
        <x:v>EDIBLE</x:v>
      </x:c>
      <x:c r="AS90" t="str">
        <x:v>بله</x:v>
      </x:c>
      <x:c r="AT90" t="str">
        <x:v>OK</x:v>
      </x:c>
      <x:c r="AU90"/>
    </x:row>
    <x:row r="91">
      <x:c r="A91" s="79" t="n">
        <x:v>93</x:v>
      </x:c>
      <x:c r="B91" s="79" t="str"/>
      <x:c r="C91" s="79" t="str">
        <x:v>چای کرک کارامل</x:v>
      </x:c>
      <x:c r="D91" s="79" t="str">
        <x:v>chay-krk-karaml</x:v>
      </x:c>
      <x:c r="E91" s="79" t="str">
        <x:v>import</x:v>
      </x:c>
      <x:c r="F91" s="79" t="str">
        <x:v>خیر</x:v>
      </x:c>
      <x:c r="G91" s="79" t="str"/>
      <x:c r="H91" s="79" t="str">
        <x:v>چای</x:v>
      </x:c>
      <x:c r="I91" s="79" t="str">
        <x:v>6a30f5728337d8d2af170bb3</x:v>
      </x:c>
      <x:c r="J91" s="79" t="str">
        <x:v>tea</x:v>
      </x:c>
      <x:c r="K91" s="79"/>
      <x:c r="L91" s="79" t="str">
        <x:v>EDIBLE</x:v>
      </x:c>
      <x:c r="M91" s="79" t="str">
        <x:v>بله</x:v>
      </x:c>
      <x:c r="N91" s="79" t="str">
        <x:v>خوراکی</x:v>
      </x:c>
      <x:c r="O91" s="79" t="str">
        <x:v>خیر</x:v>
      </x:c>
      <x:c r="P91" s="79" t="n">
        <x:v>1</x:v>
      </x:c>
      <x:c r="Q91" s="79" t="str">
        <x:v>کیلو</x:v>
      </x:c>
      <x:c r="R91" s="79" t="str">
        <x:v>1/800</x:v>
      </x:c>
      <x:c r="S91" s="104" t="n">
        <x:v>1800000</x:v>
      </x:c>
      <x:c r="T91" s="79" t="n">
        <x:v>1</x:v>
      </x:c>
      <x:c r="U91" s="79" t="str">
        <x:v>kg</x:v>
      </x:c>
      <x:c r="V91" s="79" t="str">
        <x:v>کیلو</x:v>
      </x:c>
      <x:c r="W91" s="99" t="b">
        <x:v>1</x:v>
      </x:c>
      <x:c r="X91" s="79" t="str"/>
      <x:c r="Y91" s="79"/>
      <x:c r="Z91" s="104"/>
      <x:c r="AA91" s="79" t="str"/>
      <x:c r="AB91" s="79" t="str"/>
      <x:c r="AC91" s="79" t="str"/>
      <x:c r="AD91" s="79" t="str"/>
      <x:c r="AE91" s="79" t="str">
        <x:v>فعال</x:v>
      </x:c>
      <x:c r="AF91" s="79" t="str">
        <x:v>دسته‌بندی نهایی</x:v>
      </x:c>
      <x:c r="AG91" s="79" t="str">
        <x:v>OK</x:v>
      </x:c>
      <x:c r="AH91" s="79" t="str">
        <x:v>[{"name": "کیلو", "sku": "", "price": 1800000, "stock": "", "weight": 1, "weightUnit": "kg", "containerSize": "کیلو", "isDefault": true}]</x:v>
      </x:c>
      <x:c r="AI91" s="79"/>
      <x:c r="AJ91" s="79"/>
      <x:c r="AK91" s="79"/>
      <x:c r="AL91" t="str">
        <x:v>چای کرک کارامل</x:v>
      </x:c>
      <x:c r="AM91" t="str">
        <x:v>single_93</x:v>
      </x:c>
      <x:c r="AN91" t="str">
        <x:v>canonical_group_row</x:v>
      </x:c>
      <x:c r="AO91" t="str">
        <x:v>چای</x:v>
      </x:c>
      <x:c r="AP91" t="str">
        <x:v>6a30f5728337d8d2af170bb3</x:v>
      </x:c>
      <x:c r="AQ91" t="str">
        <x:v>tea</x:v>
      </x:c>
      <x:c r="AR91" t="str">
        <x:v>EDIBLE</x:v>
      </x:c>
      <x:c r="AS91" t="str">
        <x:v>بله</x:v>
      </x:c>
      <x:c r="AT91" t="str">
        <x:v>OK</x:v>
      </x:c>
      <x:c r="AU91"/>
    </x:row>
    <x:row r="92">
      <x:c r="A92" s="79" t="n">
        <x:v>94</x:v>
      </x:c>
      <x:c r="B92" s="79" t="str"/>
      <x:c r="C92" s="79" t="str">
        <x:v>چای کرک لاته موزی</x:v>
      </x:c>
      <x:c r="D92" s="79" t="str">
        <x:v>chay-krk-lath-mvzy</x:v>
      </x:c>
      <x:c r="E92" s="79" t="str">
        <x:v>import</x:v>
      </x:c>
      <x:c r="F92" s="79" t="str">
        <x:v>خیر</x:v>
      </x:c>
      <x:c r="G92" s="79" t="str"/>
      <x:c r="H92" s="79" t="str">
        <x:v>چای</x:v>
      </x:c>
      <x:c r="I92" s="79" t="str">
        <x:v>6a30f5728337d8d2af170bb3</x:v>
      </x:c>
      <x:c r="J92" s="79" t="str">
        <x:v>tea</x:v>
      </x:c>
      <x:c r="K92" s="79"/>
      <x:c r="L92" s="79" t="str">
        <x:v>EDIBLE</x:v>
      </x:c>
      <x:c r="M92" s="79" t="str">
        <x:v>بله</x:v>
      </x:c>
      <x:c r="N92" s="79" t="str">
        <x:v>خوراکی</x:v>
      </x:c>
      <x:c r="O92" s="79" t="str">
        <x:v>خیر</x:v>
      </x:c>
      <x:c r="P92" s="79" t="n">
        <x:v>1</x:v>
      </x:c>
      <x:c r="Q92" s="79" t="str">
        <x:v>کیلو</x:v>
      </x:c>
      <x:c r="R92" s="79" t="str">
        <x:v>1/590</x:v>
      </x:c>
      <x:c r="S92" s="104" t="n">
        <x:v>1590000</x:v>
      </x:c>
      <x:c r="T92" s="79" t="n">
        <x:v>1</x:v>
      </x:c>
      <x:c r="U92" s="79" t="str">
        <x:v>kg</x:v>
      </x:c>
      <x:c r="V92" s="79" t="str">
        <x:v>کیلو</x:v>
      </x:c>
      <x:c r="W92" s="99" t="b">
        <x:v>1</x:v>
      </x:c>
      <x:c r="X92" s="79" t="str"/>
      <x:c r="Y92" s="79"/>
      <x:c r="Z92" s="104"/>
      <x:c r="AA92" s="79" t="str"/>
      <x:c r="AB92" s="79" t="str"/>
      <x:c r="AC92" s="79" t="str"/>
      <x:c r="AD92" s="79" t="str"/>
      <x:c r="AE92" s="79" t="str">
        <x:v>فعال</x:v>
      </x:c>
      <x:c r="AF92" s="79" t="str">
        <x:v>دسته‌بندی نهایی</x:v>
      </x:c>
      <x:c r="AG92" s="79" t="str">
        <x:v>OK</x:v>
      </x:c>
      <x:c r="AH92" s="79" t="str">
        <x:v>[{"name": "کیلو", "sku": "", "price": 1590000, "stock": "", "weight": 1, "weightUnit": "kg", "containerSize": "کیلو", "isDefault": true}]</x:v>
      </x:c>
      <x:c r="AI92" s="79"/>
      <x:c r="AJ92" s="79"/>
      <x:c r="AK92" s="79"/>
      <x:c r="AL92" t="str">
        <x:v>چای کرک لاته موزی</x:v>
      </x:c>
      <x:c r="AM92" t="str">
        <x:v>single_94</x:v>
      </x:c>
      <x:c r="AN92" t="str">
        <x:v>canonical_group_row</x:v>
      </x:c>
      <x:c r="AO92" t="str">
        <x:v>چای</x:v>
      </x:c>
      <x:c r="AP92" t="str">
        <x:v>6a30f5728337d8d2af170bb3</x:v>
      </x:c>
      <x:c r="AQ92" t="str">
        <x:v>tea</x:v>
      </x:c>
      <x:c r="AR92" t="str">
        <x:v>EDIBLE</x:v>
      </x:c>
      <x:c r="AS92" t="str">
        <x:v>بله</x:v>
      </x:c>
      <x:c r="AT92" t="str">
        <x:v>OK</x:v>
      </x:c>
      <x:c r="AU92"/>
    </x:row>
    <x:row r="93">
      <x:c r="A93" s="79" t="n">
        <x:v>95</x:v>
      </x:c>
      <x:c r="B93" s="79" t="str"/>
      <x:c r="C93" s="79" t="str">
        <x:v>چای کرک هل</x:v>
      </x:c>
      <x:c r="D93" s="79" t="str">
        <x:v>chay-krk-hl</x:v>
      </x:c>
      <x:c r="E93" s="79" t="str">
        <x:v>import</x:v>
      </x:c>
      <x:c r="F93" s="79" t="str">
        <x:v>خیر</x:v>
      </x:c>
      <x:c r="G93" s="79" t="str"/>
      <x:c r="H93" s="79" t="str">
        <x:v>چای</x:v>
      </x:c>
      <x:c r="I93" s="79" t="str">
        <x:v>6a30f5728337d8d2af170bb3</x:v>
      </x:c>
      <x:c r="J93" s="79" t="str">
        <x:v>tea</x:v>
      </x:c>
      <x:c r="K93" s="79"/>
      <x:c r="L93" s="79" t="str">
        <x:v>EDIBLE</x:v>
      </x:c>
      <x:c r="M93" s="79" t="str">
        <x:v>بله</x:v>
      </x:c>
      <x:c r="N93" s="79" t="str">
        <x:v>خوراکی</x:v>
      </x:c>
      <x:c r="O93" s="79" t="str">
        <x:v>خیر</x:v>
      </x:c>
      <x:c r="P93" s="79" t="n">
        <x:v>1</x:v>
      </x:c>
      <x:c r="Q93" s="79" t="str">
        <x:v>کیلو</x:v>
      </x:c>
      <x:c r="R93" s="79" t="str">
        <x:v>1/590</x:v>
      </x:c>
      <x:c r="S93" s="104" t="n">
        <x:v>1590000</x:v>
      </x:c>
      <x:c r="T93" s="79" t="n">
        <x:v>1</x:v>
      </x:c>
      <x:c r="U93" s="79" t="str">
        <x:v>kg</x:v>
      </x:c>
      <x:c r="V93" s="79" t="str">
        <x:v>کیلو</x:v>
      </x:c>
      <x:c r="W93" s="99" t="b">
        <x:v>1</x:v>
      </x:c>
      <x:c r="X93" s="79" t="str"/>
      <x:c r="Y93" s="79"/>
      <x:c r="Z93" s="104"/>
      <x:c r="AA93" s="79" t="str"/>
      <x:c r="AB93" s="79" t="str"/>
      <x:c r="AC93" s="79" t="str"/>
      <x:c r="AD93" s="79" t="str"/>
      <x:c r="AE93" s="79" t="str">
        <x:v>فعال</x:v>
      </x:c>
      <x:c r="AF93" s="79" t="str">
        <x:v>دسته‌بندی نهایی</x:v>
      </x:c>
      <x:c r="AG93" s="79" t="str">
        <x:v>OK</x:v>
      </x:c>
      <x:c r="AH93" s="79" t="str">
        <x:v>[{"name": "کیلو", "sku": "", "price": 1590000, "stock": "", "weight": 1, "weightUnit": "kg", "containerSize": "کیلو", "isDefault": true}]</x:v>
      </x:c>
      <x:c r="AI93" s="79"/>
      <x:c r="AJ93" s="79"/>
      <x:c r="AK93" s="79"/>
      <x:c r="AL93" t="str">
        <x:v>چای کرک هل</x:v>
      </x:c>
      <x:c r="AM93" t="str">
        <x:v>single_95</x:v>
      </x:c>
      <x:c r="AN93" t="str">
        <x:v>canonical_group_row</x:v>
      </x:c>
      <x:c r="AO93" t="str">
        <x:v>چای</x:v>
      </x:c>
      <x:c r="AP93" t="str">
        <x:v>6a30f5728337d8d2af170bb3</x:v>
      </x:c>
      <x:c r="AQ93" t="str">
        <x:v>tea</x:v>
      </x:c>
      <x:c r="AR93" t="str">
        <x:v>EDIBLE</x:v>
      </x:c>
      <x:c r="AS93" t="str">
        <x:v>بله</x:v>
      </x:c>
      <x:c r="AT93" t="str">
        <x:v>OK</x:v>
      </x:c>
      <x:c r="AU93"/>
    </x:row>
    <x:row r="94">
      <x:c r="A94" s="79" t="n">
        <x:v>96</x:v>
      </x:c>
      <x:c r="B94" s="79" t="str">
        <x:v>NS-0093-1</x:v>
      </x:c>
      <x:c r="C94" s="79" t="str">
        <x:v>چای کوهی</x:v>
      </x:c>
      <x:c r="D94" s="79" t="str">
        <x:v>mountain_tea</x:v>
      </x:c>
      <x:c r="E94" s="79" t="str">
        <x:v>update</x:v>
      </x:c>
      <x:c r="F94" s="79" t="str">
        <x:v>بله</x:v>
      </x:c>
      <x:c r="G94" s="79" t="str">
        <x:v>چای و دمنوش</x:v>
      </x:c>
      <x:c r="H94" s="79" t="str">
        <x:v>چای</x:v>
      </x:c>
      <x:c r="I94" s="79" t="str">
        <x:v>6a30f5728337d8d2af170bb3</x:v>
      </x:c>
      <x:c r="J94" s="79" t="str">
        <x:v>tea</x:v>
      </x:c>
      <x:c r="K94" s="79"/>
      <x:c r="L94" s="79" t="str">
        <x:v>EDIBLE</x:v>
      </x:c>
      <x:c r="M94" s="79" t="str">
        <x:v>بله</x:v>
      </x:c>
      <x:c r="N94" s="79" t="str">
        <x:v>خوراکی</x:v>
      </x:c>
      <x:c r="O94" s="79" t="str">
        <x:v>خیر</x:v>
      </x:c>
      <x:c r="P94" s="79" t="n">
        <x:v>1</x:v>
      </x:c>
      <x:c r="Q94" s="79" t="str">
        <x:v>کیلو</x:v>
      </x:c>
      <x:c r="R94" s="79" t="n">
        <x:v>710</x:v>
      </x:c>
      <x:c r="S94" s="104" t="n">
        <x:v>710000</x:v>
      </x:c>
      <x:c r="T94" s="79" t="n">
        <x:v>1</x:v>
      </x:c>
      <x:c r="U94" s="79" t="str">
        <x:v>kg</x:v>
      </x:c>
      <x:c r="V94" s="79" t="str">
        <x:v>کیلو</x:v>
      </x:c>
      <x:c r="W94" s="99" t="b">
        <x:v>1</x:v>
      </x:c>
      <x:c r="X94" s="79" t="str"/>
      <x:c r="Y94" s="79"/>
      <x:c r="Z94" s="104"/>
      <x:c r="AA94" s="79" t="str"/>
      <x:c r="AB94" s="79" t="str"/>
      <x:c r="AC94" s="79" t="str"/>
      <x:c r="AD94" s="79" t="str"/>
      <x:c r="AE94" s="79" t="str">
        <x:v>فعال</x:v>
      </x:c>
      <x:c r="AF94" s="79" t="str">
        <x:v>دسته‌بندی نهایی</x:v>
      </x:c>
      <x:c r="AG94" s="79" t="str">
        <x:v>OK</x:v>
      </x:c>
      <x:c r="AH94" s="79" t="str">
        <x:v>[{"name": "کیلو", "sku": "", "price": 710000, "stock": "", "weight": 1, "weightUnit": "kg", "containerSize": "کیلو", "isDefault": true}]</x:v>
      </x:c>
      <x:c r="AI94" s="79"/>
      <x:c r="AJ94" s="79"/>
      <x:c r="AK94" s="79"/>
      <x:c r="AL94" t="str">
        <x:v>چای کوهی</x:v>
      </x:c>
      <x:c r="AM94" t="str">
        <x:v>single_96</x:v>
      </x:c>
      <x:c r="AN94" t="str">
        <x:v>canonical_group_row</x:v>
      </x:c>
      <x:c r="AO94" t="str">
        <x:v>چای</x:v>
      </x:c>
      <x:c r="AP94" t="str">
        <x:v>6a30f5728337d8d2af170bb3</x:v>
      </x:c>
      <x:c r="AQ94" t="str">
        <x:v>tea</x:v>
      </x:c>
      <x:c r="AR94" t="str">
        <x:v>EDIBLE</x:v>
      </x:c>
      <x:c r="AS94" t="str">
        <x:v>بله</x:v>
      </x:c>
      <x:c r="AT94" t="str">
        <x:v>OK</x:v>
      </x:c>
      <x:c r="AU94"/>
    </x:row>
    <x:row r="95">
      <x:c r="A95" s="79" t="n">
        <x:v>97</x:v>
      </x:c>
      <x:c r="B95" s="79" t="str"/>
      <x:c r="C95" s="79" t="str">
        <x:v>چای ماسالا</x:v>
      </x:c>
      <x:c r="D95" s="79" t="str">
        <x:v>chay-masala</x:v>
      </x:c>
      <x:c r="E95" s="79" t="str">
        <x:v>import</x:v>
      </x:c>
      <x:c r="F95" s="79" t="str">
        <x:v>خیر</x:v>
      </x:c>
      <x:c r="G95" s="79" t="str"/>
      <x:c r="H95" s="79" t="str">
        <x:v>چای</x:v>
      </x:c>
      <x:c r="I95" s="79" t="str">
        <x:v>6a30f5728337d8d2af170bb3</x:v>
      </x:c>
      <x:c r="J95" s="79" t="str">
        <x:v>tea</x:v>
      </x:c>
      <x:c r="K95" s="79"/>
      <x:c r="L95" s="79" t="str">
        <x:v>EDIBLE</x:v>
      </x:c>
      <x:c r="M95" s="79" t="str">
        <x:v>بله</x:v>
      </x:c>
      <x:c r="N95" s="79" t="str">
        <x:v>خوراکی</x:v>
      </x:c>
      <x:c r="O95" s="79" t="str">
        <x:v>خیر</x:v>
      </x:c>
      <x:c r="P95" s="79" t="n">
        <x:v>1</x:v>
      </x:c>
      <x:c r="Q95" s="79" t="str">
        <x:v>کیلو</x:v>
      </x:c>
      <x:c r="R95" s="79" t="str">
        <x:v>1/800</x:v>
      </x:c>
      <x:c r="S95" s="104" t="n">
        <x:v>1800000</x:v>
      </x:c>
      <x:c r="T95" s="79" t="n">
        <x:v>1</x:v>
      </x:c>
      <x:c r="U95" s="79" t="str">
        <x:v>kg</x:v>
      </x:c>
      <x:c r="V95" s="79" t="str">
        <x:v>کیلو</x:v>
      </x:c>
      <x:c r="W95" s="99" t="b">
        <x:v>1</x:v>
      </x:c>
      <x:c r="X95" s="79" t="str"/>
      <x:c r="Y95" s="79"/>
      <x:c r="Z95" s="104"/>
      <x:c r="AA95" s="79" t="str"/>
      <x:c r="AB95" s="79" t="str"/>
      <x:c r="AC95" s="79" t="str"/>
      <x:c r="AD95" s="79" t="str"/>
      <x:c r="AE95" s="79" t="str">
        <x:v>فعال</x:v>
      </x:c>
      <x:c r="AF95" s="79" t="str">
        <x:v>دسته‌بندی نهایی</x:v>
      </x:c>
      <x:c r="AG95" s="79" t="str">
        <x:v>OK</x:v>
      </x:c>
      <x:c r="AH95" s="79" t="str">
        <x:v>[{"name": "کیلو", "sku": "", "price": 1800000, "stock": "", "weight": 1, "weightUnit": "kg", "containerSize": "کیلو", "isDefault": true}]</x:v>
      </x:c>
      <x:c r="AI95" s="79"/>
      <x:c r="AJ95" s="79"/>
      <x:c r="AK95" s="79"/>
      <x:c r="AL95" t="str">
        <x:v>چای ماسالا</x:v>
      </x:c>
      <x:c r="AM95" t="str">
        <x:v>single_97</x:v>
      </x:c>
      <x:c r="AN95" t="str">
        <x:v>canonical_group_row</x:v>
      </x:c>
      <x:c r="AO95" t="str">
        <x:v>چای</x:v>
      </x:c>
      <x:c r="AP95" t="str">
        <x:v>6a30f5728337d8d2af170bb3</x:v>
      </x:c>
      <x:c r="AQ95" t="str">
        <x:v>tea</x:v>
      </x:c>
      <x:c r="AR95" t="str">
        <x:v>EDIBLE</x:v>
      </x:c>
      <x:c r="AS95" t="str">
        <x:v>بله</x:v>
      </x:c>
      <x:c r="AT95" t="str">
        <x:v>OK</x:v>
      </x:c>
      <x:c r="AU95"/>
    </x:row>
    <x:row r="96">
      <x:c r="A96" s="79" t="n">
        <x:v>98</x:v>
      </x:c>
      <x:c r="B96" s="79" t="str"/>
      <x:c r="C96" s="79" t="str">
        <x:v>چای مراکش</x:v>
      </x:c>
      <x:c r="D96" s="79" t="str">
        <x:v>chay-mraksh</x:v>
      </x:c>
      <x:c r="E96" s="79" t="str">
        <x:v>import</x:v>
      </x:c>
      <x:c r="F96" s="79" t="str">
        <x:v>خیر</x:v>
      </x:c>
      <x:c r="G96" s="79" t="str"/>
      <x:c r="H96" s="79" t="str">
        <x:v>چای</x:v>
      </x:c>
      <x:c r="I96" s="79" t="str">
        <x:v>6a30f5728337d8d2af170bb3</x:v>
      </x:c>
      <x:c r="J96" s="79" t="str">
        <x:v>tea</x:v>
      </x:c>
      <x:c r="K96" s="79"/>
      <x:c r="L96" s="79" t="str">
        <x:v>EDIBLE</x:v>
      </x:c>
      <x:c r="M96" s="79" t="str">
        <x:v>بله</x:v>
      </x:c>
      <x:c r="N96" s="79" t="str">
        <x:v>خوراکی</x:v>
      </x:c>
      <x:c r="O96" s="79" t="str">
        <x:v>خیر</x:v>
      </x:c>
      <x:c r="P96" s="79" t="n">
        <x:v>1</x:v>
      </x:c>
      <x:c r="Q96" s="79" t="str">
        <x:v>کیلو</x:v>
      </x:c>
      <x:c r="R96" s="79" t="str">
        <x:v>3/800</x:v>
      </x:c>
      <x:c r="S96" s="104" t="n">
        <x:v>3800000</x:v>
      </x:c>
      <x:c r="T96" s="79" t="n">
        <x:v>1</x:v>
      </x:c>
      <x:c r="U96" s="79" t="str">
        <x:v>kg</x:v>
      </x:c>
      <x:c r="V96" s="79" t="str">
        <x:v>کیلو</x:v>
      </x:c>
      <x:c r="W96" s="99" t="b">
        <x:v>1</x:v>
      </x:c>
      <x:c r="X96" s="79" t="str"/>
      <x:c r="Y96" s="79"/>
      <x:c r="Z96" s="104"/>
      <x:c r="AA96" s="79" t="str"/>
      <x:c r="AB96" s="79" t="str"/>
      <x:c r="AC96" s="79" t="str"/>
      <x:c r="AD96" s="79" t="str"/>
      <x:c r="AE96" s="79" t="str">
        <x:v>فعال</x:v>
      </x:c>
      <x:c r="AF96" s="79" t="str">
        <x:v>دسته‌بندی نهایی</x:v>
      </x:c>
      <x:c r="AG96" s="79" t="str">
        <x:v>OK</x:v>
      </x:c>
      <x:c r="AH96" s="79" t="str">
        <x:v>[{"name": "کیلو", "sku": "", "price": 3800000, "stock": "", "weight": 1, "weightUnit": "kg", "containerSize": "کیلو", "isDefault": true}]</x:v>
      </x:c>
      <x:c r="AI96" s="79"/>
      <x:c r="AJ96" s="79"/>
      <x:c r="AK96" s="79"/>
      <x:c r="AL96" t="str">
        <x:v>چای مراکش</x:v>
      </x:c>
      <x:c r="AM96" t="str">
        <x:v>single_98</x:v>
      </x:c>
      <x:c r="AN96" t="str">
        <x:v>canonical_group_row</x:v>
      </x:c>
      <x:c r="AO96" t="str">
        <x:v>چای</x:v>
      </x:c>
      <x:c r="AP96" t="str">
        <x:v>6a30f5728337d8d2af170bb3</x:v>
      </x:c>
      <x:c r="AQ96" t="str">
        <x:v>tea</x:v>
      </x:c>
      <x:c r="AR96" t="str">
        <x:v>EDIBLE</x:v>
      </x:c>
      <x:c r="AS96" t="str">
        <x:v>بله</x:v>
      </x:c>
      <x:c r="AT96" t="str">
        <x:v>OK</x:v>
      </x:c>
      <x:c r="AU96"/>
    </x:row>
    <x:row r="97">
      <x:c r="A97" s="79" t="n">
        <x:v>99</x:v>
      </x:c>
      <x:c r="B97" s="79" t="str"/>
      <x:c r="C97" s="79" t="str">
        <x:v>چای میوه ای</x:v>
      </x:c>
      <x:c r="D97" s="79" t="str">
        <x:v>chay-myvh-ay</x:v>
      </x:c>
      <x:c r="E97" s="79" t="str">
        <x:v>import</x:v>
      </x:c>
      <x:c r="F97" s="79" t="str">
        <x:v>خیر</x:v>
      </x:c>
      <x:c r="G97" s="79" t="str"/>
      <x:c r="H97" s="79" t="str">
        <x:v>چای</x:v>
      </x:c>
      <x:c r="I97" s="79" t="str">
        <x:v>6a30f5728337d8d2af170bb3</x:v>
      </x:c>
      <x:c r="J97" s="79" t="str">
        <x:v>tea</x:v>
      </x:c>
      <x:c r="K97" s="79"/>
      <x:c r="L97" s="79" t="str">
        <x:v>EDIBLE</x:v>
      </x:c>
      <x:c r="M97" s="79" t="str">
        <x:v>بله</x:v>
      </x:c>
      <x:c r="N97" s="79" t="str">
        <x:v>خوراکی</x:v>
      </x:c>
      <x:c r="O97" s="79" t="str">
        <x:v>خیر</x:v>
      </x:c>
      <x:c r="P97" s="79" t="n">
        <x:v>1</x:v>
      </x:c>
      <x:c r="Q97" s="79" t="str">
        <x:v>کیلو</x:v>
      </x:c>
      <x:c r="R97" s="79" t="n">
        <x:v>670</x:v>
      </x:c>
      <x:c r="S97" s="104" t="n">
        <x:v>670000</x:v>
      </x:c>
      <x:c r="T97" s="79" t="n">
        <x:v>1</x:v>
      </x:c>
      <x:c r="U97" s="79" t="str">
        <x:v>kg</x:v>
      </x:c>
      <x:c r="V97" s="79" t="str">
        <x:v>کیلو</x:v>
      </x:c>
      <x:c r="W97" s="99" t="b">
        <x:v>1</x:v>
      </x:c>
      <x:c r="X97" s="79" t="str"/>
      <x:c r="Y97" s="79"/>
      <x:c r="Z97" s="104"/>
      <x:c r="AA97" s="79" t="str"/>
      <x:c r="AB97" s="79" t="str"/>
      <x:c r="AC97" s="79" t="str"/>
      <x:c r="AD97" s="79" t="str"/>
      <x:c r="AE97" s="79" t="str">
        <x:v>فعال</x:v>
      </x:c>
      <x:c r="AF97" s="79" t="str">
        <x:v>دسته‌بندی نهایی</x:v>
      </x:c>
      <x:c r="AG97" s="79" t="str">
        <x:v>OK</x:v>
      </x:c>
      <x:c r="AH97" s="79" t="str">
        <x:v>[{"name": "کیلو", "sku": "", "price": 670000, "stock": "", "weight": 1, "weightUnit": "kg", "containerSize": "کیلو", "isDefault": true}]</x:v>
      </x:c>
      <x:c r="AI97" s="79"/>
      <x:c r="AJ97" s="79"/>
      <x:c r="AK97" s="79"/>
      <x:c r="AL97" t="str">
        <x:v>چای میوه ای</x:v>
      </x:c>
      <x:c r="AM97" t="str">
        <x:v>single_99</x:v>
      </x:c>
      <x:c r="AN97" t="str">
        <x:v>canonical_group_row</x:v>
      </x:c>
      <x:c r="AO97" t="str">
        <x:v>چای</x:v>
      </x:c>
      <x:c r="AP97" t="str">
        <x:v>6a30f5728337d8d2af170bb3</x:v>
      </x:c>
      <x:c r="AQ97" t="str">
        <x:v>tea</x:v>
      </x:c>
      <x:c r="AR97" t="str">
        <x:v>EDIBLE</x:v>
      </x:c>
      <x:c r="AS97" t="str">
        <x:v>بله</x:v>
      </x:c>
      <x:c r="AT97" t="str">
        <x:v>OK</x:v>
      </x:c>
      <x:c r="AU97"/>
    </x:row>
    <x:row r="98">
      <x:c r="A98" s="79" t="n">
        <x:v>100</x:v>
      </x:c>
      <x:c r="B98" s="79" t="str">
        <x:v>NS-0097-1</x:v>
      </x:c>
      <x:c r="C98" s="79" t="str">
        <x:v>چهار تخم</x:v>
      </x:c>
      <x:c r="D98" s="79" t="str">
        <x:v>four_seed_mix</x:v>
      </x:c>
      <x:c r="E98" s="79" t="str">
        <x:v>update</x:v>
      </x:c>
      <x:c r="F98" s="79" t="str">
        <x:v>بله</x:v>
      </x:c>
      <x:c r="G98" s="79" t="str">
        <x:v>سایر</x:v>
      </x:c>
      <x:c r="H98" s="79" t="str">
        <x:v>خشکبار و آجیل</x:v>
      </x:c>
      <x:c r="I98" s="79" t="str">
        <x:v>6a37810ddf5573f4e676e201</x:v>
      </x:c>
      <x:c r="J98" s="79" t="str">
        <x:v>dried-fruits-nuts</x:v>
      </x:c>
      <x:c r="K98" s="79"/>
      <x:c r="L98" s="79" t="str">
        <x:v>EDIBLE</x:v>
      </x:c>
      <x:c r="M98" s="79" t="str">
        <x:v>بله</x:v>
      </x:c>
      <x:c r="N98" s="79" t="str">
        <x:v>خوراکی</x:v>
      </x:c>
      <x:c r="O98" s="79" t="str">
        <x:v>خیر</x:v>
      </x:c>
      <x:c r="P98" s="79" t="n">
        <x:v>1</x:v>
      </x:c>
      <x:c r="Q98" s="79" t="str">
        <x:v>کیلو</x:v>
      </x:c>
      <x:c r="R98" s="79" t="n">
        <x:v>950</x:v>
      </x:c>
      <x:c r="S98" s="104" t="n">
        <x:v>950000</x:v>
      </x:c>
      <x:c r="T98" s="79" t="n">
        <x:v>1</x:v>
      </x:c>
      <x:c r="U98" s="79" t="str">
        <x:v>kg</x:v>
      </x:c>
      <x:c r="V98" s="79" t="str">
        <x:v>کیلو</x:v>
      </x:c>
      <x:c r="W98" s="99" t="b">
        <x:v>1</x:v>
      </x:c>
      <x:c r="X98" s="79" t="str"/>
      <x:c r="Y98" s="79"/>
      <x:c r="Z98" s="104"/>
      <x:c r="AA98" s="79" t="str"/>
      <x:c r="AB98" s="79" t="str"/>
      <x:c r="AC98" s="79" t="str"/>
      <x:c r="AD98" s="79" t="str"/>
      <x:c r="AE98" s="79" t="str">
        <x:v>فعال</x:v>
      </x:c>
      <x:c r="AF98" s="79" t="str">
        <x:v>دسته‌بندی نهایی؛ اصلاح‌شده</x:v>
      </x:c>
      <x:c r="AG98" s="79" t="str">
        <x:v>OK</x:v>
      </x:c>
      <x:c r="AH98" s="79" t="str">
        <x:v>[{"name": "کیلو", "sku": "", "price": 950000, "stock": "", "weight": 1, "weightUnit": "kg", "containerSize": "کیلو", "isDefault": true}]</x:v>
      </x:c>
      <x:c r="AI98" s="79"/>
      <x:c r="AJ98" s="79"/>
      <x:c r="AK98" s="79"/>
      <x:c r="AL98" t="str">
        <x:v>چهار تخم</x:v>
      </x:c>
      <x:c r="AM98" t="str">
        <x:v>single_100</x:v>
      </x:c>
      <x:c r="AN98" t="str">
        <x:v>canonical_group_row</x:v>
      </x:c>
      <x:c r="AO98" t="str">
        <x:v>خشکبار و آجیل</x:v>
      </x:c>
      <x:c r="AP98" t="str">
        <x:v>6a37810ddf5573f4e676e201</x:v>
      </x:c>
      <x:c r="AQ98" t="str">
        <x:v>dried-fruits-nuts</x:v>
      </x:c>
      <x:c r="AR98" t="str">
        <x:v>EDIBLE</x:v>
      </x:c>
      <x:c r="AS98" t="str">
        <x:v>بله</x:v>
      </x:c>
      <x:c r="AT98" t="str">
        <x:v>OK</x:v>
      </x:c>
      <x:c r="AU98"/>
    </x:row>
    <x:row r="99">
      <x:c r="A99" s="79" t="n">
        <x:v>101</x:v>
      </x:c>
      <x:c r="B99" s="79" t="str">
        <x:v>NS-0098-1</x:v>
      </x:c>
      <x:c r="C99" s="79" t="str">
        <x:v>چوبک</x:v>
      </x:c>
      <x:c r="D99" s="79" t="str">
        <x:v>soapwort</x:v>
      </x:c>
      <x:c r="E99" s="79" t="str">
        <x:v>update</x:v>
      </x:c>
      <x:c r="F99" s="79" t="str">
        <x:v>بله</x:v>
      </x:c>
      <x:c r="G99" s="79" t="str">
        <x:v>سایر</x:v>
      </x:c>
      <x:c r="H99" s="79" t="str">
        <x:v>گیاهان دارویی</x:v>
      </x:c>
      <x:c r="I99" s="79" t="str">
        <x:v>6a3782d7df5573f4e676e243</x:v>
      </x:c>
      <x:c r="J99" s="79" t="str">
        <x:v>medicinal-plants</x:v>
      </x:c>
      <x:c r="K99" s="79"/>
      <x:c r="L99" s="79" t="str">
        <x:v>EDIBLE</x:v>
      </x:c>
      <x:c r="M99" s="79" t="str">
        <x:v>بله</x:v>
      </x:c>
      <x:c r="N99" s="79" t="str">
        <x:v>خوراکی</x:v>
      </x:c>
      <x:c r="O99" s="79" t="str">
        <x:v>خیر</x:v>
      </x:c>
      <x:c r="P99" s="79" t="n">
        <x:v>1</x:v>
      </x:c>
      <x:c r="Q99" s="79" t="str">
        <x:v>ریشه خشک</x:v>
      </x:c>
      <x:c r="R99" s="79" t="n">
        <x:v>900</x:v>
      </x:c>
      <x:c r="S99" s="104" t="n">
        <x:v>900000</x:v>
      </x:c>
      <x:c r="T99" s="79" t="str"/>
      <x:c r="U99" s="79" t="str"/>
      <x:c r="V99" s="79" t="str">
        <x:v>ریشه خشک</x:v>
      </x:c>
      <x:c r="W99" s="99" t="b">
        <x:v>1</x:v>
      </x:c>
      <x:c r="X99" s="79" t="str"/>
      <x:c r="Y99" s="79"/>
      <x:c r="Z99" s="104"/>
      <x:c r="AA99" s="79" t="str"/>
      <x:c r="AB99" s="79" t="str"/>
      <x:c r="AC99" s="79" t="str"/>
      <x:c r="AD99" s="79" t="str"/>
      <x:c r="AE99" s="79" t="str">
        <x:v>فعال</x:v>
      </x:c>
      <x:c r="AF99" s="79" t="str">
        <x:v>نیازمند بررسی دستی</x:v>
      </x:c>
      <x:c r="AG99" s="79" t="str">
        <x:v>دسته از «نیاز به بررسی» به «گیاهان دارویی» اصلاح شد</x:v>
      </x:c>
      <x:c r="AH99" s="79" t="str">
        <x:v>[{"name": "ریشه خشک", "sku": "", "price": 900000, "stock": "", "weight": "", "weightUnit": "", "containerSize": "ریشه خشک", "isDefault": true}]</x:v>
      </x:c>
      <x:c r="AI99" s="79"/>
      <x:c r="AJ99" s="79"/>
      <x:c r="AK99" s="79"/>
      <x:c r="AL99" t="str">
        <x:v>چوبک</x:v>
      </x:c>
      <x:c r="AM99" t="str">
        <x:v>single_101</x:v>
      </x:c>
      <x:c r="AN99" t="str">
        <x:v>canonical_group_row</x:v>
      </x:c>
      <x:c r="AO99" t="str">
        <x:v>گیاهان دارویی</x:v>
      </x:c>
      <x:c r="AP99" t="str">
        <x:v>6a3782d7df5573f4e676e243</x:v>
      </x:c>
      <x:c r="AQ99" t="str">
        <x:v>medicinal-plants</x:v>
      </x:c>
      <x:c r="AR99" t="str">
        <x:v>EDIBLE</x:v>
      </x:c>
      <x:c r="AS99" t="str">
        <x:v>بله</x:v>
      </x:c>
      <x:c r="AT99" t="str">
        <x:v>OK</x:v>
      </x:c>
      <x:c r="AU99" t="str">
        <x:v>دسته از «نیاز به بررسی» به «گیاهان دارویی» اصلاح شد</x:v>
      </x:c>
    </x:row>
    <x:row r="100">
      <x:c r="A100" s="79" t="n">
        <x:v>102</x:v>
      </x:c>
      <x:c r="B100" s="79" t="str">
        <x:v>NS-0099-1</x:v>
      </x:c>
      <x:c r="C100" s="79" t="str">
        <x:v>چیاسید</x:v>
      </x:c>
      <x:c r="D100" s="79" t="str">
        <x:v>chia_seed</x:v>
      </x:c>
      <x:c r="E100" s="79" t="str">
        <x:v>update</x:v>
      </x:c>
      <x:c r="F100" s="79" t="str">
        <x:v>بله</x:v>
      </x:c>
      <x:c r="G100" s="79" t="str">
        <x:v>سایر</x:v>
      </x:c>
      <x:c r="H100" s="79" t="str">
        <x:v>خشکبار و آجیل</x:v>
      </x:c>
      <x:c r="I100" s="79" t="str">
        <x:v>6a37810ddf5573f4e676e201</x:v>
      </x:c>
      <x:c r="J100" s="79" t="str">
        <x:v>dried-fruits-nuts</x:v>
      </x:c>
      <x:c r="K100" s="79"/>
      <x:c r="L100" s="79" t="str">
        <x:v>EDIBLE</x:v>
      </x:c>
      <x:c r="M100" s="79" t="str">
        <x:v>بله</x:v>
      </x:c>
      <x:c r="N100" s="79" t="str">
        <x:v>خوراکی</x:v>
      </x:c>
      <x:c r="O100" s="79" t="str">
        <x:v>خیر</x:v>
      </x:c>
      <x:c r="P100" s="79" t="n">
        <x:v>1</x:v>
      </x:c>
      <x:c r="Q100" s="79" t="str">
        <x:v>کیلو</x:v>
      </x:c>
      <x:c r="R100" s="79" t="str">
        <x:v>1/100</x:v>
      </x:c>
      <x:c r="S100" s="104" t="n">
        <x:v>1100000</x:v>
      </x:c>
      <x:c r="T100" s="79" t="n">
        <x:v>1</x:v>
      </x:c>
      <x:c r="U100" s="79" t="str">
        <x:v>kg</x:v>
      </x:c>
      <x:c r="V100" s="79" t="str">
        <x:v>کیلو</x:v>
      </x:c>
      <x:c r="W100" s="99" t="b">
        <x:v>1</x:v>
      </x:c>
      <x:c r="X100" s="79" t="str"/>
      <x:c r="Y100" s="79"/>
      <x:c r="Z100" s="104"/>
      <x:c r="AA100" s="79" t="str"/>
      <x:c r="AB100" s="79" t="str"/>
      <x:c r="AC100" s="79" t="str"/>
      <x:c r="AD100" s="79" t="str"/>
      <x:c r="AE100" s="79" t="str">
        <x:v>فعال</x:v>
      </x:c>
      <x:c r="AF100" s="79" t="str">
        <x:v>نیازمند بررسی دستی</x:v>
      </x:c>
      <x:c r="AG100" s="79" t="str">
        <x:v>دسته از «نیاز به بررسی» به «خشکبار و آجیل» اصلاح شد</x:v>
      </x:c>
      <x:c r="AH100" s="79" t="str">
        <x:v>[{"name": "کیلو", "sku": "", "price": 1100000, "stock": "", "weight": 1, "weightUnit": "kg", "containerSize": "کیلو", "isDefault": true}]</x:v>
      </x:c>
      <x:c r="AI100" s="79"/>
      <x:c r="AJ100" s="79"/>
      <x:c r="AK100" s="79"/>
      <x:c r="AL100" t="str">
        <x:v>چیاسید</x:v>
      </x:c>
      <x:c r="AM100" t="str">
        <x:v>single_102</x:v>
      </x:c>
      <x:c r="AN100" t="str">
        <x:v>canonical_group_row</x:v>
      </x:c>
      <x:c r="AO100" t="str">
        <x:v>خشکبار و آجیل</x:v>
      </x:c>
      <x:c r="AP100" t="str">
        <x:v>6a37810ddf5573f4e676e201</x:v>
      </x:c>
      <x:c r="AQ100" t="str">
        <x:v>dried-fruits-nuts</x:v>
      </x:c>
      <x:c r="AR100" t="str">
        <x:v>EDIBLE</x:v>
      </x:c>
      <x:c r="AS100" t="str">
        <x:v>بله</x:v>
      </x:c>
      <x:c r="AT100" t="str">
        <x:v>OK</x:v>
      </x:c>
      <x:c r="AU100" t="str">
        <x:v>دسته از «نیاز به بررسی» به «خشکبار و آجیل» اصلاح شد</x:v>
      </x:c>
    </x:row>
    <x:row r="101">
      <x:c r="A101" s="79" t="n">
        <x:v>103</x:v>
      </x:c>
      <x:c r="B101" s="79" t="str">
        <x:v>NS-0100-1</x:v>
      </x:c>
      <x:c r="C101" s="79" t="str">
        <x:v>حلوا ارده پسته ای</x:v>
      </x:c>
      <x:c r="D101" s="79" t="str">
        <x:v>pistachio_tahini_halva</x:v>
      </x:c>
      <x:c r="E101" s="79" t="str">
        <x:v>update</x:v>
      </x:c>
      <x:c r="F101" s="79" t="str">
        <x:v>بله</x:v>
      </x:c>
      <x:c r="G101" s="79" t="str">
        <x:v>قنادی و شیرینی</x:v>
      </x:c>
      <x:c r="H101" s="79" t="str">
        <x:v>قنادی و شیرینی</x:v>
      </x:c>
      <x:c r="I101" s="79" t="str">
        <x:v>6a3a00000000000000000003</x:v>
      </x:c>
      <x:c r="J101" s="79" t="str">
        <x:v>confectionery</x:v>
      </x:c>
      <x:c r="K101" s="79"/>
      <x:c r="L101" s="79" t="str">
        <x:v>EDIBLE</x:v>
      </x:c>
      <x:c r="M101" s="79" t="str">
        <x:v>بله</x:v>
      </x:c>
      <x:c r="N101" s="79" t="str">
        <x:v>خوراکی</x:v>
      </x:c>
      <x:c r="O101" s="79" t="str">
        <x:v>خیر</x:v>
      </x:c>
      <x:c r="P101" s="79" t="n">
        <x:v>1</x:v>
      </x:c>
      <x:c r="Q101" s="79" t="str">
        <x:v>500 گرمی</x:v>
      </x:c>
      <x:c r="R101" s="79" t="n">
        <x:v>430</x:v>
      </x:c>
      <x:c r="S101" s="104" t="n">
        <x:v>430000</x:v>
      </x:c>
      <x:c r="T101" s="79" t="n">
        <x:v>500</x:v>
      </x:c>
      <x:c r="U101" s="79" t="str">
        <x:v>g</x:v>
      </x:c>
      <x:c r="V101" s="79" t="str">
        <x:v>500 گرمی</x:v>
      </x:c>
      <x:c r="W101" s="99" t="b">
        <x:v>1</x:v>
      </x:c>
      <x:c r="X101" s="79" t="str"/>
      <x:c r="Y101" s="79"/>
      <x:c r="Z101" s="104"/>
      <x:c r="AA101" s="79" t="str"/>
      <x:c r="AB101" s="79" t="str"/>
      <x:c r="AC101" s="79" t="str"/>
      <x:c r="AD101" s="79" t="str"/>
      <x:c r="AE101" s="79" t="str">
        <x:v>فعال</x:v>
      </x:c>
      <x:c r="AF101" s="79" t="str">
        <x:v>دسته‌بندی نهایی</x:v>
      </x:c>
      <x:c r="AG101" s="79" t="str">
        <x:v>MERGED</x:v>
      </x:c>
      <x:c r="AH101" s="79" t="str">
        <x:v>[{"name": "500 گرمی", "sku": "", "price": 430000, "stock": "", "weight": 500, "weightUnit": "g", "containerSize": "500 گرمی", "isDefault": true}]</x:v>
      </x:c>
      <x:c r="AI101" s="79"/>
      <x:c r="AJ101" s="79"/>
      <x:c r="AK101" s="79"/>
      <x:c r="AL101" t="str">
        <x:v>حلوا ارده</x:v>
      </x:c>
      <x:c r="AM101" t="str">
        <x:v>grp_halva_ardeh</x:v>
      </x:c>
      <x:c r="AN101" t="str">
        <x:v>canonical_group_row</x:v>
      </x:c>
      <x:c r="AO101" t="str">
        <x:v>قنادی و شیرینی</x:v>
      </x:c>
      <x:c r="AP101" t="str">
        <x:v>6a3a00000000000000000003</x:v>
      </x:c>
      <x:c r="AQ101" t="str">
        <x:v>confectionery</x:v>
      </x:c>
      <x:c r="AR101" t="str">
        <x:v>EDIBLE</x:v>
      </x:c>
      <x:c r="AS101" t="str">
        <x:v>بله</x:v>
      </x:c>
      <x:c r="AT101" t="str">
        <x:v>MERGED</x:v>
      </x:c>
      <x:c r="AU101"/>
    </x:row>
    <x:row r="102">
      <x:c r="A102" s="79" t="n">
        <x:v>104</x:v>
      </x:c>
      <x:c r="B102" s="79" t="str">
        <x:v>NS-0101-1</x:v>
      </x:c>
      <x:c r="C102" s="79" t="str">
        <x:v>حلوا ارده ساده</x:v>
      </x:c>
      <x:c r="D102" s="79" t="str">
        <x:v>plain_tahini_halva</x:v>
      </x:c>
      <x:c r="E102" s="79" t="str">
        <x:v>update</x:v>
      </x:c>
      <x:c r="F102" s="79" t="str">
        <x:v>بله</x:v>
      </x:c>
      <x:c r="G102" s="79" t="str">
        <x:v>قنادی و شیرینی</x:v>
      </x:c>
      <x:c r="H102" s="79" t="str">
        <x:v>قنادی و شیرینی</x:v>
      </x:c>
      <x:c r="I102" s="79" t="str">
        <x:v>6a3a00000000000000000003</x:v>
      </x:c>
      <x:c r="J102" s="79" t="str">
        <x:v>confectionery</x:v>
      </x:c>
      <x:c r="K102" s="79"/>
      <x:c r="L102" s="79" t="str">
        <x:v>EDIBLE</x:v>
      </x:c>
      <x:c r="M102" s="79" t="str">
        <x:v>بله</x:v>
      </x:c>
      <x:c r="N102" s="79" t="str">
        <x:v>خوراکی</x:v>
      </x:c>
      <x:c r="O102" s="79" t="str">
        <x:v>خیر</x:v>
      </x:c>
      <x:c r="P102" s="79" t="n">
        <x:v>1</x:v>
      </x:c>
      <x:c r="Q102" s="79" t="str">
        <x:v>500 گرمی</x:v>
      </x:c>
      <x:c r="R102" s="79" t="n">
        <x:v>350</x:v>
      </x:c>
      <x:c r="S102" s="104" t="n">
        <x:v>350000</x:v>
      </x:c>
      <x:c r="T102" s="79" t="n">
        <x:v>500</x:v>
      </x:c>
      <x:c r="U102" s="79" t="str">
        <x:v>g</x:v>
      </x:c>
      <x:c r="V102" s="79" t="str">
        <x:v>500 گرمی</x:v>
      </x:c>
      <x:c r="W102" s="99" t="b">
        <x:v>1</x:v>
      </x:c>
      <x:c r="X102" s="79" t="str"/>
      <x:c r="Y102" s="79"/>
      <x:c r="Z102" s="104"/>
      <x:c r="AA102" s="79" t="str"/>
      <x:c r="AB102" s="79" t="str"/>
      <x:c r="AC102" s="79" t="str"/>
      <x:c r="AD102" s="79" t="str"/>
      <x:c r="AE102" s="79" t="str">
        <x:v>فعال</x:v>
      </x:c>
      <x:c r="AF102" s="79" t="str">
        <x:v>دسته‌بندی نهایی</x:v>
      </x:c>
      <x:c r="AG102" s="79" t="str">
        <x:v>MERGED</x:v>
      </x:c>
      <x:c r="AH102" s="79" t="str">
        <x:v>[{"name": "500 گرمی", "sku": "", "price": 350000, "stock": "", "weight": 500, "weightUnit": "g", "containerSize": "500 گرمی", "isDefault": true}]</x:v>
      </x:c>
      <x:c r="AI102" s="79"/>
      <x:c r="AJ102" s="79"/>
      <x:c r="AK102" s="79"/>
      <x:c r="AL102" t="str">
        <x:v>حلوا ارده</x:v>
      </x:c>
      <x:c r="AM102" t="str">
        <x:v>grp_halva_ardeh</x:v>
      </x:c>
      <x:c r="AN102" t="str">
        <x:v>merge_into_canonical_group</x:v>
      </x:c>
      <x:c r="AO102" t="str">
        <x:v>قنادی و شیرینی</x:v>
      </x:c>
      <x:c r="AP102" t="str">
        <x:v>6a3a00000000000000000003</x:v>
      </x:c>
      <x:c r="AQ102" t="str">
        <x:v>confectionery</x:v>
      </x:c>
      <x:c r="AR102" t="str">
        <x:v>EDIBLE</x:v>
      </x:c>
      <x:c r="AS102" t="str">
        <x:v>بله</x:v>
      </x:c>
      <x:c r="AT102" t="str">
        <x:v>MERGED</x:v>
      </x:c>
      <x:c r="AU102"/>
    </x:row>
    <x:row r="103">
      <x:c r="A103" s="79" t="n">
        <x:v>105</x:v>
      </x:c>
      <x:c r="B103" s="79" t="str">
        <x:v>NS-0102-1</x:v>
      </x:c>
      <x:c r="C103" s="79" t="str">
        <x:v>حلوا پشمکی</x:v>
      </x:c>
      <x:c r="D103" s="79" t="str">
        <x:v>halva_cotton</x:v>
      </x:c>
      <x:c r="E103" s="79" t="str">
        <x:v>update</x:v>
      </x:c>
      <x:c r="F103" s="79" t="str">
        <x:v>بله</x:v>
      </x:c>
      <x:c r="G103" s="79" t="str">
        <x:v>قنادی و شیرینی</x:v>
      </x:c>
      <x:c r="H103" s="79" t="str">
        <x:v>قنادی و شیرینی</x:v>
      </x:c>
      <x:c r="I103" s="79" t="str">
        <x:v>6a3a00000000000000000003</x:v>
      </x:c>
      <x:c r="J103" s="79" t="str">
        <x:v>confectionery</x:v>
      </x:c>
      <x:c r="K103" s="79"/>
      <x:c r="L103" s="79" t="str">
        <x:v>EDIBLE</x:v>
      </x:c>
      <x:c r="M103" s="79" t="str">
        <x:v>بله</x:v>
      </x:c>
      <x:c r="N103" s="79" t="str">
        <x:v>خوراکی</x:v>
      </x:c>
      <x:c r="O103" s="79" t="str">
        <x:v>خیر</x:v>
      </x:c>
      <x:c r="P103" s="79" t="n">
        <x:v>1</x:v>
      </x:c>
      <x:c r="Q103" s="79" t="str">
        <x:v>کیلو</x:v>
      </x:c>
      <x:c r="R103" s="79" t="n">
        <x:v>330</x:v>
      </x:c>
      <x:c r="S103" s="104" t="n">
        <x:v>330000</x:v>
      </x:c>
      <x:c r="T103" s="79" t="n">
        <x:v>1</x:v>
      </x:c>
      <x:c r="U103" s="79" t="str">
        <x:v>kg</x:v>
      </x:c>
      <x:c r="V103" s="79" t="str">
        <x:v>کیلو</x:v>
      </x:c>
      <x:c r="W103" s="99" t="b">
        <x:v>1</x:v>
      </x:c>
      <x:c r="X103" s="79" t="str"/>
      <x:c r="Y103" s="79"/>
      <x:c r="Z103" s="104"/>
      <x:c r="AA103" s="79" t="str"/>
      <x:c r="AB103" s="79" t="str"/>
      <x:c r="AC103" s="79" t="str"/>
      <x:c r="AD103" s="79" t="str"/>
      <x:c r="AE103" s="79" t="str">
        <x:v>فعال</x:v>
      </x:c>
      <x:c r="AF103" s="79" t="str">
        <x:v>دسته‌بندی نهایی</x:v>
      </x:c>
      <x:c r="AG103" s="79" t="str">
        <x:v>OK</x:v>
      </x:c>
      <x:c r="AH103" s="79" t="str">
        <x:v>[{"name": "کیلو", "sku": "", "price": 330000, "stock": "", "weight": 1, "weightUnit": "kg", "containerSize": "کیلو", "isDefault": true}]</x:v>
      </x:c>
      <x:c r="AI103" s="79"/>
      <x:c r="AJ103" s="79"/>
      <x:c r="AK103" s="79"/>
      <x:c r="AL103" t="str">
        <x:v>حلوا پشمکی</x:v>
      </x:c>
      <x:c r="AM103" t="str">
        <x:v>single_105</x:v>
      </x:c>
      <x:c r="AN103" t="str">
        <x:v>canonical_group_row</x:v>
      </x:c>
      <x:c r="AO103" t="str">
        <x:v>قنادی و شیرینی</x:v>
      </x:c>
      <x:c r="AP103" t="str">
        <x:v>6a3a00000000000000000003</x:v>
      </x:c>
      <x:c r="AQ103" t="str">
        <x:v>confectionery</x:v>
      </x:c>
      <x:c r="AR103" t="str">
        <x:v>EDIBLE</x:v>
      </x:c>
      <x:c r="AS103" t="str">
        <x:v>بله</x:v>
      </x:c>
      <x:c r="AT103" t="str">
        <x:v>OK</x:v>
      </x:c>
      <x:c r="AU103"/>
    </x:row>
    <x:row r="104">
      <x:c r="A104" s="79" t="n">
        <x:v>106</x:v>
      </x:c>
      <x:c r="B104" s="79" t="str">
        <x:v>NS-0103-1</x:v>
      </x:c>
      <x:c r="C104" s="79" t="str">
        <x:v>حلوا روغنی</x:v>
      </x:c>
      <x:c r="D104" s="79" t="str">
        <x:v>halva_oily</x:v>
      </x:c>
      <x:c r="E104" s="79" t="str">
        <x:v>update</x:v>
      </x:c>
      <x:c r="F104" s="79" t="str">
        <x:v>بله</x:v>
      </x:c>
      <x:c r="G104" s="79" t="str">
        <x:v>روغن</x:v>
      </x:c>
      <x:c r="H104" s="79" t="str">
        <x:v>قنادی و شیرینی</x:v>
      </x:c>
      <x:c r="I104" s="79" t="str">
        <x:v>6a3a00000000000000000003</x:v>
      </x:c>
      <x:c r="J104" s="79" t="str">
        <x:v>confectionery</x:v>
      </x:c>
      <x:c r="K104" s="79"/>
      <x:c r="L104" s="79" t="str">
        <x:v>EDIBLE</x:v>
      </x:c>
      <x:c r="M104" s="79" t="str">
        <x:v>بله</x:v>
      </x:c>
      <x:c r="N104" s="79" t="str">
        <x:v>خوراکی</x:v>
      </x:c>
      <x:c r="O104" s="79" t="str">
        <x:v>خیر</x:v>
      </x:c>
      <x:c r="P104" s="79" t="n">
        <x:v>1</x:v>
      </x:c>
      <x:c r="Q104" s="79" t="str">
        <x:v>کیلو</x:v>
      </x:c>
      <x:c r="R104" s="79" t="n">
        <x:v>350</x:v>
      </x:c>
      <x:c r="S104" s="104" t="n">
        <x:v>350000</x:v>
      </x:c>
      <x:c r="T104" s="79" t="n">
        <x:v>1</x:v>
      </x:c>
      <x:c r="U104" s="79" t="str">
        <x:v>kg</x:v>
      </x:c>
      <x:c r="V104" s="79" t="str">
        <x:v>کیلو</x:v>
      </x:c>
      <x:c r="W104" s="99" t="b">
        <x:v>1</x:v>
      </x:c>
      <x:c r="X104" s="79" t="str"/>
      <x:c r="Y104" s="79"/>
      <x:c r="Z104" s="104"/>
      <x:c r="AA104" s="79" t="str"/>
      <x:c r="AB104" s="79" t="str"/>
      <x:c r="AC104" s="79" t="str"/>
      <x:c r="AD104" s="79" t="str"/>
      <x:c r="AE104" s="79" t="str">
        <x:v>فعال</x:v>
      </x:c>
      <x:c r="AF104" s="79" t="str">
        <x:v>دسته‌بندی نهایی</x:v>
      </x:c>
      <x:c r="AG104" s="79" t="str">
        <x:v>دسته از «روغن» به «قنادی و شیرینی» اصلاح شد</x:v>
      </x:c>
      <x:c r="AH104" s="79" t="str">
        <x:v>[{"name": "کیلو", "sku": "", "price": 350000, "stock": "", "weight": 1, "weightUnit": "kg", "containerSize": "کیلو", "isDefault": true}]</x:v>
      </x:c>
      <x:c r="AI104" s="79"/>
      <x:c r="AJ104" s="79"/>
      <x:c r="AK104" s="79"/>
      <x:c r="AL104" t="str">
        <x:v>حلوا روغنی</x:v>
      </x:c>
      <x:c r="AM104" t="str">
        <x:v>single_106</x:v>
      </x:c>
      <x:c r="AN104" t="str">
        <x:v>canonical_group_row</x:v>
      </x:c>
      <x:c r="AO104" t="str">
        <x:v>قنادی و شیرینی</x:v>
      </x:c>
      <x:c r="AP104" t="str">
        <x:v>6a3a00000000000000000003</x:v>
      </x:c>
      <x:c r="AQ104" t="str">
        <x:v>confectionery</x:v>
      </x:c>
      <x:c r="AR104" t="str">
        <x:v>EDIBLE</x:v>
      </x:c>
      <x:c r="AS104" t="str">
        <x:v>بله</x:v>
      </x:c>
      <x:c r="AT104" t="str">
        <x:v>OK</x:v>
      </x:c>
      <x:c r="AU104" t="str">
        <x:v>دسته از «روغن» به «قنادی و شیرینی» اصلاح شد</x:v>
      </x:c>
    </x:row>
    <x:row r="105">
      <x:c r="A105" s="79" t="n">
        <x:v>107</x:v>
      </x:c>
      <x:c r="B105" s="79" t="str">
        <x:v>NS-0104-1</x:v>
      </x:c>
      <x:c r="C105" s="79" t="str">
        <x:v>حلوا طنابی</x:v>
      </x:c>
      <x:c r="D105" s="79" t="str">
        <x:v>halva_rope</x:v>
      </x:c>
      <x:c r="E105" s="79" t="str">
        <x:v>update</x:v>
      </x:c>
      <x:c r="F105" s="79" t="str">
        <x:v>بله</x:v>
      </x:c>
      <x:c r="G105" s="79" t="str">
        <x:v>قنادی و شیرینی</x:v>
      </x:c>
      <x:c r="H105" s="79" t="str">
        <x:v>قنادی و شیرینی</x:v>
      </x:c>
      <x:c r="I105" s="79" t="str">
        <x:v>6a3a00000000000000000003</x:v>
      </x:c>
      <x:c r="J105" s="79" t="str">
        <x:v>confectionery</x:v>
      </x:c>
      <x:c r="K105" s="79"/>
      <x:c r="L105" s="79" t="str">
        <x:v>EDIBLE</x:v>
      </x:c>
      <x:c r="M105" s="79" t="str">
        <x:v>بله</x:v>
      </x:c>
      <x:c r="N105" s="79" t="str">
        <x:v>خوراکی</x:v>
      </x:c>
      <x:c r="O105" s="79" t="str">
        <x:v>خیر</x:v>
      </x:c>
      <x:c r="P105" s="79" t="n">
        <x:v>1</x:v>
      </x:c>
      <x:c r="Q105" s="79" t="str">
        <x:v>کیلو</x:v>
      </x:c>
      <x:c r="R105" s="79" t="n">
        <x:v>350</x:v>
      </x:c>
      <x:c r="S105" s="104" t="n">
        <x:v>350000</x:v>
      </x:c>
      <x:c r="T105" s="79" t="n">
        <x:v>1</x:v>
      </x:c>
      <x:c r="U105" s="79" t="str">
        <x:v>kg</x:v>
      </x:c>
      <x:c r="V105" s="79" t="str">
        <x:v>کیلو</x:v>
      </x:c>
      <x:c r="W105" s="99" t="b">
        <x:v>1</x:v>
      </x:c>
      <x:c r="X105" s="79" t="str"/>
      <x:c r="Y105" s="79"/>
      <x:c r="Z105" s="104"/>
      <x:c r="AA105" s="79" t="str"/>
      <x:c r="AB105" s="79" t="str"/>
      <x:c r="AC105" s="79" t="str"/>
      <x:c r="AD105" s="79" t="str"/>
      <x:c r="AE105" s="79" t="str">
        <x:v>فعال</x:v>
      </x:c>
      <x:c r="AF105" s="79" t="str">
        <x:v>دسته‌بندی نهایی</x:v>
      </x:c>
      <x:c r="AG105" s="79" t="str">
        <x:v>OK</x:v>
      </x:c>
      <x:c r="AH105" s="79" t="str">
        <x:v>[{"name": "کیلو", "sku": "", "price": 350000, "stock": "", "weight": 1, "weightUnit": "kg", "containerSize": "کیلو", "isDefault": true}]</x:v>
      </x:c>
      <x:c r="AI105" s="79"/>
      <x:c r="AJ105" s="79"/>
      <x:c r="AK105" s="79"/>
      <x:c r="AL105" t="str">
        <x:v>حلوا طنابی</x:v>
      </x:c>
      <x:c r="AM105" t="str">
        <x:v>single_107</x:v>
      </x:c>
      <x:c r="AN105" t="str">
        <x:v>canonical_group_row</x:v>
      </x:c>
      <x:c r="AO105" t="str">
        <x:v>قنادی و شیرینی</x:v>
      </x:c>
      <x:c r="AP105" t="str">
        <x:v>6a3a00000000000000000003</x:v>
      </x:c>
      <x:c r="AQ105" t="str">
        <x:v>confectionery</x:v>
      </x:c>
      <x:c r="AR105" t="str">
        <x:v>EDIBLE</x:v>
      </x:c>
      <x:c r="AS105" t="str">
        <x:v>بله</x:v>
      </x:c>
      <x:c r="AT105" t="str">
        <x:v>OK</x:v>
      </x:c>
      <x:c r="AU105"/>
    </x:row>
    <x:row r="106">
      <x:c r="A106" s="79" t="n">
        <x:v>108</x:v>
      </x:c>
      <x:c r="B106" s="79" t="str">
        <x:v>NS-0105-1</x:v>
      </x:c>
      <x:c r="C106" s="79" t="str">
        <x:v>حلوا کشی</x:v>
      </x:c>
      <x:c r="D106" s="79" t="str">
        <x:v>halva_sticky</x:v>
      </x:c>
      <x:c r="E106" s="79" t="str">
        <x:v>update</x:v>
      </x:c>
      <x:c r="F106" s="79" t="str">
        <x:v>بله</x:v>
      </x:c>
      <x:c r="G106" s="79" t="str">
        <x:v>قنادی و شیرینی</x:v>
      </x:c>
      <x:c r="H106" s="79" t="str">
        <x:v>قنادی و شیرینی</x:v>
      </x:c>
      <x:c r="I106" s="79" t="str">
        <x:v>6a3a00000000000000000003</x:v>
      </x:c>
      <x:c r="J106" s="79" t="str">
        <x:v>confectionery</x:v>
      </x:c>
      <x:c r="K106" s="79"/>
      <x:c r="L106" s="79" t="str">
        <x:v>EDIBLE</x:v>
      </x:c>
      <x:c r="M106" s="79" t="str">
        <x:v>بله</x:v>
      </x:c>
      <x:c r="N106" s="79" t="str">
        <x:v>خوراکی</x:v>
      </x:c>
      <x:c r="O106" s="79" t="str">
        <x:v>خیر</x:v>
      </x:c>
      <x:c r="P106" s="79" t="n">
        <x:v>1</x:v>
      </x:c>
      <x:c r="Q106" s="79" t="str">
        <x:v>کیلو</x:v>
      </x:c>
      <x:c r="R106" s="79" t="n">
        <x:v>330</x:v>
      </x:c>
      <x:c r="S106" s="104" t="n">
        <x:v>330000</x:v>
      </x:c>
      <x:c r="T106" s="79" t="n">
        <x:v>1</x:v>
      </x:c>
      <x:c r="U106" s="79" t="str">
        <x:v>kg</x:v>
      </x:c>
      <x:c r="V106" s="79" t="str">
        <x:v>کیلو</x:v>
      </x:c>
      <x:c r="W106" s="99" t="b">
        <x:v>1</x:v>
      </x:c>
      <x:c r="X106" s="79" t="str"/>
      <x:c r="Y106" s="79"/>
      <x:c r="Z106" s="104"/>
      <x:c r="AA106" s="79" t="str"/>
      <x:c r="AB106" s="79" t="str"/>
      <x:c r="AC106" s="79" t="str"/>
      <x:c r="AD106" s="79" t="str"/>
      <x:c r="AE106" s="79" t="str">
        <x:v>فعال</x:v>
      </x:c>
      <x:c r="AF106" s="79" t="str">
        <x:v>دسته‌بندی نهایی</x:v>
      </x:c>
      <x:c r="AG106" s="79" t="str">
        <x:v>OK</x:v>
      </x:c>
      <x:c r="AH106" s="79" t="str">
        <x:v>[{"name": "کیلو", "sku": "", "price": 330000, "stock": "", "weight": 1, "weightUnit": "kg", "containerSize": "کیلو", "isDefault": true}]</x:v>
      </x:c>
      <x:c r="AI106" s="79"/>
      <x:c r="AJ106" s="79"/>
      <x:c r="AK106" s="79"/>
      <x:c r="AL106" t="str">
        <x:v>حلوا کشی</x:v>
      </x:c>
      <x:c r="AM106" t="str">
        <x:v>single_108</x:v>
      </x:c>
      <x:c r="AN106" t="str">
        <x:v>canonical_group_row</x:v>
      </x:c>
      <x:c r="AO106" t="str">
        <x:v>قنادی و شیرینی</x:v>
      </x:c>
      <x:c r="AP106" t="str">
        <x:v>6a3a00000000000000000003</x:v>
      </x:c>
      <x:c r="AQ106" t="str">
        <x:v>confectionery</x:v>
      </x:c>
      <x:c r="AR106" t="str">
        <x:v>EDIBLE</x:v>
      </x:c>
      <x:c r="AS106" t="str">
        <x:v>بله</x:v>
      </x:c>
      <x:c r="AT106" t="str">
        <x:v>OK</x:v>
      </x:c>
      <x:c r="AU106"/>
    </x:row>
    <x:row r="107">
      <x:c r="A107" s="79" t="n">
        <x:v>109</x:v>
      </x:c>
      <x:c r="B107" s="79" t="str">
        <x:v>NS-0106-1</x:v>
      </x:c>
      <x:c r="C107" s="79" t="str">
        <x:v>حنا</x:v>
      </x:c>
      <x:c r="D107" s="79" t="str">
        <x:v>henna</x:v>
      </x:c>
      <x:c r="E107" s="79" t="str">
        <x:v>update</x:v>
      </x:c>
      <x:c r="F107" s="79" t="str">
        <x:v>بله</x:v>
      </x:c>
      <x:c r="G107" s="79" t="str">
        <x:v>سایر</x:v>
      </x:c>
      <x:c r="H107" s="79" t="str">
        <x:v>گیاهان دارویی</x:v>
      </x:c>
      <x:c r="I107" s="79" t="str">
        <x:v>6a3782d7df5573f4e676e243</x:v>
      </x:c>
      <x:c r="J107" s="79" t="str">
        <x:v>medicinal-plants</x:v>
      </x:c>
      <x:c r="K107" s="79"/>
      <x:c r="L107" s="79" t="str">
        <x:v>TOPICAL</x:v>
      </x:c>
      <x:c r="M107" s="79" t="str">
        <x:v>خیر</x:v>
      </x:c>
      <x:c r="N107" s="79" t="str">
        <x:v>غیرخوراکی/موضعی</x:v>
      </x:c>
      <x:c r="O107" s="79" t="str">
        <x:v>خیر</x:v>
      </x:c>
      <x:c r="P107" s="79" t="n">
        <x:v>1</x:v>
      </x:c>
      <x:c r="Q107" s="79" t="str">
        <x:v>کیلو</x:v>
      </x:c>
      <x:c r="R107" s="79" t="str">
        <x:v>؟</x:v>
      </x:c>
      <x:c r="S107" s="104"/>
      <x:c r="T107" s="79" t="n">
        <x:v>1</x:v>
      </x:c>
      <x:c r="U107" s="79" t="str">
        <x:v>kg</x:v>
      </x:c>
      <x:c r="V107" s="79" t="str">
        <x:v>کیلو</x:v>
      </x:c>
      <x:c r="W107" s="99" t="b">
        <x:v>1</x:v>
      </x:c>
      <x:c r="X107" s="79" t="str"/>
      <x:c r="Y107" s="79"/>
      <x:c r="Z107" s="104"/>
      <x:c r="AA107" s="79" t="str"/>
      <x:c r="AB107" s="79" t="str"/>
      <x:c r="AC107" s="79" t="str"/>
      <x:c r="AD107" s="79" t="str"/>
      <x:c r="AE107" s="79" t="str">
        <x:v>نیاز به استعلام</x:v>
      </x:c>
      <x:c r="AF107" s="79" t="str">
        <x:v>نیازمند بررسی دستی</x:v>
      </x:c>
      <x:c r="AG107" s="79" t="str">
        <x:v>دسته قبلاً خالی/نیازمند بررسی بود؛ بر اساس ماهیت موضعی/غیرخوراکی به گیاهان دارویی منتقل شد | نوع مصرف به موضعی/غیرخوراکی اصلاح شد | یک یا چند قیمت نامشخص است</x:v>
      </x:c>
      <x:c r="AH107" s="79" t="str">
        <x:v>[{"name": "کیلو", "sku": "", "price": null, "stock": "", "weight": 1, "weightUnit": "kg", "containerSize": "کیلو", "isDefault": true}]</x:v>
      </x:c>
      <x:c r="AI107" s="79"/>
      <x:c r="AJ107" s="79"/>
      <x:c r="AK107" s="79"/>
      <x:c r="AL107" t="str">
        <x:v>حنا</x:v>
      </x:c>
      <x:c r="AM107" t="str">
        <x:v>single_109</x:v>
      </x:c>
      <x:c r="AN107" t="str">
        <x:v>canonical_group_row</x:v>
      </x:c>
      <x:c r="AO107" t="str">
        <x:v>گیاهان دارویی</x:v>
      </x:c>
      <x:c r="AP107" t="str">
        <x:v>6a3782d7df5573f4e676e243</x:v>
      </x:c>
      <x:c r="AQ107" t="str">
        <x:v>medicinal-plants</x:v>
      </x:c>
      <x:c r="AR107" t="str">
        <x:v>TOPICAL</x:v>
      </x:c>
      <x:c r="AS107" t="str">
        <x:v>خیر</x:v>
      </x:c>
      <x:c r="AT107" t="str">
        <x:v>MISSING_PRICE_REVIEW</x:v>
      </x:c>
      <x:c r="AU107" t="str">
        <x:v>دسته قبلاً خالی/نیازمند بررسی بود؛ بر اساس ماهیت موضعی/غیرخوراکی به گیاهان دارویی منتقل شد | نوع مصرف به موضعی/غیرخوراکی اصلاح شد | یک یا چند قیمت نامشخص است</x:v>
      </x:c>
    </x:row>
    <x:row r="108">
      <x:c r="A108" s="79" t="n">
        <x:v>110</x:v>
      </x:c>
      <x:c r="B108" s="79" t="str">
        <x:v>NS-0107-1</x:v>
      </x:c>
      <x:c r="C108" s="79" t="str">
        <x:v>حنا بی رنگ</x:v>
      </x:c>
      <x:c r="D108" s="79" t="str">
        <x:v>colorless_henna</x:v>
      </x:c>
      <x:c r="E108" s="79" t="str">
        <x:v>update</x:v>
      </x:c>
      <x:c r="F108" s="79" t="str">
        <x:v>بله</x:v>
      </x:c>
      <x:c r="G108" s="79" t="str">
        <x:v>سایر</x:v>
      </x:c>
      <x:c r="H108" s="79" t="str">
        <x:v>گیاهان دارویی</x:v>
      </x:c>
      <x:c r="I108" s="79" t="str">
        <x:v>6a3782d7df5573f4e676e243</x:v>
      </x:c>
      <x:c r="J108" s="79" t="str">
        <x:v>medicinal-plants</x:v>
      </x:c>
      <x:c r="K108" s="79"/>
      <x:c r="L108" s="79" t="str">
        <x:v>TOPICAL</x:v>
      </x:c>
      <x:c r="M108" s="79" t="str">
        <x:v>خیر</x:v>
      </x:c>
      <x:c r="N108" s="79" t="str">
        <x:v>غیرخوراکی/موضعی</x:v>
      </x:c>
      <x:c r="O108" s="79" t="str">
        <x:v>خیر</x:v>
      </x:c>
      <x:c r="P108" s="79" t="n">
        <x:v>1</x:v>
      </x:c>
      <x:c r="Q108" s="79" t="str">
        <x:v>250 گرمی</x:v>
      </x:c>
      <x:c r="R108" s="79" t="n">
        <x:v>150</x:v>
      </x:c>
      <x:c r="S108" s="104" t="n">
        <x:v>150000</x:v>
      </x:c>
      <x:c r="T108" s="79" t="n">
        <x:v>250</x:v>
      </x:c>
      <x:c r="U108" s="79" t="str">
        <x:v>g</x:v>
      </x:c>
      <x:c r="V108" s="79" t="str">
        <x:v>250 گرمی</x:v>
      </x:c>
      <x:c r="W108" s="99" t="b">
        <x:v>1</x:v>
      </x:c>
      <x:c r="X108" s="79" t="str"/>
      <x:c r="Y108" s="79"/>
      <x:c r="Z108" s="104"/>
      <x:c r="AA108" s="79" t="str"/>
      <x:c r="AB108" s="79" t="str"/>
      <x:c r="AC108" s="79" t="str"/>
      <x:c r="AD108" s="79" t="str"/>
      <x:c r="AE108" s="79" t="str">
        <x:v>فعال</x:v>
      </x:c>
      <x:c r="AF108" s="79" t="str">
        <x:v>نیازمند بررسی دستی</x:v>
      </x:c>
      <x:c r="AG10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108" s="79" t="str">
        <x:v>[{"name": "250 گرمی", "sku": "", "price": 150000, "stock": "", "weight": 250, "weightUnit": "g", "containerSize": "250 گرمی", "isDefault": true}]</x:v>
      </x:c>
      <x:c r="AI108" s="79"/>
      <x:c r="AJ108" s="79"/>
      <x:c r="AK108" s="79"/>
      <x:c r="AL108" t="str">
        <x:v>حنا بی رنگ</x:v>
      </x:c>
      <x:c r="AM108" t="str">
        <x:v>single_110</x:v>
      </x:c>
      <x:c r="AN108" t="str">
        <x:v>canonical_group_row</x:v>
      </x:c>
      <x:c r="AO108" t="str">
        <x:v>گیاهان دارویی</x:v>
      </x:c>
      <x:c r="AP108" t="str">
        <x:v>6a3782d7df5573f4e676e243</x:v>
      </x:c>
      <x:c r="AQ108" t="str">
        <x:v>medicinal-plants</x:v>
      </x:c>
      <x:c r="AR108" t="str">
        <x:v>TOPICAL</x:v>
      </x:c>
      <x:c r="AS108" t="str">
        <x:v>خیر</x:v>
      </x:c>
      <x:c r="AT108" t="str">
        <x:v>OK</x:v>
      </x:c>
      <x:c r="AU108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09">
      <x:c r="A109" s="79" t="n">
        <x:v>111</x:v>
      </x:c>
      <x:c r="B109" s="79" t="str">
        <x:v>NS-0108-1</x:v>
      </x:c>
      <x:c r="C109" s="79" t="str">
        <x:v>خاکشیر همدان</x:v>
      </x:c>
      <x:c r="D109" s="79" t="str">
        <x:v>hamedan_flixweed</x:v>
      </x:c>
      <x:c r="E109" s="79" t="str">
        <x:v>update</x:v>
      </x:c>
      <x:c r="F109" s="79" t="str">
        <x:v>بله</x:v>
      </x:c>
      <x:c r="G109" s="79" t="str">
        <x:v>گیاهان دارویی</x:v>
      </x:c>
      <x:c r="H109" s="79" t="str">
        <x:v>گیاهان دارویی</x:v>
      </x:c>
      <x:c r="I109" s="79" t="str">
        <x:v>6a3782d7df5573f4e676e243</x:v>
      </x:c>
      <x:c r="J109" s="79" t="str">
        <x:v>medicinal-plants</x:v>
      </x:c>
      <x:c r="K109" s="79"/>
      <x:c r="L109" s="79" t="str">
        <x:v>EDIBLE</x:v>
      </x:c>
      <x:c r="M109" s="79" t="str">
        <x:v>بله</x:v>
      </x:c>
      <x:c r="N109" s="79" t="str">
        <x:v>خوراکی</x:v>
      </x:c>
      <x:c r="O109" s="79" t="str">
        <x:v>خیر</x:v>
      </x:c>
      <x:c r="P109" s="79" t="n">
        <x:v>1</x:v>
      </x:c>
      <x:c r="Q109" s="79" t="str">
        <x:v>کیلو</x:v>
      </x:c>
      <x:c r="R109" s="79" t="n">
        <x:v>390</x:v>
      </x:c>
      <x:c r="S109" s="104" t="n">
        <x:v>390000</x:v>
      </x:c>
      <x:c r="T109" s="79" t="n">
        <x:v>1</x:v>
      </x:c>
      <x:c r="U109" s="79" t="str">
        <x:v>kg</x:v>
      </x:c>
      <x:c r="V109" s="79" t="str">
        <x:v>کیلو</x:v>
      </x:c>
      <x:c r="W109" s="99" t="b">
        <x:v>1</x:v>
      </x:c>
      <x:c r="X109" s="79" t="str"/>
      <x:c r="Y109" s="79"/>
      <x:c r="Z109" s="104"/>
      <x:c r="AA109" s="79" t="str"/>
      <x:c r="AB109" s="79" t="str"/>
      <x:c r="AC109" s="79" t="str"/>
      <x:c r="AD109" s="79" t="str"/>
      <x:c r="AE109" s="79" t="str">
        <x:v>فعال</x:v>
      </x:c>
      <x:c r="AF109" s="79" t="str">
        <x:v>دسته‌بندی نهایی</x:v>
      </x:c>
      <x:c r="AG109" s="79" t="str">
        <x:v>OK</x:v>
      </x:c>
      <x:c r="AH109" s="79" t="str">
        <x:v>[{"name": "کیلو", "sku": "", "price": 390000, "stock": "", "weight": 1, "weightUnit": "kg", "containerSize": "کیلو", "isDefault": true}]</x:v>
      </x:c>
      <x:c r="AI109" s="79"/>
      <x:c r="AJ109" s="79"/>
      <x:c r="AK109" s="79"/>
      <x:c r="AL109" t="str">
        <x:v>خاکشیر همدان</x:v>
      </x:c>
      <x:c r="AM109" t="str">
        <x:v>single_111</x:v>
      </x:c>
      <x:c r="AN109" t="str">
        <x:v>canonical_group_row</x:v>
      </x:c>
      <x:c r="AO109" t="str">
        <x:v>گیاهان دارویی</x:v>
      </x:c>
      <x:c r="AP109" t="str">
        <x:v>6a3782d7df5573f4e676e243</x:v>
      </x:c>
      <x:c r="AQ109" t="str">
        <x:v>medicinal-plants</x:v>
      </x:c>
      <x:c r="AR109" t="str">
        <x:v>EDIBLE</x:v>
      </x:c>
      <x:c r="AS109" t="str">
        <x:v>بله</x:v>
      </x:c>
      <x:c r="AT109" t="str">
        <x:v>OK</x:v>
      </x:c>
      <x:c r="AU109"/>
    </x:row>
    <x:row r="110">
      <x:c r="A110" s="79" t="n">
        <x:v>112</x:v>
      </x:c>
      <x:c r="B110" s="79" t="str">
        <x:v>NS-0109-1</x:v>
      </x:c>
      <x:c r="C110" s="79" t="str">
        <x:v>خرفه</x:v>
      </x:c>
      <x:c r="D110" s="79" t="str">
        <x:v>purslane</x:v>
      </x:c>
      <x:c r="E110" s="79" t="str">
        <x:v>update</x:v>
      </x:c>
      <x:c r="F110" s="79" t="str">
        <x:v>بله</x:v>
      </x:c>
      <x:c r="G110" s="79" t="str">
        <x:v>سایر</x:v>
      </x:c>
      <x:c r="H110" s="79" t="str">
        <x:v>گیاهان دارویی</x:v>
      </x:c>
      <x:c r="I110" s="79" t="str">
        <x:v>6a3782d7df5573f4e676e243</x:v>
      </x:c>
      <x:c r="J110" s="79" t="str">
        <x:v>medicinal-plants</x:v>
      </x:c>
      <x:c r="K110" s="79"/>
      <x:c r="L110" s="79" t="str">
        <x:v>EDIBLE</x:v>
      </x:c>
      <x:c r="M110" s="79" t="str">
        <x:v>بله</x:v>
      </x:c>
      <x:c r="N110" s="79" t="str">
        <x:v>خوراکی</x:v>
      </x:c>
      <x:c r="O110" s="79" t="str">
        <x:v>خیر</x:v>
      </x:c>
      <x:c r="P110" s="79" t="n">
        <x:v>1</x:v>
      </x:c>
      <x:c r="Q110" s="79" t="str">
        <x:v>کیلو</x:v>
      </x:c>
      <x:c r="R110" s="79" t="n">
        <x:v>700</x:v>
      </x:c>
      <x:c r="S110" s="104" t="n">
        <x:v>700000</x:v>
      </x:c>
      <x:c r="T110" s="79" t="n">
        <x:v>1</x:v>
      </x:c>
      <x:c r="U110" s="79" t="str">
        <x:v>kg</x:v>
      </x:c>
      <x:c r="V110" s="79" t="str">
        <x:v>کیلو</x:v>
      </x:c>
      <x:c r="W110" s="99" t="b">
        <x:v>1</x:v>
      </x:c>
      <x:c r="X110" s="79" t="str"/>
      <x:c r="Y110" s="79"/>
      <x:c r="Z110" s="104"/>
      <x:c r="AA110" s="79" t="str"/>
      <x:c r="AB110" s="79" t="str"/>
      <x:c r="AC110" s="79" t="str"/>
      <x:c r="AD110" s="79" t="str"/>
      <x:c r="AE110" s="79" t="str">
        <x:v>فعال</x:v>
      </x:c>
      <x:c r="AF110" s="79" t="str">
        <x:v>نیازمند بررسی دستی</x:v>
      </x:c>
      <x:c r="AG110" s="79" t="str">
        <x:v>دسته از «نیاز به بررسی» به «گیاهان دارویی» اصلاح شد</x:v>
      </x:c>
      <x:c r="AH110" s="79" t="str">
        <x:v>[{"name": "کیلو", "sku": "", "price": 700000, "stock": "", "weight": 1, "weightUnit": "kg", "containerSize": "کیلو", "isDefault": true}]</x:v>
      </x:c>
      <x:c r="AI110" s="79"/>
      <x:c r="AJ110" s="79"/>
      <x:c r="AK110" s="79"/>
      <x:c r="AL110" t="str">
        <x:v>خرفه</x:v>
      </x:c>
      <x:c r="AM110" t="str">
        <x:v>single_112</x:v>
      </x:c>
      <x:c r="AN110" t="str">
        <x:v>canonical_group_row</x:v>
      </x:c>
      <x:c r="AO110" t="str">
        <x:v>گیاهان دارویی</x:v>
      </x:c>
      <x:c r="AP110" t="str">
        <x:v>6a3782d7df5573f4e676e243</x:v>
      </x:c>
      <x:c r="AQ110" t="str">
        <x:v>medicinal-plants</x:v>
      </x:c>
      <x:c r="AR110" t="str">
        <x:v>EDIBLE</x:v>
      </x:c>
      <x:c r="AS110" t="str">
        <x:v>بله</x:v>
      </x:c>
      <x:c r="AT110" t="str">
        <x:v>OK</x:v>
      </x:c>
      <x:c r="AU110" t="str">
        <x:v>دسته از «نیاز به بررسی» به «گیاهان دارویی» اصلاح شد</x:v>
      </x:c>
    </x:row>
    <x:row r="111">
      <x:c r="A111" s="79" t="n">
        <x:v>113</x:v>
      </x:c>
      <x:c r="B111" s="79" t="str">
        <x:v>NS-0110-1</x:v>
      </x:c>
      <x:c r="C111" s="79" t="str">
        <x:v>خمیر مایه فریمان</x:v>
      </x:c>
      <x:c r="D111" s="79" t="str">
        <x:v>fariman_yeast</x:v>
      </x:c>
      <x:c r="E111" s="79" t="str">
        <x:v>update</x:v>
      </x:c>
      <x:c r="F111" s="79" t="str">
        <x:v>بله</x:v>
      </x:c>
      <x:c r="G111" s="79" t="str">
        <x:v>سایر</x:v>
      </x:c>
      <x:c r="H111" s="79" t="str">
        <x:v>آرد و قنادی</x:v>
      </x:c>
      <x:c r="I111" s="79" t="str">
        <x:v>6a3a00000000000000000004</x:v>
      </x:c>
      <x:c r="J111" s="79" t="str">
        <x:v>flour-confectionery</x:v>
      </x:c>
      <x:c r="K111" s="79" t="str">
        <x:v>6a3a00000000000000000003</x:v>
      </x:c>
      <x:c r="L111" s="79" t="str">
        <x:v>EDIBLE</x:v>
      </x:c>
      <x:c r="M111" s="79" t="str">
        <x:v>بله</x:v>
      </x:c>
      <x:c r="N111" s="79" t="str">
        <x:v>خوراکی</x:v>
      </x:c>
      <x:c r="O111" s="79" t="str">
        <x:v>خیر</x:v>
      </x:c>
      <x:c r="P111" s="79" t="n">
        <x:v>1</x:v>
      </x:c>
      <x:c r="Q111" s="79" t="str">
        <x:v>کیلو</x:v>
      </x:c>
      <x:c r="R111" s="79" t="n">
        <x:v>480</x:v>
      </x:c>
      <x:c r="S111" s="104" t="n">
        <x:v>480000</x:v>
      </x:c>
      <x:c r="T111" s="79" t="n">
        <x:v>1</x:v>
      </x:c>
      <x:c r="U111" s="79" t="str">
        <x:v>kg</x:v>
      </x:c>
      <x:c r="V111" s="79" t="str">
        <x:v>کیلو</x:v>
      </x:c>
      <x:c r="W111" s="99" t="b">
        <x:v>1</x:v>
      </x:c>
      <x:c r="X111" s="79" t="str"/>
      <x:c r="Y111" s="79"/>
      <x:c r="Z111" s="104"/>
      <x:c r="AA111" s="79" t="str"/>
      <x:c r="AB111" s="79" t="str"/>
      <x:c r="AC111" s="79" t="str"/>
      <x:c r="AD111" s="79" t="str"/>
      <x:c r="AE111" s="79" t="str">
        <x:v>فعال</x:v>
      </x:c>
      <x:c r="AF111" s="79" t="str">
        <x:v>نیازمند بررسی دستی</x:v>
      </x:c>
      <x:c r="AG111" s="79" t="str">
        <x:v>دسته از «نیاز به بررسی» به «آرد و قنادی» اصلاح شد</x:v>
      </x:c>
      <x:c r="AH111" s="79" t="str">
        <x:v>[{"name": "کیلو", "sku": "", "price": 480000, "stock": "", "weight": 1, "weightUnit": "kg", "containerSize": "کیلو", "isDefault": true}]</x:v>
      </x:c>
      <x:c r="AI111" s="79"/>
      <x:c r="AJ111" s="79"/>
      <x:c r="AK111" s="79"/>
      <x:c r="AL111" t="str">
        <x:v>خمیر مایه فریمان</x:v>
      </x:c>
      <x:c r="AM111" t="str">
        <x:v>single_113</x:v>
      </x:c>
      <x:c r="AN111" t="str">
        <x:v>canonical_group_row</x:v>
      </x:c>
      <x:c r="AO111" t="str">
        <x:v>آرد و قنادی</x:v>
      </x:c>
      <x:c r="AP111" t="str">
        <x:v>6a3a00000000000000000004</x:v>
      </x:c>
      <x:c r="AQ111" t="str">
        <x:v>flour-confectionery</x:v>
      </x:c>
      <x:c r="AR111" t="str">
        <x:v>EDIBLE</x:v>
      </x:c>
      <x:c r="AS111" t="str">
        <x:v>بله</x:v>
      </x:c>
      <x:c r="AT111" t="str">
        <x:v>OK</x:v>
      </x:c>
      <x:c r="AU111" t="str">
        <x:v>دسته از «نیاز به بررسی» به «آرد و قنادی» اصلاح شد</x:v>
      </x:c>
    </x:row>
    <x:row r="112">
      <x:c r="A112" s="79" t="n">
        <x:v>114</x:v>
      </x:c>
      <x:c r="B112" s="79" t="str">
        <x:v>NS-0111-1</x:v>
      </x:c>
      <x:c r="C112" s="79" t="str">
        <x:v>دارچین سیگاری</x:v>
      </x:c>
      <x:c r="D112" s="79" t="str">
        <x:v>cinnamon_cigar</x:v>
      </x:c>
      <x:c r="E112" s="79" t="str">
        <x:v>update</x:v>
      </x:c>
      <x:c r="F112" s="79" t="str">
        <x:v>بله</x:v>
      </x:c>
      <x:c r="G112" s="79" t="str">
        <x:v>ادویه و چاشنی</x:v>
      </x:c>
      <x:c r="H112" s="79" t="str">
        <x:v>ادویه</x:v>
      </x:c>
      <x:c r="I112" s="79" t="str">
        <x:v>6a3781e4df5573f4e676e226</x:v>
      </x:c>
      <x:c r="J112" s="79" t="str">
        <x:v>spice</x:v>
      </x:c>
      <x:c r="K112" s="79"/>
      <x:c r="L112" s="79" t="str">
        <x:v>EDIBLE</x:v>
      </x:c>
      <x:c r="M112" s="79" t="str">
        <x:v>بله</x:v>
      </x:c>
      <x:c r="N112" s="79" t="str">
        <x:v>خوراکی</x:v>
      </x:c>
      <x:c r="O112" s="79" t="str">
        <x:v>خیر</x:v>
      </x:c>
      <x:c r="P112" s="79" t="n">
        <x:v>1</x:v>
      </x:c>
      <x:c r="Q112" s="79" t="str">
        <x:v>کیلو</x:v>
      </x:c>
      <x:c r="R112" s="79" t="str">
        <x:v>1/900</x:v>
      </x:c>
      <x:c r="S112" s="104" t="n">
        <x:v>1900000</x:v>
      </x:c>
      <x:c r="T112" s="79" t="n">
        <x:v>1</x:v>
      </x:c>
      <x:c r="U112" s="79" t="str">
        <x:v>kg</x:v>
      </x:c>
      <x:c r="V112" s="79" t="str">
        <x:v>کیلو</x:v>
      </x:c>
      <x:c r="W112" s="99" t="b">
        <x:v>1</x:v>
      </x:c>
      <x:c r="X112" s="79" t="str"/>
      <x:c r="Y112" s="79"/>
      <x:c r="Z112" s="104"/>
      <x:c r="AA112" s="79" t="str"/>
      <x:c r="AB112" s="79" t="str"/>
      <x:c r="AC112" s="79" t="str"/>
      <x:c r="AD112" s="79" t="str"/>
      <x:c r="AE112" s="79" t="str">
        <x:v>فعال</x:v>
      </x:c>
      <x:c r="AF112" s="79" t="str">
        <x:v>دسته‌بندی نهایی</x:v>
      </x:c>
      <x:c r="AG112" s="79" t="str">
        <x:v>OK</x:v>
      </x:c>
      <x:c r="AH112" s="79" t="str">
        <x:v>[{"name": "کیلو", "sku": "", "price": 1900000, "stock": "", "weight": 1, "weightUnit": "kg", "containerSize": "کیلو", "isDefault": true}]</x:v>
      </x:c>
      <x:c r="AI112" s="79"/>
      <x:c r="AJ112" s="79"/>
      <x:c r="AK112" s="79"/>
      <x:c r="AL112" t="str">
        <x:v>دارچین سیگاری</x:v>
      </x:c>
      <x:c r="AM112" t="str">
        <x:v>single_114</x:v>
      </x:c>
      <x:c r="AN112" t="str">
        <x:v>canonical_group_row</x:v>
      </x:c>
      <x:c r="AO112" t="str">
        <x:v>ادویه</x:v>
      </x:c>
      <x:c r="AP112" t="str">
        <x:v>6a3781e4df5573f4e676e226</x:v>
      </x:c>
      <x:c r="AQ112" t="str">
        <x:v>spice</x:v>
      </x:c>
      <x:c r="AR112" t="str">
        <x:v>EDIBLE</x:v>
      </x:c>
      <x:c r="AS112" t="str">
        <x:v>بله</x:v>
      </x:c>
      <x:c r="AT112" t="str">
        <x:v>OK</x:v>
      </x:c>
      <x:c r="AU112"/>
    </x:row>
    <x:row r="113">
      <x:c r="A113" s="79" t="n">
        <x:v>115</x:v>
      </x:c>
      <x:c r="B113" s="79" t="str">
        <x:v>NS-0112-1</x:v>
      </x:c>
      <x:c r="C113" s="79" t="str">
        <x:v>دارچین سیلان</x:v>
      </x:c>
      <x:c r="D113" s="79" t="str">
        <x:v>cinnamon_ceylon</x:v>
      </x:c>
      <x:c r="E113" s="79" t="str">
        <x:v>update</x:v>
      </x:c>
      <x:c r="F113" s="79" t="str">
        <x:v>بله</x:v>
      </x:c>
      <x:c r="G113" s="79" t="str">
        <x:v>ادویه و چاشنی</x:v>
      </x:c>
      <x:c r="H113" s="79" t="str">
        <x:v>ادویه</x:v>
      </x:c>
      <x:c r="I113" s="79" t="str">
        <x:v>6a3781e4df5573f4e676e226</x:v>
      </x:c>
      <x:c r="J113" s="79" t="str">
        <x:v>spice</x:v>
      </x:c>
      <x:c r="K113" s="79"/>
      <x:c r="L113" s="79" t="str">
        <x:v>EDIBLE</x:v>
      </x:c>
      <x:c r="M113" s="79" t="str">
        <x:v>بله</x:v>
      </x:c>
      <x:c r="N113" s="79" t="str">
        <x:v>خوراکی</x:v>
      </x:c>
      <x:c r="O113" s="79" t="str">
        <x:v>خیر</x:v>
      </x:c>
      <x:c r="P113" s="79" t="n">
        <x:v>1</x:v>
      </x:c>
      <x:c r="Q113" s="79" t="str">
        <x:v>کیلو</x:v>
      </x:c>
      <x:c r="R113" s="79" t="str">
        <x:v>؟</x:v>
      </x:c>
      <x:c r="S113" s="104"/>
      <x:c r="T113" s="79" t="n">
        <x:v>1</x:v>
      </x:c>
      <x:c r="U113" s="79" t="str">
        <x:v>kg</x:v>
      </x:c>
      <x:c r="V113" s="79" t="str">
        <x:v>کیلو</x:v>
      </x:c>
      <x:c r="W113" s="99" t="b">
        <x:v>1</x:v>
      </x:c>
      <x:c r="X113" s="79" t="str"/>
      <x:c r="Y113" s="79"/>
      <x:c r="Z113" s="104"/>
      <x:c r="AA113" s="79" t="str"/>
      <x:c r="AB113" s="79" t="str"/>
      <x:c r="AC113" s="79" t="str"/>
      <x:c r="AD113" s="79" t="str"/>
      <x:c r="AE113" s="79" t="str">
        <x:v>نیاز به استعلام</x:v>
      </x:c>
      <x:c r="AF113" s="79" t="str">
        <x:v>دسته‌بندی نهایی</x:v>
      </x:c>
      <x:c r="AG113" s="79" t="str">
        <x:v>یک یا چند قیمت نامشخص است</x:v>
      </x:c>
      <x:c r="AH113" s="79" t="str">
        <x:v>[{"name": "کیلو", "sku": "", "price": null, "stock": "", "weight": 1, "weightUnit": "kg", "containerSize": "کیلو", "isDefault": true}]</x:v>
      </x:c>
      <x:c r="AI113" s="79"/>
      <x:c r="AJ113" s="79"/>
      <x:c r="AK113" s="79"/>
      <x:c r="AL113" t="str">
        <x:v>دارچین سیلان</x:v>
      </x:c>
      <x:c r="AM113" t="str">
        <x:v>single_115</x:v>
      </x:c>
      <x:c r="AN113" t="str">
        <x:v>canonical_group_row</x:v>
      </x:c>
      <x:c r="AO113" t="str">
        <x:v>ادویه</x:v>
      </x:c>
      <x:c r="AP113" t="str">
        <x:v>6a3781e4df5573f4e676e226</x:v>
      </x:c>
      <x:c r="AQ113" t="str">
        <x:v>spice</x:v>
      </x:c>
      <x:c r="AR113" t="str">
        <x:v>EDIBLE</x:v>
      </x:c>
      <x:c r="AS113" t="str">
        <x:v>بله</x:v>
      </x:c>
      <x:c r="AT113" t="str">
        <x:v>MISSING_PRICE_REVIEW</x:v>
      </x:c>
      <x:c r="AU113" t="str">
        <x:v>یک یا چند قیمت نامشخص است</x:v>
      </x:c>
    </x:row>
    <x:row r="114">
      <x:c r="A114" s="79" t="n">
        <x:v>116</x:v>
      </x:c>
      <x:c r="B114" s="79" t="str">
        <x:v>NS-0113-1</x:v>
      </x:c>
      <x:c r="C114" s="79" t="str">
        <x:v>دارچین گل سرخی</x:v>
      </x:c>
      <x:c r="D114" s="79" t="str">
        <x:v>cinnamon_flower_red</x:v>
      </x:c>
      <x:c r="E114" s="79" t="str">
        <x:v>update</x:v>
      </x:c>
      <x:c r="F114" s="79" t="str">
        <x:v>بله</x:v>
      </x:c>
      <x:c r="G114" s="79" t="str">
        <x:v>ادویه و چاشنی</x:v>
      </x:c>
      <x:c r="H114" s="79" t="str">
        <x:v>ادویه</x:v>
      </x:c>
      <x:c r="I114" s="79" t="str">
        <x:v>6a3781e4df5573f4e676e226</x:v>
      </x:c>
      <x:c r="J114" s="79" t="str">
        <x:v>spice</x:v>
      </x:c>
      <x:c r="K114" s="79"/>
      <x:c r="L114" s="79" t="str">
        <x:v>EDIBLE</x:v>
      </x:c>
      <x:c r="M114" s="79" t="str">
        <x:v>بله</x:v>
      </x:c>
      <x:c r="N114" s="79" t="str">
        <x:v>خوراکی</x:v>
      </x:c>
      <x:c r="O114" s="79" t="str">
        <x:v>خیر</x:v>
      </x:c>
      <x:c r="P114" s="79" t="n">
        <x:v>1</x:v>
      </x:c>
      <x:c r="Q114" s="79" t="str">
        <x:v>کیلو</x:v>
      </x:c>
      <x:c r="R114" s="79" t="n">
        <x:v>850</x:v>
      </x:c>
      <x:c r="S114" s="104" t="n">
        <x:v>850000</x:v>
      </x:c>
      <x:c r="T114" s="79" t="n">
        <x:v>1</x:v>
      </x:c>
      <x:c r="U114" s="79" t="str">
        <x:v>kg</x:v>
      </x:c>
      <x:c r="V114" s="79" t="str">
        <x:v>کیلو</x:v>
      </x:c>
      <x:c r="W114" s="99" t="b">
        <x:v>1</x:v>
      </x:c>
      <x:c r="X114" s="79" t="str"/>
      <x:c r="Y114" s="79"/>
      <x:c r="Z114" s="104"/>
      <x:c r="AA114" s="79" t="str"/>
      <x:c r="AB114" s="79" t="str"/>
      <x:c r="AC114" s="79" t="str"/>
      <x:c r="AD114" s="79" t="str"/>
      <x:c r="AE114" s="79" t="str">
        <x:v>فعال</x:v>
      </x:c>
      <x:c r="AF114" s="79" t="str">
        <x:v>دسته‌بندی نهایی</x:v>
      </x:c>
      <x:c r="AG114" s="79" t="str">
        <x:v>OK</x:v>
      </x:c>
      <x:c r="AH114" s="79" t="str">
        <x:v>[{"name": "کیلو", "sku": "", "price": 850000, "stock": "", "weight": 1, "weightUnit": "kg", "containerSize": "کیلو", "isDefault": true}]</x:v>
      </x:c>
      <x:c r="AI114" s="79"/>
      <x:c r="AJ114" s="79"/>
      <x:c r="AK114" s="79"/>
      <x:c r="AL114" t="str">
        <x:v>دارچین گل سرخی</x:v>
      </x:c>
      <x:c r="AM114" t="str">
        <x:v>single_116</x:v>
      </x:c>
      <x:c r="AN114" t="str">
        <x:v>canonical_group_row</x:v>
      </x:c>
      <x:c r="AO114" t="str">
        <x:v>ادویه</x:v>
      </x:c>
      <x:c r="AP114" t="str">
        <x:v>6a3781e4df5573f4e676e226</x:v>
      </x:c>
      <x:c r="AQ114" t="str">
        <x:v>spice</x:v>
      </x:c>
      <x:c r="AR114" t="str">
        <x:v>EDIBLE</x:v>
      </x:c>
      <x:c r="AS114" t="str">
        <x:v>بله</x:v>
      </x:c>
      <x:c r="AT114" t="str">
        <x:v>OK</x:v>
      </x:c>
      <x:c r="AU114"/>
    </x:row>
    <x:row r="115">
      <x:c r="A115" s="79" t="n">
        <x:v>117</x:v>
      </x:c>
      <x:c r="B115" s="79" t="str"/>
      <x:c r="C115" s="79" t="str">
        <x:v>دمنوش 10 گیاه</x:v>
      </x:c>
      <x:c r="D115" s="79" t="str">
        <x:v>dmnvsh-10-gyah</x:v>
      </x:c>
      <x:c r="E115" s="79" t="str">
        <x:v>import</x:v>
      </x:c>
      <x:c r="F115" s="79" t="str">
        <x:v>خیر</x:v>
      </x:c>
      <x:c r="G115" s="79" t="str"/>
      <x:c r="H115" s="79" t="str">
        <x:v>چای</x:v>
      </x:c>
      <x:c r="I115" s="79" t="str">
        <x:v>6a30f5728337d8d2af170bb3</x:v>
      </x:c>
      <x:c r="J115" s="79" t="str">
        <x:v>tea</x:v>
      </x:c>
      <x:c r="K115" s="79"/>
      <x:c r="L115" s="79" t="str">
        <x:v>EDIBLE</x:v>
      </x:c>
      <x:c r="M115" s="79" t="str">
        <x:v>بله</x:v>
      </x:c>
      <x:c r="N115" s="79" t="str">
        <x:v>خوراکی</x:v>
      </x:c>
      <x:c r="O115" s="79" t="str">
        <x:v>خیر</x:v>
      </x:c>
      <x:c r="P115" s="79" t="n">
        <x:v>1</x:v>
      </x:c>
      <x:c r="Q115" s="79" t="str">
        <x:v>کیلو</x:v>
      </x:c>
      <x:c r="R115" s="79" t="n">
        <x:v>120</x:v>
      </x:c>
      <x:c r="S115" s="104" t="n">
        <x:v>120000</x:v>
      </x:c>
      <x:c r="T115" s="79" t="n">
        <x:v>1</x:v>
      </x:c>
      <x:c r="U115" s="79" t="str">
        <x:v>kg</x:v>
      </x:c>
      <x:c r="V115" s="79" t="str">
        <x:v>کیلو</x:v>
      </x:c>
      <x:c r="W115" s="99" t="b">
        <x:v>1</x:v>
      </x:c>
      <x:c r="X115" s="79" t="str"/>
      <x:c r="Y115" s="79"/>
      <x:c r="Z115" s="104"/>
      <x:c r="AA115" s="79" t="str"/>
      <x:c r="AB115" s="79" t="str"/>
      <x:c r="AC115" s="79" t="str"/>
      <x:c r="AD115" s="79" t="str"/>
      <x:c r="AE115" s="79" t="str">
        <x:v>فعال</x:v>
      </x:c>
      <x:c r="AF115" s="79" t="str">
        <x:v>دسته‌بندی نهایی</x:v>
      </x:c>
      <x:c r="AG115" s="79" t="str">
        <x:v>OK</x:v>
      </x:c>
      <x:c r="AH115" s="79" t="str">
        <x:v>[{"name": "کیلو", "sku": "", "price": 120000, "stock": "", "weight": 1, "weightUnit": "kg", "containerSize": "کیلو", "isDefault": true}]</x:v>
      </x:c>
      <x:c r="AI115" s="79"/>
      <x:c r="AJ115" s="79"/>
      <x:c r="AK115" s="79"/>
      <x:c r="AL115" t="str">
        <x:v>دمنوش 10 گیاه</x:v>
      </x:c>
      <x:c r="AM115" t="str">
        <x:v>single_117</x:v>
      </x:c>
      <x:c r="AN115" t="str">
        <x:v>canonical_group_row</x:v>
      </x:c>
      <x:c r="AO115" t="str">
        <x:v>چای</x:v>
      </x:c>
      <x:c r="AP115" t="str">
        <x:v>6a30f5728337d8d2af170bb3</x:v>
      </x:c>
      <x:c r="AQ115" t="str">
        <x:v>tea</x:v>
      </x:c>
      <x:c r="AR115" t="str">
        <x:v>EDIBLE</x:v>
      </x:c>
      <x:c r="AS115" t="str">
        <x:v>بله</x:v>
      </x:c>
      <x:c r="AT115" t="str">
        <x:v>OK</x:v>
      </x:c>
      <x:c r="AU115"/>
    </x:row>
    <x:row r="116">
      <x:c r="A116" s="79" t="n">
        <x:v>118</x:v>
      </x:c>
      <x:c r="B116" s="79" t="str"/>
      <x:c r="C116" s="79" t="str">
        <x:v>دمنوش آویشن</x:v>
      </x:c>
      <x:c r="D116" s="79" t="str">
        <x:v>dmnvsh-avyshn</x:v>
      </x:c>
      <x:c r="E116" s="79" t="str">
        <x:v>import</x:v>
      </x:c>
      <x:c r="F116" s="79" t="str">
        <x:v>خیر</x:v>
      </x:c>
      <x:c r="G116" s="79" t="str"/>
      <x:c r="H116" s="79" t="str">
        <x:v>چای</x:v>
      </x:c>
      <x:c r="I116" s="79" t="str">
        <x:v>6a30f5728337d8d2af170bb3</x:v>
      </x:c>
      <x:c r="J116" s="79" t="str">
        <x:v>tea</x:v>
      </x:c>
      <x:c r="K116" s="79"/>
      <x:c r="L116" s="79" t="str">
        <x:v>EDIBLE</x:v>
      </x:c>
      <x:c r="M116" s="79" t="str">
        <x:v>بله</x:v>
      </x:c>
      <x:c r="N116" s="79" t="str">
        <x:v>خوراکی</x:v>
      </x:c>
      <x:c r="O116" s="79" t="str">
        <x:v>خیر</x:v>
      </x:c>
      <x:c r="P116" s="79" t="n">
        <x:v>1</x:v>
      </x:c>
      <x:c r="Q116" s="79" t="str">
        <x:v>کیلو</x:v>
      </x:c>
      <x:c r="R116" s="79" t="n">
        <x:v>950</x:v>
      </x:c>
      <x:c r="S116" s="104" t="n">
        <x:v>950000</x:v>
      </x:c>
      <x:c r="T116" s="79" t="n">
        <x:v>1</x:v>
      </x:c>
      <x:c r="U116" s="79" t="str">
        <x:v>kg</x:v>
      </x:c>
      <x:c r="V116" s="79" t="str">
        <x:v>کیلو</x:v>
      </x:c>
      <x:c r="W116" s="99" t="b">
        <x:v>1</x:v>
      </x:c>
      <x:c r="X116" s="79" t="str"/>
      <x:c r="Y116" s="79"/>
      <x:c r="Z116" s="104"/>
      <x:c r="AA116" s="79" t="str"/>
      <x:c r="AB116" s="79" t="str"/>
      <x:c r="AC116" s="79" t="str"/>
      <x:c r="AD116" s="79" t="str"/>
      <x:c r="AE116" s="79" t="str">
        <x:v>فعال</x:v>
      </x:c>
      <x:c r="AF116" s="79" t="str">
        <x:v>دسته‌بندی نهایی</x:v>
      </x:c>
      <x:c r="AG116" s="79" t="str">
        <x:v>OK</x:v>
      </x:c>
      <x:c r="AH116" s="79" t="str">
        <x:v>[{"name": "کیلو", "sku": "", "price": 950000, "stock": "", "weight": 1, "weightUnit": "kg", "containerSize": "کیلو", "isDefault": true}]</x:v>
      </x:c>
      <x:c r="AI116" s="79"/>
      <x:c r="AJ116" s="79"/>
      <x:c r="AK116" s="79"/>
      <x:c r="AL116" t="str">
        <x:v>دمنوش آویشن</x:v>
      </x:c>
      <x:c r="AM116" t="str">
        <x:v>single_118</x:v>
      </x:c>
      <x:c r="AN116" t="str">
        <x:v>canonical_group_row</x:v>
      </x:c>
      <x:c r="AO116" t="str">
        <x:v>چای</x:v>
      </x:c>
      <x:c r="AP116" t="str">
        <x:v>6a30f5728337d8d2af170bb3</x:v>
      </x:c>
      <x:c r="AQ116" t="str">
        <x:v>tea</x:v>
      </x:c>
      <x:c r="AR116" t="str">
        <x:v>EDIBLE</x:v>
      </x:c>
      <x:c r="AS116" t="str">
        <x:v>بله</x:v>
      </x:c>
      <x:c r="AT116" t="str">
        <x:v>OK</x:v>
      </x:c>
      <x:c r="AU116"/>
    </x:row>
    <x:row r="117">
      <x:c r="A117" s="79" t="n">
        <x:v>119</x:v>
      </x:c>
      <x:c r="B117" s="79" t="str">
        <x:v>NS-0116-1</x:v>
      </x:c>
      <x:c r="C117" s="79" t="str">
        <x:v>ذرت مکزیکی</x:v>
      </x:c>
      <x:c r="D117" s="79" t="str">
        <x:v>mexican_corn</x:v>
      </x:c>
      <x:c r="E117" s="79" t="str">
        <x:v>update</x:v>
      </x:c>
      <x:c r="F117" s="79" t="str">
        <x:v>بله</x:v>
      </x:c>
      <x:c r="G117" s="79" t="str">
        <x:v>حبوبات و غلات</x:v>
      </x:c>
      <x:c r="H117" s="79" t="str">
        <x:v>حبوبات و غلات</x:v>
      </x:c>
      <x:c r="I117" s="79" t="str">
        <x:v>6a3a00000000000000000002</x:v>
      </x:c>
      <x:c r="J117" s="79" t="str">
        <x:v>legumes-grains</x:v>
      </x:c>
      <x:c r="K117" s="79"/>
      <x:c r="L117" s="79" t="str">
        <x:v>EDIBLE</x:v>
      </x:c>
      <x:c r="M117" s="79" t="str">
        <x:v>بله</x:v>
      </x:c>
      <x:c r="N117" s="79" t="str">
        <x:v>خوراکی</x:v>
      </x:c>
      <x:c r="O117" s="79" t="str">
        <x:v>خیر</x:v>
      </x:c>
      <x:c r="P117" s="79" t="n">
        <x:v>1</x:v>
      </x:c>
      <x:c r="Q117" s="79" t="str">
        <x:v>کیلو</x:v>
      </x:c>
      <x:c r="R117" s="79" t="str">
        <x:v>؟</x:v>
      </x:c>
      <x:c r="S117" s="104"/>
      <x:c r="T117" s="79" t="n">
        <x:v>1</x:v>
      </x:c>
      <x:c r="U117" s="79" t="str">
        <x:v>kg</x:v>
      </x:c>
      <x:c r="V117" s="79" t="str">
        <x:v>کیلو</x:v>
      </x:c>
      <x:c r="W117" s="99" t="b">
        <x:v>1</x:v>
      </x:c>
      <x:c r="X117" s="79" t="str"/>
      <x:c r="Y117" s="79"/>
      <x:c r="Z117" s="104"/>
      <x:c r="AA117" s="79" t="str"/>
      <x:c r="AB117" s="79" t="str"/>
      <x:c r="AC117" s="79" t="str"/>
      <x:c r="AD117" s="79" t="str"/>
      <x:c r="AE117" s="79" t="str">
        <x:v>نیاز به استعلام</x:v>
      </x:c>
      <x:c r="AF117" s="79" t="str">
        <x:v>دسته‌بندی نهایی</x:v>
      </x:c>
      <x:c r="AG117" s="79" t="str">
        <x:v>یک یا چند قیمت نامشخص است</x:v>
      </x:c>
      <x:c r="AH117" s="79" t="str">
        <x:v>[{"name": "کیلو", "sku": "", "price": null, "stock": "", "weight": 1, "weightUnit": "kg", "containerSize": "کیلو", "isDefault": true}]</x:v>
      </x:c>
      <x:c r="AI117" s="79"/>
      <x:c r="AJ117" s="79"/>
      <x:c r="AK117" s="79"/>
      <x:c r="AL117" t="str">
        <x:v>ذرت مکزیکی</x:v>
      </x:c>
      <x:c r="AM117" t="str">
        <x:v>single_119</x:v>
      </x:c>
      <x:c r="AN117" t="str">
        <x:v>canonical_group_row</x:v>
      </x:c>
      <x:c r="AO117" t="str">
        <x:v>حبوبات و غلات</x:v>
      </x:c>
      <x:c r="AP117" t="str">
        <x:v>6a3a00000000000000000002</x:v>
      </x:c>
      <x:c r="AQ117" t="str">
        <x:v>legumes-grains</x:v>
      </x:c>
      <x:c r="AR117" t="str">
        <x:v>EDIBLE</x:v>
      </x:c>
      <x:c r="AS117" t="str">
        <x:v>بله</x:v>
      </x:c>
      <x:c r="AT117" t="str">
        <x:v>MISSING_PRICE_REVIEW</x:v>
      </x:c>
      <x:c r="AU117" t="str">
        <x:v>یک یا چند قیمت نامشخص است</x:v>
      </x:c>
    </x:row>
    <x:row r="118">
      <x:c r="A118" s="79" t="n">
        <x:v>120</x:v>
      </x:c>
      <x:c r="B118" s="79" t="str">
        <x:v>NS-0117-1</x:v>
      </x:c>
      <x:c r="C118" s="79" t="str">
        <x:v>رازیانه</x:v>
      </x:c>
      <x:c r="D118" s="79" t="str">
        <x:v>fennel</x:v>
      </x:c>
      <x:c r="E118" s="79" t="str">
        <x:v>update</x:v>
      </x:c>
      <x:c r="F118" s="79" t="str">
        <x:v>بله</x:v>
      </x:c>
      <x:c r="G118" s="79" t="str">
        <x:v>ادویه و چاشنی</x:v>
      </x:c>
      <x:c r="H118" s="79" t="str">
        <x:v>گیاهان دارویی</x:v>
      </x:c>
      <x:c r="I118" s="79" t="str">
        <x:v>6a3782d7df5573f4e676e243</x:v>
      </x:c>
      <x:c r="J118" s="79" t="str">
        <x:v>medicinal-plants</x:v>
      </x:c>
      <x:c r="K118" s="79"/>
      <x:c r="L118" s="79" t="str">
        <x:v>EDIBLE</x:v>
      </x:c>
      <x:c r="M118" s="79" t="str">
        <x:v>بله</x:v>
      </x:c>
      <x:c r="N118" s="79" t="str">
        <x:v>خوراکی</x:v>
      </x:c>
      <x:c r="O118" s="79" t="str">
        <x:v>خیر</x:v>
      </x:c>
      <x:c r="P118" s="79" t="n">
        <x:v>1</x:v>
      </x:c>
      <x:c r="Q118" s="79" t="str">
        <x:v>کیلو</x:v>
      </x:c>
      <x:c r="R118" s="79" t="n">
        <x:v>740</x:v>
      </x:c>
      <x:c r="S118" s="104" t="n">
        <x:v>740000</x:v>
      </x:c>
      <x:c r="T118" s="79" t="n">
        <x:v>1</x:v>
      </x:c>
      <x:c r="U118" s="79" t="str">
        <x:v>kg</x:v>
      </x:c>
      <x:c r="V118" s="79" t="str">
        <x:v>کیلو</x:v>
      </x:c>
      <x:c r="W118" s="99" t="b">
        <x:v>1</x:v>
      </x:c>
      <x:c r="X118" s="79" t="str"/>
      <x:c r="Y118" s="79"/>
      <x:c r="Z118" s="104"/>
      <x:c r="AA118" s="79" t="str"/>
      <x:c r="AB118" s="79" t="str"/>
      <x:c r="AC118" s="79" t="str"/>
      <x:c r="AD118" s="79" t="str"/>
      <x:c r="AE118" s="79" t="str">
        <x:v>فعال</x:v>
      </x:c>
      <x:c r="AF118" s="79" t="str">
        <x:v>دسته‌بندی نهایی</x:v>
      </x:c>
      <x:c r="AG118" s="79" t="str">
        <x:v>OK</x:v>
      </x:c>
      <x:c r="AH118" s="79" t="str">
        <x:v>[{"name": "کیلو", "sku": "", "price": 740000, "stock": "", "weight": 1, "weightUnit": "kg", "containerSize": "کیلو", "isDefault": true}]</x:v>
      </x:c>
      <x:c r="AI118" s="79"/>
      <x:c r="AJ118" s="79"/>
      <x:c r="AK118" s="79"/>
      <x:c r="AL118" t="str">
        <x:v>رازیانه</x:v>
      </x:c>
      <x:c r="AM118" t="str">
        <x:v>single_120</x:v>
      </x:c>
      <x:c r="AN118" t="str">
        <x:v>canonical_group_row</x:v>
      </x:c>
      <x:c r="AO118" t="str">
        <x:v>گیاهان دارویی</x:v>
      </x:c>
      <x:c r="AP118" t="str">
        <x:v>6a3782d7df5573f4e676e243</x:v>
      </x:c>
      <x:c r="AQ118" t="str">
        <x:v>medicinal-plants</x:v>
      </x:c>
      <x:c r="AR118" t="str">
        <x:v>EDIBLE</x:v>
      </x:c>
      <x:c r="AS118" t="str">
        <x:v>بله</x:v>
      </x:c>
      <x:c r="AT118" t="str">
        <x:v>OK</x:v>
      </x:c>
      <x:c r="AU118"/>
    </x:row>
    <x:row r="119">
      <x:c r="A119" s="79" t="n">
        <x:v>121</x:v>
      </x:c>
      <x:c r="B119" s="79" t="str">
        <x:v>NS-0118-1</x:v>
      </x:c>
      <x:c r="C119" s="79" t="str">
        <x:v>رب انار</x:v>
      </x:c>
      <x:c r="D119" s="79" t="str">
        <x:v>pomegranate_paste</x:v>
      </x:c>
      <x:c r="E119" s="79" t="str">
        <x:v>update</x:v>
      </x:c>
      <x:c r="F119" s="79" t="str">
        <x:v>بله</x:v>
      </x:c>
      <x:c r="G119" s="79" t="str">
        <x:v>سایر</x:v>
      </x:c>
      <x:c r="H119" s="79" t="str">
        <x:v>نوشیدنی‌ها</x:v>
      </x:c>
      <x:c r="I119" s="79" t="str">
        <x:v>6a3782ffdf5573f4e676e24b</x:v>
      </x:c>
      <x:c r="J119" s="79" t="str">
        <x:v>syrup</x:v>
      </x:c>
      <x:c r="K119" s="79" t="str">
        <x:v>6a3782d7df5573f4e676e243</x:v>
      </x:c>
      <x:c r="L119" s="79" t="str">
        <x:v>EDIBLE</x:v>
      </x:c>
      <x:c r="M119" s="79" t="str">
        <x:v>بله</x:v>
      </x:c>
      <x:c r="N119" s="79" t="str">
        <x:v>خوراکی</x:v>
      </x:c>
      <x:c r="O119" s="79" t="str">
        <x:v>خیر</x:v>
      </x:c>
      <x:c r="P119" s="79" t="n">
        <x:v>1</x:v>
      </x:c>
      <x:c r="Q119" s="79" t="str">
        <x:v>کیلو</x:v>
      </x:c>
      <x:c r="R119" s="79" t="n">
        <x:v>490</x:v>
      </x:c>
      <x:c r="S119" s="104" t="n">
        <x:v>490000</x:v>
      </x:c>
      <x:c r="T119" s="79" t="n">
        <x:v>1</x:v>
      </x:c>
      <x:c r="U119" s="79" t="str">
        <x:v>kg</x:v>
      </x:c>
      <x:c r="V119" s="79" t="str">
        <x:v>کیلو</x:v>
      </x:c>
      <x:c r="W119" s="99" t="b">
        <x:v>1</x:v>
      </x:c>
      <x:c r="X119" s="79" t="str"/>
      <x:c r="Y119" s="79"/>
      <x:c r="Z119" s="104"/>
      <x:c r="AA119" s="79" t="str"/>
      <x:c r="AB119" s="79" t="str"/>
      <x:c r="AC119" s="79" t="str"/>
      <x:c r="AD119" s="79" t="str"/>
      <x:c r="AE119" s="79" t="str">
        <x:v>فعال</x:v>
      </x:c>
      <x:c r="AF119" s="79" t="str">
        <x:v>نیازمند بررسی دستی</x:v>
      </x:c>
      <x:c r="AG119" s="79" t="str">
        <x:v>دسته از «نیاز به بررسی» به «نوشیدنی‌ها» اصلاح شد</x:v>
      </x:c>
      <x:c r="AH119" s="79" t="str">
        <x:v>[{"name": "کیلو", "sku": "", "price": 490000, "stock": "", "weight": 1, "weightUnit": "kg", "containerSize": "کیلو", "isDefault": true}]</x:v>
      </x:c>
      <x:c r="AI119" s="79"/>
      <x:c r="AJ119" s="79"/>
      <x:c r="AK119" s="79"/>
      <x:c r="AL119" t="str">
        <x:v>رب انار</x:v>
      </x:c>
      <x:c r="AM119" t="str">
        <x:v>single_121</x:v>
      </x:c>
      <x:c r="AN119" t="str">
        <x:v>canonical_group_row</x:v>
      </x:c>
      <x:c r="AO119" t="str">
        <x:v>نوشیدنی‌ها</x:v>
      </x:c>
      <x:c r="AP119" t="str">
        <x:v>6a3782ffdf5573f4e676e24b</x:v>
      </x:c>
      <x:c r="AQ119" t="str">
        <x:v>syrup</x:v>
      </x:c>
      <x:c r="AR119" t="str">
        <x:v>EDIBLE</x:v>
      </x:c>
      <x:c r="AS119" t="str">
        <x:v>بله</x:v>
      </x:c>
      <x:c r="AT119" t="str">
        <x:v>OK</x:v>
      </x:c>
      <x:c r="AU119" t="str">
        <x:v>دسته از «نیاز به بررسی» به «نوشیدنی‌ها» اصلاح شد</x:v>
      </x:c>
    </x:row>
    <x:row r="120">
      <x:c r="A120" s="79" t="n">
        <x:v>122</x:v>
      </x:c>
      <x:c r="B120" s="79" t="str">
        <x:v>NS-0119-1</x:v>
      </x:c>
      <x:c r="C120" s="79" t="str">
        <x:v>رزماری</x:v>
      </x:c>
      <x:c r="D120" s="79" t="str">
        <x:v>rosemary</x:v>
      </x:c>
      <x:c r="E120" s="79" t="str">
        <x:v>update</x:v>
      </x:c>
      <x:c r="F120" s="79" t="str">
        <x:v>بله</x:v>
      </x:c>
      <x:c r="G120" s="79" t="str">
        <x:v>سایر</x:v>
      </x:c>
      <x:c r="H120" s="79" t="str">
        <x:v>گیاهان دارویی</x:v>
      </x:c>
      <x:c r="I120" s="79" t="str">
        <x:v>6a3782d7df5573f4e676e243</x:v>
      </x:c>
      <x:c r="J120" s="79" t="str">
        <x:v>medicinal-plants</x:v>
      </x:c>
      <x:c r="K120" s="79"/>
      <x:c r="L120" s="79" t="str">
        <x:v>EDIBLE</x:v>
      </x:c>
      <x:c r="M120" s="79" t="str">
        <x:v>بله</x:v>
      </x:c>
      <x:c r="N120" s="79" t="str">
        <x:v>خوراکی</x:v>
      </x:c>
      <x:c r="O120" s="79" t="str">
        <x:v>خیر</x:v>
      </x:c>
      <x:c r="P120" s="79" t="n">
        <x:v>1</x:v>
      </x:c>
      <x:c r="Q120" s="79" t="str">
        <x:v>برگ</x:v>
      </x:c>
      <x:c r="R120" s="79" t="n">
        <x:v>800</x:v>
      </x:c>
      <x:c r="S120" s="104" t="n">
        <x:v>800000</x:v>
      </x:c>
      <x:c r="T120" s="79" t="str"/>
      <x:c r="U120" s="79" t="str"/>
      <x:c r="V120" s="79" t="str">
        <x:v>برگ</x:v>
      </x:c>
      <x:c r="W120" s="99" t="b">
        <x:v>1</x:v>
      </x:c>
      <x:c r="X120" s="79" t="str"/>
      <x:c r="Y120" s="79"/>
      <x:c r="Z120" s="104"/>
      <x:c r="AA120" s="79" t="str"/>
      <x:c r="AB120" s="79" t="str"/>
      <x:c r="AC120" s="79" t="str"/>
      <x:c r="AD120" s="79" t="str"/>
      <x:c r="AE120" s="79" t="str">
        <x:v>فعال</x:v>
      </x:c>
      <x:c r="AF120" s="79" t="str">
        <x:v>دسته‌بندی نهایی</x:v>
      </x:c>
      <x:c r="AG120" s="79" t="str">
        <x:v>OK</x:v>
      </x:c>
      <x:c r="AH120" s="79" t="str">
        <x:v>[{"name": "برگ", "sku": "", "price": 800000, "stock": "", "weight": "", "weightUnit": "", "containerSize": "برگ", "isDefault": true}]</x:v>
      </x:c>
      <x:c r="AI120" s="79"/>
      <x:c r="AJ120" s="79"/>
      <x:c r="AK120" s="79"/>
      <x:c r="AL120" t="str">
        <x:v>رزماری</x:v>
      </x:c>
      <x:c r="AM120" t="str">
        <x:v>single_122</x:v>
      </x:c>
      <x:c r="AN120" t="str">
        <x:v>canonical_group_row</x:v>
      </x:c>
      <x:c r="AO120" t="str">
        <x:v>گیاهان دارویی</x:v>
      </x:c>
      <x:c r="AP120" t="str">
        <x:v>6a3782d7df5573f4e676e243</x:v>
      </x:c>
      <x:c r="AQ120" t="str">
        <x:v>medicinal-plants</x:v>
      </x:c>
      <x:c r="AR120" t="str">
        <x:v>EDIBLE</x:v>
      </x:c>
      <x:c r="AS120" t="str">
        <x:v>بله</x:v>
      </x:c>
      <x:c r="AT120" t="str">
        <x:v>OK</x:v>
      </x:c>
      <x:c r="AU120"/>
    </x:row>
    <x:row r="121">
      <x:c r="A121" s="79" t="n">
        <x:v>123</x:v>
      </x:c>
      <x:c r="B121" s="79" t="str">
        <x:v>NS-0120-1</x:v>
      </x:c>
      <x:c r="C121" s="79" t="str">
        <x:v>روغن ارده</x:v>
      </x:c>
      <x:c r="D121" s="79" t="str">
        <x:v>oil_tahini_half_liter</x:v>
      </x:c>
      <x:c r="E121" s="79" t="str">
        <x:v>update</x:v>
      </x:c>
      <x:c r="F121" s="79" t="str">
        <x:v>بله</x:v>
      </x:c>
      <x:c r="G121" s="79" t="str">
        <x:v>روغن</x:v>
      </x:c>
      <x:c r="H121" s="79" t="str">
        <x:v>روغن</x:v>
      </x:c>
      <x:c r="I121" s="79" t="str">
        <x:v>6a2d446d45c164ce6f28ae30</x:v>
      </x:c>
      <x:c r="J121" s="79" t="str">
        <x:v>oil</x:v>
      </x:c>
      <x:c r="K121" s="79"/>
      <x:c r="L121" s="79" t="str">
        <x:v>EDIBLE</x:v>
      </x:c>
      <x:c r="M121" s="79" t="str">
        <x:v>بله</x:v>
      </x:c>
      <x:c r="N121" s="79" t="str">
        <x:v>خوراکی</x:v>
      </x:c>
      <x:c r="O121" s="79" t="str">
        <x:v>بله</x:v>
      </x:c>
      <x:c r="P121" s="79" t="n">
        <x:v>2</x:v>
      </x:c>
      <x:c r="Q121" s="79" t="str">
        <x:v>نیم لیتر</x:v>
      </x:c>
      <x:c r="R121" s="79" t="n">
        <x:v>555</x:v>
      </x:c>
      <x:c r="S121" s="104" t="n">
        <x:v>555000</x:v>
      </x:c>
      <x:c r="T121" s="79" t="n">
        <x:v>500</x:v>
      </x:c>
      <x:c r="U121" s="79" t="str">
        <x:v>ml</x:v>
      </x:c>
      <x:c r="V121" s="79" t="str">
        <x:v>نیم لیتر</x:v>
      </x:c>
      <x:c r="W121" s="99" t="b">
        <x:v>1</x:v>
      </x:c>
      <x:c r="X121" s="79" t="str">
        <x:v>1 لیتر</x:v>
      </x:c>
      <x:c r="Y121" s="79" t="str">
        <x:v>1/100</x:v>
      </x:c>
      <x:c r="Z121" s="104" t="n">
        <x:v>1100000</x:v>
      </x:c>
      <x:c r="AA121" s="79" t="n">
        <x:v>1000</x:v>
      </x:c>
      <x:c r="AB121" s="79" t="str">
        <x:v>ml</x:v>
      </x:c>
      <x:c r="AC121" s="79" t="str">
        <x:v>1 لیتر</x:v>
      </x:c>
      <x:c r="AD121" s="99" t="b">
        <x:v>0</x:v>
      </x:c>
      <x:c r="AE121" s="79" t="str">
        <x:v>فعال</x:v>
      </x:c>
      <x:c r="AF121" s="79" t="str">
        <x:v>دسته‌بندی نهایی</x:v>
      </x:c>
      <x:c r="AG121" s="79" t="str">
        <x:v>OK</x:v>
      </x:c>
      <x:c r="AH121" s="79" t="str">
        <x:v>[{"name": "نیم لیتر", "sku": "", "price": 555000, "stock": "", "weight": 500, "weightUnit": "ml", "containerSize": "نیم لیتر", "isDefault": true}, {"name": "1 لیتر", "sku": "", "price": 1100000, "stock": "", "weight": 1000, "weightUnit": "ml", "containerSize": "1 لیتر", "isDefault": false}]</x:v>
      </x:c>
      <x:c r="AI121" s="79"/>
      <x:c r="AJ121" s="79"/>
      <x:c r="AK121" s="79"/>
      <x:c r="AL121" t="str">
        <x:v>روغن ارده</x:v>
      </x:c>
      <x:c r="AM121" t="str">
        <x:v>single_123</x:v>
      </x:c>
      <x:c r="AN121" t="str">
        <x:v>canonical_group_row</x:v>
      </x:c>
      <x:c r="AO121" t="str">
        <x:v>روغن</x:v>
      </x:c>
      <x:c r="AP121" t="str">
        <x:v>6a2d446d45c164ce6f28ae30</x:v>
      </x:c>
      <x:c r="AQ121" t="str">
        <x:v>oil</x:v>
      </x:c>
      <x:c r="AR121" t="str">
        <x:v>EDIBLE</x:v>
      </x:c>
      <x:c r="AS121" t="str">
        <x:v>بله</x:v>
      </x:c>
      <x:c r="AT121" t="str">
        <x:v>OK</x:v>
      </x:c>
      <x:c r="AU121"/>
    </x:row>
    <x:row r="122">
      <x:c r="A122" s="79" t="n">
        <x:v>124</x:v>
      </x:c>
      <x:c r="B122" s="79" t="str">
        <x:v>NS-0121-1</x:v>
      </x:c>
      <x:c r="C122" s="79" t="str">
        <x:v>روغن اسطوخودوس</x:v>
      </x:c>
      <x:c r="D122" s="79" t="str">
        <x:v>oil_lavender_30ml</x:v>
      </x:c>
      <x:c r="E122" s="79" t="str">
        <x:v>update</x:v>
      </x:c>
      <x:c r="F122" s="79" t="str">
        <x:v>بله</x:v>
      </x:c>
      <x:c r="G122" s="79" t="str">
        <x:v>روغن</x:v>
      </x:c>
      <x:c r="H122" s="79" t="str">
        <x:v>روغن</x:v>
      </x:c>
      <x:c r="I122" s="79" t="str">
        <x:v>6a2d446d45c164ce6f28ae30</x:v>
      </x:c>
      <x:c r="J122" s="79" t="str">
        <x:v>oil</x:v>
      </x:c>
      <x:c r="K122" s="79"/>
      <x:c r="L122" s="79" t="str">
        <x:v>EDIBLE</x:v>
      </x:c>
      <x:c r="M122" s="79" t="str">
        <x:v>بله</x:v>
      </x:c>
      <x:c r="N122" s="79" t="str">
        <x:v>خوراکی</x:v>
      </x:c>
      <x:c r="O122" s="79" t="str">
        <x:v>بله</x:v>
      </x:c>
      <x:c r="P122" s="79" t="n">
        <x:v>2</x:v>
      </x:c>
      <x:c r="Q122" s="79" t="str">
        <x:v>30 میلی لیتر</x:v>
      </x:c>
      <x:c r="R122" s="79" t="n">
        <x:v>80</x:v>
      </x:c>
      <x:c r="S122" s="104" t="n">
        <x:v>80000</x:v>
      </x:c>
      <x:c r="T122" s="79" t="n">
        <x:v>30</x:v>
      </x:c>
      <x:c r="U122" s="79" t="str">
        <x:v>ml</x:v>
      </x:c>
      <x:c r="V122" s="79" t="str">
        <x:v>30 میل</x:v>
      </x:c>
      <x:c r="W122" s="99" t="b">
        <x:v>1</x:v>
      </x:c>
      <x:c r="X122" s="79" t="str">
        <x:v>60 میلی لیتر</x:v>
      </x:c>
      <x:c r="Y122" s="79" t="n">
        <x:v>150</x:v>
      </x:c>
      <x:c r="Z122" s="104" t="n">
        <x:v>150000</x:v>
      </x:c>
      <x:c r="AA122" s="79" t="n">
        <x:v>60</x:v>
      </x:c>
      <x:c r="AB122" s="79" t="str">
        <x:v>ml</x:v>
      </x:c>
      <x:c r="AC122" s="79" t="str">
        <x:v>60 میل</x:v>
      </x:c>
      <x:c r="AD122" s="99" t="b">
        <x:v>0</x:v>
      </x:c>
      <x:c r="AE122" s="79" t="str">
        <x:v>فعال</x:v>
      </x:c>
      <x:c r="AF122" s="79" t="str">
        <x:v>دسته‌بندی نهایی</x:v>
      </x:c>
      <x:c r="AG122" s="79" t="str">
        <x:v>OK</x:v>
      </x:c>
      <x:c r="AH122" s="79" t="str">
        <x:v>[{"name": "30 میلی لیتر", "sku": "", "price": 80000, "stock": "", "weight": 30, "weightUnit": "ml", "containerSize": "30 میل", "isDefault": true}, {"name": "60 میلی لیتر", "sku": "", "price": 150000, "stock": "", "weight": 60, "weightUnit": "ml", "containerSize": "60 میل", "isDefault": false}]</x:v>
      </x:c>
      <x:c r="AI122" s="79"/>
      <x:c r="AJ122" s="79"/>
      <x:c r="AK122" s="79"/>
      <x:c r="AL122" t="str">
        <x:v>روغن اسطوخودوس</x:v>
      </x:c>
      <x:c r="AM122" t="str">
        <x:v>single_124</x:v>
      </x:c>
      <x:c r="AN122" t="str">
        <x:v>canonical_group_row</x:v>
      </x:c>
      <x:c r="AO122" t="str">
        <x:v>روغن</x:v>
      </x:c>
      <x:c r="AP122" t="str">
        <x:v>6a2d446d45c164ce6f28ae30</x:v>
      </x:c>
      <x:c r="AQ122" t="str">
        <x:v>oil</x:v>
      </x:c>
      <x:c r="AR122" t="str">
        <x:v>EDIBLE</x:v>
      </x:c>
      <x:c r="AS122" t="str">
        <x:v>بله</x:v>
      </x:c>
      <x:c r="AT122" t="str">
        <x:v>OK</x:v>
      </x:c>
      <x:c r="AU122"/>
    </x:row>
    <x:row r="123">
      <x:c r="A123" s="79" t="n">
        <x:v>125</x:v>
      </x:c>
      <x:c r="B123" s="79" t="str">
        <x:v>NS-0122-1</x:v>
      </x:c>
      <x:c r="C123" s="79" t="str">
        <x:v>روغن اکالیپتوس</x:v>
      </x:c>
      <x:c r="D123" s="79" t="str">
        <x:v>oil_eucalyptus_30ml</x:v>
      </x:c>
      <x:c r="E123" s="79" t="str">
        <x:v>update</x:v>
      </x:c>
      <x:c r="F123" s="79" t="str">
        <x:v>بله</x:v>
      </x:c>
      <x:c r="G123" s="79" t="str">
        <x:v>روغن</x:v>
      </x:c>
      <x:c r="H123" s="79" t="str">
        <x:v>روغن</x:v>
      </x:c>
      <x:c r="I123" s="79" t="str">
        <x:v>6a2d446d45c164ce6f28ae30</x:v>
      </x:c>
      <x:c r="J123" s="79" t="str">
        <x:v>oil</x:v>
      </x:c>
      <x:c r="K123" s="79"/>
      <x:c r="L123" s="79" t="str">
        <x:v>EDIBLE</x:v>
      </x:c>
      <x:c r="M123" s="79" t="str">
        <x:v>بله</x:v>
      </x:c>
      <x:c r="N123" s="79" t="str">
        <x:v>خوراکی</x:v>
      </x:c>
      <x:c r="O123" s="79" t="str">
        <x:v>بله</x:v>
      </x:c>
      <x:c r="P123" s="79" t="n">
        <x:v>2</x:v>
      </x:c>
      <x:c r="Q123" s="79" t="str">
        <x:v>30 میلی لیتر</x:v>
      </x:c>
      <x:c r="R123" s="79" t="n">
        <x:v>65</x:v>
      </x:c>
      <x:c r="S123" s="104" t="n">
        <x:v>65000</x:v>
      </x:c>
      <x:c r="T123" s="79" t="n">
        <x:v>30</x:v>
      </x:c>
      <x:c r="U123" s="79" t="str">
        <x:v>ml</x:v>
      </x:c>
      <x:c r="V123" s="79" t="str">
        <x:v>30 میل</x:v>
      </x:c>
      <x:c r="W123" s="99" t="b">
        <x:v>1</x:v>
      </x:c>
      <x:c r="X123" s="79" t="str">
        <x:v>60 میلی لیتر</x:v>
      </x:c>
      <x:c r="Y123" s="79" t="n">
        <x:v>120</x:v>
      </x:c>
      <x:c r="Z123" s="104" t="n">
        <x:v>120000</x:v>
      </x:c>
      <x:c r="AA123" s="79" t="n">
        <x:v>60</x:v>
      </x:c>
      <x:c r="AB123" s="79" t="str">
        <x:v>ml</x:v>
      </x:c>
      <x:c r="AC123" s="79" t="str">
        <x:v>60 میل</x:v>
      </x:c>
      <x:c r="AD123" s="99" t="b">
        <x:v>0</x:v>
      </x:c>
      <x:c r="AE123" s="79" t="str">
        <x:v>فعال</x:v>
      </x:c>
      <x:c r="AF123" s="79" t="str">
        <x:v>دسته‌بندی نهایی</x:v>
      </x:c>
      <x:c r="AG123" s="79" t="str">
        <x:v>OK</x:v>
      </x:c>
      <x:c r="AH123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  <x:c r="AI123" s="79"/>
      <x:c r="AJ123" s="79"/>
      <x:c r="AK123" s="79"/>
      <x:c r="AL123" t="str">
        <x:v>روغن اکالیپتوس</x:v>
      </x:c>
      <x:c r="AM123" t="str">
        <x:v>single_125</x:v>
      </x:c>
      <x:c r="AN123" t="str">
        <x:v>canonical_group_row</x:v>
      </x:c>
      <x:c r="AO123" t="str">
        <x:v>روغن</x:v>
      </x:c>
      <x:c r="AP123" t="str">
        <x:v>6a2d446d45c164ce6f28ae30</x:v>
      </x:c>
      <x:c r="AQ123" t="str">
        <x:v>oil</x:v>
      </x:c>
      <x:c r="AR123" t="str">
        <x:v>EDIBLE</x:v>
      </x:c>
      <x:c r="AS123" t="str">
        <x:v>بله</x:v>
      </x:c>
      <x:c r="AT123" t="str">
        <x:v>OK</x:v>
      </x:c>
      <x:c r="AU123"/>
    </x:row>
    <x:row r="124">
      <x:c r="A124" s="79" t="n">
        <x:v>126</x:v>
      </x:c>
      <x:c r="B124" s="79" t="str">
        <x:v>NS-0123-1</x:v>
      </x:c>
      <x:c r="C124" s="79" t="str">
        <x:v>روغن الاغ</x:v>
      </x:c>
      <x:c r="D124" s="79" t="str">
        <x:v>oil_donkey_30ml</x:v>
      </x:c>
      <x:c r="E124" s="79" t="str">
        <x:v>update</x:v>
      </x:c>
      <x:c r="F124" s="79" t="str">
        <x:v>بله</x:v>
      </x:c>
      <x:c r="G124" s="79" t="str">
        <x:v>روغن</x:v>
      </x:c>
      <x:c r="H124" s="79" t="str">
        <x:v>روغن</x:v>
      </x:c>
      <x:c r="I124" s="79" t="str">
        <x:v>6a2d446d45c164ce6f28ae30</x:v>
      </x:c>
      <x:c r="J124" s="79" t="str">
        <x:v>oil</x:v>
      </x:c>
      <x:c r="K124" s="79"/>
      <x:c r="L124" s="79" t="str">
        <x:v>EDIBLE</x:v>
      </x:c>
      <x:c r="M124" s="79" t="str">
        <x:v>بله</x:v>
      </x:c>
      <x:c r="N124" s="79" t="str">
        <x:v>خوراکی</x:v>
      </x:c>
      <x:c r="O124" s="79" t="str">
        <x:v>بله</x:v>
      </x:c>
      <x:c r="P124" s="79" t="n">
        <x:v>2</x:v>
      </x:c>
      <x:c r="Q124" s="79" t="str">
        <x:v>30 میلی لیتر</x:v>
      </x:c>
      <x:c r="R124" s="79" t="n">
        <x:v>80</x:v>
      </x:c>
      <x:c r="S124" s="104" t="n">
        <x:v>80000</x:v>
      </x:c>
      <x:c r="T124" s="79" t="n">
        <x:v>30</x:v>
      </x:c>
      <x:c r="U124" s="79" t="str">
        <x:v>ml</x:v>
      </x:c>
      <x:c r="V124" s="79" t="str">
        <x:v>30 میل</x:v>
      </x:c>
      <x:c r="W124" s="99" t="b">
        <x:v>1</x:v>
      </x:c>
      <x:c r="X124" s="79" t="str">
        <x:v>60 میلی لیتر</x:v>
      </x:c>
      <x:c r="Y124" s="79" t="n">
        <x:v>150</x:v>
      </x:c>
      <x:c r="Z124" s="104" t="n">
        <x:v>150000</x:v>
      </x:c>
      <x:c r="AA124" s="79" t="n">
        <x:v>60</x:v>
      </x:c>
      <x:c r="AB124" s="79" t="str">
        <x:v>ml</x:v>
      </x:c>
      <x:c r="AC124" s="79" t="str">
        <x:v>60 میل</x:v>
      </x:c>
      <x:c r="AD124" s="99" t="b">
        <x:v>0</x:v>
      </x:c>
      <x:c r="AE124" s="79" t="str">
        <x:v>فعال</x:v>
      </x:c>
      <x:c r="AF124" s="79" t="str">
        <x:v>دسته‌بندی نهایی</x:v>
      </x:c>
      <x:c r="AG124" s="79" t="str">
        <x:v>OK</x:v>
      </x:c>
      <x:c r="AH124" s="79" t="str">
        <x:v>[{"name": "30 میلی لیتر", "sku": "", "price": 80000, "stock": "", "weight": 30, "weightUnit": "ml", "containerSize": "30 میل", "isDefault": true}, {"name": "60 میلی لیتر", "sku": "", "price": 150000, "stock": "", "weight": 60, "weightUnit": "ml", "containerSize": "60 میل", "isDefault": false}]</x:v>
      </x:c>
      <x:c r="AI124" s="79"/>
      <x:c r="AJ124" s="79"/>
      <x:c r="AK124" s="79"/>
      <x:c r="AL124" t="str">
        <x:v>روغن الاغ</x:v>
      </x:c>
      <x:c r="AM124" t="str">
        <x:v>single_126</x:v>
      </x:c>
      <x:c r="AN124" t="str">
        <x:v>canonical_group_row</x:v>
      </x:c>
      <x:c r="AO124" t="str">
        <x:v>روغن</x:v>
      </x:c>
      <x:c r="AP124" t="str">
        <x:v>6a2d446d45c164ce6f28ae30</x:v>
      </x:c>
      <x:c r="AQ124" t="str">
        <x:v>oil</x:v>
      </x:c>
      <x:c r="AR124" t="str">
        <x:v>EDIBLE</x:v>
      </x:c>
      <x:c r="AS124" t="str">
        <x:v>بله</x:v>
      </x:c>
      <x:c r="AT124" t="str">
        <x:v>OK</x:v>
      </x:c>
      <x:c r="AU124"/>
    </x:row>
    <x:row r="125">
      <x:c r="A125" s="79" t="n">
        <x:v>127</x:v>
      </x:c>
      <x:c r="B125" s="79" t="str">
        <x:v>NS-0124-1</x:v>
      </x:c>
      <x:c r="C125" s="79" t="str">
        <x:v>روغن انار</x:v>
      </x:c>
      <x:c r="D125" s="79" t="str">
        <x:v>oil_pomegranate_30ml</x:v>
      </x:c>
      <x:c r="E125" s="79" t="str">
        <x:v>update</x:v>
      </x:c>
      <x:c r="F125" s="79" t="str">
        <x:v>بله</x:v>
      </x:c>
      <x:c r="G125" s="79" t="str">
        <x:v>روغن</x:v>
      </x:c>
      <x:c r="H125" s="79" t="str">
        <x:v>روغن</x:v>
      </x:c>
      <x:c r="I125" s="79" t="str">
        <x:v>6a2d446d45c164ce6f28ae30</x:v>
      </x:c>
      <x:c r="J125" s="79" t="str">
        <x:v>oil</x:v>
      </x:c>
      <x:c r="K125" s="79"/>
      <x:c r="L125" s="79" t="str">
        <x:v>EDIBLE</x:v>
      </x:c>
      <x:c r="M125" s="79" t="str">
        <x:v>بله</x:v>
      </x:c>
      <x:c r="N125" s="79" t="str">
        <x:v>خوراکی</x:v>
      </x:c>
      <x:c r="O125" s="79" t="str">
        <x:v>بله</x:v>
      </x:c>
      <x:c r="P125" s="79" t="n">
        <x:v>2</x:v>
      </x:c>
      <x:c r="Q125" s="79" t="str">
        <x:v>30 میلی لیتر</x:v>
      </x:c>
      <x:c r="R125" s="79" t="n">
        <x:v>80</x:v>
      </x:c>
      <x:c r="S125" s="104" t="n">
        <x:v>80000</x:v>
      </x:c>
      <x:c r="T125" s="79" t="n">
        <x:v>30</x:v>
      </x:c>
      <x:c r="U125" s="79" t="str">
        <x:v>ml</x:v>
      </x:c>
      <x:c r="V125" s="79" t="str">
        <x:v>30 میل</x:v>
      </x:c>
      <x:c r="W125" s="99" t="b">
        <x:v>1</x:v>
      </x:c>
      <x:c r="X125" s="79" t="str">
        <x:v>60 میلی لیتر</x:v>
      </x:c>
      <x:c r="Y125" s="79" t="n">
        <x:v>150</x:v>
      </x:c>
      <x:c r="Z125" s="104" t="n">
        <x:v>150000</x:v>
      </x:c>
      <x:c r="AA125" s="79" t="n">
        <x:v>60</x:v>
      </x:c>
      <x:c r="AB125" s="79" t="str">
        <x:v>ml</x:v>
      </x:c>
      <x:c r="AC125" s="79" t="str">
        <x:v>60 میل</x:v>
      </x:c>
      <x:c r="AD125" s="99" t="b">
        <x:v>0</x:v>
      </x:c>
      <x:c r="AE125" s="79" t="str">
        <x:v>فعال</x:v>
      </x:c>
      <x:c r="AF125" s="79" t="str">
        <x:v>دسته‌بندی نهایی</x:v>
      </x:c>
      <x:c r="AG125" s="79" t="str">
        <x:v>OK</x:v>
      </x:c>
      <x:c r="AH125" s="79" t="str">
        <x:v>[{"name": "30 میلی لیتر", "sku": "", "price": 80000, "stock": "", "weight": 30, "weightUnit": "ml", "containerSize": "30 میل", "isDefault": true}, {"name": "60 میلی لیتر", "sku": "", "price": 150000, "stock": "", "weight": 60, "weightUnit": "ml", "containerSize": "60 میل", "isDefault": false}]</x:v>
      </x:c>
      <x:c r="AI125" s="79"/>
      <x:c r="AJ125" s="79"/>
      <x:c r="AK125" s="79"/>
      <x:c r="AL125" t="str">
        <x:v>روغن انار</x:v>
      </x:c>
      <x:c r="AM125" t="str">
        <x:v>single_127</x:v>
      </x:c>
      <x:c r="AN125" t="str">
        <x:v>canonical_group_row</x:v>
      </x:c>
      <x:c r="AO125" t="str">
        <x:v>روغن</x:v>
      </x:c>
      <x:c r="AP125" t="str">
        <x:v>6a2d446d45c164ce6f28ae30</x:v>
      </x:c>
      <x:c r="AQ125" t="str">
        <x:v>oil</x:v>
      </x:c>
      <x:c r="AR125" t="str">
        <x:v>EDIBLE</x:v>
      </x:c>
      <x:c r="AS125" t="str">
        <x:v>بله</x:v>
      </x:c>
      <x:c r="AT125" t="str">
        <x:v>OK</x:v>
      </x:c>
      <x:c r="AU125"/>
    </x:row>
    <x:row r="126">
      <x:c r="A126" s="79" t="n">
        <x:v>128</x:v>
      </x:c>
      <x:c r="B126" s="79" t="str">
        <x:v>NS-0125-1</x:v>
      </x:c>
      <x:c r="C126" s="79" t="str">
        <x:v>روغن آرگان درجه 1</x:v>
      </x:c>
      <x:c r="D126" s="79" t="str">
        <x:v>oil_argan_grade_1_30ml</x:v>
      </x:c>
      <x:c r="E126" s="79" t="str">
        <x:v>update</x:v>
      </x:c>
      <x:c r="F126" s="79" t="str">
        <x:v>بله</x:v>
      </x:c>
      <x:c r="G126" s="79" t="str">
        <x:v>روغن</x:v>
      </x:c>
      <x:c r="H126" s="79" t="str">
        <x:v>روغن</x:v>
      </x:c>
      <x:c r="I126" s="79" t="str">
        <x:v>6a2d446d45c164ce6f28ae30</x:v>
      </x:c>
      <x:c r="J126" s="79" t="str">
        <x:v>oil</x:v>
      </x:c>
      <x:c r="K126" s="79"/>
      <x:c r="L126" s="79" t="str">
        <x:v>EDIBLE</x:v>
      </x:c>
      <x:c r="M126" s="79" t="str">
        <x:v>بله</x:v>
      </x:c>
      <x:c r="N126" s="79" t="str">
        <x:v>خوراکی</x:v>
      </x:c>
      <x:c r="O126" s="79" t="str">
        <x:v>بله</x:v>
      </x:c>
      <x:c r="P126" s="79" t="n">
        <x:v>2</x:v>
      </x:c>
      <x:c r="Q126" s="79" t="str">
        <x:v>30 میلی لیتر</x:v>
      </x:c>
      <x:c r="R126" s="79" t="n">
        <x:v>250</x:v>
      </x:c>
      <x:c r="S126" s="104" t="n">
        <x:v>250000</x:v>
      </x:c>
      <x:c r="T126" s="79" t="n">
        <x:v>30</x:v>
      </x:c>
      <x:c r="U126" s="79" t="str">
        <x:v>ml</x:v>
      </x:c>
      <x:c r="V126" s="79" t="str">
        <x:v>30 میل</x:v>
      </x:c>
      <x:c r="W126" s="99" t="b">
        <x:v>1</x:v>
      </x:c>
      <x:c r="X126" s="79" t="str">
        <x:v>60 میلی لیتر</x:v>
      </x:c>
      <x:c r="Y126" s="79" t="n">
        <x:v>495</x:v>
      </x:c>
      <x:c r="Z126" s="104" t="n">
        <x:v>495000</x:v>
      </x:c>
      <x:c r="AA126" s="79" t="n">
        <x:v>60</x:v>
      </x:c>
      <x:c r="AB126" s="79" t="str">
        <x:v>ml</x:v>
      </x:c>
      <x:c r="AC126" s="79" t="str">
        <x:v>60 میل</x:v>
      </x:c>
      <x:c r="AD126" s="99" t="b">
        <x:v>0</x:v>
      </x:c>
      <x:c r="AE126" s="79" t="str">
        <x:v>فعال</x:v>
      </x:c>
      <x:c r="AF126" s="79" t="str">
        <x:v>دسته‌بندی نهایی</x:v>
      </x:c>
      <x:c r="AG126" s="79" t="str">
        <x:v>MERGED</x:v>
      </x:c>
      <x:c r="AH126" s="79" t="str">
        <x:v>[{"name": "30 میلی لیتر", "sku": "", "price": 250000, "stock": "", "weight": 30, "weightUnit": "ml", "containerSize": "30 میل", "isDefault": true}, {"name": "60 میلی لیتر", "sku": "", "price": 495000, "stock": "", "weight": 60, "weightUnit": "ml", "containerSize": "60 میل", "isDefault": false}]</x:v>
      </x:c>
      <x:c r="AI126" s="79"/>
      <x:c r="AJ126" s="79"/>
      <x:c r="AK126" s="79"/>
      <x:c r="AL126" t="str">
        <x:v>روغن آرگان مراکش</x:v>
      </x:c>
      <x:c r="AM126" t="str">
        <x:v>grp_argan_oil_morocco</x:v>
      </x:c>
      <x:c r="AN126" t="str">
        <x:v>canonical_group_row</x:v>
      </x:c>
      <x:c r="AO126" t="str">
        <x:v>روغن</x:v>
      </x:c>
      <x:c r="AP126" t="str">
        <x:v>6a2d446d45c164ce6f28ae30</x:v>
      </x:c>
      <x:c r="AQ126" t="str">
        <x:v>oil</x:v>
      </x:c>
      <x:c r="AR126" t="str">
        <x:v>EDIBLE</x:v>
      </x:c>
      <x:c r="AS126" t="str">
        <x:v>بله</x:v>
      </x:c>
      <x:c r="AT126" t="str">
        <x:v>MERGED</x:v>
      </x:c>
      <x:c r="AU126"/>
    </x:row>
    <x:row r="127">
      <x:c r="A127" s="79" t="n">
        <x:v>129</x:v>
      </x:c>
      <x:c r="B127" s="79" t="str">
        <x:v>NS-0126-1</x:v>
      </x:c>
      <x:c r="C127" s="79" t="str">
        <x:v>روغن آرگان درجه 2</x:v>
      </x:c>
      <x:c r="D127" s="79" t="str">
        <x:v>oil_argan_grade_2_30ml</x:v>
      </x:c>
      <x:c r="E127" s="79" t="str">
        <x:v>update</x:v>
      </x:c>
      <x:c r="F127" s="79" t="str">
        <x:v>بله</x:v>
      </x:c>
      <x:c r="G127" s="79" t="str">
        <x:v>روغن</x:v>
      </x:c>
      <x:c r="H127" s="79" t="str">
        <x:v>روغن</x:v>
      </x:c>
      <x:c r="I127" s="79" t="str">
        <x:v>6a2d446d45c164ce6f28ae30</x:v>
      </x:c>
      <x:c r="J127" s="79" t="str">
        <x:v>oil</x:v>
      </x:c>
      <x:c r="K127" s="79"/>
      <x:c r="L127" s="79" t="str">
        <x:v>EDIBLE</x:v>
      </x:c>
      <x:c r="M127" s="79" t="str">
        <x:v>بله</x:v>
      </x:c>
      <x:c r="N127" s="79" t="str">
        <x:v>خوراکی</x:v>
      </x:c>
      <x:c r="O127" s="79" t="str">
        <x:v>بله</x:v>
      </x:c>
      <x:c r="P127" s="79" t="n">
        <x:v>2</x:v>
      </x:c>
      <x:c r="Q127" s="79" t="str">
        <x:v>30 میلی لیتر</x:v>
      </x:c>
      <x:c r="R127" s="79" t="n">
        <x:v>170</x:v>
      </x:c>
      <x:c r="S127" s="104" t="n">
        <x:v>170000</x:v>
      </x:c>
      <x:c r="T127" s="79" t="n">
        <x:v>30</x:v>
      </x:c>
      <x:c r="U127" s="79" t="str">
        <x:v>ml</x:v>
      </x:c>
      <x:c r="V127" s="79" t="str">
        <x:v>30 میل</x:v>
      </x:c>
      <x:c r="W127" s="99" t="b">
        <x:v>1</x:v>
      </x:c>
      <x:c r="X127" s="79" t="str">
        <x:v>60 میلی لیتر</x:v>
      </x:c>
      <x:c r="Y127" s="79" t="n">
        <x:v>335</x:v>
      </x:c>
      <x:c r="Z127" s="104" t="n">
        <x:v>335000</x:v>
      </x:c>
      <x:c r="AA127" s="79" t="n">
        <x:v>60</x:v>
      </x:c>
      <x:c r="AB127" s="79" t="str">
        <x:v>ml</x:v>
      </x:c>
      <x:c r="AC127" s="79" t="str">
        <x:v>60 میل</x:v>
      </x:c>
      <x:c r="AD127" s="99" t="b">
        <x:v>0</x:v>
      </x:c>
      <x:c r="AE127" s="79" t="str">
        <x:v>فعال</x:v>
      </x:c>
      <x:c r="AF127" s="79" t="str">
        <x:v>دسته‌بندی نهایی</x:v>
      </x:c>
      <x:c r="AG127" s="79" t="str">
        <x:v>MERGED</x:v>
      </x:c>
      <x:c r="AH127" s="79" t="str">
        <x:v>[{"name": "30 میلی لیتر", "sku": "", "price": 170000, "stock": "", "weight": 30, "weightUnit": "ml", "containerSize": "30 میل", "isDefault": true}, {"name": "60 میلی لیتر", "sku": "", "price": 335000, "stock": "", "weight": 60, "weightUnit": "ml", "containerSize": "60 میل", "isDefault": false}]</x:v>
      </x:c>
      <x:c r="AI127" s="79"/>
      <x:c r="AJ127" s="79"/>
      <x:c r="AK127" s="79"/>
      <x:c r="AL127" t="str">
        <x:v>روغن آرگان مراکش</x:v>
      </x:c>
      <x:c r="AM127" t="str">
        <x:v>grp_argan_oil_morocco</x:v>
      </x:c>
      <x:c r="AN127" t="str">
        <x:v>merge_into_canonical_group</x:v>
      </x:c>
      <x:c r="AO127" t="str">
        <x:v>روغن</x:v>
      </x:c>
      <x:c r="AP127" t="str">
        <x:v>6a2d446d45c164ce6f28ae30</x:v>
      </x:c>
      <x:c r="AQ127" t="str">
        <x:v>oil</x:v>
      </x:c>
      <x:c r="AR127" t="str">
        <x:v>EDIBLE</x:v>
      </x:c>
      <x:c r="AS127" t="str">
        <x:v>بله</x:v>
      </x:c>
      <x:c r="AT127" t="str">
        <x:v>MERGED</x:v>
      </x:c>
      <x:c r="AU127"/>
    </x:row>
    <x:row r="128">
      <x:c r="A128" s="79" t="n">
        <x:v>130</x:v>
      </x:c>
      <x:c r="B128" s="79" t="str">
        <x:v>NS-0127-1</x:v>
      </x:c>
      <x:c r="C128" s="79" t="str">
        <x:v>روغن آرگان مراکش درجه 1</x:v>
      </x:c>
      <x:c r="D128" s="79" t="str">
        <x:v>oil_argan_moroccan_grade_1_half_liter</x:v>
      </x:c>
      <x:c r="E128" s="79" t="str">
        <x:v>update</x:v>
      </x:c>
      <x:c r="F128" s="79" t="str">
        <x:v>بله</x:v>
      </x:c>
      <x:c r="G128" s="79" t="str">
        <x:v>روغن</x:v>
      </x:c>
      <x:c r="H128" s="79" t="str">
        <x:v>روغن</x:v>
      </x:c>
      <x:c r="I128" s="79" t="str">
        <x:v>6a2d446d45c164ce6f28ae30</x:v>
      </x:c>
      <x:c r="J128" s="79" t="str">
        <x:v>oil</x:v>
      </x:c>
      <x:c r="K128" s="79"/>
      <x:c r="L128" s="79" t="str">
        <x:v>EDIBLE</x:v>
      </x:c>
      <x:c r="M128" s="79" t="str">
        <x:v>بله</x:v>
      </x:c>
      <x:c r="N128" s="79" t="str">
        <x:v>خوراکی</x:v>
      </x:c>
      <x:c r="O128" s="79" t="str">
        <x:v>بله</x:v>
      </x:c>
      <x:c r="P128" s="79" t="n">
        <x:v>2</x:v>
      </x:c>
      <x:c r="Q128" s="79" t="str">
        <x:v>نیم لیتر</x:v>
      </x:c>
      <x:c r="R128" s="79" t="str">
        <x:v>3/750</x:v>
      </x:c>
      <x:c r="S128" s="104" t="n">
        <x:v>3750000</x:v>
      </x:c>
      <x:c r="T128" s="79" t="n">
        <x:v>500</x:v>
      </x:c>
      <x:c r="U128" s="79" t="str">
        <x:v>ml</x:v>
      </x:c>
      <x:c r="V128" s="79" t="str">
        <x:v>نیم لیتر</x:v>
      </x:c>
      <x:c r="W128" s="99" t="b">
        <x:v>1</x:v>
      </x:c>
      <x:c r="X128" s="79" t="str">
        <x:v>1 لیتر</x:v>
      </x:c>
      <x:c r="Y128" s="79" t="str">
        <x:v>7/500</x:v>
      </x:c>
      <x:c r="Z128" s="104" t="n">
        <x:v>7500000</x:v>
      </x:c>
      <x:c r="AA128" s="79" t="n">
        <x:v>1000</x:v>
      </x:c>
      <x:c r="AB128" s="79" t="str">
        <x:v>ml</x:v>
      </x:c>
      <x:c r="AC128" s="79" t="str">
        <x:v>1 لیتر</x:v>
      </x:c>
      <x:c r="AD128" s="99" t="b">
        <x:v>0</x:v>
      </x:c>
      <x:c r="AE128" s="79" t="str">
        <x:v>فعال</x:v>
      </x:c>
      <x:c r="AF128" s="79" t="str">
        <x:v>دسته‌بندی نهایی</x:v>
      </x:c>
      <x:c r="AG128" s="79" t="str">
        <x:v>MERGED</x:v>
      </x:c>
      <x:c r="AH128" s="79" t="str">
        <x:v>[{"name": "نیم لیتر", "sku": "", "price": 3750000, "stock": "", "weight": 500, "weightUnit": "ml", "containerSize": "نیم لیتر", "isDefault": true}, {"name": "1 لیتر", "sku": "", "price": 7500000, "stock": "", "weight": 1000, "weightUnit": "ml", "containerSize": "1 لیتر", "isDefault": false}]</x:v>
      </x:c>
      <x:c r="AI128" s="79"/>
      <x:c r="AJ128" s="79"/>
      <x:c r="AK128" s="79"/>
      <x:c r="AL128" t="str">
        <x:v>روغن آرگان مراکش</x:v>
      </x:c>
      <x:c r="AM128" t="str">
        <x:v>grp_argan_oil_morocco</x:v>
      </x:c>
      <x:c r="AN128" t="str">
        <x:v>merge_into_canonical_group</x:v>
      </x:c>
      <x:c r="AO128" t="str">
        <x:v>روغن</x:v>
      </x:c>
      <x:c r="AP128" t="str">
        <x:v>6a2d446d45c164ce6f28ae30</x:v>
      </x:c>
      <x:c r="AQ128" t="str">
        <x:v>oil</x:v>
      </x:c>
      <x:c r="AR128" t="str">
        <x:v>EDIBLE</x:v>
      </x:c>
      <x:c r="AS128" t="str">
        <x:v>بله</x:v>
      </x:c>
      <x:c r="AT128" t="str">
        <x:v>MERGED</x:v>
      </x:c>
      <x:c r="AU128"/>
    </x:row>
    <x:row r="129">
      <x:c r="A129" s="79" t="n">
        <x:v>131</x:v>
      </x:c>
      <x:c r="B129" s="79" t="str">
        <x:v>NS-0128-1</x:v>
      </x:c>
      <x:c r="C129" s="79" t="str">
        <x:v>روغن آرگان مراکش درجه 2</x:v>
      </x:c>
      <x:c r="D129" s="79" t="str">
        <x:v>oil_argan_moroccan_grade_2_half_liter</x:v>
      </x:c>
      <x:c r="E129" s="79" t="str">
        <x:v>update</x:v>
      </x:c>
      <x:c r="F129" s="79" t="str">
        <x:v>بله</x:v>
      </x:c>
      <x:c r="G129" s="79" t="str">
        <x:v>روغن</x:v>
      </x:c>
      <x:c r="H129" s="79" t="str">
        <x:v>روغن</x:v>
      </x:c>
      <x:c r="I129" s="79" t="str">
        <x:v>6a2d446d45c164ce6f28ae30</x:v>
      </x:c>
      <x:c r="J129" s="79" t="str">
        <x:v>oil</x:v>
      </x:c>
      <x:c r="K129" s="79"/>
      <x:c r="L129" s="79" t="str">
        <x:v>EDIBLE</x:v>
      </x:c>
      <x:c r="M129" s="79" t="str">
        <x:v>بله</x:v>
      </x:c>
      <x:c r="N129" s="79" t="str">
        <x:v>خوراکی</x:v>
      </x:c>
      <x:c r="O129" s="79" t="str">
        <x:v>بله</x:v>
      </x:c>
      <x:c r="P129" s="79" t="n">
        <x:v>2</x:v>
      </x:c>
      <x:c r="Q129" s="79" t="str">
        <x:v>نیم لیتر</x:v>
      </x:c>
      <x:c r="R129" s="79" t="str">
        <x:v>2/250</x:v>
      </x:c>
      <x:c r="S129" s="104" t="n">
        <x:v>2250000</x:v>
      </x:c>
      <x:c r="T129" s="79" t="n">
        <x:v>500</x:v>
      </x:c>
      <x:c r="U129" s="79" t="str">
        <x:v>ml</x:v>
      </x:c>
      <x:c r="V129" s="79" t="str">
        <x:v>نیم لیتر</x:v>
      </x:c>
      <x:c r="W129" s="99" t="b">
        <x:v>1</x:v>
      </x:c>
      <x:c r="X129" s="79" t="str">
        <x:v>1 لیتر</x:v>
      </x:c>
      <x:c r="Y129" s="79" t="str">
        <x:v>4/500</x:v>
      </x:c>
      <x:c r="Z129" s="104" t="n">
        <x:v>4500000</x:v>
      </x:c>
      <x:c r="AA129" s="79" t="n">
        <x:v>1000</x:v>
      </x:c>
      <x:c r="AB129" s="79" t="str">
        <x:v>ml</x:v>
      </x:c>
      <x:c r="AC129" s="79" t="str">
        <x:v>1 لیتر</x:v>
      </x:c>
      <x:c r="AD129" s="99" t="b">
        <x:v>0</x:v>
      </x:c>
      <x:c r="AE129" s="79" t="str">
        <x:v>فعال</x:v>
      </x:c>
      <x:c r="AF129" s="79" t="str">
        <x:v>دسته‌بندی نهایی</x:v>
      </x:c>
      <x:c r="AG129" s="79" t="str">
        <x:v>MERGED</x:v>
      </x:c>
      <x:c r="AH129" s="79" t="str">
        <x:v>[{"name": "نیم لیتر", "sku": "", "price": 2250000, "stock": "", "weight": 500, "weightUnit": "ml", "containerSize": "نیم لیتر", "isDefault": true}, {"name": "1 لیتر", "sku": "", "price": 4500000, "stock": "", "weight": 1000, "weightUnit": "ml", "containerSize": "1 لیتر", "isDefault": false}]</x:v>
      </x:c>
      <x:c r="AI129" s="79"/>
      <x:c r="AJ129" s="79"/>
      <x:c r="AK129" s="79"/>
      <x:c r="AL129" t="str">
        <x:v>روغن آرگان مراکش</x:v>
      </x:c>
      <x:c r="AM129" t="str">
        <x:v>grp_argan_oil_morocco</x:v>
      </x:c>
      <x:c r="AN129" t="str">
        <x:v>merge_into_canonical_group</x:v>
      </x:c>
      <x:c r="AO129" t="str">
        <x:v>روغن</x:v>
      </x:c>
      <x:c r="AP129" t="str">
        <x:v>6a2d446d45c164ce6f28ae30</x:v>
      </x:c>
      <x:c r="AQ129" t="str">
        <x:v>oil</x:v>
      </x:c>
      <x:c r="AR129" t="str">
        <x:v>EDIBLE</x:v>
      </x:c>
      <x:c r="AS129" t="str">
        <x:v>بله</x:v>
      </x:c>
      <x:c r="AT129" t="str">
        <x:v>MERGED</x:v>
      </x:c>
      <x:c r="AU129"/>
    </x:row>
    <x:row r="130">
      <x:c r="A130" s="79" t="n">
        <x:v>132</x:v>
      </x:c>
      <x:c r="B130" s="79" t="str">
        <x:v>NS-0129-1</x:v>
      </x:c>
      <x:c r="C130" s="79" t="str">
        <x:v>روغن آفتابگردان</x:v>
      </x:c>
      <x:c r="D130" s="79" t="str">
        <x:v>oil_sunflower_half_liter</x:v>
      </x:c>
      <x:c r="E130" s="79" t="str">
        <x:v>update</x:v>
      </x:c>
      <x:c r="F130" s="79" t="str">
        <x:v>بله</x:v>
      </x:c>
      <x:c r="G130" s="79" t="str">
        <x:v>روغن</x:v>
      </x:c>
      <x:c r="H130" s="79" t="str">
        <x:v>روغن</x:v>
      </x:c>
      <x:c r="I130" s="79" t="str">
        <x:v>6a2d446d45c164ce6f28ae30</x:v>
      </x:c>
      <x:c r="J130" s="79" t="str">
        <x:v>oil</x:v>
      </x:c>
      <x:c r="K130" s="79"/>
      <x:c r="L130" s="79" t="str">
        <x:v>EDIBLE</x:v>
      </x:c>
      <x:c r="M130" s="79" t="str">
        <x:v>بله</x:v>
      </x:c>
      <x:c r="N130" s="79" t="str">
        <x:v>خوراکی</x:v>
      </x:c>
      <x:c r="O130" s="79" t="str">
        <x:v>بله</x:v>
      </x:c>
      <x:c r="P130" s="79" t="n">
        <x:v>2</x:v>
      </x:c>
      <x:c r="Q130" s="79" t="str">
        <x:v>نیم لیتر</x:v>
      </x:c>
      <x:c r="R130" s="79" t="n">
        <x:v>400</x:v>
      </x:c>
      <x:c r="S130" s="104" t="n">
        <x:v>400000</x:v>
      </x:c>
      <x:c r="T130" s="79" t="n">
        <x:v>500</x:v>
      </x:c>
      <x:c r="U130" s="79" t="str">
        <x:v>ml</x:v>
      </x:c>
      <x:c r="V130" s="79" t="str">
        <x:v>نیم لیتر</x:v>
      </x:c>
      <x:c r="W130" s="99" t="b">
        <x:v>1</x:v>
      </x:c>
      <x:c r="X130" s="79" t="str">
        <x:v>1 لیتر</x:v>
      </x:c>
      <x:c r="Y130" s="79" t="n">
        <x:v>790</x:v>
      </x:c>
      <x:c r="Z130" s="104" t="n">
        <x:v>790000</x:v>
      </x:c>
      <x:c r="AA130" s="79" t="n">
        <x:v>1000</x:v>
      </x:c>
      <x:c r="AB130" s="79" t="str">
        <x:v>ml</x:v>
      </x:c>
      <x:c r="AC130" s="79" t="str">
        <x:v>1 لیتر</x:v>
      </x:c>
      <x:c r="AD130" s="99" t="b">
        <x:v>0</x:v>
      </x:c>
      <x:c r="AE130" s="79" t="str">
        <x:v>فعال</x:v>
      </x:c>
      <x:c r="AF130" s="79" t="str">
        <x:v>دسته‌بندی نهایی</x:v>
      </x:c>
      <x:c r="AG130" s="79" t="str">
        <x:v>OK</x:v>
      </x:c>
      <x:c r="AH130" s="79" t="str">
        <x:v>[{"name": "نیم لیتر", "sku": "", "price": 400000, "stock": "", "weight": 500, "weightUnit": "ml", "containerSize": "نیم لیتر", "isDefault": true}, {"name": "1 لیتر", "sku": "", "price": 790000, "stock": "", "weight": 1000, "weightUnit": "ml", "containerSize": "1 لیتر", "isDefault": false}]</x:v>
      </x:c>
      <x:c r="AI130" s="79"/>
      <x:c r="AJ130" s="79"/>
      <x:c r="AK130" s="79"/>
      <x:c r="AL130" t="str">
        <x:v>روغن آفتابگردان</x:v>
      </x:c>
      <x:c r="AM130" t="str">
        <x:v>single_132</x:v>
      </x:c>
      <x:c r="AN130" t="str">
        <x:v>canonical_group_row</x:v>
      </x:c>
      <x:c r="AO130" t="str">
        <x:v>روغن</x:v>
      </x:c>
      <x:c r="AP130" t="str">
        <x:v>6a2d446d45c164ce6f28ae30</x:v>
      </x:c>
      <x:c r="AQ130" t="str">
        <x:v>oil</x:v>
      </x:c>
      <x:c r="AR130" t="str">
        <x:v>EDIBLE</x:v>
      </x:c>
      <x:c r="AS130" t="str">
        <x:v>بله</x:v>
      </x:c>
      <x:c r="AT130" t="str">
        <x:v>OK</x:v>
      </x:c>
      <x:c r="AU130"/>
    </x:row>
    <x:row r="131">
      <x:c r="A131" s="79" t="n">
        <x:v>133</x:v>
      </x:c>
      <x:c r="B131" s="79" t="str">
        <x:v>NS-0130-1</x:v>
      </x:c>
      <x:c r="C131" s="79" t="str">
        <x:v>روغن آمله</x:v>
      </x:c>
      <x:c r="D131" s="79" t="str">
        <x:v>oil_amla_30ml</x:v>
      </x:c>
      <x:c r="E131" s="79" t="str">
        <x:v>update</x:v>
      </x:c>
      <x:c r="F131" s="79" t="str">
        <x:v>بله</x:v>
      </x:c>
      <x:c r="G131" s="79" t="str">
        <x:v>روغن</x:v>
      </x:c>
      <x:c r="H131" s="79" t="str">
        <x:v>روغن</x:v>
      </x:c>
      <x:c r="I131" s="79" t="str">
        <x:v>6a2d446d45c164ce6f28ae30</x:v>
      </x:c>
      <x:c r="J131" s="79" t="str">
        <x:v>oil</x:v>
      </x:c>
      <x:c r="K131" s="79"/>
      <x:c r="L131" s="79" t="str">
        <x:v>EDIBLE</x:v>
      </x:c>
      <x:c r="M131" s="79" t="str">
        <x:v>بله</x:v>
      </x:c>
      <x:c r="N131" s="79" t="str">
        <x:v>خوراکی</x:v>
      </x:c>
      <x:c r="O131" s="79" t="str">
        <x:v>بله</x:v>
      </x:c>
      <x:c r="P131" s="79" t="n">
        <x:v>2</x:v>
      </x:c>
      <x:c r="Q131" s="79" t="str">
        <x:v>30 میلی لیتر</x:v>
      </x:c>
      <x:c r="R131" s="79" t="n">
        <x:v>80</x:v>
      </x:c>
      <x:c r="S131" s="104" t="n">
        <x:v>80000</x:v>
      </x:c>
      <x:c r="T131" s="79" t="n">
        <x:v>30</x:v>
      </x:c>
      <x:c r="U131" s="79" t="str">
        <x:v>ml</x:v>
      </x:c>
      <x:c r="V131" s="79" t="str">
        <x:v>30 میل</x:v>
      </x:c>
      <x:c r="W131" s="99" t="b">
        <x:v>1</x:v>
      </x:c>
      <x:c r="X131" s="79" t="str">
        <x:v>60 میلی لیتر</x:v>
      </x:c>
      <x:c r="Y131" s="79" t="n">
        <x:v>150</x:v>
      </x:c>
      <x:c r="Z131" s="104" t="n">
        <x:v>150000</x:v>
      </x:c>
      <x:c r="AA131" s="79" t="n">
        <x:v>60</x:v>
      </x:c>
      <x:c r="AB131" s="79" t="str">
        <x:v>ml</x:v>
      </x:c>
      <x:c r="AC131" s="79" t="str">
        <x:v>60 میل</x:v>
      </x:c>
      <x:c r="AD131" s="99" t="b">
        <x:v>0</x:v>
      </x:c>
      <x:c r="AE131" s="79" t="str">
        <x:v>فعال</x:v>
      </x:c>
      <x:c r="AF131" s="79" t="str">
        <x:v>دسته‌بندی نهایی</x:v>
      </x:c>
      <x:c r="AG131" s="79" t="str">
        <x:v>OK</x:v>
      </x:c>
      <x:c r="AH131" s="79" t="str">
        <x:v>[{"name": "30 میلی لیتر", "sku": "", "price": 80000, "stock": "", "weight": 30, "weightUnit": "ml", "containerSize": "30 میل", "isDefault": true}, {"name": "60 میلی لیتر", "sku": "", "price": 150000, "stock": "", "weight": 60, "weightUnit": "ml", "containerSize": "60 میل", "isDefault": false}]</x:v>
      </x:c>
      <x:c r="AI131" s="79"/>
      <x:c r="AJ131" s="79"/>
      <x:c r="AK131" s="79"/>
      <x:c r="AL131" t="str">
        <x:v>روغن آمله</x:v>
      </x:c>
      <x:c r="AM131" t="str">
        <x:v>single_133</x:v>
      </x:c>
      <x:c r="AN131" t="str">
        <x:v>canonical_group_row</x:v>
      </x:c>
      <x:c r="AO131" t="str">
        <x:v>روغن</x:v>
      </x:c>
      <x:c r="AP131" t="str">
        <x:v>6a2d446d45c164ce6f28ae30</x:v>
      </x:c>
      <x:c r="AQ131" t="str">
        <x:v>oil</x:v>
      </x:c>
      <x:c r="AR131" t="str">
        <x:v>EDIBLE</x:v>
      </x:c>
      <x:c r="AS131" t="str">
        <x:v>بله</x:v>
      </x:c>
      <x:c r="AT131" t="str">
        <x:v>OK</x:v>
      </x:c>
      <x:c r="AU131"/>
    </x:row>
    <x:row r="132">
      <x:c r="A132" s="79" t="n">
        <x:v>134</x:v>
      </x:c>
      <x:c r="B132" s="79" t="str">
        <x:v>NS-0131-1</x:v>
      </x:c>
      <x:c r="C132" s="79" t="str">
        <x:v>روغن آووکادو</x:v>
      </x:c>
      <x:c r="D132" s="79" t="str">
        <x:v>oil_avocado_30ml</x:v>
      </x:c>
      <x:c r="E132" s="79" t="str">
        <x:v>update</x:v>
      </x:c>
      <x:c r="F132" s="79" t="str">
        <x:v>بله</x:v>
      </x:c>
      <x:c r="G132" s="79" t="str">
        <x:v>روغن</x:v>
      </x:c>
      <x:c r="H132" s="79" t="str">
        <x:v>روغن</x:v>
      </x:c>
      <x:c r="I132" s="79" t="str">
        <x:v>6a2d446d45c164ce6f28ae30</x:v>
      </x:c>
      <x:c r="J132" s="79" t="str">
        <x:v>oil</x:v>
      </x:c>
      <x:c r="K132" s="79"/>
      <x:c r="L132" s="79" t="str">
        <x:v>EDIBLE</x:v>
      </x:c>
      <x:c r="M132" s="79" t="str">
        <x:v>بله</x:v>
      </x:c>
      <x:c r="N132" s="79" t="str">
        <x:v>خوراکی</x:v>
      </x:c>
      <x:c r="O132" s="79" t="str">
        <x:v>بله</x:v>
      </x:c>
      <x:c r="P132" s="79" t="n">
        <x:v>2</x:v>
      </x:c>
      <x:c r="Q132" s="79" t="str">
        <x:v>30 میلی لیتر</x:v>
      </x:c>
      <x:c r="R132" s="79" t="n">
        <x:v>100</x:v>
      </x:c>
      <x:c r="S132" s="104" t="n">
        <x:v>100000</x:v>
      </x:c>
      <x:c r="T132" s="79" t="n">
        <x:v>30</x:v>
      </x:c>
      <x:c r="U132" s="79" t="str">
        <x:v>ml</x:v>
      </x:c>
      <x:c r="V132" s="79" t="str">
        <x:v>30 میل</x:v>
      </x:c>
      <x:c r="W132" s="99" t="b">
        <x:v>1</x:v>
      </x:c>
      <x:c r="X132" s="79" t="str">
        <x:v>60 میلی لیتر</x:v>
      </x:c>
      <x:c r="Y132" s="79" t="n">
        <x:v>190</x:v>
      </x:c>
      <x:c r="Z132" s="104" t="n">
        <x:v>190000</x:v>
      </x:c>
      <x:c r="AA132" s="79" t="n">
        <x:v>60</x:v>
      </x:c>
      <x:c r="AB132" s="79" t="str">
        <x:v>ml</x:v>
      </x:c>
      <x:c r="AC132" s="79" t="str">
        <x:v>60 میل</x:v>
      </x:c>
      <x:c r="AD132" s="99" t="b">
        <x:v>0</x:v>
      </x:c>
      <x:c r="AE132" s="79" t="str">
        <x:v>فعال</x:v>
      </x:c>
      <x:c r="AF132" s="79" t="str">
        <x:v>دسته‌بندی نهایی</x:v>
      </x:c>
      <x:c r="AG132" s="79" t="str">
        <x:v>OK</x:v>
      </x:c>
      <x:c r="AH132" s="79" t="str">
        <x:v>[{"name": "30 میلی لیتر", "sku": "", "price": 100000, "stock": "", "weight": 30, "weightUnit": "ml", "containerSize": "30 میل", "isDefault": true}, {"name": "60 میلی لیتر", "sku": "", "price": 190000, "stock": "", "weight": 60, "weightUnit": "ml", "containerSize": "60 میل", "isDefault": false}]</x:v>
      </x:c>
      <x:c r="AI132" s="79"/>
      <x:c r="AJ132" s="79"/>
      <x:c r="AK132" s="79"/>
      <x:c r="AL132" t="str">
        <x:v>روغن آووکادو</x:v>
      </x:c>
      <x:c r="AM132" t="str">
        <x:v>single_134</x:v>
      </x:c>
      <x:c r="AN132" t="str">
        <x:v>canonical_group_row</x:v>
      </x:c>
      <x:c r="AO132" t="str">
        <x:v>روغن</x:v>
      </x:c>
      <x:c r="AP132" t="str">
        <x:v>6a2d446d45c164ce6f28ae30</x:v>
      </x:c>
      <x:c r="AQ132" t="str">
        <x:v>oil</x:v>
      </x:c>
      <x:c r="AR132" t="str">
        <x:v>EDIBLE</x:v>
      </x:c>
      <x:c r="AS132" t="str">
        <x:v>بله</x:v>
      </x:c>
      <x:c r="AT132" t="str">
        <x:v>OK</x:v>
      </x:c>
      <x:c r="AU132"/>
    </x:row>
    <x:row r="133">
      <x:c r="A133" s="79" t="n">
        <x:v>135</x:v>
      </x:c>
      <x:c r="B133" s="79" t="str">
        <x:v>NS-0132-1</x:v>
      </x:c>
      <x:c r="C133" s="79" t="str">
        <x:v>روغن بابونه</x:v>
      </x:c>
      <x:c r="D133" s="79" t="str">
        <x:v>oil_chamomile_30ml</x:v>
      </x:c>
      <x:c r="E133" s="79" t="str">
        <x:v>update</x:v>
      </x:c>
      <x:c r="F133" s="79" t="str">
        <x:v>بله</x:v>
      </x:c>
      <x:c r="G133" s="79" t="str">
        <x:v>روغن</x:v>
      </x:c>
      <x:c r="H133" s="79" t="str">
        <x:v>روغن</x:v>
      </x:c>
      <x:c r="I133" s="79" t="str">
        <x:v>6a2d446d45c164ce6f28ae30</x:v>
      </x:c>
      <x:c r="J133" s="79" t="str">
        <x:v>oil</x:v>
      </x:c>
      <x:c r="K133" s="79"/>
      <x:c r="L133" s="79" t="str">
        <x:v>EDIBLE</x:v>
      </x:c>
      <x:c r="M133" s="79" t="str">
        <x:v>بله</x:v>
      </x:c>
      <x:c r="N133" s="79" t="str">
        <x:v>خوراکی</x:v>
      </x:c>
      <x:c r="O133" s="79" t="str">
        <x:v>بله</x:v>
      </x:c>
      <x:c r="P133" s="79" t="n">
        <x:v>2</x:v>
      </x:c>
      <x:c r="Q133" s="79" t="str">
        <x:v>30 میلی لیتر</x:v>
      </x:c>
      <x:c r="R133" s="79" t="n">
        <x:v>100</x:v>
      </x:c>
      <x:c r="S133" s="104" t="n">
        <x:v>100000</x:v>
      </x:c>
      <x:c r="T133" s="79" t="n">
        <x:v>30</x:v>
      </x:c>
      <x:c r="U133" s="79" t="str">
        <x:v>ml</x:v>
      </x:c>
      <x:c r="V133" s="79" t="str">
        <x:v>30 میل</x:v>
      </x:c>
      <x:c r="W133" s="99" t="b">
        <x:v>1</x:v>
      </x:c>
      <x:c r="X133" s="79" t="str">
        <x:v>60 میلی لیتر</x:v>
      </x:c>
      <x:c r="Y133" s="79" t="n">
        <x:v>195</x:v>
      </x:c>
      <x:c r="Z133" s="104" t="n">
        <x:v>195000</x:v>
      </x:c>
      <x:c r="AA133" s="79" t="n">
        <x:v>60</x:v>
      </x:c>
      <x:c r="AB133" s="79" t="str">
        <x:v>ml</x:v>
      </x:c>
      <x:c r="AC133" s="79" t="str">
        <x:v>60 میل</x:v>
      </x:c>
      <x:c r="AD133" s="99" t="b">
        <x:v>0</x:v>
      </x:c>
      <x:c r="AE133" s="79" t="str">
        <x:v>فعال</x:v>
      </x:c>
      <x:c r="AF133" s="79" t="str">
        <x:v>دسته‌بندی نهایی</x:v>
      </x:c>
      <x:c r="AG133" s="79" t="str">
        <x:v>OK</x:v>
      </x:c>
      <x:c r="AH133" s="79" t="str">
        <x:v>[{"name": "30 میلی لیتر", "sku": "", "price": 100000, "stock": "", "weight": 30, "weightUnit": "ml", "containerSize": "30 میل", "isDefault": true}, {"name": "60 میلی لیتر", "sku": "", "price": 195000, "stock": "", "weight": 60, "weightUnit": "ml", "containerSize": "60 میل", "isDefault": false}]</x:v>
      </x:c>
      <x:c r="AI133" s="79"/>
      <x:c r="AJ133" s="79"/>
      <x:c r="AK133" s="79"/>
      <x:c r="AL133" t="str">
        <x:v>روغن بابونه</x:v>
      </x:c>
      <x:c r="AM133" t="str">
        <x:v>single_135</x:v>
      </x:c>
      <x:c r="AN133" t="str">
        <x:v>canonical_group_row</x:v>
      </x:c>
      <x:c r="AO133" t="str">
        <x:v>روغن</x:v>
      </x:c>
      <x:c r="AP133" t="str">
        <x:v>6a2d446d45c164ce6f28ae30</x:v>
      </x:c>
      <x:c r="AQ133" t="str">
        <x:v>oil</x:v>
      </x:c>
      <x:c r="AR133" t="str">
        <x:v>EDIBLE</x:v>
      </x:c>
      <x:c r="AS133" t="str">
        <x:v>بله</x:v>
      </x:c>
      <x:c r="AT133" t="str">
        <x:v>OK</x:v>
      </x:c>
      <x:c r="AU133"/>
    </x:row>
    <x:row r="134">
      <x:c r="A134" s="79" t="n">
        <x:v>136</x:v>
      </x:c>
      <x:c r="B134" s="79" t="str">
        <x:v>NS-0133-1</x:v>
      </x:c>
      <x:c r="C134" s="79" t="str">
        <x:v>روغن بادام تلخ</x:v>
      </x:c>
      <x:c r="D134" s="79" t="str">
        <x:v>bitter_almond_oil_30ml</x:v>
      </x:c>
      <x:c r="E134" s="79" t="str">
        <x:v>update</x:v>
      </x:c>
      <x:c r="F134" s="79" t="str">
        <x:v>بله</x:v>
      </x:c>
      <x:c r="G134" s="79" t="str">
        <x:v>روغن</x:v>
      </x:c>
      <x:c r="H134" s="79" t="str">
        <x:v>روغن</x:v>
      </x:c>
      <x:c r="I134" s="79" t="str">
        <x:v>6a2d446d45c164ce6f28ae30</x:v>
      </x:c>
      <x:c r="J134" s="79" t="str">
        <x:v>oil</x:v>
      </x:c>
      <x:c r="K134" s="79"/>
      <x:c r="L134" s="79" t="str">
        <x:v>EDIBLE</x:v>
      </x:c>
      <x:c r="M134" s="79" t="str">
        <x:v>بله</x:v>
      </x:c>
      <x:c r="N134" s="79" t="str">
        <x:v>خوراکی</x:v>
      </x:c>
      <x:c r="O134" s="79" t="str">
        <x:v>بله</x:v>
      </x:c>
      <x:c r="P134" s="79" t="n">
        <x:v>2</x:v>
      </x:c>
      <x:c r="Q134" s="79" t="str">
        <x:v>30 میلی لیتر</x:v>
      </x:c>
      <x:c r="R134" s="79" t="n">
        <x:v>95</x:v>
      </x:c>
      <x:c r="S134" s="104" t="n">
        <x:v>95000</x:v>
      </x:c>
      <x:c r="T134" s="79" t="n">
        <x:v>30</x:v>
      </x:c>
      <x:c r="U134" s="79" t="str">
        <x:v>ml</x:v>
      </x:c>
      <x:c r="V134" s="79" t="str">
        <x:v>30 میل</x:v>
      </x:c>
      <x:c r="W134" s="99" t="b">
        <x:v>1</x:v>
      </x:c>
      <x:c r="X134" s="79" t="str">
        <x:v>60 میلی لیتر</x:v>
      </x:c>
      <x:c r="Y134" s="79" t="n">
        <x:v>180</x:v>
      </x:c>
      <x:c r="Z134" s="104" t="n">
        <x:v>180000</x:v>
      </x:c>
      <x:c r="AA134" s="79" t="n">
        <x:v>60</x:v>
      </x:c>
      <x:c r="AB134" s="79" t="str">
        <x:v>ml</x:v>
      </x:c>
      <x:c r="AC134" s="79" t="str">
        <x:v>60 میل</x:v>
      </x:c>
      <x:c r="AD134" s="99" t="b">
        <x:v>0</x:v>
      </x:c>
      <x:c r="AE134" s="79" t="str">
        <x:v>فعال</x:v>
      </x:c>
      <x:c r="AF134" s="79" t="str">
        <x:v>دسته‌بندی نهایی</x:v>
      </x:c>
      <x:c r="AG134" s="79" t="str">
        <x:v>MERGED</x:v>
      </x:c>
      <x:c r="AH134" s="79" t="str">
        <x:v>[{"name": "30 میلی لیتر", "sku": "", "price": 95000, "stock": "", "weight": 30, "weightUnit": "ml", "containerSize": "30 میل", "isDefault": true}, {"name": "60 میلی لیتر", "sku": "", "price": 180000, "stock": "", "weight": 60, "weightUnit": "ml", "containerSize": "60 میل", "isDefault": false}]</x:v>
      </x:c>
      <x:c r="AI134" s="79"/>
      <x:c r="AJ134" s="79"/>
      <x:c r="AK134" s="79"/>
      <x:c r="AL134" t="str">
        <x:v>روغن بادام تلخ</x:v>
      </x:c>
      <x:c r="AM134" t="str">
        <x:v>grp_bitter_almond_oil</x:v>
      </x:c>
      <x:c r="AN134" t="str">
        <x:v>canonical_group_row</x:v>
      </x:c>
      <x:c r="AO134" t="str">
        <x:v>روغن</x:v>
      </x:c>
      <x:c r="AP134" t="str">
        <x:v>6a2d446d45c164ce6f28ae30</x:v>
      </x:c>
      <x:c r="AQ134" t="str">
        <x:v>oil</x:v>
      </x:c>
      <x:c r="AR134" t="str">
        <x:v>EDIBLE</x:v>
      </x:c>
      <x:c r="AS134" t="str">
        <x:v>بله</x:v>
      </x:c>
      <x:c r="AT134" t="str">
        <x:v>MERGED</x:v>
      </x:c>
      <x:c r="AU134"/>
    </x:row>
    <x:row r="135">
      <x:c r="A135" s="79" t="n">
        <x:v>137</x:v>
      </x:c>
      <x:c r="B135" s="79" t="str">
        <x:v>NS-0133-1</x:v>
      </x:c>
      <x:c r="C135" s="79" t="str">
        <x:v>روغن بادام تلخ</x:v>
      </x:c>
      <x:c r="D135" s="79" t="str">
        <x:v>bitter_almond_oil_30ml</x:v>
      </x:c>
      <x:c r="E135" s="79" t="str">
        <x:v>update</x:v>
      </x:c>
      <x:c r="F135" s="79" t="str">
        <x:v>بله</x:v>
      </x:c>
      <x:c r="G135" s="79" t="str">
        <x:v>روغن</x:v>
      </x:c>
      <x:c r="H135" s="79" t="str">
        <x:v>روغن</x:v>
      </x:c>
      <x:c r="I135" s="79" t="str">
        <x:v>6a2d446d45c164ce6f28ae30</x:v>
      </x:c>
      <x:c r="J135" s="79" t="str">
        <x:v>oil</x:v>
      </x:c>
      <x:c r="K135" s="79"/>
      <x:c r="L135" s="79" t="str">
        <x:v>EDIBLE</x:v>
      </x:c>
      <x:c r="M135" s="79" t="str">
        <x:v>بله</x:v>
      </x:c>
      <x:c r="N135" s="79" t="str">
        <x:v>خوراکی</x:v>
      </x:c>
      <x:c r="O135" s="79" t="str">
        <x:v>بله</x:v>
      </x:c>
      <x:c r="P135" s="79" t="n">
        <x:v>2</x:v>
      </x:c>
      <x:c r="Q135" s="79" t="str">
        <x:v>نیم لیتر</x:v>
      </x:c>
      <x:c r="R135" s="79" t="str">
        <x:v>1/300</x:v>
      </x:c>
      <x:c r="S135" s="104" t="n">
        <x:v>1300000</x:v>
      </x:c>
      <x:c r="T135" s="79" t="n">
        <x:v>500</x:v>
      </x:c>
      <x:c r="U135" s="79" t="str">
        <x:v>ml</x:v>
      </x:c>
      <x:c r="V135" s="79" t="str">
        <x:v>نیم لیتر</x:v>
      </x:c>
      <x:c r="W135" s="99" t="b">
        <x:v>1</x:v>
      </x:c>
      <x:c r="X135" s="79" t="str">
        <x:v>1 لیتر</x:v>
      </x:c>
      <x:c r="Y135" s="79" t="str">
        <x:v>2/600</x:v>
      </x:c>
      <x:c r="Z135" s="104" t="n">
        <x:v>2600000</x:v>
      </x:c>
      <x:c r="AA135" s="79" t="n">
        <x:v>1000</x:v>
      </x:c>
      <x:c r="AB135" s="79" t="str">
        <x:v>ml</x:v>
      </x:c>
      <x:c r="AC135" s="79" t="str">
        <x:v>1 لیتر</x:v>
      </x:c>
      <x:c r="AD135" s="99" t="b">
        <x:v>0</x:v>
      </x:c>
      <x:c r="AE135" s="79" t="str">
        <x:v>فعال</x:v>
      </x:c>
      <x:c r="AF135" s="79" t="str">
        <x:v>دسته‌بندی نهایی</x:v>
      </x:c>
      <x:c r="AG135" s="79" t="str">
        <x:v>MERGED</x:v>
      </x:c>
      <x:c r="AH135" s="79" t="str">
        <x:v>[{"name": "نیم لیتر", "sku": "", "price": 1300000, "stock": "", "weight": 500, "weightUnit": "ml", "containerSize": "نیم لیتر", "isDefault": true}, {"name": "1 لیتر", "sku": "", "price": 2600000, "stock": "", "weight": 1000, "weightUnit": "ml", "containerSize": "1 لیتر", "isDefault": false}]</x:v>
      </x:c>
      <x:c r="AI135" s="79"/>
      <x:c r="AJ135" s="79"/>
      <x:c r="AK135" s="79"/>
      <x:c r="AL135" t="str">
        <x:v>روغن بادام تلخ</x:v>
      </x:c>
      <x:c r="AM135" t="str">
        <x:v>grp_bitter_almond_oil</x:v>
      </x:c>
      <x:c r="AN135" t="str">
        <x:v>merge_into_canonical_group</x:v>
      </x:c>
      <x:c r="AO135" t="str">
        <x:v>روغن</x:v>
      </x:c>
      <x:c r="AP135" t="str">
        <x:v>6a2d446d45c164ce6f28ae30</x:v>
      </x:c>
      <x:c r="AQ135" t="str">
        <x:v>oil</x:v>
      </x:c>
      <x:c r="AR135" t="str">
        <x:v>EDIBLE</x:v>
      </x:c>
      <x:c r="AS135" t="str">
        <x:v>بله</x:v>
      </x:c>
      <x:c r="AT135" t="str">
        <x:v>MERGED</x:v>
      </x:c>
      <x:c r="AU135"/>
    </x:row>
    <x:row r="136">
      <x:c r="A136" s="79" t="n">
        <x:v>138</x:v>
      </x:c>
      <x:c r="B136" s="79" t="str">
        <x:v>NS-0135-1</x:v>
      </x:c>
      <x:c r="C136" s="79" t="str">
        <x:v>روغن بادام شیرین</x:v>
      </x:c>
      <x:c r="D136" s="79" t="str">
        <x:v>sweet_almond_oil_half_liter</x:v>
      </x:c>
      <x:c r="E136" s="79" t="str">
        <x:v>update</x:v>
      </x:c>
      <x:c r="F136" s="79" t="str">
        <x:v>بله</x:v>
      </x:c>
      <x:c r="G136" s="79" t="str">
        <x:v>روغن</x:v>
      </x:c>
      <x:c r="H136" s="79" t="str">
        <x:v>روغن</x:v>
      </x:c>
      <x:c r="I136" s="79" t="str">
        <x:v>6a2d446d45c164ce6f28ae30</x:v>
      </x:c>
      <x:c r="J136" s="79" t="str">
        <x:v>oil</x:v>
      </x:c>
      <x:c r="K136" s="79"/>
      <x:c r="L136" s="79" t="str">
        <x:v>EDIBLE</x:v>
      </x:c>
      <x:c r="M136" s="79" t="str">
        <x:v>بله</x:v>
      </x:c>
      <x:c r="N136" s="79" t="str">
        <x:v>خوراکی</x:v>
      </x:c>
      <x:c r="O136" s="79" t="str">
        <x:v>بله</x:v>
      </x:c>
      <x:c r="P136" s="79" t="n">
        <x:v>2</x:v>
      </x:c>
      <x:c r="Q136" s="79" t="str">
        <x:v>نیم لیتر</x:v>
      </x:c>
      <x:c r="R136" s="79" t="str">
        <x:v>1/550</x:v>
      </x:c>
      <x:c r="S136" s="104" t="n">
        <x:v>1550000</x:v>
      </x:c>
      <x:c r="T136" s="79" t="n">
        <x:v>500</x:v>
      </x:c>
      <x:c r="U136" s="79" t="str">
        <x:v>ml</x:v>
      </x:c>
      <x:c r="V136" s="79" t="str">
        <x:v>نیم لیتر</x:v>
      </x:c>
      <x:c r="W136" s="99" t="b">
        <x:v>1</x:v>
      </x:c>
      <x:c r="X136" s="79" t="str">
        <x:v>1 لیتر</x:v>
      </x:c>
      <x:c r="Y136" s="79" t="str">
        <x:v>3/100</x:v>
      </x:c>
      <x:c r="Z136" s="104" t="n">
        <x:v>3100000</x:v>
      </x:c>
      <x:c r="AA136" s="79" t="n">
        <x:v>1000</x:v>
      </x:c>
      <x:c r="AB136" s="79" t="str">
        <x:v>ml</x:v>
      </x:c>
      <x:c r="AC136" s="79" t="str">
        <x:v>1 لیتر</x:v>
      </x:c>
      <x:c r="AD136" s="99" t="b">
        <x:v>0</x:v>
      </x:c>
      <x:c r="AE136" s="79" t="str">
        <x:v>فعال</x:v>
      </x:c>
      <x:c r="AF136" s="79" t="str">
        <x:v>دسته‌بندی نهایی</x:v>
      </x:c>
      <x:c r="AG136" s="79" t="str">
        <x:v>MERGED</x:v>
      </x:c>
      <x:c r="AH136" s="79" t="str">
        <x:v>[{"name": "نیم لیتر", "sku": "", "price": 1550000, "stock": "", "weight": 500, "weightUnit": "ml", "containerSize": "نیم لیتر", "isDefault": true}, {"name": "1 لیتر", "sku": "", "price": 3100000, "stock": "", "weight": 1000, "weightUnit": "ml", "containerSize": "1 لیتر", "isDefault": false}]</x:v>
      </x:c>
      <x:c r="AI136" s="79"/>
      <x:c r="AJ136" s="79"/>
      <x:c r="AK136" s="79"/>
      <x:c r="AL136" t="str">
        <x:v>روغن بادام شیرین</x:v>
      </x:c>
      <x:c r="AM136" t="str">
        <x:v>grp_sweet_almond_oil</x:v>
      </x:c>
      <x:c r="AN136" t="str">
        <x:v>canonical_group_row</x:v>
      </x:c>
      <x:c r="AO136" t="str">
        <x:v>روغن</x:v>
      </x:c>
      <x:c r="AP136" t="str">
        <x:v>6a2d446d45c164ce6f28ae30</x:v>
      </x:c>
      <x:c r="AQ136" t="str">
        <x:v>oil</x:v>
      </x:c>
      <x:c r="AR136" t="str">
        <x:v>EDIBLE</x:v>
      </x:c>
      <x:c r="AS136" t="str">
        <x:v>بله</x:v>
      </x:c>
      <x:c r="AT136" t="str">
        <x:v>MERGED</x:v>
      </x:c>
      <x:c r="AU136"/>
    </x:row>
    <x:row r="137">
      <x:c r="A137" s="79" t="n">
        <x:v>139</x:v>
      </x:c>
      <x:c r="B137" s="79" t="str">
        <x:v>NS-0135-1</x:v>
      </x:c>
      <x:c r="C137" s="79" t="str">
        <x:v>روغن بادام شیرین</x:v>
      </x:c>
      <x:c r="D137" s="79" t="str">
        <x:v>sweet_almond_oil_half_liter</x:v>
      </x:c>
      <x:c r="E137" s="79" t="str">
        <x:v>update</x:v>
      </x:c>
      <x:c r="F137" s="79" t="str">
        <x:v>بله</x:v>
      </x:c>
      <x:c r="G137" s="79" t="str">
        <x:v>روغن</x:v>
      </x:c>
      <x:c r="H137" s="79" t="str">
        <x:v>روغن</x:v>
      </x:c>
      <x:c r="I137" s="79" t="str">
        <x:v>6a2d446d45c164ce6f28ae30</x:v>
      </x:c>
      <x:c r="J137" s="79" t="str">
        <x:v>oil</x:v>
      </x:c>
      <x:c r="K137" s="79"/>
      <x:c r="L137" s="79" t="str">
        <x:v>EDIBLE</x:v>
      </x:c>
      <x:c r="M137" s="79" t="str">
        <x:v>بله</x:v>
      </x:c>
      <x:c r="N137" s="79" t="str">
        <x:v>خوراکی</x:v>
      </x:c>
      <x:c r="O137" s="79" t="str">
        <x:v>بله</x:v>
      </x:c>
      <x:c r="P137" s="79" t="n">
        <x:v>2</x:v>
      </x:c>
      <x:c r="Q137" s="79" t="str">
        <x:v>30 میلی لیتر</x:v>
      </x:c>
      <x:c r="R137" s="79" t="n">
        <x:v>100</x:v>
      </x:c>
      <x:c r="S137" s="104" t="n">
        <x:v>100000</x:v>
      </x:c>
      <x:c r="T137" s="79" t="n">
        <x:v>30</x:v>
      </x:c>
      <x:c r="U137" s="79" t="str">
        <x:v>ml</x:v>
      </x:c>
      <x:c r="V137" s="79" t="str">
        <x:v>30 میل</x:v>
      </x:c>
      <x:c r="W137" s="99" t="b">
        <x:v>1</x:v>
      </x:c>
      <x:c r="X137" s="79" t="str">
        <x:v>60 میلی لیتر</x:v>
      </x:c>
      <x:c r="Y137" s="79" t="n">
        <x:v>195</x:v>
      </x:c>
      <x:c r="Z137" s="104" t="n">
        <x:v>195000</x:v>
      </x:c>
      <x:c r="AA137" s="79" t="n">
        <x:v>60</x:v>
      </x:c>
      <x:c r="AB137" s="79" t="str">
        <x:v>ml</x:v>
      </x:c>
      <x:c r="AC137" s="79" t="str">
        <x:v>60 میل</x:v>
      </x:c>
      <x:c r="AD137" s="99" t="b">
        <x:v>0</x:v>
      </x:c>
      <x:c r="AE137" s="79" t="str">
        <x:v>فعال</x:v>
      </x:c>
      <x:c r="AF137" s="79" t="str">
        <x:v>دسته‌بندی نهایی</x:v>
      </x:c>
      <x:c r="AG137" s="79" t="str">
        <x:v>MERGED</x:v>
      </x:c>
      <x:c r="AH137" s="79" t="str">
        <x:v>[{"name": "30 میلی لیتر", "sku": "", "price": 100000, "stock": "", "weight": 30, "weightUnit": "ml", "containerSize": "30 میل", "isDefault": true}, {"name": "60 میلی لیتر", "sku": "", "price": 195000, "stock": "", "weight": 60, "weightUnit": "ml", "containerSize": "60 میل", "isDefault": false}]</x:v>
      </x:c>
      <x:c r="AI137" s="79"/>
      <x:c r="AJ137" s="79"/>
      <x:c r="AK137" s="79"/>
      <x:c r="AL137" t="str">
        <x:v>روغن بادام شیرین</x:v>
      </x:c>
      <x:c r="AM137" t="str">
        <x:v>grp_sweet_almond_oil</x:v>
      </x:c>
      <x:c r="AN137" t="str">
        <x:v>merge_into_canonical_group</x:v>
      </x:c>
      <x:c r="AO137" t="str">
        <x:v>روغن</x:v>
      </x:c>
      <x:c r="AP137" t="str">
        <x:v>6a2d446d45c164ce6f28ae30</x:v>
      </x:c>
      <x:c r="AQ137" t="str">
        <x:v>oil</x:v>
      </x:c>
      <x:c r="AR137" t="str">
        <x:v>EDIBLE</x:v>
      </x:c>
      <x:c r="AS137" t="str">
        <x:v>بله</x:v>
      </x:c>
      <x:c r="AT137" t="str">
        <x:v>MERGED</x:v>
      </x:c>
      <x:c r="AU137"/>
    </x:row>
    <x:row r="138">
      <x:c r="A138" s="79" t="n">
        <x:v>140</x:v>
      </x:c>
      <x:c r="B138" s="79" t="str">
        <x:v>NS-0137-1</x:v>
      </x:c>
      <x:c r="C138" s="79" t="str">
        <x:v>روغن بنفشه</x:v>
      </x:c>
      <x:c r="D138" s="79" t="str">
        <x:v>oil_violet_30ml</x:v>
      </x:c>
      <x:c r="E138" s="79" t="str">
        <x:v>update</x:v>
      </x:c>
      <x:c r="F138" s="79" t="str">
        <x:v>بله</x:v>
      </x:c>
      <x:c r="G138" s="79" t="str">
        <x:v>روغن</x:v>
      </x:c>
      <x:c r="H138" s="79" t="str">
        <x:v>روغن</x:v>
      </x:c>
      <x:c r="I138" s="79" t="str">
        <x:v>6a2d446d45c164ce6f28ae30</x:v>
      </x:c>
      <x:c r="J138" s="79" t="str">
        <x:v>oil</x:v>
      </x:c>
      <x:c r="K138" s="79"/>
      <x:c r="L138" s="79" t="str">
        <x:v>EDIBLE</x:v>
      </x:c>
      <x:c r="M138" s="79" t="str">
        <x:v>بله</x:v>
      </x:c>
      <x:c r="N138" s="79" t="str">
        <x:v>خوراکی</x:v>
      </x:c>
      <x:c r="O138" s="79" t="str">
        <x:v>بله</x:v>
      </x:c>
      <x:c r="P138" s="79" t="n">
        <x:v>2</x:v>
      </x:c>
      <x:c r="Q138" s="79" t="str">
        <x:v>30 میلی لیتر</x:v>
      </x:c>
      <x:c r="R138" s="79" t="n">
        <x:v>135</x:v>
      </x:c>
      <x:c r="S138" s="104" t="n">
        <x:v>135000</x:v>
      </x:c>
      <x:c r="T138" s="79" t="n">
        <x:v>30</x:v>
      </x:c>
      <x:c r="U138" s="79" t="str">
        <x:v>ml</x:v>
      </x:c>
      <x:c r="V138" s="79" t="str">
        <x:v>30 میل</x:v>
      </x:c>
      <x:c r="W138" s="99" t="b">
        <x:v>1</x:v>
      </x:c>
      <x:c r="X138" s="79" t="str">
        <x:v>60 میلی لیتر</x:v>
      </x:c>
      <x:c r="Y138" s="79" t="n">
        <x:v>260</x:v>
      </x:c>
      <x:c r="Z138" s="104" t="n">
        <x:v>260000</x:v>
      </x:c>
      <x:c r="AA138" s="79" t="n">
        <x:v>60</x:v>
      </x:c>
      <x:c r="AB138" s="79" t="str">
        <x:v>ml</x:v>
      </x:c>
      <x:c r="AC138" s="79" t="str">
        <x:v>60 میل</x:v>
      </x:c>
      <x:c r="AD138" s="99" t="b">
        <x:v>0</x:v>
      </x:c>
      <x:c r="AE138" s="79" t="str">
        <x:v>فعال</x:v>
      </x:c>
      <x:c r="AF138" s="79" t="str">
        <x:v>دسته‌بندی نهایی</x:v>
      </x:c>
      <x:c r="AG138" s="79" t="str">
        <x:v>OK</x:v>
      </x:c>
      <x:c r="AH138" s="79" t="str">
        <x:v>[{"name": "30 میلی لیتر", "sku": "", "price": 135000, "stock": "", "weight": 30, "weightUnit": "ml", "containerSize": "30 میل", "isDefault": true}, {"name": "60 میلی لیتر", "sku": "", "price": 260000, "stock": "", "weight": 60, "weightUnit": "ml", "containerSize": "60 میل", "isDefault": false}]</x:v>
      </x:c>
      <x:c r="AI138" s="79"/>
      <x:c r="AJ138" s="79"/>
      <x:c r="AK138" s="79"/>
      <x:c r="AL138" t="str">
        <x:v>روغن بنفشه</x:v>
      </x:c>
      <x:c r="AM138" t="str">
        <x:v>single_140</x:v>
      </x:c>
      <x:c r="AN138" t="str">
        <x:v>canonical_group_row</x:v>
      </x:c>
      <x:c r="AO138" t="str">
        <x:v>روغن</x:v>
      </x:c>
      <x:c r="AP138" t="str">
        <x:v>6a2d446d45c164ce6f28ae30</x:v>
      </x:c>
      <x:c r="AQ138" t="str">
        <x:v>oil</x:v>
      </x:c>
      <x:c r="AR138" t="str">
        <x:v>EDIBLE</x:v>
      </x:c>
      <x:c r="AS138" t="str">
        <x:v>بله</x:v>
      </x:c>
      <x:c r="AT138" t="str">
        <x:v>OK</x:v>
      </x:c>
      <x:c r="AU138"/>
    </x:row>
    <x:row r="139">
      <x:c r="A139" s="79" t="n">
        <x:v>141</x:v>
      </x:c>
      <x:c r="B139" s="79" t="str">
        <x:v>NS-0138-1</x:v>
      </x:c>
      <x:c r="C139" s="79" t="str">
        <x:v>روغن پونه</x:v>
      </x:c>
      <x:c r="D139" s="79" t="str">
        <x:v>oil_pennyroyal_30ml</x:v>
      </x:c>
      <x:c r="E139" s="79" t="str">
        <x:v>update</x:v>
      </x:c>
      <x:c r="F139" s="79" t="str">
        <x:v>بله</x:v>
      </x:c>
      <x:c r="G139" s="79" t="str">
        <x:v>روغن</x:v>
      </x:c>
      <x:c r="H139" s="79" t="str">
        <x:v>روغن</x:v>
      </x:c>
      <x:c r="I139" s="79" t="str">
        <x:v>6a2d446d45c164ce6f28ae30</x:v>
      </x:c>
      <x:c r="J139" s="79" t="str">
        <x:v>oil</x:v>
      </x:c>
      <x:c r="K139" s="79"/>
      <x:c r="L139" s="79" t="str">
        <x:v>EDIBLE</x:v>
      </x:c>
      <x:c r="M139" s="79" t="str">
        <x:v>بله</x:v>
      </x:c>
      <x:c r="N139" s="79" t="str">
        <x:v>خوراکی</x:v>
      </x:c>
      <x:c r="O139" s="79" t="str">
        <x:v>بله</x:v>
      </x:c>
      <x:c r="P139" s="79" t="n">
        <x:v>2</x:v>
      </x:c>
      <x:c r="Q139" s="79" t="str">
        <x:v>30 میلی لیتر</x:v>
      </x:c>
      <x:c r="R139" s="79" t="n">
        <x:v>65</x:v>
      </x:c>
      <x:c r="S139" s="104" t="n">
        <x:v>65000</x:v>
      </x:c>
      <x:c r="T139" s="79" t="n">
        <x:v>30</x:v>
      </x:c>
      <x:c r="U139" s="79" t="str">
        <x:v>ml</x:v>
      </x:c>
      <x:c r="V139" s="79" t="str">
        <x:v>30 میل</x:v>
      </x:c>
      <x:c r="W139" s="99" t="b">
        <x:v>1</x:v>
      </x:c>
      <x:c r="X139" s="79" t="str">
        <x:v>60 میلی لیتر</x:v>
      </x:c>
      <x:c r="Y139" s="79" t="n">
        <x:v>120</x:v>
      </x:c>
      <x:c r="Z139" s="104" t="n">
        <x:v>120000</x:v>
      </x:c>
      <x:c r="AA139" s="79" t="n">
        <x:v>60</x:v>
      </x:c>
      <x:c r="AB139" s="79" t="str">
        <x:v>ml</x:v>
      </x:c>
      <x:c r="AC139" s="79" t="str">
        <x:v>60 میل</x:v>
      </x:c>
      <x:c r="AD139" s="99" t="b">
        <x:v>0</x:v>
      </x:c>
      <x:c r="AE139" s="79" t="str">
        <x:v>فعال</x:v>
      </x:c>
      <x:c r="AF139" s="79" t="str">
        <x:v>دسته‌بندی نهایی</x:v>
      </x:c>
      <x:c r="AG139" s="79" t="str">
        <x:v>OK</x:v>
      </x:c>
      <x:c r="AH139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  <x:c r="AI139" s="79"/>
      <x:c r="AJ139" s="79"/>
      <x:c r="AK139" s="79"/>
      <x:c r="AL139" t="str">
        <x:v>روغن پونه</x:v>
      </x:c>
      <x:c r="AM139" t="str">
        <x:v>single_141</x:v>
      </x:c>
      <x:c r="AN139" t="str">
        <x:v>canonical_group_row</x:v>
      </x:c>
      <x:c r="AO139" t="str">
        <x:v>روغن</x:v>
      </x:c>
      <x:c r="AP139" t="str">
        <x:v>6a2d446d45c164ce6f28ae30</x:v>
      </x:c>
      <x:c r="AQ139" t="str">
        <x:v>oil</x:v>
      </x:c>
      <x:c r="AR139" t="str">
        <x:v>EDIBLE</x:v>
      </x:c>
      <x:c r="AS139" t="str">
        <x:v>بله</x:v>
      </x:c>
      <x:c r="AT139" t="str">
        <x:v>OK</x:v>
      </x:c>
      <x:c r="AU139"/>
    </x:row>
    <x:row r="140">
      <x:c r="A140" s="79" t="n">
        <x:v>142</x:v>
      </x:c>
      <x:c r="B140" s="79" t="str">
        <x:v>NS-0139-1</x:v>
      </x:c>
      <x:c r="C140" s="79" t="str">
        <x:v>روغن ترخون</x:v>
      </x:c>
      <x:c r="D140" s="79" t="str">
        <x:v>oil_tarragon_30ml</x:v>
      </x:c>
      <x:c r="E140" s="79" t="str">
        <x:v>update</x:v>
      </x:c>
      <x:c r="F140" s="79" t="str">
        <x:v>بله</x:v>
      </x:c>
      <x:c r="G140" s="79" t="str">
        <x:v>روغن</x:v>
      </x:c>
      <x:c r="H140" s="79" t="str">
        <x:v>روغن</x:v>
      </x:c>
      <x:c r="I140" s="79" t="str">
        <x:v>6a2d446d45c164ce6f28ae30</x:v>
      </x:c>
      <x:c r="J140" s="79" t="str">
        <x:v>oil</x:v>
      </x:c>
      <x:c r="K140" s="79"/>
      <x:c r="L140" s="79" t="str">
        <x:v>EDIBLE</x:v>
      </x:c>
      <x:c r="M140" s="79" t="str">
        <x:v>بله</x:v>
      </x:c>
      <x:c r="N140" s="79" t="str">
        <x:v>خوراکی</x:v>
      </x:c>
      <x:c r="O140" s="79" t="str">
        <x:v>بله</x:v>
      </x:c>
      <x:c r="P140" s="79" t="n">
        <x:v>2</x:v>
      </x:c>
      <x:c r="Q140" s="79" t="str">
        <x:v>30 میلی لیتر</x:v>
      </x:c>
      <x:c r="R140" s="79" t="n">
        <x:v>65</x:v>
      </x:c>
      <x:c r="S140" s="104" t="n">
        <x:v>65000</x:v>
      </x:c>
      <x:c r="T140" s="79" t="n">
        <x:v>30</x:v>
      </x:c>
      <x:c r="U140" s="79" t="str">
        <x:v>ml</x:v>
      </x:c>
      <x:c r="V140" s="79" t="str">
        <x:v>30 میل</x:v>
      </x:c>
      <x:c r="W140" s="99" t="b">
        <x:v>1</x:v>
      </x:c>
      <x:c r="X140" s="79" t="str">
        <x:v>60 میلی لیتر</x:v>
      </x:c>
      <x:c r="Y140" s="79" t="n">
        <x:v>120</x:v>
      </x:c>
      <x:c r="Z140" s="104" t="n">
        <x:v>120000</x:v>
      </x:c>
      <x:c r="AA140" s="79" t="n">
        <x:v>60</x:v>
      </x:c>
      <x:c r="AB140" s="79" t="str">
        <x:v>ml</x:v>
      </x:c>
      <x:c r="AC140" s="79" t="str">
        <x:v>60 میل</x:v>
      </x:c>
      <x:c r="AD140" s="99" t="b">
        <x:v>0</x:v>
      </x:c>
      <x:c r="AE140" s="79" t="str">
        <x:v>فعال</x:v>
      </x:c>
      <x:c r="AF140" s="79" t="str">
        <x:v>دسته‌بندی نهایی</x:v>
      </x:c>
      <x:c r="AG140" s="79" t="str">
        <x:v>OK</x:v>
      </x:c>
      <x:c r="AH140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  <x:c r="AI140" s="79"/>
      <x:c r="AJ140" s="79"/>
      <x:c r="AK140" s="79"/>
      <x:c r="AL140" t="str">
        <x:v>روغن ترخون</x:v>
      </x:c>
      <x:c r="AM140" t="str">
        <x:v>single_142</x:v>
      </x:c>
      <x:c r="AN140" t="str">
        <x:v>canonical_group_row</x:v>
      </x:c>
      <x:c r="AO140" t="str">
        <x:v>روغن</x:v>
      </x:c>
      <x:c r="AP140" t="str">
        <x:v>6a2d446d45c164ce6f28ae30</x:v>
      </x:c>
      <x:c r="AQ140" t="str">
        <x:v>oil</x:v>
      </x:c>
      <x:c r="AR140" t="str">
        <x:v>EDIBLE</x:v>
      </x:c>
      <x:c r="AS140" t="str">
        <x:v>بله</x:v>
      </x:c>
      <x:c r="AT140" t="str">
        <x:v>OK</x:v>
      </x:c>
      <x:c r="AU140"/>
    </x:row>
    <x:row r="141">
      <x:c r="A141" s="79" t="n">
        <x:v>143</x:v>
      </x:c>
      <x:c r="B141" s="79" t="str">
        <x:v>NS-0140-1</x:v>
      </x:c>
      <x:c r="C141" s="79" t="str">
        <x:v>روغن تقویت مو (ناب سرا)</x:v>
      </x:c>
      <x:c r="D141" s="79" t="str">
        <x:v>hair_strengthening_oil</x:v>
      </x:c>
      <x:c r="E141" s="79" t="str">
        <x:v>update</x:v>
      </x:c>
      <x:c r="F141" s="79" t="str">
        <x:v>بله</x:v>
      </x:c>
      <x:c r="G141" s="79" t="str">
        <x:v>روغن</x:v>
      </x:c>
      <x:c r="H141" s="79" t="str">
        <x:v>روغن</x:v>
      </x:c>
      <x:c r="I141" s="79" t="str">
        <x:v>6a2d446d45c164ce6f28ae30</x:v>
      </x:c>
      <x:c r="J141" s="79" t="str">
        <x:v>oil</x:v>
      </x:c>
      <x:c r="K141" s="79"/>
      <x:c r="L141" s="79" t="str">
        <x:v>EDIBLE</x:v>
      </x:c>
      <x:c r="M141" s="79" t="str">
        <x:v>بله</x:v>
      </x:c>
      <x:c r="N141" s="79" t="str">
        <x:v>خوراکی</x:v>
      </x:c>
      <x:c r="O141" s="79" t="str">
        <x:v>خیر</x:v>
      </x:c>
      <x:c r="P141" s="79" t="n">
        <x:v>1</x:v>
      </x:c>
      <x:c r="Q141" s="79" t="str">
        <x:v>کیلو</x:v>
      </x:c>
      <x:c r="R141" s="79" t="n">
        <x:v>350</x:v>
      </x:c>
      <x:c r="S141" s="104" t="n">
        <x:v>350000</x:v>
      </x:c>
      <x:c r="T141" s="79" t="n">
        <x:v>1</x:v>
      </x:c>
      <x:c r="U141" s="79" t="str">
        <x:v>kg</x:v>
      </x:c>
      <x:c r="V141" s="79" t="str">
        <x:v>کیلو</x:v>
      </x:c>
      <x:c r="W141" s="99" t="b">
        <x:v>1</x:v>
      </x:c>
      <x:c r="X141" s="79" t="str"/>
      <x:c r="Y141" s="79"/>
      <x:c r="Z141" s="104"/>
      <x:c r="AA141" s="79" t="str"/>
      <x:c r="AB141" s="79" t="str"/>
      <x:c r="AC141" s="79" t="str"/>
      <x:c r="AD141" s="79" t="str"/>
      <x:c r="AE141" s="79" t="str">
        <x:v>فعال</x:v>
      </x:c>
      <x:c r="AF141" s="79" t="str">
        <x:v>دسته‌بندی نهایی</x:v>
      </x:c>
      <x:c r="AG141" s="79" t="str">
        <x:v>OK</x:v>
      </x:c>
      <x:c r="AH141" s="79" t="str">
        <x:v>[{"name": "کیلو", "sku": "", "price": 350000, "stock": "", "weight": 1, "weightUnit": "kg", "containerSize": "کیلو", "isDefault": true}]</x:v>
      </x:c>
      <x:c r="AI141" s="79"/>
      <x:c r="AJ141" s="79"/>
      <x:c r="AK141" s="79"/>
      <x:c r="AL141" t="str">
        <x:v>روغن تقویت مو (ناب سرا)</x:v>
      </x:c>
      <x:c r="AM141" t="str">
        <x:v>single_143</x:v>
      </x:c>
      <x:c r="AN141" t="str">
        <x:v>canonical_group_row</x:v>
      </x:c>
      <x:c r="AO141" t="str">
        <x:v>روغن</x:v>
      </x:c>
      <x:c r="AP141" t="str">
        <x:v>6a2d446d45c164ce6f28ae30</x:v>
      </x:c>
      <x:c r="AQ141" t="str">
        <x:v>oil</x:v>
      </x:c>
      <x:c r="AR141" t="str">
        <x:v>EDIBLE</x:v>
      </x:c>
      <x:c r="AS141" t="str">
        <x:v>بله</x:v>
      </x:c>
      <x:c r="AT141" t="str">
        <x:v>OK</x:v>
      </x:c>
      <x:c r="AU141"/>
    </x:row>
    <x:row r="142">
      <x:c r="A142" s="79" t="n">
        <x:v>144</x:v>
      </x:c>
      <x:c r="B142" s="79" t="str">
        <x:v>NS-0141-1</x:v>
      </x:c>
      <x:c r="C142" s="79" t="str">
        <x:v>روغن جوانه گندم</x:v>
      </x:c>
      <x:c r="D142" s="79" t="str">
        <x:v>oil_sprout_wheat_30ml</x:v>
      </x:c>
      <x:c r="E142" s="79" t="str">
        <x:v>update</x:v>
      </x:c>
      <x:c r="F142" s="79" t="str">
        <x:v>بله</x:v>
      </x:c>
      <x:c r="G142" s="79" t="str">
        <x:v>روغن</x:v>
      </x:c>
      <x:c r="H142" s="79" t="str">
        <x:v>روغن</x:v>
      </x:c>
      <x:c r="I142" s="79" t="str">
        <x:v>6a2d446d45c164ce6f28ae30</x:v>
      </x:c>
      <x:c r="J142" s="79" t="str">
        <x:v>oil</x:v>
      </x:c>
      <x:c r="K142" s="79"/>
      <x:c r="L142" s="79" t="str">
        <x:v>EDIBLE</x:v>
      </x:c>
      <x:c r="M142" s="79" t="str">
        <x:v>بله</x:v>
      </x:c>
      <x:c r="N142" s="79" t="str">
        <x:v>خوراکی</x:v>
      </x:c>
      <x:c r="O142" s="79" t="str">
        <x:v>بله</x:v>
      </x:c>
      <x:c r="P142" s="79" t="n">
        <x:v>2</x:v>
      </x:c>
      <x:c r="Q142" s="79" t="str">
        <x:v>30 میلی لیتر</x:v>
      </x:c>
      <x:c r="R142" s="79" t="n">
        <x:v>90</x:v>
      </x:c>
      <x:c r="S142" s="104" t="n">
        <x:v>90000</x:v>
      </x:c>
      <x:c r="T142" s="79" t="n">
        <x:v>30</x:v>
      </x:c>
      <x:c r="U142" s="79" t="str">
        <x:v>ml</x:v>
      </x:c>
      <x:c r="V142" s="79" t="str">
        <x:v>30 میل</x:v>
      </x:c>
      <x:c r="W142" s="99" t="b">
        <x:v>1</x:v>
      </x:c>
      <x:c r="X142" s="79" t="str">
        <x:v>60 میلی لیتر</x:v>
      </x:c>
      <x:c r="Y142" s="79" t="n">
        <x:v>170</x:v>
      </x:c>
      <x:c r="Z142" s="104" t="n">
        <x:v>170000</x:v>
      </x:c>
      <x:c r="AA142" s="79" t="n">
        <x:v>60</x:v>
      </x:c>
      <x:c r="AB142" s="79" t="str">
        <x:v>ml</x:v>
      </x:c>
      <x:c r="AC142" s="79" t="str">
        <x:v>60 میل</x:v>
      </x:c>
      <x:c r="AD142" s="99" t="b">
        <x:v>0</x:v>
      </x:c>
      <x:c r="AE142" s="79" t="str">
        <x:v>فعال</x:v>
      </x:c>
      <x:c r="AF142" s="79" t="str">
        <x:v>دسته‌بندی نهایی</x:v>
      </x:c>
      <x:c r="AG142" s="79" t="str">
        <x:v>OK</x:v>
      </x:c>
      <x:c r="AH142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  <x:c r="AI142" s="79"/>
      <x:c r="AJ142" s="79"/>
      <x:c r="AK142" s="79"/>
      <x:c r="AL142" t="str">
        <x:v>روغن جوانه گندم</x:v>
      </x:c>
      <x:c r="AM142" t="str">
        <x:v>single_144</x:v>
      </x:c>
      <x:c r="AN142" t="str">
        <x:v>canonical_group_row</x:v>
      </x:c>
      <x:c r="AO142" t="str">
        <x:v>روغن</x:v>
      </x:c>
      <x:c r="AP142" t="str">
        <x:v>6a2d446d45c164ce6f28ae30</x:v>
      </x:c>
      <x:c r="AQ142" t="str">
        <x:v>oil</x:v>
      </x:c>
      <x:c r="AR142" t="str">
        <x:v>EDIBLE</x:v>
      </x:c>
      <x:c r="AS142" t="str">
        <x:v>بله</x:v>
      </x:c>
      <x:c r="AT142" t="str">
        <x:v>OK</x:v>
      </x:c>
      <x:c r="AU142"/>
    </x:row>
    <x:row r="143">
      <x:c r="A143" s="79" t="n">
        <x:v>145</x:v>
      </x:c>
      <x:c r="B143" s="79" t="str">
        <x:v>NS-0142-1</x:v>
      </x:c>
      <x:c r="C143" s="79" t="str">
        <x:v>روغن جوجوبا</x:v>
      </x:c>
      <x:c r="D143" s="79" t="str">
        <x:v>oil_jojoba_30ml</x:v>
      </x:c>
      <x:c r="E143" s="79" t="str">
        <x:v>update</x:v>
      </x:c>
      <x:c r="F143" s="79" t="str">
        <x:v>بله</x:v>
      </x:c>
      <x:c r="G143" s="79" t="str">
        <x:v>روغن</x:v>
      </x:c>
      <x:c r="H143" s="79" t="str">
        <x:v>روغن</x:v>
      </x:c>
      <x:c r="I143" s="79" t="str">
        <x:v>6a2d446d45c164ce6f28ae30</x:v>
      </x:c>
      <x:c r="J143" s="79" t="str">
        <x:v>oil</x:v>
      </x:c>
      <x:c r="K143" s="79"/>
      <x:c r="L143" s="79" t="str">
        <x:v>EDIBLE</x:v>
      </x:c>
      <x:c r="M143" s="79" t="str">
        <x:v>بله</x:v>
      </x:c>
      <x:c r="N143" s="79" t="str">
        <x:v>خوراکی</x:v>
      </x:c>
      <x:c r="O143" s="79" t="str">
        <x:v>بله</x:v>
      </x:c>
      <x:c r="P143" s="79" t="n">
        <x:v>2</x:v>
      </x:c>
      <x:c r="Q143" s="79" t="str">
        <x:v>30 میلی لیتر</x:v>
      </x:c>
      <x:c r="R143" s="79" t="n">
        <x:v>100</x:v>
      </x:c>
      <x:c r="S143" s="104" t="n">
        <x:v>100000</x:v>
      </x:c>
      <x:c r="T143" s="79" t="n">
        <x:v>30</x:v>
      </x:c>
      <x:c r="U143" s="79" t="str">
        <x:v>ml</x:v>
      </x:c>
      <x:c r="V143" s="79" t="str">
        <x:v>30 میل</x:v>
      </x:c>
      <x:c r="W143" s="99" t="b">
        <x:v>1</x:v>
      </x:c>
      <x:c r="X143" s="79" t="str">
        <x:v>60 میلی لیتر</x:v>
      </x:c>
      <x:c r="Y143" s="79" t="n">
        <x:v>190</x:v>
      </x:c>
      <x:c r="Z143" s="104" t="n">
        <x:v>190000</x:v>
      </x:c>
      <x:c r="AA143" s="79" t="n">
        <x:v>60</x:v>
      </x:c>
      <x:c r="AB143" s="79" t="str">
        <x:v>ml</x:v>
      </x:c>
      <x:c r="AC143" s="79" t="str">
        <x:v>60 میل</x:v>
      </x:c>
      <x:c r="AD143" s="99" t="b">
        <x:v>0</x:v>
      </x:c>
      <x:c r="AE143" s="79" t="str">
        <x:v>فعال</x:v>
      </x:c>
      <x:c r="AF143" s="79" t="str">
        <x:v>دسته‌بندی نهایی</x:v>
      </x:c>
      <x:c r="AG143" s="79" t="str">
        <x:v>OK</x:v>
      </x:c>
      <x:c r="AH143" s="79" t="str">
        <x:v>[{"name": "30 میلی لیتر", "sku": "", "price": 100000, "stock": "", "weight": 30, "weightUnit": "ml", "containerSize": "30 میل", "isDefault": true}, {"name": "60 میلی لیتر", "sku": "", "price": 190000, "stock": "", "weight": 60, "weightUnit": "ml", "containerSize": "60 میل", "isDefault": false}]</x:v>
      </x:c>
      <x:c r="AI143" s="79"/>
      <x:c r="AJ143" s="79"/>
      <x:c r="AK143" s="79"/>
      <x:c r="AL143" t="str">
        <x:v>روغن جوجوبا</x:v>
      </x:c>
      <x:c r="AM143" t="str">
        <x:v>single_145</x:v>
      </x:c>
      <x:c r="AN143" t="str">
        <x:v>canonical_group_row</x:v>
      </x:c>
      <x:c r="AO143" t="str">
        <x:v>روغن</x:v>
      </x:c>
      <x:c r="AP143" t="str">
        <x:v>6a2d446d45c164ce6f28ae30</x:v>
      </x:c>
      <x:c r="AQ143" t="str">
        <x:v>oil</x:v>
      </x:c>
      <x:c r="AR143" t="str">
        <x:v>EDIBLE</x:v>
      </x:c>
      <x:c r="AS143" t="str">
        <x:v>بله</x:v>
      </x:c>
      <x:c r="AT143" t="str">
        <x:v>OK</x:v>
      </x:c>
      <x:c r="AU143"/>
    </x:row>
    <x:row r="144">
      <x:c r="A144" s="79" t="n">
        <x:v>146</x:v>
      </x:c>
      <x:c r="B144" s="79" t="str">
        <x:v>NS-0143-1</x:v>
      </x:c>
      <x:c r="C144" s="79" t="str">
        <x:v>روغن حنظل</x:v>
      </x:c>
      <x:c r="D144" s="79" t="str">
        <x:v>oil_colocynth_30ml</x:v>
      </x:c>
      <x:c r="E144" s="79" t="str">
        <x:v>update</x:v>
      </x:c>
      <x:c r="F144" s="79" t="str">
        <x:v>بله</x:v>
      </x:c>
      <x:c r="G144" s="79" t="str">
        <x:v>روغن</x:v>
      </x:c>
      <x:c r="H144" s="79" t="str">
        <x:v>روغن</x:v>
      </x:c>
      <x:c r="I144" s="79" t="str">
        <x:v>6a2d446d45c164ce6f28ae30</x:v>
      </x:c>
      <x:c r="J144" s="79" t="str">
        <x:v>oil</x:v>
      </x:c>
      <x:c r="K144" s="79"/>
      <x:c r="L144" s="79" t="str">
        <x:v>EDIBLE</x:v>
      </x:c>
      <x:c r="M144" s="79" t="str">
        <x:v>بله</x:v>
      </x:c>
      <x:c r="N144" s="79" t="str">
        <x:v>خوراکی</x:v>
      </x:c>
      <x:c r="O144" s="79" t="str">
        <x:v>بله</x:v>
      </x:c>
      <x:c r="P144" s="79" t="n">
        <x:v>2</x:v>
      </x:c>
      <x:c r="Q144" s="79" t="str">
        <x:v>30 میلی لیتر</x:v>
      </x:c>
      <x:c r="R144" s="79" t="n">
        <x:v>65</x:v>
      </x:c>
      <x:c r="S144" s="104" t="n">
        <x:v>65000</x:v>
      </x:c>
      <x:c r="T144" s="79" t="n">
        <x:v>30</x:v>
      </x:c>
      <x:c r="U144" s="79" t="str">
        <x:v>ml</x:v>
      </x:c>
      <x:c r="V144" s="79" t="str">
        <x:v>30 میل</x:v>
      </x:c>
      <x:c r="W144" s="99" t="b">
        <x:v>1</x:v>
      </x:c>
      <x:c r="X144" s="79" t="str">
        <x:v>60 میلی لیتر</x:v>
      </x:c>
      <x:c r="Y144" s="79" t="n">
        <x:v>120</x:v>
      </x:c>
      <x:c r="Z144" s="104" t="n">
        <x:v>120000</x:v>
      </x:c>
      <x:c r="AA144" s="79" t="n">
        <x:v>60</x:v>
      </x:c>
      <x:c r="AB144" s="79" t="str">
        <x:v>ml</x:v>
      </x:c>
      <x:c r="AC144" s="79" t="str">
        <x:v>60 میل</x:v>
      </x:c>
      <x:c r="AD144" s="99" t="b">
        <x:v>0</x:v>
      </x:c>
      <x:c r="AE144" s="79" t="str">
        <x:v>فعال</x:v>
      </x:c>
      <x:c r="AF144" s="79" t="str">
        <x:v>دسته‌بندی نهایی</x:v>
      </x:c>
      <x:c r="AG144" s="79" t="str">
        <x:v>OK</x:v>
      </x:c>
      <x:c r="AH144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  <x:c r="AI144" s="79"/>
      <x:c r="AJ144" s="79"/>
      <x:c r="AK144" s="79"/>
      <x:c r="AL144" t="str">
        <x:v>روغن حنظل</x:v>
      </x:c>
      <x:c r="AM144" t="str">
        <x:v>single_146</x:v>
      </x:c>
      <x:c r="AN144" t="str">
        <x:v>canonical_group_row</x:v>
      </x:c>
      <x:c r="AO144" t="str">
        <x:v>روغن</x:v>
      </x:c>
      <x:c r="AP144" t="str">
        <x:v>6a2d446d45c164ce6f28ae30</x:v>
      </x:c>
      <x:c r="AQ144" t="str">
        <x:v>oil</x:v>
      </x:c>
      <x:c r="AR144" t="str">
        <x:v>EDIBLE</x:v>
      </x:c>
      <x:c r="AS144" t="str">
        <x:v>بله</x:v>
      </x:c>
      <x:c r="AT144" t="str">
        <x:v>OK</x:v>
      </x:c>
      <x:c r="AU144"/>
    </x:row>
    <x:row r="145">
      <x:c r="A145" s="79" t="n">
        <x:v>147</x:v>
      </x:c>
      <x:c r="B145" s="79" t="str">
        <x:v>NS-0144-1</x:v>
      </x:c>
      <x:c r="C145" s="79" t="str">
        <x:v>روغن خارمریم</x:v>
      </x:c>
      <x:c r="D145" s="79" t="str">
        <x:v>oil_milk_thistle_30ml</x:v>
      </x:c>
      <x:c r="E145" s="79" t="str">
        <x:v>update</x:v>
      </x:c>
      <x:c r="F145" s="79" t="str">
        <x:v>بله</x:v>
      </x:c>
      <x:c r="G145" s="79" t="str">
        <x:v>روغن</x:v>
      </x:c>
      <x:c r="H145" s="79" t="str">
        <x:v>روغن</x:v>
      </x:c>
      <x:c r="I145" s="79" t="str">
        <x:v>6a2d446d45c164ce6f28ae30</x:v>
      </x:c>
      <x:c r="J145" s="79" t="str">
        <x:v>oil</x:v>
      </x:c>
      <x:c r="K145" s="79"/>
      <x:c r="L145" s="79" t="str">
        <x:v>EDIBLE</x:v>
      </x:c>
      <x:c r="M145" s="79" t="str">
        <x:v>بله</x:v>
      </x:c>
      <x:c r="N145" s="79" t="str">
        <x:v>خوراکی</x:v>
      </x:c>
      <x:c r="O145" s="79" t="str">
        <x:v>بله</x:v>
      </x:c>
      <x:c r="P145" s="79" t="n">
        <x:v>2</x:v>
      </x:c>
      <x:c r="Q145" s="79" t="str">
        <x:v>30 میلی لیتر</x:v>
      </x:c>
      <x:c r="R145" s="79" t="n">
        <x:v>115</x:v>
      </x:c>
      <x:c r="S145" s="104" t="n">
        <x:v>115000</x:v>
      </x:c>
      <x:c r="T145" s="79" t="n">
        <x:v>30</x:v>
      </x:c>
      <x:c r="U145" s="79" t="str">
        <x:v>ml</x:v>
      </x:c>
      <x:c r="V145" s="79" t="str">
        <x:v>30 میل</x:v>
      </x:c>
      <x:c r="W145" s="99" t="b">
        <x:v>1</x:v>
      </x:c>
      <x:c r="X145" s="79" t="str">
        <x:v>60 میلی لیتر</x:v>
      </x:c>
      <x:c r="Y145" s="79" t="n">
        <x:v>220</x:v>
      </x:c>
      <x:c r="Z145" s="104" t="n">
        <x:v>220000</x:v>
      </x:c>
      <x:c r="AA145" s="79" t="n">
        <x:v>60</x:v>
      </x:c>
      <x:c r="AB145" s="79" t="str">
        <x:v>ml</x:v>
      </x:c>
      <x:c r="AC145" s="79" t="str">
        <x:v>60 میل</x:v>
      </x:c>
      <x:c r="AD145" s="99" t="b">
        <x:v>0</x:v>
      </x:c>
      <x:c r="AE145" s="79" t="str">
        <x:v>فعال</x:v>
      </x:c>
      <x:c r="AF145" s="79" t="str">
        <x:v>دسته‌بندی نهایی</x:v>
      </x:c>
      <x:c r="AG145" s="79" t="str">
        <x:v>OK</x:v>
      </x:c>
      <x:c r="AH145" s="79" t="str">
        <x:v>[{"name": "30 میلی لیتر", "sku": "", "price": 115000, "stock": "", "weight": 30, "weightUnit": "ml", "containerSize": "30 میل", "isDefault": true}, {"name": "60 میلی لیتر", "sku": "", "price": 220000, "stock": "", "weight": 60, "weightUnit": "ml", "containerSize": "60 میل", "isDefault": false}]</x:v>
      </x:c>
      <x:c r="AI145" s="79"/>
      <x:c r="AJ145" s="79"/>
      <x:c r="AK145" s="79"/>
      <x:c r="AL145" t="str">
        <x:v>روغن خارمریم</x:v>
      </x:c>
      <x:c r="AM145" t="str">
        <x:v>single_147</x:v>
      </x:c>
      <x:c r="AN145" t="str">
        <x:v>canonical_group_row</x:v>
      </x:c>
      <x:c r="AO145" t="str">
        <x:v>روغن</x:v>
      </x:c>
      <x:c r="AP145" t="str">
        <x:v>6a2d446d45c164ce6f28ae30</x:v>
      </x:c>
      <x:c r="AQ145" t="str">
        <x:v>oil</x:v>
      </x:c>
      <x:c r="AR145" t="str">
        <x:v>EDIBLE</x:v>
      </x:c>
      <x:c r="AS145" t="str">
        <x:v>بله</x:v>
      </x:c>
      <x:c r="AT145" t="str">
        <x:v>OK</x:v>
      </x:c>
      <x:c r="AU145"/>
    </x:row>
    <x:row r="146">
      <x:c r="A146" s="79" t="n">
        <x:v>148</x:v>
      </x:c>
      <x:c r="B146" s="79" t="str">
        <x:v>NS-0145-1</x:v>
      </x:c>
      <x:c r="C146" s="79" t="str">
        <x:v>روغن خراطین</x:v>
      </x:c>
      <x:c r="D146" s="79" t="str">
        <x:v>oil_kharatin_30ml</x:v>
      </x:c>
      <x:c r="E146" s="79" t="str">
        <x:v>update</x:v>
      </x:c>
      <x:c r="F146" s="79" t="str">
        <x:v>بله</x:v>
      </x:c>
      <x:c r="G146" s="79" t="str">
        <x:v>روغن</x:v>
      </x:c>
      <x:c r="H146" s="79" t="str">
        <x:v>روغن</x:v>
      </x:c>
      <x:c r="I146" s="79" t="str">
        <x:v>6a2d446d45c164ce6f28ae30</x:v>
      </x:c>
      <x:c r="J146" s="79" t="str">
        <x:v>oil</x:v>
      </x:c>
      <x:c r="K146" s="79"/>
      <x:c r="L146" s="79" t="str">
        <x:v>EDIBLE</x:v>
      </x:c>
      <x:c r="M146" s="79" t="str">
        <x:v>بله</x:v>
      </x:c>
      <x:c r="N146" s="79" t="str">
        <x:v>خوراکی</x:v>
      </x:c>
      <x:c r="O146" s="79" t="str">
        <x:v>بله</x:v>
      </x:c>
      <x:c r="P146" s="79" t="n">
        <x:v>2</x:v>
      </x:c>
      <x:c r="Q146" s="79" t="str">
        <x:v>30 میلی لیتر</x:v>
      </x:c>
      <x:c r="R146" s="79" t="n">
        <x:v>135</x:v>
      </x:c>
      <x:c r="S146" s="104" t="n">
        <x:v>135000</x:v>
      </x:c>
      <x:c r="T146" s="79" t="n">
        <x:v>30</x:v>
      </x:c>
      <x:c r="U146" s="79" t="str">
        <x:v>ml</x:v>
      </x:c>
      <x:c r="V146" s="79" t="str">
        <x:v>30 میل</x:v>
      </x:c>
      <x:c r="W146" s="99" t="b">
        <x:v>1</x:v>
      </x:c>
      <x:c r="X146" s="79" t="str">
        <x:v>60 میلی لیتر</x:v>
      </x:c>
      <x:c r="Y146" s="79" t="n">
        <x:v>260</x:v>
      </x:c>
      <x:c r="Z146" s="104" t="n">
        <x:v>260000</x:v>
      </x:c>
      <x:c r="AA146" s="79" t="n">
        <x:v>60</x:v>
      </x:c>
      <x:c r="AB146" s="79" t="str">
        <x:v>ml</x:v>
      </x:c>
      <x:c r="AC146" s="79" t="str">
        <x:v>60 میل</x:v>
      </x:c>
      <x:c r="AD146" s="99" t="b">
        <x:v>0</x:v>
      </x:c>
      <x:c r="AE146" s="79" t="str">
        <x:v>فعال</x:v>
      </x:c>
      <x:c r="AF146" s="79" t="str">
        <x:v>دسته‌بندی نهایی</x:v>
      </x:c>
      <x:c r="AG146" s="79" t="str">
        <x:v>OK</x:v>
      </x:c>
      <x:c r="AH146" s="79" t="str">
        <x:v>[{"name": "30 میلی لیتر", "sku": "", "price": 135000, "stock": "", "weight": 30, "weightUnit": "ml", "containerSize": "30 میل", "isDefault": true}, {"name": "60 میلی لیتر", "sku": "", "price": 260000, "stock": "", "weight": 60, "weightUnit": "ml", "containerSize": "60 میل", "isDefault": false}]</x:v>
      </x:c>
      <x:c r="AI146" s="79"/>
      <x:c r="AJ146" s="79"/>
      <x:c r="AK146" s="79"/>
      <x:c r="AL146" t="str">
        <x:v>روغن خراطین</x:v>
      </x:c>
      <x:c r="AM146" t="str">
        <x:v>single_148</x:v>
      </x:c>
      <x:c r="AN146" t="str">
        <x:v>canonical_group_row</x:v>
      </x:c>
      <x:c r="AO146" t="str">
        <x:v>روغن</x:v>
      </x:c>
      <x:c r="AP146" t="str">
        <x:v>6a2d446d45c164ce6f28ae30</x:v>
      </x:c>
      <x:c r="AQ146" t="str">
        <x:v>oil</x:v>
      </x:c>
      <x:c r="AR146" t="str">
        <x:v>EDIBLE</x:v>
      </x:c>
      <x:c r="AS146" t="str">
        <x:v>بله</x:v>
      </x:c>
      <x:c r="AT146" t="str">
        <x:v>OK</x:v>
      </x:c>
      <x:c r="AU146"/>
    </x:row>
    <x:row r="147">
      <x:c r="A147" s="79" t="n">
        <x:v>149</x:v>
      </x:c>
      <x:c r="B147" s="79" t="str">
        <x:v>NS-0146-1</x:v>
      </x:c>
      <x:c r="C147" s="79" t="str">
        <x:v>روغن خشخاش</x:v>
      </x:c>
      <x:c r="D147" s="79" t="str">
        <x:v>oil_poppy_30ml</x:v>
      </x:c>
      <x:c r="E147" s="79" t="str">
        <x:v>update</x:v>
      </x:c>
      <x:c r="F147" s="79" t="str">
        <x:v>بله</x:v>
      </x:c>
      <x:c r="G147" s="79" t="str">
        <x:v>روغن</x:v>
      </x:c>
      <x:c r="H147" s="79" t="str">
        <x:v>روغن</x:v>
      </x:c>
      <x:c r="I147" s="79" t="str">
        <x:v>6a2d446d45c164ce6f28ae30</x:v>
      </x:c>
      <x:c r="J147" s="79" t="str">
        <x:v>oil</x:v>
      </x:c>
      <x:c r="K147" s="79"/>
      <x:c r="L147" s="79" t="str">
        <x:v>EDIBLE</x:v>
      </x:c>
      <x:c r="M147" s="79" t="str">
        <x:v>بله</x:v>
      </x:c>
      <x:c r="N147" s="79" t="str">
        <x:v>خوراکی</x:v>
      </x:c>
      <x:c r="O147" s="79" t="str">
        <x:v>بله</x:v>
      </x:c>
      <x:c r="P147" s="79" t="n">
        <x:v>2</x:v>
      </x:c>
      <x:c r="Q147" s="79" t="str">
        <x:v>30 میلی لیتر</x:v>
      </x:c>
      <x:c r="R147" s="79" t="n">
        <x:v>115</x:v>
      </x:c>
      <x:c r="S147" s="104" t="n">
        <x:v>115000</x:v>
      </x:c>
      <x:c r="T147" s="79" t="n">
        <x:v>30</x:v>
      </x:c>
      <x:c r="U147" s="79" t="str">
        <x:v>ml</x:v>
      </x:c>
      <x:c r="V147" s="79" t="str">
        <x:v>30 میل</x:v>
      </x:c>
      <x:c r="W147" s="99" t="b">
        <x:v>1</x:v>
      </x:c>
      <x:c r="X147" s="79" t="str">
        <x:v>60 میلی لیتر</x:v>
      </x:c>
      <x:c r="Y147" s="79" t="n">
        <x:v>220</x:v>
      </x:c>
      <x:c r="Z147" s="104" t="n">
        <x:v>220000</x:v>
      </x:c>
      <x:c r="AA147" s="79" t="n">
        <x:v>60</x:v>
      </x:c>
      <x:c r="AB147" s="79" t="str">
        <x:v>ml</x:v>
      </x:c>
      <x:c r="AC147" s="79" t="str">
        <x:v>60 میل</x:v>
      </x:c>
      <x:c r="AD147" s="99" t="b">
        <x:v>0</x:v>
      </x:c>
      <x:c r="AE147" s="79" t="str">
        <x:v>فعال</x:v>
      </x:c>
      <x:c r="AF147" s="79" t="str">
        <x:v>دسته‌بندی نهایی</x:v>
      </x:c>
      <x:c r="AG147" s="79" t="str">
        <x:v>OK</x:v>
      </x:c>
      <x:c r="AH147" s="79" t="str">
        <x:v>[{"name": "30 میلی لیتر", "sku": "", "price": 115000, "stock": "", "weight": 30, "weightUnit": "ml", "containerSize": "30 میل", "isDefault": true}, {"name": "60 میلی لیتر", "sku": "", "price": 220000, "stock": "", "weight": 60, "weightUnit": "ml", "containerSize": "60 میل", "isDefault": false}]</x:v>
      </x:c>
      <x:c r="AI147" s="79"/>
      <x:c r="AJ147" s="79"/>
      <x:c r="AK147" s="79"/>
      <x:c r="AL147" t="str">
        <x:v>روغن خشخاش</x:v>
      </x:c>
      <x:c r="AM147" t="str">
        <x:v>single_149</x:v>
      </x:c>
      <x:c r="AN147" t="str">
        <x:v>canonical_group_row</x:v>
      </x:c>
      <x:c r="AO147" t="str">
        <x:v>روغن</x:v>
      </x:c>
      <x:c r="AP147" t="str">
        <x:v>6a2d446d45c164ce6f28ae30</x:v>
      </x:c>
      <x:c r="AQ147" t="str">
        <x:v>oil</x:v>
      </x:c>
      <x:c r="AR147" t="str">
        <x:v>EDIBLE</x:v>
      </x:c>
      <x:c r="AS147" t="str">
        <x:v>بله</x:v>
      </x:c>
      <x:c r="AT147" t="str">
        <x:v>OK</x:v>
      </x:c>
      <x:c r="AU147"/>
    </x:row>
    <x:row r="148">
      <x:c r="A148" s="79" t="n">
        <x:v>150</x:v>
      </x:c>
      <x:c r="B148" s="79" t="str">
        <x:v>NS-0147-1</x:v>
      </x:c>
      <x:c r="C148" s="79" t="str">
        <x:v>روغن درخت چای</x:v>
      </x:c>
      <x:c r="D148" s="79" t="str">
        <x:v>tea_tree_oil_30ml</x:v>
      </x:c>
      <x:c r="E148" s="79" t="str">
        <x:v>update</x:v>
      </x:c>
      <x:c r="F148" s="79" t="str">
        <x:v>بله</x:v>
      </x:c>
      <x:c r="G148" s="79" t="str">
        <x:v>روغن</x:v>
      </x:c>
      <x:c r="H148" s="79" t="str">
        <x:v>روغن</x:v>
      </x:c>
      <x:c r="I148" s="79" t="str">
        <x:v>6a2d446d45c164ce6f28ae30</x:v>
      </x:c>
      <x:c r="J148" s="79" t="str">
        <x:v>oil</x:v>
      </x:c>
      <x:c r="K148" s="79"/>
      <x:c r="L148" s="79" t="str">
        <x:v>EDIBLE</x:v>
      </x:c>
      <x:c r="M148" s="79" t="str">
        <x:v>بله</x:v>
      </x:c>
      <x:c r="N148" s="79" t="str">
        <x:v>خوراکی</x:v>
      </x:c>
      <x:c r="O148" s="79" t="str">
        <x:v>بله</x:v>
      </x:c>
      <x:c r="P148" s="79" t="n">
        <x:v>2</x:v>
      </x:c>
      <x:c r="Q148" s="79" t="str">
        <x:v>30 میلی لیتر</x:v>
      </x:c>
      <x:c r="R148" s="79" t="n">
        <x:v>100</x:v>
      </x:c>
      <x:c r="S148" s="104" t="n">
        <x:v>100000</x:v>
      </x:c>
      <x:c r="T148" s="79" t="n">
        <x:v>30</x:v>
      </x:c>
      <x:c r="U148" s="79" t="str">
        <x:v>ml</x:v>
      </x:c>
      <x:c r="V148" s="79" t="str">
        <x:v>30 میل</x:v>
      </x:c>
      <x:c r="W148" s="99" t="b">
        <x:v>1</x:v>
      </x:c>
      <x:c r="X148" s="79" t="str">
        <x:v>60 میلی لیتر</x:v>
      </x:c>
      <x:c r="Y148" s="79" t="n">
        <x:v>195</x:v>
      </x:c>
      <x:c r="Z148" s="104" t="n">
        <x:v>195000</x:v>
      </x:c>
      <x:c r="AA148" s="79" t="n">
        <x:v>60</x:v>
      </x:c>
      <x:c r="AB148" s="79" t="str">
        <x:v>ml</x:v>
      </x:c>
      <x:c r="AC148" s="79" t="str">
        <x:v>60 میل</x:v>
      </x:c>
      <x:c r="AD148" s="99" t="b">
        <x:v>0</x:v>
      </x:c>
      <x:c r="AE148" s="79" t="str">
        <x:v>فعال</x:v>
      </x:c>
      <x:c r="AF148" s="79" t="str">
        <x:v>دسته‌بندی نهایی</x:v>
      </x:c>
      <x:c r="AG148" s="79" t="str">
        <x:v>OK</x:v>
      </x:c>
      <x:c r="AH148" s="79" t="str">
        <x:v>[{"name": "30 میلی لیتر", "sku": "", "price": 100000, "stock": "", "weight": 30, "weightUnit": "ml", "containerSize": "30 میل", "isDefault": true}, {"name": "60 میلی لیتر", "sku": "", "price": 195000, "stock": "", "weight": 60, "weightUnit": "ml", "containerSize": "60 میل", "isDefault": false}]</x:v>
      </x:c>
      <x:c r="AI148" s="79"/>
      <x:c r="AJ148" s="79"/>
      <x:c r="AK148" s="79"/>
      <x:c r="AL148" t="str">
        <x:v>روغن درخت چای</x:v>
      </x:c>
      <x:c r="AM148" t="str">
        <x:v>single_150</x:v>
      </x:c>
      <x:c r="AN148" t="str">
        <x:v>canonical_group_row</x:v>
      </x:c>
      <x:c r="AO148" t="str">
        <x:v>روغن</x:v>
      </x:c>
      <x:c r="AP148" t="str">
        <x:v>6a2d446d45c164ce6f28ae30</x:v>
      </x:c>
      <x:c r="AQ148" t="str">
        <x:v>oil</x:v>
      </x:c>
      <x:c r="AR148" t="str">
        <x:v>EDIBLE</x:v>
      </x:c>
      <x:c r="AS148" t="str">
        <x:v>بله</x:v>
      </x:c>
      <x:c r="AT148" t="str">
        <x:v>OK</x:v>
      </x:c>
      <x:c r="AU148"/>
    </x:row>
    <x:row r="149">
      <x:c r="A149" s="79" t="n">
        <x:v>151</x:v>
      </x:c>
      <x:c r="B149" s="79" t="str">
        <x:v>NS-0148-1</x:v>
      </x:c>
      <x:c r="C149" s="79" t="str">
        <x:v>روغن درمنه</x:v>
      </x:c>
      <x:c r="D149" s="79" t="str">
        <x:v>oil_wormwood_30ml</x:v>
      </x:c>
      <x:c r="E149" s="79" t="str">
        <x:v>update</x:v>
      </x:c>
      <x:c r="F149" s="79" t="str">
        <x:v>بله</x:v>
      </x:c>
      <x:c r="G149" s="79" t="str">
        <x:v>روغن</x:v>
      </x:c>
      <x:c r="H149" s="79" t="str">
        <x:v>روغن</x:v>
      </x:c>
      <x:c r="I149" s="79" t="str">
        <x:v>6a2d446d45c164ce6f28ae30</x:v>
      </x:c>
      <x:c r="J149" s="79" t="str">
        <x:v>oil</x:v>
      </x:c>
      <x:c r="K149" s="79"/>
      <x:c r="L149" s="79" t="str">
        <x:v>EDIBLE</x:v>
      </x:c>
      <x:c r="M149" s="79" t="str">
        <x:v>بله</x:v>
      </x:c>
      <x:c r="N149" s="79" t="str">
        <x:v>خوراکی</x:v>
      </x:c>
      <x:c r="O149" s="79" t="str">
        <x:v>بله</x:v>
      </x:c>
      <x:c r="P149" s="79" t="n">
        <x:v>2</x:v>
      </x:c>
      <x:c r="Q149" s="79" t="str">
        <x:v>30 میلی لیتر</x:v>
      </x:c>
      <x:c r="R149" s="79" t="n">
        <x:v>95</x:v>
      </x:c>
      <x:c r="S149" s="104" t="n">
        <x:v>95000</x:v>
      </x:c>
      <x:c r="T149" s="79" t="n">
        <x:v>30</x:v>
      </x:c>
      <x:c r="U149" s="79" t="str">
        <x:v>ml</x:v>
      </x:c>
      <x:c r="V149" s="79" t="str">
        <x:v>30 میل</x:v>
      </x:c>
      <x:c r="W149" s="99" t="b">
        <x:v>1</x:v>
      </x:c>
      <x:c r="X149" s="79" t="str">
        <x:v>60 میلی لیتر</x:v>
      </x:c>
      <x:c r="Y149" s="79" t="n">
        <x:v>185</x:v>
      </x:c>
      <x:c r="Z149" s="104" t="n">
        <x:v>185000</x:v>
      </x:c>
      <x:c r="AA149" s="79" t="n">
        <x:v>60</x:v>
      </x:c>
      <x:c r="AB149" s="79" t="str">
        <x:v>ml</x:v>
      </x:c>
      <x:c r="AC149" s="79" t="str">
        <x:v>60 میل</x:v>
      </x:c>
      <x:c r="AD149" s="99" t="b">
        <x:v>0</x:v>
      </x:c>
      <x:c r="AE149" s="79" t="str">
        <x:v>فعال</x:v>
      </x:c>
      <x:c r="AF149" s="79" t="str">
        <x:v>دسته‌بندی نهایی</x:v>
      </x:c>
      <x:c r="AG149" s="79" t="str">
        <x:v>OK</x:v>
      </x:c>
      <x:c r="AH149" s="79" t="str">
        <x:v>[{"name": "30 میلی لیتر", "sku": "", "price": 95000, "stock": "", "weight": 30, "weightUnit": "ml", "containerSize": "30 میل", "isDefault": true}, {"name": "60 میلی لیتر", "sku": "", "price": 185000, "stock": "", "weight": 60, "weightUnit": "ml", "containerSize": "60 میل", "isDefault": false}]</x:v>
      </x:c>
      <x:c r="AI149" s="79"/>
      <x:c r="AJ149" s="79"/>
      <x:c r="AK149" s="79"/>
      <x:c r="AL149" t="str">
        <x:v>روغن درمنه</x:v>
      </x:c>
      <x:c r="AM149" t="str">
        <x:v>single_151</x:v>
      </x:c>
      <x:c r="AN149" t="str">
        <x:v>canonical_group_row</x:v>
      </x:c>
      <x:c r="AO149" t="str">
        <x:v>روغن</x:v>
      </x:c>
      <x:c r="AP149" t="str">
        <x:v>6a2d446d45c164ce6f28ae30</x:v>
      </x:c>
      <x:c r="AQ149" t="str">
        <x:v>oil</x:v>
      </x:c>
      <x:c r="AR149" t="str">
        <x:v>EDIBLE</x:v>
      </x:c>
      <x:c r="AS149" t="str">
        <x:v>بله</x:v>
      </x:c>
      <x:c r="AT149" t="str">
        <x:v>OK</x:v>
      </x:c>
      <x:c r="AU149"/>
    </x:row>
    <x:row r="150">
      <x:c r="A150" s="79" t="n">
        <x:v>152</x:v>
      </x:c>
      <x:c r="B150" s="79" t="str">
        <x:v>NS-0149-1</x:v>
      </x:c>
      <x:c r="C150" s="79" t="str">
        <x:v>روغن رازیانه</x:v>
      </x:c>
      <x:c r="D150" s="79" t="str">
        <x:v>oil_fennel_30ml</x:v>
      </x:c>
      <x:c r="E150" s="79" t="str">
        <x:v>update</x:v>
      </x:c>
      <x:c r="F150" s="79" t="str">
        <x:v>بله</x:v>
      </x:c>
      <x:c r="G150" s="79" t="str">
        <x:v>روغن</x:v>
      </x:c>
      <x:c r="H150" s="79" t="str">
        <x:v>روغن</x:v>
      </x:c>
      <x:c r="I150" s="79" t="str">
        <x:v>6a2d446d45c164ce6f28ae30</x:v>
      </x:c>
      <x:c r="J150" s="79" t="str">
        <x:v>oil</x:v>
      </x:c>
      <x:c r="K150" s="79"/>
      <x:c r="L150" s="79" t="str">
        <x:v>EDIBLE</x:v>
      </x:c>
      <x:c r="M150" s="79" t="str">
        <x:v>بله</x:v>
      </x:c>
      <x:c r="N150" s="79" t="str">
        <x:v>خوراکی</x:v>
      </x:c>
      <x:c r="O150" s="79" t="str">
        <x:v>بله</x:v>
      </x:c>
      <x:c r="P150" s="79" t="n">
        <x:v>2</x:v>
      </x:c>
      <x:c r="Q150" s="79" t="str">
        <x:v>30 میلی لیتر</x:v>
      </x:c>
      <x:c r="R150" s="79" t="n">
        <x:v>115</x:v>
      </x:c>
      <x:c r="S150" s="104" t="n">
        <x:v>115000</x:v>
      </x:c>
      <x:c r="T150" s="79" t="n">
        <x:v>30</x:v>
      </x:c>
      <x:c r="U150" s="79" t="str">
        <x:v>ml</x:v>
      </x:c>
      <x:c r="V150" s="79" t="str">
        <x:v>30 میل</x:v>
      </x:c>
      <x:c r="W150" s="99" t="b">
        <x:v>1</x:v>
      </x:c>
      <x:c r="X150" s="79" t="str">
        <x:v>60 میلی لیتر</x:v>
      </x:c>
      <x:c r="Y150" s="79" t="n">
        <x:v>220</x:v>
      </x:c>
      <x:c r="Z150" s="104" t="n">
        <x:v>220000</x:v>
      </x:c>
      <x:c r="AA150" s="79" t="n">
        <x:v>60</x:v>
      </x:c>
      <x:c r="AB150" s="79" t="str">
        <x:v>ml</x:v>
      </x:c>
      <x:c r="AC150" s="79" t="str">
        <x:v>60 میل</x:v>
      </x:c>
      <x:c r="AD150" s="99" t="b">
        <x:v>0</x:v>
      </x:c>
      <x:c r="AE150" s="79" t="str">
        <x:v>فعال</x:v>
      </x:c>
      <x:c r="AF150" s="79" t="str">
        <x:v>دسته‌بندی نهایی</x:v>
      </x:c>
      <x:c r="AG150" s="79" t="str">
        <x:v>OK</x:v>
      </x:c>
      <x:c r="AH150" s="79" t="str">
        <x:v>[{"name": "30 میلی لیتر", "sku": "", "price": 115000, "stock": "", "weight": 30, "weightUnit": "ml", "containerSize": "30 میل", "isDefault": true}, {"name": "60 میلی لیتر", "sku": "", "price": 220000, "stock": "", "weight": 60, "weightUnit": "ml", "containerSize": "60 میل", "isDefault": false}]</x:v>
      </x:c>
      <x:c r="AI150" s="79"/>
      <x:c r="AJ150" s="79"/>
      <x:c r="AK150" s="79"/>
      <x:c r="AL150" t="str">
        <x:v>روغن رازیانه</x:v>
      </x:c>
      <x:c r="AM150" t="str">
        <x:v>single_152</x:v>
      </x:c>
      <x:c r="AN150" t="str">
        <x:v>canonical_group_row</x:v>
      </x:c>
      <x:c r="AO150" t="str">
        <x:v>روغن</x:v>
      </x:c>
      <x:c r="AP150" t="str">
        <x:v>6a2d446d45c164ce6f28ae30</x:v>
      </x:c>
      <x:c r="AQ150" t="str">
        <x:v>oil</x:v>
      </x:c>
      <x:c r="AR150" t="str">
        <x:v>EDIBLE</x:v>
      </x:c>
      <x:c r="AS150" t="str">
        <x:v>بله</x:v>
      </x:c>
      <x:c r="AT150" t="str">
        <x:v>OK</x:v>
      </x:c>
      <x:c r="AU150"/>
    </x:row>
    <x:row r="151">
      <x:c r="A151" s="79" t="n">
        <x:v>153</x:v>
      </x:c>
      <x:c r="B151" s="79" t="str">
        <x:v>NS-0150-1</x:v>
      </x:c>
      <x:c r="C151" s="79" t="str">
        <x:v>روغن رزماری</x:v>
      </x:c>
      <x:c r="D151" s="79" t="str">
        <x:v>oil_rosemary_half_liter</x:v>
      </x:c>
      <x:c r="E151" s="79" t="str">
        <x:v>update</x:v>
      </x:c>
      <x:c r="F151" s="79" t="str">
        <x:v>بله</x:v>
      </x:c>
      <x:c r="G151" s="79" t="str">
        <x:v>روغن</x:v>
      </x:c>
      <x:c r="H151" s="79" t="str">
        <x:v>روغن</x:v>
      </x:c>
      <x:c r="I151" s="79" t="str">
        <x:v>6a2d446d45c164ce6f28ae30</x:v>
      </x:c>
      <x:c r="J151" s="79" t="str">
        <x:v>oil</x:v>
      </x:c>
      <x:c r="K151" s="79"/>
      <x:c r="L151" s="79" t="str">
        <x:v>EDIBLE</x:v>
      </x:c>
      <x:c r="M151" s="79" t="str">
        <x:v>بله</x:v>
      </x:c>
      <x:c r="N151" s="79" t="str">
        <x:v>خوراکی</x:v>
      </x:c>
      <x:c r="O151" s="79" t="str">
        <x:v>بله</x:v>
      </x:c>
      <x:c r="P151" s="79" t="n">
        <x:v>2</x:v>
      </x:c>
      <x:c r="Q151" s="79" t="str">
        <x:v>نیم لیتر</x:v>
      </x:c>
      <x:c r="R151" s="79" t="n">
        <x:v>500</x:v>
      </x:c>
      <x:c r="S151" s="104" t="n">
        <x:v>500000</x:v>
      </x:c>
      <x:c r="T151" s="79" t="n">
        <x:v>500</x:v>
      </x:c>
      <x:c r="U151" s="79" t="str">
        <x:v>ml</x:v>
      </x:c>
      <x:c r="V151" s="79" t="str">
        <x:v>نیم لیتر</x:v>
      </x:c>
      <x:c r="W151" s="99" t="b">
        <x:v>1</x:v>
      </x:c>
      <x:c r="X151" s="79" t="str">
        <x:v>1 لیتر</x:v>
      </x:c>
      <x:c r="Y151" s="79" t="str">
        <x:v>1/000</x:v>
      </x:c>
      <x:c r="Z151" s="104" t="n">
        <x:v>1000000</x:v>
      </x:c>
      <x:c r="AA151" s="79" t="n">
        <x:v>1000</x:v>
      </x:c>
      <x:c r="AB151" s="79" t="str">
        <x:v>ml</x:v>
      </x:c>
      <x:c r="AC151" s="79" t="str">
        <x:v>1 لیتر</x:v>
      </x:c>
      <x:c r="AD151" s="99" t="b">
        <x:v>0</x:v>
      </x:c>
      <x:c r="AE151" s="79" t="str">
        <x:v>فعال</x:v>
      </x:c>
      <x:c r="AF151" s="79" t="str">
        <x:v>دسته‌بندی نهایی</x:v>
      </x:c>
      <x:c r="AG151" s="79" t="str">
        <x:v>MERGED</x:v>
      </x:c>
      <x:c r="AH151" s="79" t="str">
        <x:v>[{"name": "نیم لیتر", "sku": "", "price": 500000, "stock": "", "weight": 500, "weightUnit": "ml", "containerSize": "نیم لیتر", "isDefault": true}, {"name": "1 لیتر", "sku": "", "price": 1000000, "stock": "", "weight": 1000, "weightUnit": "ml", "containerSize": "1 لیتر", "isDefault": false}]</x:v>
      </x:c>
      <x:c r="AI151" s="79"/>
      <x:c r="AJ151" s="79"/>
      <x:c r="AK151" s="79"/>
      <x:c r="AL151" t="str">
        <x:v>روغن رزماری</x:v>
      </x:c>
      <x:c r="AM151" t="str">
        <x:v>grp_rosemary_oil</x:v>
      </x:c>
      <x:c r="AN151" t="str">
        <x:v>canonical_group_row</x:v>
      </x:c>
      <x:c r="AO151" t="str">
        <x:v>روغن</x:v>
      </x:c>
      <x:c r="AP151" t="str">
        <x:v>6a2d446d45c164ce6f28ae30</x:v>
      </x:c>
      <x:c r="AQ151" t="str">
        <x:v>oil</x:v>
      </x:c>
      <x:c r="AR151" t="str">
        <x:v>EDIBLE</x:v>
      </x:c>
      <x:c r="AS151" t="str">
        <x:v>بله</x:v>
      </x:c>
      <x:c r="AT151" t="str">
        <x:v>MERGED</x:v>
      </x:c>
      <x:c r="AU151"/>
    </x:row>
    <x:row r="152">
      <x:c r="A152" s="79" t="n">
        <x:v>154</x:v>
      </x:c>
      <x:c r="B152" s="79" t="str">
        <x:v>NS-0150-1</x:v>
      </x:c>
      <x:c r="C152" s="79" t="str">
        <x:v>روغن رزماری</x:v>
      </x:c>
      <x:c r="D152" s="79" t="str">
        <x:v>oil_rosemary_half_liter</x:v>
      </x:c>
      <x:c r="E152" s="79" t="str">
        <x:v>update</x:v>
      </x:c>
      <x:c r="F152" s="79" t="str">
        <x:v>بله</x:v>
      </x:c>
      <x:c r="G152" s="79" t="str">
        <x:v>روغن</x:v>
      </x:c>
      <x:c r="H152" s="79" t="str">
        <x:v>روغن</x:v>
      </x:c>
      <x:c r="I152" s="79" t="str">
        <x:v>6a2d446d45c164ce6f28ae30</x:v>
      </x:c>
      <x:c r="J152" s="79" t="str">
        <x:v>oil</x:v>
      </x:c>
      <x:c r="K152" s="79"/>
      <x:c r="L152" s="79" t="str">
        <x:v>EDIBLE</x:v>
      </x:c>
      <x:c r="M152" s="79" t="str">
        <x:v>بله</x:v>
      </x:c>
      <x:c r="N152" s="79" t="str">
        <x:v>خوراکی</x:v>
      </x:c>
      <x:c r="O152" s="79" t="str">
        <x:v>بله</x:v>
      </x:c>
      <x:c r="P152" s="79" t="n">
        <x:v>2</x:v>
      </x:c>
      <x:c r="Q152" s="79" t="str">
        <x:v>30 میلی لیتر</x:v>
      </x:c>
      <x:c r="R152" s="79" t="n">
        <x:v>100</x:v>
      </x:c>
      <x:c r="S152" s="104" t="n">
        <x:v>100000</x:v>
      </x:c>
      <x:c r="T152" s="79" t="n">
        <x:v>30</x:v>
      </x:c>
      <x:c r="U152" s="79" t="str">
        <x:v>ml</x:v>
      </x:c>
      <x:c r="V152" s="79" t="str">
        <x:v>30 میل</x:v>
      </x:c>
      <x:c r="W152" s="99" t="b">
        <x:v>1</x:v>
      </x:c>
      <x:c r="X152" s="79" t="str">
        <x:v>60 میلی لیتر</x:v>
      </x:c>
      <x:c r="Y152" s="79" t="n">
        <x:v>195</x:v>
      </x:c>
      <x:c r="Z152" s="104" t="n">
        <x:v>195000</x:v>
      </x:c>
      <x:c r="AA152" s="79" t="n">
        <x:v>60</x:v>
      </x:c>
      <x:c r="AB152" s="79" t="str">
        <x:v>ml</x:v>
      </x:c>
      <x:c r="AC152" s="79" t="str">
        <x:v>60 میل</x:v>
      </x:c>
      <x:c r="AD152" s="99" t="b">
        <x:v>0</x:v>
      </x:c>
      <x:c r="AE152" s="79" t="str">
        <x:v>فعال</x:v>
      </x:c>
      <x:c r="AF152" s="79" t="str">
        <x:v>دسته‌بندی نهایی</x:v>
      </x:c>
      <x:c r="AG152" s="79" t="str">
        <x:v>MERGED</x:v>
      </x:c>
      <x:c r="AH152" s="79" t="str">
        <x:v>[{"name": "30 میلی لیتر", "sku": "", "price": 100000, "stock": "", "weight": 30, "weightUnit": "ml", "containerSize": "30 میل", "isDefault": true}, {"name": "60 میلی لیتر", "sku": "", "price": 195000, "stock": "", "weight": 60, "weightUnit": "ml", "containerSize": "60 میل", "isDefault": false}]</x:v>
      </x:c>
      <x:c r="AI152" s="79"/>
      <x:c r="AJ152" s="79"/>
      <x:c r="AK152" s="79"/>
      <x:c r="AL152" t="str">
        <x:v>روغن رزماری</x:v>
      </x:c>
      <x:c r="AM152" t="str">
        <x:v>grp_rosemary_oil</x:v>
      </x:c>
      <x:c r="AN152" t="str">
        <x:v>merge_into_canonical_group</x:v>
      </x:c>
      <x:c r="AO152" t="str">
        <x:v>روغن</x:v>
      </x:c>
      <x:c r="AP152" t="str">
        <x:v>6a2d446d45c164ce6f28ae30</x:v>
      </x:c>
      <x:c r="AQ152" t="str">
        <x:v>oil</x:v>
      </x:c>
      <x:c r="AR152" t="str">
        <x:v>EDIBLE</x:v>
      </x:c>
      <x:c r="AS152" t="str">
        <x:v>بله</x:v>
      </x:c>
      <x:c r="AT152" t="str">
        <x:v>MERGED</x:v>
      </x:c>
      <x:c r="AU152"/>
    </x:row>
    <x:row r="153">
      <x:c r="A153" s="79" t="n">
        <x:v>155</x:v>
      </x:c>
      <x:c r="B153" s="79" t="str">
        <x:v>NS-0152-1</x:v>
      </x:c>
      <x:c r="C153" s="79" t="str">
        <x:v>روغن زردچوبه</x:v>
      </x:c>
      <x:c r="D153" s="79" t="str">
        <x:v>oil_turmeric_30ml</x:v>
      </x:c>
      <x:c r="E153" s="79" t="str">
        <x:v>update</x:v>
      </x:c>
      <x:c r="F153" s="79" t="str">
        <x:v>بله</x:v>
      </x:c>
      <x:c r="G153" s="79" t="str">
        <x:v>روغن</x:v>
      </x:c>
      <x:c r="H153" s="79" t="str">
        <x:v>روغن</x:v>
      </x:c>
      <x:c r="I153" s="79" t="str">
        <x:v>6a2d446d45c164ce6f28ae30</x:v>
      </x:c>
      <x:c r="J153" s="79" t="str">
        <x:v>oil</x:v>
      </x:c>
      <x:c r="K153" s="79"/>
      <x:c r="L153" s="79" t="str">
        <x:v>EDIBLE</x:v>
      </x:c>
      <x:c r="M153" s="79" t="str">
        <x:v>بله</x:v>
      </x:c>
      <x:c r="N153" s="79" t="str">
        <x:v>خوراکی</x:v>
      </x:c>
      <x:c r="O153" s="79" t="str">
        <x:v>بله</x:v>
      </x:c>
      <x:c r="P153" s="79" t="n">
        <x:v>2</x:v>
      </x:c>
      <x:c r="Q153" s="79" t="str">
        <x:v>30 میلی لیتر</x:v>
      </x:c>
      <x:c r="R153" s="79" t="n">
        <x:v>65</x:v>
      </x:c>
      <x:c r="S153" s="104" t="n">
        <x:v>65000</x:v>
      </x:c>
      <x:c r="T153" s="79" t="n">
        <x:v>30</x:v>
      </x:c>
      <x:c r="U153" s="79" t="str">
        <x:v>ml</x:v>
      </x:c>
      <x:c r="V153" s="79" t="str">
        <x:v>30 میل</x:v>
      </x:c>
      <x:c r="W153" s="99" t="b">
        <x:v>1</x:v>
      </x:c>
      <x:c r="X153" s="79" t="str">
        <x:v>60 میلی لیتر</x:v>
      </x:c>
      <x:c r="Y153" s="79" t="n">
        <x:v>120</x:v>
      </x:c>
      <x:c r="Z153" s="104" t="n">
        <x:v>120000</x:v>
      </x:c>
      <x:c r="AA153" s="79" t="n">
        <x:v>60</x:v>
      </x:c>
      <x:c r="AB153" s="79" t="str">
        <x:v>ml</x:v>
      </x:c>
      <x:c r="AC153" s="79" t="str">
        <x:v>60 میل</x:v>
      </x:c>
      <x:c r="AD153" s="99" t="b">
        <x:v>0</x:v>
      </x:c>
      <x:c r="AE153" s="79" t="str">
        <x:v>فعال</x:v>
      </x:c>
      <x:c r="AF153" s="79" t="str">
        <x:v>دسته‌بندی نهایی</x:v>
      </x:c>
      <x:c r="AG153" s="79" t="str">
        <x:v>OK</x:v>
      </x:c>
      <x:c r="AH153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  <x:c r="AI153" s="79"/>
      <x:c r="AJ153" s="79"/>
      <x:c r="AK153" s="79"/>
      <x:c r="AL153" t="str">
        <x:v>روغن زردچوبه</x:v>
      </x:c>
      <x:c r="AM153" t="str">
        <x:v>single_155</x:v>
      </x:c>
      <x:c r="AN153" t="str">
        <x:v>canonical_group_row</x:v>
      </x:c>
      <x:c r="AO153" t="str">
        <x:v>روغن</x:v>
      </x:c>
      <x:c r="AP153" t="str">
        <x:v>6a2d446d45c164ce6f28ae30</x:v>
      </x:c>
      <x:c r="AQ153" t="str">
        <x:v>oil</x:v>
      </x:c>
      <x:c r="AR153" t="str">
        <x:v>EDIBLE</x:v>
      </x:c>
      <x:c r="AS153" t="str">
        <x:v>بله</x:v>
      </x:c>
      <x:c r="AT153" t="str">
        <x:v>OK</x:v>
      </x:c>
      <x:c r="AU153"/>
    </x:row>
    <x:row r="154">
      <x:c r="A154" s="79" t="n">
        <x:v>156</x:v>
      </x:c>
      <x:c r="B154" s="79" t="str">
        <x:v>NS-0153-1</x:v>
      </x:c>
      <x:c r="C154" s="79" t="str">
        <x:v>روغن زنجبیل</x:v>
      </x:c>
      <x:c r="D154" s="79" t="str">
        <x:v>oil_ginger_30ml</x:v>
      </x:c>
      <x:c r="E154" s="79" t="str">
        <x:v>update</x:v>
      </x:c>
      <x:c r="F154" s="79" t="str">
        <x:v>بله</x:v>
      </x:c>
      <x:c r="G154" s="79" t="str">
        <x:v>روغن</x:v>
      </x:c>
      <x:c r="H154" s="79" t="str">
        <x:v>روغن</x:v>
      </x:c>
      <x:c r="I154" s="79" t="str">
        <x:v>6a2d446d45c164ce6f28ae30</x:v>
      </x:c>
      <x:c r="J154" s="79" t="str">
        <x:v>oil</x:v>
      </x:c>
      <x:c r="K154" s="79"/>
      <x:c r="L154" s="79" t="str">
        <x:v>EDIBLE</x:v>
      </x:c>
      <x:c r="M154" s="79" t="str">
        <x:v>بله</x:v>
      </x:c>
      <x:c r="N154" s="79" t="str">
        <x:v>خوراکی</x:v>
      </x:c>
      <x:c r="O154" s="79" t="str">
        <x:v>بله</x:v>
      </x:c>
      <x:c r="P154" s="79" t="n">
        <x:v>2</x:v>
      </x:c>
      <x:c r="Q154" s="79" t="str">
        <x:v>30 میلی لیتر</x:v>
      </x:c>
      <x:c r="R154" s="79" t="n">
        <x:v>65</x:v>
      </x:c>
      <x:c r="S154" s="104" t="n">
        <x:v>65000</x:v>
      </x:c>
      <x:c r="T154" s="79" t="n">
        <x:v>30</x:v>
      </x:c>
      <x:c r="U154" s="79" t="str">
        <x:v>ml</x:v>
      </x:c>
      <x:c r="V154" s="79" t="str">
        <x:v>30 میل</x:v>
      </x:c>
      <x:c r="W154" s="99" t="b">
        <x:v>1</x:v>
      </x:c>
      <x:c r="X154" s="79" t="str">
        <x:v>60 میلی لیتر</x:v>
      </x:c>
      <x:c r="Y154" s="79" t="n">
        <x:v>120</x:v>
      </x:c>
      <x:c r="Z154" s="104" t="n">
        <x:v>120000</x:v>
      </x:c>
      <x:c r="AA154" s="79" t="n">
        <x:v>60</x:v>
      </x:c>
      <x:c r="AB154" s="79" t="str">
        <x:v>ml</x:v>
      </x:c>
      <x:c r="AC154" s="79" t="str">
        <x:v>60 میل</x:v>
      </x:c>
      <x:c r="AD154" s="99" t="b">
        <x:v>0</x:v>
      </x:c>
      <x:c r="AE154" s="79" t="str">
        <x:v>فعال</x:v>
      </x:c>
      <x:c r="AF154" s="79" t="str">
        <x:v>دسته‌بندی نهایی</x:v>
      </x:c>
      <x:c r="AG154" s="79" t="str">
        <x:v>OK</x:v>
      </x:c>
      <x:c r="AH154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  <x:c r="AI154" s="79"/>
      <x:c r="AJ154" s="79"/>
      <x:c r="AK154" s="79"/>
      <x:c r="AL154" t="str">
        <x:v>روغن زنجبیل</x:v>
      </x:c>
      <x:c r="AM154" t="str">
        <x:v>single_156</x:v>
      </x:c>
      <x:c r="AN154" t="str">
        <x:v>canonical_group_row</x:v>
      </x:c>
      <x:c r="AO154" t="str">
        <x:v>روغن</x:v>
      </x:c>
      <x:c r="AP154" t="str">
        <x:v>6a2d446d45c164ce6f28ae30</x:v>
      </x:c>
      <x:c r="AQ154" t="str">
        <x:v>oil</x:v>
      </x:c>
      <x:c r="AR154" t="str">
        <x:v>EDIBLE</x:v>
      </x:c>
      <x:c r="AS154" t="str">
        <x:v>بله</x:v>
      </x:c>
      <x:c r="AT154" t="str">
        <x:v>OK</x:v>
      </x:c>
      <x:c r="AU154"/>
    </x:row>
    <x:row r="155">
      <x:c r="A155" s="79" t="n">
        <x:v>157</x:v>
      </x:c>
      <x:c r="B155" s="79" t="str">
        <x:v>NS-0154-1</x:v>
      </x:c>
      <x:c r="C155" s="79" t="str">
        <x:v>روغن زنیان</x:v>
      </x:c>
      <x:c r="D155" s="79" t="str">
        <x:v>oil_ajwain_30ml</x:v>
      </x:c>
      <x:c r="E155" s="79" t="str">
        <x:v>update</x:v>
      </x:c>
      <x:c r="F155" s="79" t="str">
        <x:v>بله</x:v>
      </x:c>
      <x:c r="G155" s="79" t="str">
        <x:v>روغن</x:v>
      </x:c>
      <x:c r="H155" s="79" t="str">
        <x:v>روغن</x:v>
      </x:c>
      <x:c r="I155" s="79" t="str">
        <x:v>6a2d446d45c164ce6f28ae30</x:v>
      </x:c>
      <x:c r="J155" s="79" t="str">
        <x:v>oil</x:v>
      </x:c>
      <x:c r="K155" s="79"/>
      <x:c r="L155" s="79" t="str">
        <x:v>EDIBLE</x:v>
      </x:c>
      <x:c r="M155" s="79" t="str">
        <x:v>بله</x:v>
      </x:c>
      <x:c r="N155" s="79" t="str">
        <x:v>خوراکی</x:v>
      </x:c>
      <x:c r="O155" s="79" t="str">
        <x:v>بله</x:v>
      </x:c>
      <x:c r="P155" s="79" t="n">
        <x:v>2</x:v>
      </x:c>
      <x:c r="Q155" s="79" t="str">
        <x:v>30 میلی لیتر</x:v>
      </x:c>
      <x:c r="R155" s="79" t="n">
        <x:v>150</x:v>
      </x:c>
      <x:c r="S155" s="104" t="n">
        <x:v>150000</x:v>
      </x:c>
      <x:c r="T155" s="79" t="n">
        <x:v>30</x:v>
      </x:c>
      <x:c r="U155" s="79" t="str">
        <x:v>ml</x:v>
      </x:c>
      <x:c r="V155" s="79" t="str">
        <x:v>30 میل</x:v>
      </x:c>
      <x:c r="W155" s="99" t="b">
        <x:v>1</x:v>
      </x:c>
      <x:c r="X155" s="79" t="str">
        <x:v>60 میلی لیتر</x:v>
      </x:c>
      <x:c r="Y155" s="79" t="n">
        <x:v>295</x:v>
      </x:c>
      <x:c r="Z155" s="104" t="n">
        <x:v>295000</x:v>
      </x:c>
      <x:c r="AA155" s="79" t="n">
        <x:v>60</x:v>
      </x:c>
      <x:c r="AB155" s="79" t="str">
        <x:v>ml</x:v>
      </x:c>
      <x:c r="AC155" s="79" t="str">
        <x:v>60 میل</x:v>
      </x:c>
      <x:c r="AD155" s="99" t="b">
        <x:v>0</x:v>
      </x:c>
      <x:c r="AE155" s="79" t="str">
        <x:v>فعال</x:v>
      </x:c>
      <x:c r="AF155" s="79" t="str">
        <x:v>دسته‌بندی نهایی</x:v>
      </x:c>
      <x:c r="AG155" s="79" t="str">
        <x:v>OK</x:v>
      </x:c>
      <x:c r="AH155" s="79" t="str">
        <x:v>[{"name": "30 میلی لیتر", "sku": "", "price": 150000, "stock": "", "weight": 30, "weightUnit": "ml", "containerSize": "30 میل", "isDefault": true}, {"name": "60 میلی لیتر", "sku": "", "price": 295000, "stock": "", "weight": 60, "weightUnit": "ml", "containerSize": "60 میل", "isDefault": false}]</x:v>
      </x:c>
      <x:c r="AI155" s="79"/>
      <x:c r="AJ155" s="79"/>
      <x:c r="AK155" s="79"/>
      <x:c r="AL155" t="str">
        <x:v>روغن زنیان</x:v>
      </x:c>
      <x:c r="AM155" t="str">
        <x:v>single_157</x:v>
      </x:c>
      <x:c r="AN155" t="str">
        <x:v>canonical_group_row</x:v>
      </x:c>
      <x:c r="AO155" t="str">
        <x:v>روغن</x:v>
      </x:c>
      <x:c r="AP155" t="str">
        <x:v>6a2d446d45c164ce6f28ae30</x:v>
      </x:c>
      <x:c r="AQ155" t="str">
        <x:v>oil</x:v>
      </x:c>
      <x:c r="AR155" t="str">
        <x:v>EDIBLE</x:v>
      </x:c>
      <x:c r="AS155" t="str">
        <x:v>بله</x:v>
      </x:c>
      <x:c r="AT155" t="str">
        <x:v>OK</x:v>
      </x:c>
      <x:c r="AU155"/>
    </x:row>
    <x:row r="156">
      <x:c r="A156" s="79" t="n">
        <x:v>158</x:v>
      </x:c>
      <x:c r="B156" s="79" t="str">
        <x:v>NS-0155-1</x:v>
      </x:c>
      <x:c r="C156" s="79" t="str">
        <x:v>روغن زیتون</x:v>
      </x:c>
      <x:c r="D156" s="79" t="str">
        <x:v>oil_olive_half_liter</x:v>
      </x:c>
      <x:c r="E156" s="79" t="str">
        <x:v>update</x:v>
      </x:c>
      <x:c r="F156" s="79" t="str">
        <x:v>بله</x:v>
      </x:c>
      <x:c r="G156" s="79" t="str">
        <x:v>روغن</x:v>
      </x:c>
      <x:c r="H156" s="79" t="str">
        <x:v>روغن</x:v>
      </x:c>
      <x:c r="I156" s="79" t="str">
        <x:v>6a2d446d45c164ce6f28ae30</x:v>
      </x:c>
      <x:c r="J156" s="79" t="str">
        <x:v>oil</x:v>
      </x:c>
      <x:c r="K156" s="79"/>
      <x:c r="L156" s="79" t="str">
        <x:v>EDIBLE</x:v>
      </x:c>
      <x:c r="M156" s="79" t="str">
        <x:v>بله</x:v>
      </x:c>
      <x:c r="N156" s="79" t="str">
        <x:v>خوراکی</x:v>
      </x:c>
      <x:c r="O156" s="79" t="str">
        <x:v>بله</x:v>
      </x:c>
      <x:c r="P156" s="79" t="n">
        <x:v>2</x:v>
      </x:c>
      <x:c r="Q156" s="79" t="str">
        <x:v>نیم لیتر</x:v>
      </x:c>
      <x:c r="R156" s="79" t="n">
        <x:v>555</x:v>
      </x:c>
      <x:c r="S156" s="104" t="n">
        <x:v>555000</x:v>
      </x:c>
      <x:c r="T156" s="79" t="n">
        <x:v>500</x:v>
      </x:c>
      <x:c r="U156" s="79" t="str">
        <x:v>ml</x:v>
      </x:c>
      <x:c r="V156" s="79" t="str">
        <x:v>نیم لیتر</x:v>
      </x:c>
      <x:c r="W156" s="99" t="b">
        <x:v>1</x:v>
      </x:c>
      <x:c r="X156" s="79" t="str">
        <x:v>1 لیتر</x:v>
      </x:c>
      <x:c r="Y156" s="79" t="str">
        <x:v>1/100</x:v>
      </x:c>
      <x:c r="Z156" s="104" t="n">
        <x:v>1100000</x:v>
      </x:c>
      <x:c r="AA156" s="79" t="n">
        <x:v>1000</x:v>
      </x:c>
      <x:c r="AB156" s="79" t="str">
        <x:v>ml</x:v>
      </x:c>
      <x:c r="AC156" s="79" t="str">
        <x:v>1 لیتر</x:v>
      </x:c>
      <x:c r="AD156" s="99" t="b">
        <x:v>0</x:v>
      </x:c>
      <x:c r="AE156" s="79" t="str">
        <x:v>فعال</x:v>
      </x:c>
      <x:c r="AF156" s="79" t="str">
        <x:v>دسته‌بندی نهایی</x:v>
      </x:c>
      <x:c r="AG156" s="79" t="str">
        <x:v>OK</x:v>
      </x:c>
      <x:c r="AH156" s="79" t="str">
        <x:v>[{"name": "نیم لیتر", "sku": "", "price": 555000, "stock": "", "weight": 500, "weightUnit": "ml", "containerSize": "نیم لیتر", "isDefault": true}, {"name": "1 لیتر", "sku": "", "price": 1100000, "stock": "", "weight": 1000, "weightUnit": "ml", "containerSize": "1 لیتر", "isDefault": false}]</x:v>
      </x:c>
      <x:c r="AI156" s="79"/>
      <x:c r="AJ156" s="79"/>
      <x:c r="AK156" s="79"/>
      <x:c r="AL156" t="str">
        <x:v>روغن زیتون</x:v>
      </x:c>
      <x:c r="AM156" t="str">
        <x:v>single_158</x:v>
      </x:c>
      <x:c r="AN156" t="str">
        <x:v>canonical_group_row</x:v>
      </x:c>
      <x:c r="AO156" t="str">
        <x:v>روغن</x:v>
      </x:c>
      <x:c r="AP156" t="str">
        <x:v>6a2d446d45c164ce6f28ae30</x:v>
      </x:c>
      <x:c r="AQ156" t="str">
        <x:v>oil</x:v>
      </x:c>
      <x:c r="AR156" t="str">
        <x:v>EDIBLE</x:v>
      </x:c>
      <x:c r="AS156" t="str">
        <x:v>بله</x:v>
      </x:c>
      <x:c r="AT156" t="str">
        <x:v>OK</x:v>
      </x:c>
      <x:c r="AU156"/>
    </x:row>
    <x:row r="157">
      <x:c r="A157" s="79" t="n">
        <x:v>159</x:v>
      </x:c>
      <x:c r="B157" s="79" t="str">
        <x:v>NS-0156-1</x:v>
      </x:c>
      <x:c r="C157" s="79" t="str">
        <x:v>روغن زیتون موضعی</x:v>
      </x:c>
      <x:c r="D157" s="79" t="str">
        <x:v>topical_olive_oil_30ml</x:v>
      </x:c>
      <x:c r="E157" s="79" t="str">
        <x:v>update</x:v>
      </x:c>
      <x:c r="F157" s="79" t="str">
        <x:v>بله</x:v>
      </x:c>
      <x:c r="G157" s="79" t="str">
        <x:v>روغن</x:v>
      </x:c>
      <x:c r="H157" s="79" t="str">
        <x:v>روغن</x:v>
      </x:c>
      <x:c r="I157" s="79" t="str">
        <x:v>6a2d446d45c164ce6f28ae30</x:v>
      </x:c>
      <x:c r="J157" s="79" t="str">
        <x:v>oil</x:v>
      </x:c>
      <x:c r="K157" s="79"/>
      <x:c r="L157" s="79" t="str">
        <x:v>EDIBLE</x:v>
      </x:c>
      <x:c r="M157" s="79" t="str">
        <x:v>بله</x:v>
      </x:c>
      <x:c r="N157" s="79" t="str">
        <x:v>خوراکی</x:v>
      </x:c>
      <x:c r="O157" s="79" t="str">
        <x:v>بله</x:v>
      </x:c>
      <x:c r="P157" s="79" t="n">
        <x:v>2</x:v>
      </x:c>
      <x:c r="Q157" s="79" t="str">
        <x:v>30 میلی لیتر</x:v>
      </x:c>
      <x:c r="R157" s="79" t="str">
        <x:v>؟</x:v>
      </x:c>
      <x:c r="S157" s="104"/>
      <x:c r="T157" s="79" t="n">
        <x:v>30</x:v>
      </x:c>
      <x:c r="U157" s="79" t="str">
        <x:v>ml</x:v>
      </x:c>
      <x:c r="V157" s="79" t="str">
        <x:v>30 میل</x:v>
      </x:c>
      <x:c r="W157" s="99" t="b">
        <x:v>1</x:v>
      </x:c>
      <x:c r="X157" s="79" t="str">
        <x:v>60 میلی لیتر</x:v>
      </x:c>
      <x:c r="Y157" s="79" t="n">
        <x:v>70</x:v>
      </x:c>
      <x:c r="Z157" s="104" t="n">
        <x:v>70000</x:v>
      </x:c>
      <x:c r="AA157" s="79" t="n">
        <x:v>60</x:v>
      </x:c>
      <x:c r="AB157" s="79" t="str">
        <x:v>ml</x:v>
      </x:c>
      <x:c r="AC157" s="79" t="str">
        <x:v>60 میل</x:v>
      </x:c>
      <x:c r="AD157" s="99" t="b">
        <x:v>0</x:v>
      </x:c>
      <x:c r="AE157" s="79" t="str">
        <x:v>فعال</x:v>
      </x:c>
      <x:c r="AF157" s="79" t="str">
        <x:v>دسته‌بندی نهایی</x:v>
      </x:c>
      <x:c r="AG157" s="79" t="str">
        <x:v>یک یا چند قیمت نامشخص است</x:v>
      </x:c>
      <x:c r="AH157" s="79" t="str">
        <x:v>[{"name": "30 میلی لیتر", "sku": "", "price": null, "stock": "", "weight": 30, "weightUnit": "ml", "containerSize": "30 میل", "isDefault": true}, {"name": "60 میلی لیتر", "sku": "", "price": 70000, "stock": "", "weight": 60, "weightUnit": "ml", "containerSize": "60 میل", "isDefault": false}]</x:v>
      </x:c>
      <x:c r="AI157" s="79"/>
      <x:c r="AJ157" s="79"/>
      <x:c r="AK157" s="79"/>
      <x:c r="AL157" t="str">
        <x:v>روغن زیتون موضعی</x:v>
      </x:c>
      <x:c r="AM157" t="str">
        <x:v>single_159</x:v>
      </x:c>
      <x:c r="AN157" t="str">
        <x:v>canonical_group_row</x:v>
      </x:c>
      <x:c r="AO157" t="str">
        <x:v>روغن</x:v>
      </x:c>
      <x:c r="AP157" t="str">
        <x:v>6a2d446d45c164ce6f28ae30</x:v>
      </x:c>
      <x:c r="AQ157" t="str">
        <x:v>oil</x:v>
      </x:c>
      <x:c r="AR157" t="str">
        <x:v>EDIBLE</x:v>
      </x:c>
      <x:c r="AS157" t="str">
        <x:v>بله</x:v>
      </x:c>
      <x:c r="AT157" t="str">
        <x:v>MISSING_PRICE_REVIEW</x:v>
      </x:c>
      <x:c r="AU157" t="str">
        <x:v>یک یا چند قیمت نامشخص است</x:v>
      </x:c>
    </x:row>
    <x:row r="158">
      <x:c r="A158" s="79" t="n">
        <x:v>160</x:v>
      </x:c>
      <x:c r="B158" s="79" t="str">
        <x:v>NS-0157-1</x:v>
      </x:c>
      <x:c r="C158" s="79" t="str">
        <x:v>روغن سقز</x:v>
      </x:c>
      <x:c r="D158" s="79" t="str">
        <x:v>oil_mastic_30ml</x:v>
      </x:c>
      <x:c r="E158" s="79" t="str">
        <x:v>update</x:v>
      </x:c>
      <x:c r="F158" s="79" t="str">
        <x:v>بله</x:v>
      </x:c>
      <x:c r="G158" s="79" t="str">
        <x:v>روغن</x:v>
      </x:c>
      <x:c r="H158" s="79" t="str">
        <x:v>روغن</x:v>
      </x:c>
      <x:c r="I158" s="79" t="str">
        <x:v>6a2d446d45c164ce6f28ae30</x:v>
      </x:c>
      <x:c r="J158" s="79" t="str">
        <x:v>oil</x:v>
      </x:c>
      <x:c r="K158" s="79"/>
      <x:c r="L158" s="79" t="str">
        <x:v>EDIBLE</x:v>
      </x:c>
      <x:c r="M158" s="79" t="str">
        <x:v>بله</x:v>
      </x:c>
      <x:c r="N158" s="79" t="str">
        <x:v>خوراکی</x:v>
      </x:c>
      <x:c r="O158" s="79" t="str">
        <x:v>بله</x:v>
      </x:c>
      <x:c r="P158" s="79" t="n">
        <x:v>2</x:v>
      </x:c>
      <x:c r="Q158" s="79" t="str">
        <x:v>30 میلی لیتر</x:v>
      </x:c>
      <x:c r="R158" s="79" t="n">
        <x:v>90</x:v>
      </x:c>
      <x:c r="S158" s="104" t="n">
        <x:v>90000</x:v>
      </x:c>
      <x:c r="T158" s="79" t="n">
        <x:v>30</x:v>
      </x:c>
      <x:c r="U158" s="79" t="str">
        <x:v>ml</x:v>
      </x:c>
      <x:c r="V158" s="79" t="str">
        <x:v>30 میل</x:v>
      </x:c>
      <x:c r="W158" s="99" t="b">
        <x:v>1</x:v>
      </x:c>
      <x:c r="X158" s="79" t="str">
        <x:v>60 میلی لیتر</x:v>
      </x:c>
      <x:c r="Y158" s="79" t="n">
        <x:v>170</x:v>
      </x:c>
      <x:c r="Z158" s="104" t="n">
        <x:v>170000</x:v>
      </x:c>
      <x:c r="AA158" s="79" t="n">
        <x:v>60</x:v>
      </x:c>
      <x:c r="AB158" s="79" t="str">
        <x:v>ml</x:v>
      </x:c>
      <x:c r="AC158" s="79" t="str">
        <x:v>60 میل</x:v>
      </x:c>
      <x:c r="AD158" s="99" t="b">
        <x:v>0</x:v>
      </x:c>
      <x:c r="AE158" s="79" t="str">
        <x:v>فعال</x:v>
      </x:c>
      <x:c r="AF158" s="79" t="str">
        <x:v>دسته‌بندی نهایی</x:v>
      </x:c>
      <x:c r="AG158" s="79" t="str">
        <x:v>OK</x:v>
      </x:c>
      <x:c r="AH158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  <x:c r="AI158" s="79"/>
      <x:c r="AJ158" s="79"/>
      <x:c r="AK158" s="79"/>
      <x:c r="AL158" t="str">
        <x:v>روغن سقز</x:v>
      </x:c>
      <x:c r="AM158" t="str">
        <x:v>single_160</x:v>
      </x:c>
      <x:c r="AN158" t="str">
        <x:v>canonical_group_row</x:v>
      </x:c>
      <x:c r="AO158" t="str">
        <x:v>روغن</x:v>
      </x:c>
      <x:c r="AP158" t="str">
        <x:v>6a2d446d45c164ce6f28ae30</x:v>
      </x:c>
      <x:c r="AQ158" t="str">
        <x:v>oil</x:v>
      </x:c>
      <x:c r="AR158" t="str">
        <x:v>EDIBLE</x:v>
      </x:c>
      <x:c r="AS158" t="str">
        <x:v>بله</x:v>
      </x:c>
      <x:c r="AT158" t="str">
        <x:v>OK</x:v>
      </x:c>
      <x:c r="AU158"/>
    </x:row>
    <x:row r="159">
      <x:c r="A159" s="79" t="n">
        <x:v>161</x:v>
      </x:c>
      <x:c r="B159" s="79" t="str">
        <x:v>NS-0158-1</x:v>
      </x:c>
      <x:c r="C159" s="79" t="str">
        <x:v>روغن سیاهدانه</x:v>
      </x:c>
      <x:c r="D159" s="79" t="str">
        <x:v>oil_syahdanh_30ml</x:v>
      </x:c>
      <x:c r="E159" s="79" t="str">
        <x:v>update</x:v>
      </x:c>
      <x:c r="F159" s="79" t="str">
        <x:v>بله</x:v>
      </x:c>
      <x:c r="G159" s="79" t="str">
        <x:v>روغن</x:v>
      </x:c>
      <x:c r="H159" s="79" t="str">
        <x:v>روغن</x:v>
      </x:c>
      <x:c r="I159" s="79" t="str">
        <x:v>6a2d446d45c164ce6f28ae30</x:v>
      </x:c>
      <x:c r="J159" s="79" t="str">
        <x:v>oil</x:v>
      </x:c>
      <x:c r="K159" s="79"/>
      <x:c r="L159" s="79" t="str">
        <x:v>EDIBLE</x:v>
      </x:c>
      <x:c r="M159" s="79" t="str">
        <x:v>بله</x:v>
      </x:c>
      <x:c r="N159" s="79" t="str">
        <x:v>خوراکی</x:v>
      </x:c>
      <x:c r="O159" s="79" t="str">
        <x:v>بله</x:v>
      </x:c>
      <x:c r="P159" s="79" t="n">
        <x:v>2</x:v>
      </x:c>
      <x:c r="Q159" s="79" t="str">
        <x:v>30 میلی لیتر</x:v>
      </x:c>
      <x:c r="R159" s="79" t="n">
        <x:v>130</x:v>
      </x:c>
      <x:c r="S159" s="104" t="n">
        <x:v>130000</x:v>
      </x:c>
      <x:c r="T159" s="79" t="n">
        <x:v>30</x:v>
      </x:c>
      <x:c r="U159" s="79" t="str">
        <x:v>ml</x:v>
      </x:c>
      <x:c r="V159" s="79" t="str">
        <x:v>30 میل</x:v>
      </x:c>
      <x:c r="W159" s="99" t="b">
        <x:v>1</x:v>
      </x:c>
      <x:c r="X159" s="79" t="str">
        <x:v>60 میلی لیتر</x:v>
      </x:c>
      <x:c r="Y159" s="79" t="n">
        <x:v>255</x:v>
      </x:c>
      <x:c r="Z159" s="104" t="n">
        <x:v>255000</x:v>
      </x:c>
      <x:c r="AA159" s="79" t="n">
        <x:v>60</x:v>
      </x:c>
      <x:c r="AB159" s="79" t="str">
        <x:v>ml</x:v>
      </x:c>
      <x:c r="AC159" s="79" t="str">
        <x:v>60 میل</x:v>
      </x:c>
      <x:c r="AD159" s="99" t="b">
        <x:v>0</x:v>
      </x:c>
      <x:c r="AE159" s="79" t="str">
        <x:v>فعال</x:v>
      </x:c>
      <x:c r="AF159" s="79" t="str">
        <x:v>دسته‌بندی نهایی</x:v>
      </x:c>
      <x:c r="AG159" s="79" t="str">
        <x:v>MERGED</x:v>
      </x:c>
      <x:c r="AH159" s="79" t="str">
        <x:v>[{"name": "30 میلی لیتر", "sku": "", "price": 130000, "stock": "", "weight": 30, "weightUnit": "ml", "containerSize": "30 میل", "isDefault": true}, {"name": "60 میلی لیتر", "sku": "", "price": 255000, "stock": "", "weight": 60, "weightUnit": "ml", "containerSize": "60 میل", "isDefault": false}]</x:v>
      </x:c>
      <x:c r="AI159" s="79"/>
      <x:c r="AJ159" s="79"/>
      <x:c r="AK159" s="79"/>
      <x:c r="AL159" t="str">
        <x:v>روغن سیاهدانه</x:v>
      </x:c>
      <x:c r="AM159" t="str">
        <x:v>grp_black_seed_oil</x:v>
      </x:c>
      <x:c r="AN159" t="str">
        <x:v>canonical_group_row</x:v>
      </x:c>
      <x:c r="AO159" t="str">
        <x:v>روغن</x:v>
      </x:c>
      <x:c r="AP159" t="str">
        <x:v>6a2d446d45c164ce6f28ae30</x:v>
      </x:c>
      <x:c r="AQ159" t="str">
        <x:v>oil</x:v>
      </x:c>
      <x:c r="AR159" t="str">
        <x:v>EDIBLE</x:v>
      </x:c>
      <x:c r="AS159" t="str">
        <x:v>بله</x:v>
      </x:c>
      <x:c r="AT159" t="str">
        <x:v>MERGED</x:v>
      </x:c>
      <x:c r="AU159"/>
    </x:row>
    <x:row r="160">
      <x:c r="A160" s="79" t="n">
        <x:v>162</x:v>
      </x:c>
      <x:c r="B160" s="79" t="str">
        <x:v>NS-0159-1</x:v>
      </x:c>
      <x:c r="C160" s="79" t="str">
        <x:v>روغن سیاهدانه هندی</x:v>
      </x:c>
      <x:c r="D160" s="79" t="str">
        <x:v>indian_black_seed_oil_half_liter</x:v>
      </x:c>
      <x:c r="E160" s="79" t="str">
        <x:v>update</x:v>
      </x:c>
      <x:c r="F160" s="79" t="str">
        <x:v>بله</x:v>
      </x:c>
      <x:c r="G160" s="79" t="str">
        <x:v>روغن</x:v>
      </x:c>
      <x:c r="H160" s="79" t="str">
        <x:v>روغن</x:v>
      </x:c>
      <x:c r="I160" s="79" t="str">
        <x:v>6a2d446d45c164ce6f28ae30</x:v>
      </x:c>
      <x:c r="J160" s="79" t="str">
        <x:v>oil</x:v>
      </x:c>
      <x:c r="K160" s="79"/>
      <x:c r="L160" s="79" t="str">
        <x:v>EDIBLE</x:v>
      </x:c>
      <x:c r="M160" s="79" t="str">
        <x:v>بله</x:v>
      </x:c>
      <x:c r="N160" s="79" t="str">
        <x:v>خوراکی</x:v>
      </x:c>
      <x:c r="O160" s="79" t="str">
        <x:v>بله</x:v>
      </x:c>
      <x:c r="P160" s="79" t="n">
        <x:v>2</x:v>
      </x:c>
      <x:c r="Q160" s="79" t="str">
        <x:v>نیم لیتر</x:v>
      </x:c>
      <x:c r="R160" s="79" t="str">
        <x:v>1/760</x:v>
      </x:c>
      <x:c r="S160" s="104" t="n">
        <x:v>1760000</x:v>
      </x:c>
      <x:c r="T160" s="79" t="n">
        <x:v>500</x:v>
      </x:c>
      <x:c r="U160" s="79" t="str">
        <x:v>ml</x:v>
      </x:c>
      <x:c r="V160" s="79" t="str">
        <x:v>نیم لیتر</x:v>
      </x:c>
      <x:c r="W160" s="99" t="b">
        <x:v>1</x:v>
      </x:c>
      <x:c r="X160" s="79" t="str">
        <x:v>1 لیتر</x:v>
      </x:c>
      <x:c r="Y160" s="79" t="str">
        <x:v>3/500</x:v>
      </x:c>
      <x:c r="Z160" s="104" t="n">
        <x:v>3500000</x:v>
      </x:c>
      <x:c r="AA160" s="79" t="n">
        <x:v>1000</x:v>
      </x:c>
      <x:c r="AB160" s="79" t="str">
        <x:v>ml</x:v>
      </x:c>
      <x:c r="AC160" s="79" t="str">
        <x:v>1 لیتر</x:v>
      </x:c>
      <x:c r="AD160" s="99" t="b">
        <x:v>0</x:v>
      </x:c>
      <x:c r="AE160" s="79" t="str">
        <x:v>فعال</x:v>
      </x:c>
      <x:c r="AF160" s="79" t="str">
        <x:v>دسته‌بندی نهایی</x:v>
      </x:c>
      <x:c r="AG160" s="79" t="str">
        <x:v>MERGED</x:v>
      </x:c>
      <x:c r="AH160" s="79" t="str">
        <x:v>[{"name": "نیم لیتر", "sku": "", "price": 1760000, "stock": "", "weight": 500, "weightUnit": "ml", "containerSize": "نیم لیتر", "isDefault": true}, {"name": "1 لیتر", "sku": "", "price": 3500000, "stock": "", "weight": 1000, "weightUnit": "ml", "containerSize": "1 لیتر", "isDefault": false}]</x:v>
      </x:c>
      <x:c r="AI160" s="79"/>
      <x:c r="AJ160" s="79"/>
      <x:c r="AK160" s="79"/>
      <x:c r="AL160" t="str">
        <x:v>روغن سیاهدانه</x:v>
      </x:c>
      <x:c r="AM160" t="str">
        <x:v>grp_black_seed_oil</x:v>
      </x:c>
      <x:c r="AN160" t="str">
        <x:v>merge_into_canonical_group</x:v>
      </x:c>
      <x:c r="AO160" t="str">
        <x:v>روغن</x:v>
      </x:c>
      <x:c r="AP160" t="str">
        <x:v>6a2d446d45c164ce6f28ae30</x:v>
      </x:c>
      <x:c r="AQ160" t="str">
        <x:v>oil</x:v>
      </x:c>
      <x:c r="AR160" t="str">
        <x:v>EDIBLE</x:v>
      </x:c>
      <x:c r="AS160" t="str">
        <x:v>بله</x:v>
      </x:c>
      <x:c r="AT160" t="str">
        <x:v>MERGED</x:v>
      </x:c>
      <x:c r="AU160"/>
    </x:row>
    <x:row r="161">
      <x:c r="A161" s="79" t="n">
        <x:v>163</x:v>
      </x:c>
      <x:c r="B161" s="79" t="str">
        <x:v>NS-0160-1</x:v>
      </x:c>
      <x:c r="C161" s="79" t="str">
        <x:v>روغن سیر</x:v>
      </x:c>
      <x:c r="D161" s="79" t="str">
        <x:v>oil_garlic_30ml</x:v>
      </x:c>
      <x:c r="E161" s="79" t="str">
        <x:v>update</x:v>
      </x:c>
      <x:c r="F161" s="79" t="str">
        <x:v>بله</x:v>
      </x:c>
      <x:c r="G161" s="79" t="str">
        <x:v>روغن</x:v>
      </x:c>
      <x:c r="H161" s="79" t="str">
        <x:v>روغن</x:v>
      </x:c>
      <x:c r="I161" s="79" t="str">
        <x:v>6a2d446d45c164ce6f28ae30</x:v>
      </x:c>
      <x:c r="J161" s="79" t="str">
        <x:v>oil</x:v>
      </x:c>
      <x:c r="K161" s="79"/>
      <x:c r="L161" s="79" t="str">
        <x:v>EDIBLE</x:v>
      </x:c>
      <x:c r="M161" s="79" t="str">
        <x:v>بله</x:v>
      </x:c>
      <x:c r="N161" s="79" t="str">
        <x:v>خوراکی</x:v>
      </x:c>
      <x:c r="O161" s="79" t="str">
        <x:v>بله</x:v>
      </x:c>
      <x:c r="P161" s="79" t="n">
        <x:v>2</x:v>
      </x:c>
      <x:c r="Q161" s="79" t="str">
        <x:v>30 میلی لیتر</x:v>
      </x:c>
      <x:c r="R161" s="79" t="n">
        <x:v>65</x:v>
      </x:c>
      <x:c r="S161" s="104" t="n">
        <x:v>65000</x:v>
      </x:c>
      <x:c r="T161" s="79" t="n">
        <x:v>30</x:v>
      </x:c>
      <x:c r="U161" s="79" t="str">
        <x:v>ml</x:v>
      </x:c>
      <x:c r="V161" s="79" t="str">
        <x:v>30 میل</x:v>
      </x:c>
      <x:c r="W161" s="99" t="b">
        <x:v>1</x:v>
      </x:c>
      <x:c r="X161" s="79" t="str">
        <x:v>60 میلی لیتر</x:v>
      </x:c>
      <x:c r="Y161" s="79" t="n">
        <x:v>120</x:v>
      </x:c>
      <x:c r="Z161" s="104" t="n">
        <x:v>120000</x:v>
      </x:c>
      <x:c r="AA161" s="79" t="n">
        <x:v>60</x:v>
      </x:c>
      <x:c r="AB161" s="79" t="str">
        <x:v>ml</x:v>
      </x:c>
      <x:c r="AC161" s="79" t="str">
        <x:v>60 میل</x:v>
      </x:c>
      <x:c r="AD161" s="99" t="b">
        <x:v>0</x:v>
      </x:c>
      <x:c r="AE161" s="79" t="str">
        <x:v>فعال</x:v>
      </x:c>
      <x:c r="AF161" s="79" t="str">
        <x:v>دسته‌بندی نهایی</x:v>
      </x:c>
      <x:c r="AG161" s="79" t="str">
        <x:v>OK</x:v>
      </x:c>
      <x:c r="AH161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  <x:c r="AI161" s="79"/>
      <x:c r="AJ161" s="79"/>
      <x:c r="AK161" s="79"/>
      <x:c r="AL161" t="str">
        <x:v>روغن سیر</x:v>
      </x:c>
      <x:c r="AM161" t="str">
        <x:v>single_163</x:v>
      </x:c>
      <x:c r="AN161" t="str">
        <x:v>canonical_group_row</x:v>
      </x:c>
      <x:c r="AO161" t="str">
        <x:v>روغن</x:v>
      </x:c>
      <x:c r="AP161" t="str">
        <x:v>6a2d446d45c164ce6f28ae30</x:v>
      </x:c>
      <x:c r="AQ161" t="str">
        <x:v>oil</x:v>
      </x:c>
      <x:c r="AR161" t="str">
        <x:v>EDIBLE</x:v>
      </x:c>
      <x:c r="AS161" t="str">
        <x:v>بله</x:v>
      </x:c>
      <x:c r="AT161" t="str">
        <x:v>OK</x:v>
      </x:c>
      <x:c r="AU161"/>
    </x:row>
    <x:row r="162">
      <x:c r="A162" s="79" t="n">
        <x:v>164</x:v>
      </x:c>
      <x:c r="B162" s="79" t="str">
        <x:v>NS-0161-1</x:v>
      </x:c>
      <x:c r="C162" s="79" t="str">
        <x:v>روغن شترمرغ</x:v>
      </x:c>
      <x:c r="D162" s="79" t="str">
        <x:v>oil_ostrich_30ml</x:v>
      </x:c>
      <x:c r="E162" s="79" t="str">
        <x:v>update</x:v>
      </x:c>
      <x:c r="F162" s="79" t="str">
        <x:v>بله</x:v>
      </x:c>
      <x:c r="G162" s="79" t="str">
        <x:v>روغن</x:v>
      </x:c>
      <x:c r="H162" s="79" t="str">
        <x:v>روغن</x:v>
      </x:c>
      <x:c r="I162" s="79" t="str">
        <x:v>6a2d446d45c164ce6f28ae30</x:v>
      </x:c>
      <x:c r="J162" s="79" t="str">
        <x:v>oil</x:v>
      </x:c>
      <x:c r="K162" s="79"/>
      <x:c r="L162" s="79" t="str">
        <x:v>EDIBLE</x:v>
      </x:c>
      <x:c r="M162" s="79" t="str">
        <x:v>بله</x:v>
      </x:c>
      <x:c r="N162" s="79" t="str">
        <x:v>خوراکی</x:v>
      </x:c>
      <x:c r="O162" s="79" t="str">
        <x:v>بله</x:v>
      </x:c>
      <x:c r="P162" s="79" t="n">
        <x:v>2</x:v>
      </x:c>
      <x:c r="Q162" s="79" t="str">
        <x:v>30 میلی لیتر</x:v>
      </x:c>
      <x:c r="R162" s="79" t="n">
        <x:v>90</x:v>
      </x:c>
      <x:c r="S162" s="104" t="n">
        <x:v>90000</x:v>
      </x:c>
      <x:c r="T162" s="79" t="n">
        <x:v>30</x:v>
      </x:c>
      <x:c r="U162" s="79" t="str">
        <x:v>ml</x:v>
      </x:c>
      <x:c r="V162" s="79" t="str">
        <x:v>30 میل</x:v>
      </x:c>
      <x:c r="W162" s="99" t="b">
        <x:v>1</x:v>
      </x:c>
      <x:c r="X162" s="79" t="str">
        <x:v>60 میلی لیتر</x:v>
      </x:c>
      <x:c r="Y162" s="79" t="n">
        <x:v>170</x:v>
      </x:c>
      <x:c r="Z162" s="104" t="n">
        <x:v>170000</x:v>
      </x:c>
      <x:c r="AA162" s="79" t="n">
        <x:v>60</x:v>
      </x:c>
      <x:c r="AB162" s="79" t="str">
        <x:v>ml</x:v>
      </x:c>
      <x:c r="AC162" s="79" t="str">
        <x:v>60 میل</x:v>
      </x:c>
      <x:c r="AD162" s="99" t="b">
        <x:v>0</x:v>
      </x:c>
      <x:c r="AE162" s="79" t="str">
        <x:v>فعال</x:v>
      </x:c>
      <x:c r="AF162" s="79" t="str">
        <x:v>دسته‌بندی نهایی</x:v>
      </x:c>
      <x:c r="AG162" s="79" t="str">
        <x:v>OK</x:v>
      </x:c>
      <x:c r="AH162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  <x:c r="AI162" s="79"/>
      <x:c r="AJ162" s="79"/>
      <x:c r="AK162" s="79"/>
      <x:c r="AL162" t="str">
        <x:v>روغن شترمرغ</x:v>
      </x:c>
      <x:c r="AM162" t="str">
        <x:v>single_164</x:v>
      </x:c>
      <x:c r="AN162" t="str">
        <x:v>canonical_group_row</x:v>
      </x:c>
      <x:c r="AO162" t="str">
        <x:v>روغن</x:v>
      </x:c>
      <x:c r="AP162" t="str">
        <x:v>6a2d446d45c164ce6f28ae30</x:v>
      </x:c>
      <x:c r="AQ162" t="str">
        <x:v>oil</x:v>
      </x:c>
      <x:c r="AR162" t="str">
        <x:v>EDIBLE</x:v>
      </x:c>
      <x:c r="AS162" t="str">
        <x:v>بله</x:v>
      </x:c>
      <x:c r="AT162" t="str">
        <x:v>OK</x:v>
      </x:c>
      <x:c r="AU162"/>
    </x:row>
    <x:row r="163">
      <x:c r="A163" s="79" t="n">
        <x:v>165</x:v>
      </x:c>
      <x:c r="B163" s="79" t="str">
        <x:v>NS-0162-1</x:v>
      </x:c>
      <x:c r="C163" s="79" t="str">
        <x:v>روغن شوید</x:v>
      </x:c>
      <x:c r="D163" s="79" t="str">
        <x:v>oil_dill_30ml</x:v>
      </x:c>
      <x:c r="E163" s="79" t="str">
        <x:v>update</x:v>
      </x:c>
      <x:c r="F163" s="79" t="str">
        <x:v>بله</x:v>
      </x:c>
      <x:c r="G163" s="79" t="str">
        <x:v>روغن</x:v>
      </x:c>
      <x:c r="H163" s="79" t="str">
        <x:v>روغن</x:v>
      </x:c>
      <x:c r="I163" s="79" t="str">
        <x:v>6a2d446d45c164ce6f28ae30</x:v>
      </x:c>
      <x:c r="J163" s="79" t="str">
        <x:v>oil</x:v>
      </x:c>
      <x:c r="K163" s="79"/>
      <x:c r="L163" s="79" t="str">
        <x:v>EDIBLE</x:v>
      </x:c>
      <x:c r="M163" s="79" t="str">
        <x:v>بله</x:v>
      </x:c>
      <x:c r="N163" s="79" t="str">
        <x:v>خوراکی</x:v>
      </x:c>
      <x:c r="O163" s="79" t="str">
        <x:v>بله</x:v>
      </x:c>
      <x:c r="P163" s="79" t="n">
        <x:v>2</x:v>
      </x:c>
      <x:c r="Q163" s="79" t="str">
        <x:v>30 میلی لیتر</x:v>
      </x:c>
      <x:c r="R163" s="79" t="n">
        <x:v>65</x:v>
      </x:c>
      <x:c r="S163" s="104" t="n">
        <x:v>65000</x:v>
      </x:c>
      <x:c r="T163" s="79" t="n">
        <x:v>30</x:v>
      </x:c>
      <x:c r="U163" s="79" t="str">
        <x:v>ml</x:v>
      </x:c>
      <x:c r="V163" s="79" t="str">
        <x:v>30 میل</x:v>
      </x:c>
      <x:c r="W163" s="99" t="b">
        <x:v>1</x:v>
      </x:c>
      <x:c r="X163" s="79" t="str">
        <x:v>60 میلی لیتر</x:v>
      </x:c>
      <x:c r="Y163" s="79" t="n">
        <x:v>120</x:v>
      </x:c>
      <x:c r="Z163" s="104" t="n">
        <x:v>120000</x:v>
      </x:c>
      <x:c r="AA163" s="79" t="n">
        <x:v>60</x:v>
      </x:c>
      <x:c r="AB163" s="79" t="str">
        <x:v>ml</x:v>
      </x:c>
      <x:c r="AC163" s="79" t="str">
        <x:v>60 میل</x:v>
      </x:c>
      <x:c r="AD163" s="99" t="b">
        <x:v>0</x:v>
      </x:c>
      <x:c r="AE163" s="79" t="str">
        <x:v>فعال</x:v>
      </x:c>
      <x:c r="AF163" s="79" t="str">
        <x:v>دسته‌بندی نهایی</x:v>
      </x:c>
      <x:c r="AG163" s="79" t="str">
        <x:v>OK</x:v>
      </x:c>
      <x:c r="AH163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  <x:c r="AI163" s="79"/>
      <x:c r="AJ163" s="79"/>
      <x:c r="AK163" s="79"/>
      <x:c r="AL163" t="str">
        <x:v>روغن شوید</x:v>
      </x:c>
      <x:c r="AM163" t="str">
        <x:v>single_165</x:v>
      </x:c>
      <x:c r="AN163" t="str">
        <x:v>canonical_group_row</x:v>
      </x:c>
      <x:c r="AO163" t="str">
        <x:v>روغن</x:v>
      </x:c>
      <x:c r="AP163" t="str">
        <x:v>6a2d446d45c164ce6f28ae30</x:v>
      </x:c>
      <x:c r="AQ163" t="str">
        <x:v>oil</x:v>
      </x:c>
      <x:c r="AR163" t="str">
        <x:v>EDIBLE</x:v>
      </x:c>
      <x:c r="AS163" t="str">
        <x:v>بله</x:v>
      </x:c>
      <x:c r="AT163" t="str">
        <x:v>OK</x:v>
      </x:c>
      <x:c r="AU163"/>
    </x:row>
    <x:row r="164">
      <x:c r="A164" s="79" t="n">
        <x:v>166</x:v>
      </x:c>
      <x:c r="B164" s="79" t="str">
        <x:v>NS-0163-1</x:v>
      </x:c>
      <x:c r="C164" s="79" t="str">
        <x:v>روغن شی باتر</x:v>
      </x:c>
      <x:c r="D164" s="79" t="str">
        <x:v>shea_butter_oil_90_warm</x:v>
      </x:c>
      <x:c r="E164" s="79" t="str">
        <x:v>update</x:v>
      </x:c>
      <x:c r="F164" s="79" t="str">
        <x:v>بله</x:v>
      </x:c>
      <x:c r="G164" s="79" t="str">
        <x:v>روغن</x:v>
      </x:c>
      <x:c r="H164" s="79" t="str">
        <x:v>روغن</x:v>
      </x:c>
      <x:c r="I164" s="79" t="str">
        <x:v>6a2d446d45c164ce6f28ae30</x:v>
      </x:c>
      <x:c r="J164" s="79" t="str">
        <x:v>oil</x:v>
      </x:c>
      <x:c r="K164" s="79"/>
      <x:c r="L164" s="79" t="str">
        <x:v>EDIBLE</x:v>
      </x:c>
      <x:c r="M164" s="79" t="str">
        <x:v>بله</x:v>
      </x:c>
      <x:c r="N164" s="79" t="str">
        <x:v>خوراکی</x:v>
      </x:c>
      <x:c r="O164" s="79" t="str">
        <x:v>بله</x:v>
      </x:c>
      <x:c r="P164" s="79" t="n">
        <x:v>2</x:v>
      </x:c>
      <x:c r="Q164" s="79" t="str">
        <x:v>90 گرمی</x:v>
      </x:c>
      <x:c r="R164" s="79" t="n">
        <x:v>145</x:v>
      </x:c>
      <x:c r="S164" s="104" t="n">
        <x:v>145000</x:v>
      </x:c>
      <x:c r="T164" s="79" t="n">
        <x:v>90</x:v>
      </x:c>
      <x:c r="U164" s="79" t="str">
        <x:v>g</x:v>
      </x:c>
      <x:c r="V164" s="79" t="str">
        <x:v>90 گرم</x:v>
      </x:c>
      <x:c r="W164" s="99" t="b">
        <x:v>1</x:v>
      </x:c>
      <x:c r="X164" s="79" t="str">
        <x:v>کیلو</x:v>
      </x:c>
      <x:c r="Y164" s="79" t="str">
        <x:v>1/500</x:v>
      </x:c>
      <x:c r="Z164" s="104" t="n">
        <x:v>1500000</x:v>
      </x:c>
      <x:c r="AA164" s="79" t="n">
        <x:v>1</x:v>
      </x:c>
      <x:c r="AB164" s="79" t="str">
        <x:v>kg</x:v>
      </x:c>
      <x:c r="AC164" s="79" t="str">
        <x:v>کیلو</x:v>
      </x:c>
      <x:c r="AD164" s="99" t="b">
        <x:v>0</x:v>
      </x:c>
      <x:c r="AE164" s="79" t="str">
        <x:v>فعال</x:v>
      </x:c>
      <x:c r="AF164" s="79" t="str">
        <x:v>دسته‌بندی نهایی</x:v>
      </x:c>
      <x:c r="AG164" s="79" t="str">
        <x:v>OK</x:v>
      </x:c>
      <x:c r="AH164" s="79" t="str">
        <x:v>[{"name": "90 گرمی", "sku": "", "price": 145000, "stock": "", "weight": 90, "weightUnit": "g", "containerSize": "90 گرم", "isDefault": true}, {"name": "کیلو", "sku": "", "price": 1500000, "stock": "", "weight": 1, "weightUnit": "kg", "containerSize": "کیلو", "isDefault": false}]</x:v>
      </x:c>
      <x:c r="AI164" s="79"/>
      <x:c r="AJ164" s="79"/>
      <x:c r="AK164" s="79"/>
      <x:c r="AL164" t="str">
        <x:v>روغن شی باتر</x:v>
      </x:c>
      <x:c r="AM164" t="str">
        <x:v>single_166</x:v>
      </x:c>
      <x:c r="AN164" t="str">
        <x:v>canonical_group_row</x:v>
      </x:c>
      <x:c r="AO164" t="str">
        <x:v>روغن</x:v>
      </x:c>
      <x:c r="AP164" t="str">
        <x:v>6a2d446d45c164ce6f28ae30</x:v>
      </x:c>
      <x:c r="AQ164" t="str">
        <x:v>oil</x:v>
      </x:c>
      <x:c r="AR164" t="str">
        <x:v>EDIBLE</x:v>
      </x:c>
      <x:c r="AS164" t="str">
        <x:v>بله</x:v>
      </x:c>
      <x:c r="AT164" t="str">
        <x:v>OK</x:v>
      </x:c>
      <x:c r="AU164"/>
    </x:row>
    <x:row r="165">
      <x:c r="A165" s="79" t="n">
        <x:v>167</x:v>
      </x:c>
      <x:c r="B165" s="79" t="str">
        <x:v>NS-0164-1</x:v>
      </x:c>
      <x:c r="C165" s="79" t="str">
        <x:v>روغن ضد التهاب</x:v>
      </x:c>
      <x:c r="D165" s="79" t="str">
        <x:v>anti_inflammatory_oil_30ml</x:v>
      </x:c>
      <x:c r="E165" s="79" t="str">
        <x:v>update</x:v>
      </x:c>
      <x:c r="F165" s="79" t="str">
        <x:v>بله</x:v>
      </x:c>
      <x:c r="G165" s="79" t="str">
        <x:v>روغن</x:v>
      </x:c>
      <x:c r="H165" s="79" t="str">
        <x:v>روغن</x:v>
      </x:c>
      <x:c r="I165" s="79" t="str">
        <x:v>6a2d446d45c164ce6f28ae30</x:v>
      </x:c>
      <x:c r="J165" s="79" t="str">
        <x:v>oil</x:v>
      </x:c>
      <x:c r="K165" s="79"/>
      <x:c r="L165" s="79" t="str">
        <x:v>EDIBLE</x:v>
      </x:c>
      <x:c r="M165" s="79" t="str">
        <x:v>بله</x:v>
      </x:c>
      <x:c r="N165" s="79" t="str">
        <x:v>خوراکی</x:v>
      </x:c>
      <x:c r="O165" s="79" t="str">
        <x:v>بله</x:v>
      </x:c>
      <x:c r="P165" s="79" t="n">
        <x:v>2</x:v>
      </x:c>
      <x:c r="Q165" s="79" t="str">
        <x:v>30 میلی لیتر</x:v>
      </x:c>
      <x:c r="R165" s="79" t="n">
        <x:v>120</x:v>
      </x:c>
      <x:c r="S165" s="104" t="n">
        <x:v>120000</x:v>
      </x:c>
      <x:c r="T165" s="79" t="n">
        <x:v>30</x:v>
      </x:c>
      <x:c r="U165" s="79" t="str">
        <x:v>ml</x:v>
      </x:c>
      <x:c r="V165" s="79" t="str">
        <x:v>30 میل</x:v>
      </x:c>
      <x:c r="W165" s="99" t="b">
        <x:v>1</x:v>
      </x:c>
      <x:c r="X165" s="79" t="str">
        <x:v>60 میلی لیتر</x:v>
      </x:c>
      <x:c r="Y165" s="79" t="str">
        <x:v>؟</x:v>
      </x:c>
      <x:c r="Z165" s="104"/>
      <x:c r="AA165" s="79" t="n">
        <x:v>60</x:v>
      </x:c>
      <x:c r="AB165" s="79" t="str">
        <x:v>ml</x:v>
      </x:c>
      <x:c r="AC165" s="79" t="str">
        <x:v>60 میل</x:v>
      </x:c>
      <x:c r="AD165" s="99" t="b">
        <x:v>0</x:v>
      </x:c>
      <x:c r="AE165" s="79" t="str">
        <x:v>فعال</x:v>
      </x:c>
      <x:c r="AF165" s="79" t="str">
        <x:v>دسته‌بندی نهایی</x:v>
      </x:c>
      <x:c r="AG165" s="79" t="str">
        <x:v>یک یا چند قیمت نامشخص است</x:v>
      </x:c>
      <x:c r="AH165" s="79" t="str">
        <x:v>[{"name": "30 میلی لیتر", "sku": "", "price": 120000, "stock": "", "weight": 30, "weightUnit": "ml", "containerSize": "30 میل", "isDefault": true}, {"name": "60 میلی لیتر", "sku": "", "price": null, "stock": "", "weight": 60, "weightUnit": "ml", "containerSize": "60 میل", "isDefault": false}]</x:v>
      </x:c>
      <x:c r="AI165" s="79"/>
      <x:c r="AJ165" s="79"/>
      <x:c r="AK165" s="79"/>
      <x:c r="AL165" t="str">
        <x:v>روغن ضد التهاب</x:v>
      </x:c>
      <x:c r="AM165" t="str">
        <x:v>single_167</x:v>
      </x:c>
      <x:c r="AN165" t="str">
        <x:v>canonical_group_row</x:v>
      </x:c>
      <x:c r="AO165" t="str">
        <x:v>روغن</x:v>
      </x:c>
      <x:c r="AP165" t="str">
        <x:v>6a2d446d45c164ce6f28ae30</x:v>
      </x:c>
      <x:c r="AQ165" t="str">
        <x:v>oil</x:v>
      </x:c>
      <x:c r="AR165" t="str">
        <x:v>EDIBLE</x:v>
      </x:c>
      <x:c r="AS165" t="str">
        <x:v>بله</x:v>
      </x:c>
      <x:c r="AT165" t="str">
        <x:v>MISSING_PRICE_REVIEW</x:v>
      </x:c>
      <x:c r="AU165" t="str">
        <x:v>یک یا چند قیمت نامشخص است</x:v>
      </x:c>
    </x:row>
    <x:row r="166">
      <x:c r="A166" s="79" t="n">
        <x:v>168</x:v>
      </x:c>
      <x:c r="B166" s="79" t="str">
        <x:v>NS-0165-1</x:v>
      </x:c>
      <x:c r="C166" s="79" t="str">
        <x:v>روغن ضد درد</x:v>
      </x:c>
      <x:c r="D166" s="79" t="str">
        <x:v>pain_relief_oil_half_liter</x:v>
      </x:c>
      <x:c r="E166" s="79" t="str">
        <x:v>update</x:v>
      </x:c>
      <x:c r="F166" s="79" t="str">
        <x:v>بله</x:v>
      </x:c>
      <x:c r="G166" s="79" t="str">
        <x:v>روغن</x:v>
      </x:c>
      <x:c r="H166" s="79" t="str">
        <x:v>روغن</x:v>
      </x:c>
      <x:c r="I166" s="79" t="str">
        <x:v>6a2d446d45c164ce6f28ae30</x:v>
      </x:c>
      <x:c r="J166" s="79" t="str">
        <x:v>oil</x:v>
      </x:c>
      <x:c r="K166" s="79"/>
      <x:c r="L166" s="79" t="str">
        <x:v>EDIBLE</x:v>
      </x:c>
      <x:c r="M166" s="79" t="str">
        <x:v>بله</x:v>
      </x:c>
      <x:c r="N166" s="79" t="str">
        <x:v>خوراکی</x:v>
      </x:c>
      <x:c r="O166" s="79" t="str">
        <x:v>بله</x:v>
      </x:c>
      <x:c r="P166" s="79" t="n">
        <x:v>2</x:v>
      </x:c>
      <x:c r="Q166" s="79" t="str">
        <x:v>نیم لیتر</x:v>
      </x:c>
      <x:c r="R166" s="79" t="str">
        <x:v>1/475</x:v>
      </x:c>
      <x:c r="S166" s="104" t="n">
        <x:v>1475000</x:v>
      </x:c>
      <x:c r="T166" s="79" t="n">
        <x:v>500</x:v>
      </x:c>
      <x:c r="U166" s="79" t="str">
        <x:v>ml</x:v>
      </x:c>
      <x:c r="V166" s="79" t="str">
        <x:v>نیم لیتر</x:v>
      </x:c>
      <x:c r="W166" s="99" t="b">
        <x:v>1</x:v>
      </x:c>
      <x:c r="X166" s="79" t="str">
        <x:v>1 لیتر</x:v>
      </x:c>
      <x:c r="Y166" s="79" t="str">
        <x:v>2/950</x:v>
      </x:c>
      <x:c r="Z166" s="104" t="n">
        <x:v>2950000</x:v>
      </x:c>
      <x:c r="AA166" s="79" t="n">
        <x:v>1000</x:v>
      </x:c>
      <x:c r="AB166" s="79" t="str">
        <x:v>ml</x:v>
      </x:c>
      <x:c r="AC166" s="79" t="str">
        <x:v>1 لیتر</x:v>
      </x:c>
      <x:c r="AD166" s="99" t="b">
        <x:v>0</x:v>
      </x:c>
      <x:c r="AE166" s="79" t="str">
        <x:v>فعال</x:v>
      </x:c>
      <x:c r="AF166" s="79" t="str">
        <x:v>دسته‌بندی نهایی</x:v>
      </x:c>
      <x:c r="AG166" s="79" t="str">
        <x:v>MERGED</x:v>
      </x:c>
      <x:c r="AH166" s="79" t="str">
        <x:v>[{"name": "نیم لیتر", "sku": "", "price": 1475000, "stock": "", "weight": 500, "weightUnit": "ml", "containerSize": "نیم لیتر", "isDefault": true}, {"name": "1 لیتر", "sku": "", "price": 2950000, "stock": "", "weight": 1000, "weightUnit": "ml", "containerSize": "1 لیتر", "isDefault": false}]</x:v>
      </x:c>
      <x:c r="AI166" s="79"/>
      <x:c r="AJ166" s="79"/>
      <x:c r="AK166" s="79"/>
      <x:c r="AL166" t="str">
        <x:v>روغن ضد درد</x:v>
      </x:c>
      <x:c r="AM166" t="str">
        <x:v>grp_pain_relief_oil</x:v>
      </x:c>
      <x:c r="AN166" t="str">
        <x:v>canonical_group_row</x:v>
      </x:c>
      <x:c r="AO166" t="str">
        <x:v>روغن</x:v>
      </x:c>
      <x:c r="AP166" t="str">
        <x:v>6a2d446d45c164ce6f28ae30</x:v>
      </x:c>
      <x:c r="AQ166" t="str">
        <x:v>oil</x:v>
      </x:c>
      <x:c r="AR166" t="str">
        <x:v>EDIBLE</x:v>
      </x:c>
      <x:c r="AS166" t="str">
        <x:v>بله</x:v>
      </x:c>
      <x:c r="AT166" t="str">
        <x:v>MERGED</x:v>
      </x:c>
      <x:c r="AU166"/>
    </x:row>
    <x:row r="167">
      <x:c r="A167" s="79" t="n">
        <x:v>169</x:v>
      </x:c>
      <x:c r="B167" s="79" t="str">
        <x:v>NS-0165-1</x:v>
      </x:c>
      <x:c r="C167" s="79" t="str">
        <x:v>روغن ضد درد</x:v>
      </x:c>
      <x:c r="D167" s="79" t="str">
        <x:v>pain_relief_oil_half_liter</x:v>
      </x:c>
      <x:c r="E167" s="79" t="str">
        <x:v>update</x:v>
      </x:c>
      <x:c r="F167" s="79" t="str">
        <x:v>بله</x:v>
      </x:c>
      <x:c r="G167" s="79" t="str">
        <x:v>روغن</x:v>
      </x:c>
      <x:c r="H167" s="79" t="str">
        <x:v>روغن</x:v>
      </x:c>
      <x:c r="I167" s="79" t="str">
        <x:v>6a2d446d45c164ce6f28ae30</x:v>
      </x:c>
      <x:c r="J167" s="79" t="str">
        <x:v>oil</x:v>
      </x:c>
      <x:c r="K167" s="79"/>
      <x:c r="L167" s="79" t="str">
        <x:v>EDIBLE</x:v>
      </x:c>
      <x:c r="M167" s="79" t="str">
        <x:v>بله</x:v>
      </x:c>
      <x:c r="N167" s="79" t="str">
        <x:v>خوراکی</x:v>
      </x:c>
      <x:c r="O167" s="79" t="str">
        <x:v>بله</x:v>
      </x:c>
      <x:c r="P167" s="79" t="n">
        <x:v>2</x:v>
      </x:c>
      <x:c r="Q167" s="79" t="str">
        <x:v>30 میلی لیتر</x:v>
      </x:c>
      <x:c r="R167" s="79" t="n">
        <x:v>100</x:v>
      </x:c>
      <x:c r="S167" s="104" t="n">
        <x:v>100000</x:v>
      </x:c>
      <x:c r="T167" s="79" t="n">
        <x:v>30</x:v>
      </x:c>
      <x:c r="U167" s="79" t="str">
        <x:v>ml</x:v>
      </x:c>
      <x:c r="V167" s="79" t="str">
        <x:v>30 میل</x:v>
      </x:c>
      <x:c r="W167" s="99" t="b">
        <x:v>1</x:v>
      </x:c>
      <x:c r="X167" s="79" t="str">
        <x:v>60 میلی لیتر</x:v>
      </x:c>
      <x:c r="Y167" s="79" t="n">
        <x:v>195</x:v>
      </x:c>
      <x:c r="Z167" s="104" t="n">
        <x:v>195000</x:v>
      </x:c>
      <x:c r="AA167" s="79" t="n">
        <x:v>60</x:v>
      </x:c>
      <x:c r="AB167" s="79" t="str">
        <x:v>ml</x:v>
      </x:c>
      <x:c r="AC167" s="79" t="str">
        <x:v>60 میل</x:v>
      </x:c>
      <x:c r="AD167" s="99" t="b">
        <x:v>0</x:v>
      </x:c>
      <x:c r="AE167" s="79" t="str">
        <x:v>فعال</x:v>
      </x:c>
      <x:c r="AF167" s="79" t="str">
        <x:v>دسته‌بندی نهایی</x:v>
      </x:c>
      <x:c r="AG167" s="79" t="str">
        <x:v>MERGED</x:v>
      </x:c>
      <x:c r="AH167" s="79" t="str">
        <x:v>[{"name": "30 میلی لیتر", "sku": "", "price": 100000, "stock": "", "weight": 30, "weightUnit": "ml", "containerSize": "30 میل", "isDefault": true}, {"name": "60 میلی لیتر", "sku": "", "price": 195000, "stock": "", "weight": 60, "weightUnit": "ml", "containerSize": "60 میل", "isDefault": false}]</x:v>
      </x:c>
      <x:c r="AI167" s="79"/>
      <x:c r="AJ167" s="79"/>
      <x:c r="AK167" s="79"/>
      <x:c r="AL167" t="str">
        <x:v>روغن ضد درد</x:v>
      </x:c>
      <x:c r="AM167" t="str">
        <x:v>grp_pain_relief_oil</x:v>
      </x:c>
      <x:c r="AN167" t="str">
        <x:v>merge_into_canonical_group</x:v>
      </x:c>
      <x:c r="AO167" t="str">
        <x:v>روغن</x:v>
      </x:c>
      <x:c r="AP167" t="str">
        <x:v>6a2d446d45c164ce6f28ae30</x:v>
      </x:c>
      <x:c r="AQ167" t="str">
        <x:v>oil</x:v>
      </x:c>
      <x:c r="AR167" t="str">
        <x:v>EDIBLE</x:v>
      </x:c>
      <x:c r="AS167" t="str">
        <x:v>بله</x:v>
      </x:c>
      <x:c r="AT167" t="str">
        <x:v>MERGED</x:v>
      </x:c>
      <x:c r="AU167"/>
    </x:row>
    <x:row r="168">
      <x:c r="A168" s="79" t="n">
        <x:v>170</x:v>
      </x:c>
      <x:c r="B168" s="79" t="str">
        <x:v>NS-0167-1</x:v>
      </x:c>
      <x:c r="C168" s="79" t="str">
        <x:v>روغن فندق</x:v>
      </x:c>
      <x:c r="D168" s="79" t="str">
        <x:v>oil_hazelnut_30ml</x:v>
      </x:c>
      <x:c r="E168" s="79" t="str">
        <x:v>update</x:v>
      </x:c>
      <x:c r="F168" s="79" t="str">
        <x:v>بله</x:v>
      </x:c>
      <x:c r="G168" s="79" t="str">
        <x:v>روغن</x:v>
      </x:c>
      <x:c r="H168" s="79" t="str">
        <x:v>روغن</x:v>
      </x:c>
      <x:c r="I168" s="79" t="str">
        <x:v>6a2d446d45c164ce6f28ae30</x:v>
      </x:c>
      <x:c r="J168" s="79" t="str">
        <x:v>oil</x:v>
      </x:c>
      <x:c r="K168" s="79"/>
      <x:c r="L168" s="79" t="str">
        <x:v>EDIBLE</x:v>
      </x:c>
      <x:c r="M168" s="79" t="str">
        <x:v>بله</x:v>
      </x:c>
      <x:c r="N168" s="79" t="str">
        <x:v>خوراکی</x:v>
      </x:c>
      <x:c r="O168" s="79" t="str">
        <x:v>بله</x:v>
      </x:c>
      <x:c r="P168" s="79" t="n">
        <x:v>2</x:v>
      </x:c>
      <x:c r="Q168" s="79" t="str">
        <x:v>30 میلی لیتر</x:v>
      </x:c>
      <x:c r="R168" s="79" t="n">
        <x:v>100</x:v>
      </x:c>
      <x:c r="S168" s="104" t="n">
        <x:v>100000</x:v>
      </x:c>
      <x:c r="T168" s="79" t="n">
        <x:v>30</x:v>
      </x:c>
      <x:c r="U168" s="79" t="str">
        <x:v>ml</x:v>
      </x:c>
      <x:c r="V168" s="79" t="str">
        <x:v>30 میل</x:v>
      </x:c>
      <x:c r="W168" s="99" t="b">
        <x:v>1</x:v>
      </x:c>
      <x:c r="X168" s="79" t="str">
        <x:v>60 میلی لیتر</x:v>
      </x:c>
      <x:c r="Y168" s="79" t="n">
        <x:v>195</x:v>
      </x:c>
      <x:c r="Z168" s="104" t="n">
        <x:v>195000</x:v>
      </x:c>
      <x:c r="AA168" s="79" t="n">
        <x:v>60</x:v>
      </x:c>
      <x:c r="AB168" s="79" t="str">
        <x:v>ml</x:v>
      </x:c>
      <x:c r="AC168" s="79" t="str">
        <x:v>60 میل</x:v>
      </x:c>
      <x:c r="AD168" s="99" t="b">
        <x:v>0</x:v>
      </x:c>
      <x:c r="AE168" s="79" t="str">
        <x:v>فعال</x:v>
      </x:c>
      <x:c r="AF168" s="79" t="str">
        <x:v>دسته‌بندی نهایی</x:v>
      </x:c>
      <x:c r="AG168" s="79" t="str">
        <x:v>OK</x:v>
      </x:c>
      <x:c r="AH168" s="79" t="str">
        <x:v>[{"name": "30 میلی لیتر", "sku": "", "price": 100000, "stock": "", "weight": 30, "weightUnit": "ml", "containerSize": "30 میل", "isDefault": true}, {"name": "60 میلی لیتر", "sku": "", "price": 195000, "stock": "", "weight": 60, "weightUnit": "ml", "containerSize": "60 میل", "isDefault": false}]</x:v>
      </x:c>
      <x:c r="AI168" s="79"/>
      <x:c r="AJ168" s="79"/>
      <x:c r="AK168" s="79"/>
      <x:c r="AL168" t="str">
        <x:v>روغن فندق</x:v>
      </x:c>
      <x:c r="AM168" t="str">
        <x:v>single_170</x:v>
      </x:c>
      <x:c r="AN168" t="str">
        <x:v>canonical_group_row</x:v>
      </x:c>
      <x:c r="AO168" t="str">
        <x:v>روغن</x:v>
      </x:c>
      <x:c r="AP168" t="str">
        <x:v>6a2d446d45c164ce6f28ae30</x:v>
      </x:c>
      <x:c r="AQ168" t="str">
        <x:v>oil</x:v>
      </x:c>
      <x:c r="AR168" t="str">
        <x:v>EDIBLE</x:v>
      </x:c>
      <x:c r="AS168" t="str">
        <x:v>بله</x:v>
      </x:c>
      <x:c r="AT168" t="str">
        <x:v>OK</x:v>
      </x:c>
      <x:c r="AU168"/>
    </x:row>
    <x:row r="169">
      <x:c r="A169" s="79" t="n">
        <x:v>171</x:v>
      </x:c>
      <x:c r="B169" s="79" t="str">
        <x:v>NS-0168-1</x:v>
      </x:c>
      <x:c r="C169" s="79" t="str">
        <x:v>روغن کدو</x:v>
      </x:c>
      <x:c r="D169" s="79" t="str">
        <x:v>oil_pumpkin_30ml</x:v>
      </x:c>
      <x:c r="E169" s="79" t="str">
        <x:v>update</x:v>
      </x:c>
      <x:c r="F169" s="79" t="str">
        <x:v>بله</x:v>
      </x:c>
      <x:c r="G169" s="79" t="str">
        <x:v>روغن</x:v>
      </x:c>
      <x:c r="H169" s="79" t="str">
        <x:v>روغن</x:v>
      </x:c>
      <x:c r="I169" s="79" t="str">
        <x:v>6a2d446d45c164ce6f28ae30</x:v>
      </x:c>
      <x:c r="J169" s="79" t="str">
        <x:v>oil</x:v>
      </x:c>
      <x:c r="K169" s="79"/>
      <x:c r="L169" s="79" t="str">
        <x:v>EDIBLE</x:v>
      </x:c>
      <x:c r="M169" s="79" t="str">
        <x:v>بله</x:v>
      </x:c>
      <x:c r="N169" s="79" t="str">
        <x:v>خوراکی</x:v>
      </x:c>
      <x:c r="O169" s="79" t="str">
        <x:v>بله</x:v>
      </x:c>
      <x:c r="P169" s="79" t="n">
        <x:v>2</x:v>
      </x:c>
      <x:c r="Q169" s="79" t="str">
        <x:v>30 میلی لیتر</x:v>
      </x:c>
      <x:c r="R169" s="79" t="n">
        <x:v>90</x:v>
      </x:c>
      <x:c r="S169" s="104" t="n">
        <x:v>90000</x:v>
      </x:c>
      <x:c r="T169" s="79" t="n">
        <x:v>30</x:v>
      </x:c>
      <x:c r="U169" s="79" t="str">
        <x:v>ml</x:v>
      </x:c>
      <x:c r="V169" s="79" t="str">
        <x:v>30 میل</x:v>
      </x:c>
      <x:c r="W169" s="99" t="b">
        <x:v>1</x:v>
      </x:c>
      <x:c r="X169" s="79" t="str">
        <x:v>60 میلی لیتر</x:v>
      </x:c>
      <x:c r="Y169" s="79" t="n">
        <x:v>170</x:v>
      </x:c>
      <x:c r="Z169" s="104" t="n">
        <x:v>170000</x:v>
      </x:c>
      <x:c r="AA169" s="79" t="n">
        <x:v>60</x:v>
      </x:c>
      <x:c r="AB169" s="79" t="str">
        <x:v>ml</x:v>
      </x:c>
      <x:c r="AC169" s="79" t="str">
        <x:v>60 میل</x:v>
      </x:c>
      <x:c r="AD169" s="99" t="b">
        <x:v>0</x:v>
      </x:c>
      <x:c r="AE169" s="79" t="str">
        <x:v>فعال</x:v>
      </x:c>
      <x:c r="AF169" s="79" t="str">
        <x:v>دسته‌بندی نهایی</x:v>
      </x:c>
      <x:c r="AG169" s="79" t="str">
        <x:v>OK</x:v>
      </x:c>
      <x:c r="AH169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  <x:c r="AI169" s="79"/>
      <x:c r="AJ169" s="79"/>
      <x:c r="AK169" s="79"/>
      <x:c r="AL169" t="str">
        <x:v>روغن کدو</x:v>
      </x:c>
      <x:c r="AM169" t="str">
        <x:v>single_171</x:v>
      </x:c>
      <x:c r="AN169" t="str">
        <x:v>canonical_group_row</x:v>
      </x:c>
      <x:c r="AO169" t="str">
        <x:v>روغن</x:v>
      </x:c>
      <x:c r="AP169" t="str">
        <x:v>6a2d446d45c164ce6f28ae30</x:v>
      </x:c>
      <x:c r="AQ169" t="str">
        <x:v>oil</x:v>
      </x:c>
      <x:c r="AR169" t="str">
        <x:v>EDIBLE</x:v>
      </x:c>
      <x:c r="AS169" t="str">
        <x:v>بله</x:v>
      </x:c>
      <x:c r="AT169" t="str">
        <x:v>OK</x:v>
      </x:c>
      <x:c r="AU169"/>
    </x:row>
    <x:row r="170">
      <x:c r="A170" s="79" t="n">
        <x:v>172</x:v>
      </x:c>
      <x:c r="B170" s="79" t="str">
        <x:v>NS-0169-1</x:v>
      </x:c>
      <x:c r="C170" s="79" t="str">
        <x:v>روغن کرچک</x:v>
      </x:c>
      <x:c r="D170" s="79" t="str">
        <x:v>oil_castor_half_liter</x:v>
      </x:c>
      <x:c r="E170" s="79" t="str">
        <x:v>update</x:v>
      </x:c>
      <x:c r="F170" s="79" t="str">
        <x:v>بله</x:v>
      </x:c>
      <x:c r="G170" s="79" t="str">
        <x:v>روغن</x:v>
      </x:c>
      <x:c r="H170" s="79" t="str">
        <x:v>روغن</x:v>
      </x:c>
      <x:c r="I170" s="79" t="str">
        <x:v>6a2d446d45c164ce6f28ae30</x:v>
      </x:c>
      <x:c r="J170" s="79" t="str">
        <x:v>oil</x:v>
      </x:c>
      <x:c r="K170" s="79"/>
      <x:c r="L170" s="79" t="str">
        <x:v>EDIBLE</x:v>
      </x:c>
      <x:c r="M170" s="79" t="str">
        <x:v>بله</x:v>
      </x:c>
      <x:c r="N170" s="79" t="str">
        <x:v>خوراکی</x:v>
      </x:c>
      <x:c r="O170" s="79" t="str">
        <x:v>بله</x:v>
      </x:c>
      <x:c r="P170" s="79" t="n">
        <x:v>2</x:v>
      </x:c>
      <x:c r="Q170" s="79" t="str">
        <x:v>نیم لیتر</x:v>
      </x:c>
      <x:c r="R170" s="79" t="n">
        <x:v>500</x:v>
      </x:c>
      <x:c r="S170" s="104" t="n">
        <x:v>500000</x:v>
      </x:c>
      <x:c r="T170" s="79" t="n">
        <x:v>500</x:v>
      </x:c>
      <x:c r="U170" s="79" t="str">
        <x:v>ml</x:v>
      </x:c>
      <x:c r="V170" s="79" t="str">
        <x:v>نیم لیتر</x:v>
      </x:c>
      <x:c r="W170" s="99" t="b">
        <x:v>1</x:v>
      </x:c>
      <x:c r="X170" s="79" t="str">
        <x:v>1 لیتر</x:v>
      </x:c>
      <x:c r="Y170" s="79" t="str">
        <x:v>1/000</x:v>
      </x:c>
      <x:c r="Z170" s="104" t="n">
        <x:v>1000000</x:v>
      </x:c>
      <x:c r="AA170" s="79" t="n">
        <x:v>1000</x:v>
      </x:c>
      <x:c r="AB170" s="79" t="str">
        <x:v>ml</x:v>
      </x:c>
      <x:c r="AC170" s="79" t="str">
        <x:v>1 لیتر</x:v>
      </x:c>
      <x:c r="AD170" s="99" t="b">
        <x:v>0</x:v>
      </x:c>
      <x:c r="AE170" s="79" t="str">
        <x:v>فعال</x:v>
      </x:c>
      <x:c r="AF170" s="79" t="str">
        <x:v>دسته‌بندی نهایی</x:v>
      </x:c>
      <x:c r="AG170" s="79" t="str">
        <x:v>MERGED</x:v>
      </x:c>
      <x:c r="AH170" s="79" t="str">
        <x:v>[{"name": "نیم لیتر", "sku": "", "price": 500000, "stock": "", "weight": 500, "weightUnit": "ml", "containerSize": "نیم لیتر", "isDefault": true}, {"name": "1 لیتر", "sku": "", "price": 1000000, "stock": "", "weight": 1000, "weightUnit": "ml", "containerSize": "1 لیتر", "isDefault": false}]</x:v>
      </x:c>
      <x:c r="AI170" s="79"/>
      <x:c r="AJ170" s="79"/>
      <x:c r="AK170" s="79"/>
      <x:c r="AL170" t="str">
        <x:v>روغن کرچک</x:v>
      </x:c>
      <x:c r="AM170" t="str">
        <x:v>grp_castor_oil</x:v>
      </x:c>
      <x:c r="AN170" t="str">
        <x:v>canonical_group_row</x:v>
      </x:c>
      <x:c r="AO170" t="str">
        <x:v>روغن</x:v>
      </x:c>
      <x:c r="AP170" t="str">
        <x:v>6a2d446d45c164ce6f28ae30</x:v>
      </x:c>
      <x:c r="AQ170" t="str">
        <x:v>oil</x:v>
      </x:c>
      <x:c r="AR170" t="str">
        <x:v>EDIBLE</x:v>
      </x:c>
      <x:c r="AS170" t="str">
        <x:v>بله</x:v>
      </x:c>
      <x:c r="AT170" t="str">
        <x:v>MERGED</x:v>
      </x:c>
      <x:c r="AU170"/>
    </x:row>
    <x:row r="171">
      <x:c r="A171" s="79" t="n">
        <x:v>173</x:v>
      </x:c>
      <x:c r="B171" s="79" t="str">
        <x:v>NS-0169-1</x:v>
      </x:c>
      <x:c r="C171" s="79" t="str">
        <x:v>روغن کرچک</x:v>
      </x:c>
      <x:c r="D171" s="79" t="str">
        <x:v>oil_castor_half_liter</x:v>
      </x:c>
      <x:c r="E171" s="79" t="str">
        <x:v>update</x:v>
      </x:c>
      <x:c r="F171" s="79" t="str">
        <x:v>بله</x:v>
      </x:c>
      <x:c r="G171" s="79" t="str">
        <x:v>روغن</x:v>
      </x:c>
      <x:c r="H171" s="79" t="str">
        <x:v>روغن</x:v>
      </x:c>
      <x:c r="I171" s="79" t="str">
        <x:v>6a2d446d45c164ce6f28ae30</x:v>
      </x:c>
      <x:c r="J171" s="79" t="str">
        <x:v>oil</x:v>
      </x:c>
      <x:c r="K171" s="79"/>
      <x:c r="L171" s="79" t="str">
        <x:v>EDIBLE</x:v>
      </x:c>
      <x:c r="M171" s="79" t="str">
        <x:v>بله</x:v>
      </x:c>
      <x:c r="N171" s="79" t="str">
        <x:v>خوراکی</x:v>
      </x:c>
      <x:c r="O171" s="79" t="str">
        <x:v>بله</x:v>
      </x:c>
      <x:c r="P171" s="79" t="n">
        <x:v>2</x:v>
      </x:c>
      <x:c r="Q171" s="79" t="str">
        <x:v>30 میلی لیتر</x:v>
      </x:c>
      <x:c r="R171" s="79" t="n">
        <x:v>65</x:v>
      </x:c>
      <x:c r="S171" s="104" t="n">
        <x:v>65000</x:v>
      </x:c>
      <x:c r="T171" s="79" t="n">
        <x:v>30</x:v>
      </x:c>
      <x:c r="U171" s="79" t="str">
        <x:v>ml</x:v>
      </x:c>
      <x:c r="V171" s="79" t="str">
        <x:v>30 میل</x:v>
      </x:c>
      <x:c r="W171" s="99" t="b">
        <x:v>1</x:v>
      </x:c>
      <x:c r="X171" s="79" t="str">
        <x:v>60 میلی لیتر</x:v>
      </x:c>
      <x:c r="Y171" s="79" t="n">
        <x:v>120</x:v>
      </x:c>
      <x:c r="Z171" s="104" t="n">
        <x:v>120000</x:v>
      </x:c>
      <x:c r="AA171" s="79" t="n">
        <x:v>60</x:v>
      </x:c>
      <x:c r="AB171" s="79" t="str">
        <x:v>ml</x:v>
      </x:c>
      <x:c r="AC171" s="79" t="str">
        <x:v>60 میل</x:v>
      </x:c>
      <x:c r="AD171" s="99" t="b">
        <x:v>0</x:v>
      </x:c>
      <x:c r="AE171" s="79" t="str">
        <x:v>فعال</x:v>
      </x:c>
      <x:c r="AF171" s="79" t="str">
        <x:v>دسته‌بندی نهایی</x:v>
      </x:c>
      <x:c r="AG171" s="79" t="str">
        <x:v>MERGED</x:v>
      </x:c>
      <x:c r="AH171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  <x:c r="AI171" s="79"/>
      <x:c r="AJ171" s="79"/>
      <x:c r="AK171" s="79"/>
      <x:c r="AL171" t="str">
        <x:v>روغن کرچک</x:v>
      </x:c>
      <x:c r="AM171" t="str">
        <x:v>grp_castor_oil</x:v>
      </x:c>
      <x:c r="AN171" t="str">
        <x:v>merge_into_canonical_group</x:v>
      </x:c>
      <x:c r="AO171" t="str">
        <x:v>روغن</x:v>
      </x:c>
      <x:c r="AP171" t="str">
        <x:v>6a2d446d45c164ce6f28ae30</x:v>
      </x:c>
      <x:c r="AQ171" t="str">
        <x:v>oil</x:v>
      </x:c>
      <x:c r="AR171" t="str">
        <x:v>EDIBLE</x:v>
      </x:c>
      <x:c r="AS171" t="str">
        <x:v>بله</x:v>
      </x:c>
      <x:c r="AT171" t="str">
        <x:v>MERGED</x:v>
      </x:c>
      <x:c r="AU171"/>
    </x:row>
    <x:row r="172">
      <x:c r="A172" s="79" t="n">
        <x:v>174</x:v>
      </x:c>
      <x:c r="B172" s="79" t="str">
        <x:v>NS-0171-1</x:v>
      </x:c>
      <x:c r="C172" s="79" t="str">
        <x:v>روغن کلزا</x:v>
      </x:c>
      <x:c r="D172" s="79" t="str">
        <x:v>oil_canola_half_liter</x:v>
      </x:c>
      <x:c r="E172" s="79" t="str">
        <x:v>update</x:v>
      </x:c>
      <x:c r="F172" s="79" t="str">
        <x:v>بله</x:v>
      </x:c>
      <x:c r="G172" s="79" t="str">
        <x:v>روغن</x:v>
      </x:c>
      <x:c r="H172" s="79" t="str">
        <x:v>روغن</x:v>
      </x:c>
      <x:c r="I172" s="79" t="str">
        <x:v>6a2d446d45c164ce6f28ae30</x:v>
      </x:c>
      <x:c r="J172" s="79" t="str">
        <x:v>oil</x:v>
      </x:c>
      <x:c r="K172" s="79"/>
      <x:c r="L172" s="79" t="str">
        <x:v>EDIBLE</x:v>
      </x:c>
      <x:c r="M172" s="79" t="str">
        <x:v>بله</x:v>
      </x:c>
      <x:c r="N172" s="79" t="str">
        <x:v>خوراکی</x:v>
      </x:c>
      <x:c r="O172" s="79" t="str">
        <x:v>بله</x:v>
      </x:c>
      <x:c r="P172" s="79" t="n">
        <x:v>2</x:v>
      </x:c>
      <x:c r="Q172" s="79" t="str">
        <x:v>نیم لیتر</x:v>
      </x:c>
      <x:c r="R172" s="79" t="n">
        <x:v>400</x:v>
      </x:c>
      <x:c r="S172" s="104" t="n">
        <x:v>400000</x:v>
      </x:c>
      <x:c r="T172" s="79" t="n">
        <x:v>500</x:v>
      </x:c>
      <x:c r="U172" s="79" t="str">
        <x:v>ml</x:v>
      </x:c>
      <x:c r="V172" s="79" t="str">
        <x:v>نیم لیتر</x:v>
      </x:c>
      <x:c r="W172" s="99" t="b">
        <x:v>1</x:v>
      </x:c>
      <x:c r="X172" s="79" t="str">
        <x:v>1 لیتر</x:v>
      </x:c>
      <x:c r="Y172" s="79" t="n">
        <x:v>790</x:v>
      </x:c>
      <x:c r="Z172" s="104" t="n">
        <x:v>790000</x:v>
      </x:c>
      <x:c r="AA172" s="79" t="n">
        <x:v>1000</x:v>
      </x:c>
      <x:c r="AB172" s="79" t="str">
        <x:v>ml</x:v>
      </x:c>
      <x:c r="AC172" s="79" t="str">
        <x:v>1 لیتر</x:v>
      </x:c>
      <x:c r="AD172" s="99" t="b">
        <x:v>0</x:v>
      </x:c>
      <x:c r="AE172" s="79" t="str">
        <x:v>فعال</x:v>
      </x:c>
      <x:c r="AF172" s="79" t="str">
        <x:v>دسته‌بندی نهایی</x:v>
      </x:c>
      <x:c r="AG172" s="79" t="str">
        <x:v>OK</x:v>
      </x:c>
      <x:c r="AH172" s="79" t="str">
        <x:v>[{"name": "نیم لیتر", "sku": "", "price": 400000, "stock": "", "weight": 500, "weightUnit": "ml", "containerSize": "نیم لیتر", "isDefault": true}, {"name": "1 لیتر", "sku": "", "price": 790000, "stock": "", "weight": 1000, "weightUnit": "ml", "containerSize": "1 لیتر", "isDefault": false}]</x:v>
      </x:c>
      <x:c r="AI172" s="79"/>
      <x:c r="AJ172" s="79"/>
      <x:c r="AK172" s="79"/>
      <x:c r="AL172" t="str">
        <x:v>روغن کلزا</x:v>
      </x:c>
      <x:c r="AM172" t="str">
        <x:v>single_174</x:v>
      </x:c>
      <x:c r="AN172" t="str">
        <x:v>canonical_group_row</x:v>
      </x:c>
      <x:c r="AO172" t="str">
        <x:v>روغن</x:v>
      </x:c>
      <x:c r="AP172" t="str">
        <x:v>6a2d446d45c164ce6f28ae30</x:v>
      </x:c>
      <x:c r="AQ172" t="str">
        <x:v>oil</x:v>
      </x:c>
      <x:c r="AR172" t="str">
        <x:v>EDIBLE</x:v>
      </x:c>
      <x:c r="AS172" t="str">
        <x:v>بله</x:v>
      </x:c>
      <x:c r="AT172" t="str">
        <x:v>OK</x:v>
      </x:c>
      <x:c r="AU172"/>
    </x:row>
    <x:row r="173">
      <x:c r="A173" s="79" t="n">
        <x:v>175</x:v>
      </x:c>
      <x:c r="B173" s="79" t="str">
        <x:v>NS-0172-1</x:v>
      </x:c>
      <x:c r="C173" s="79" t="str">
        <x:v>روغن کنجد</x:v>
      </x:c>
      <x:c r="D173" s="79" t="str">
        <x:v>oil_sesame_half_liter</x:v>
      </x:c>
      <x:c r="E173" s="79" t="str">
        <x:v>update</x:v>
      </x:c>
      <x:c r="F173" s="79" t="str">
        <x:v>بله</x:v>
      </x:c>
      <x:c r="G173" s="79" t="str">
        <x:v>روغن</x:v>
      </x:c>
      <x:c r="H173" s="79" t="str">
        <x:v>روغن</x:v>
      </x:c>
      <x:c r="I173" s="79" t="str">
        <x:v>6a2d446d45c164ce6f28ae30</x:v>
      </x:c>
      <x:c r="J173" s="79" t="str">
        <x:v>oil</x:v>
      </x:c>
      <x:c r="K173" s="79"/>
      <x:c r="L173" s="79" t="str">
        <x:v>EDIBLE</x:v>
      </x:c>
      <x:c r="M173" s="79" t="str">
        <x:v>بله</x:v>
      </x:c>
      <x:c r="N173" s="79" t="str">
        <x:v>خوراکی</x:v>
      </x:c>
      <x:c r="O173" s="79" t="str">
        <x:v>بله</x:v>
      </x:c>
      <x:c r="P173" s="79" t="n">
        <x:v>2</x:v>
      </x:c>
      <x:c r="Q173" s="79" t="str">
        <x:v>نیم لیتر</x:v>
      </x:c>
      <x:c r="R173" s="79" t="n">
        <x:v>555</x:v>
      </x:c>
      <x:c r="S173" s="104" t="n">
        <x:v>555000</x:v>
      </x:c>
      <x:c r="T173" s="79" t="n">
        <x:v>500</x:v>
      </x:c>
      <x:c r="U173" s="79" t="str">
        <x:v>ml</x:v>
      </x:c>
      <x:c r="V173" s="79" t="str">
        <x:v>نیم لیتر</x:v>
      </x:c>
      <x:c r="W173" s="99" t="b">
        <x:v>1</x:v>
      </x:c>
      <x:c r="X173" s="79" t="str">
        <x:v>1 لیتر</x:v>
      </x:c>
      <x:c r="Y173" s="79" t="str">
        <x:v>1/100</x:v>
      </x:c>
      <x:c r="Z173" s="104" t="n">
        <x:v>1100000</x:v>
      </x:c>
      <x:c r="AA173" s="79" t="n">
        <x:v>1000</x:v>
      </x:c>
      <x:c r="AB173" s="79" t="str">
        <x:v>ml</x:v>
      </x:c>
      <x:c r="AC173" s="79" t="str">
        <x:v>1 لیتر</x:v>
      </x:c>
      <x:c r="AD173" s="99" t="b">
        <x:v>0</x:v>
      </x:c>
      <x:c r="AE173" s="79" t="str">
        <x:v>فعال</x:v>
      </x:c>
      <x:c r="AF173" s="79" t="str">
        <x:v>دسته‌بندی نهایی</x:v>
      </x:c>
      <x:c r="AG173" s="79" t="str">
        <x:v>MERGED</x:v>
      </x:c>
      <x:c r="AH173" s="79" t="str">
        <x:v>[{"name": "نیم لیتر", "sku": "", "price": 555000, "stock": "", "weight": 500, "weightUnit": "ml", "containerSize": "نیم لیتر", "isDefault": true}, {"name": "1 لیتر", "sku": "", "price": 1100000, "stock": "", "weight": 1000, "weightUnit": "ml", "containerSize": "1 لیتر", "isDefault": false}]</x:v>
      </x:c>
      <x:c r="AI173" s="79"/>
      <x:c r="AJ173" s="79"/>
      <x:c r="AK173" s="79"/>
      <x:c r="AL173" t="str">
        <x:v>روغن کنجد</x:v>
      </x:c>
      <x:c r="AM173" t="str">
        <x:v>grp_sesame_oil</x:v>
      </x:c>
      <x:c r="AN173" t="str">
        <x:v>canonical_group_row</x:v>
      </x:c>
      <x:c r="AO173" t="str">
        <x:v>روغن</x:v>
      </x:c>
      <x:c r="AP173" t="str">
        <x:v>6a2d446d45c164ce6f28ae30</x:v>
      </x:c>
      <x:c r="AQ173" t="str">
        <x:v>oil</x:v>
      </x:c>
      <x:c r="AR173" t="str">
        <x:v>EDIBLE</x:v>
      </x:c>
      <x:c r="AS173" t="str">
        <x:v>بله</x:v>
      </x:c>
      <x:c r="AT173" t="str">
        <x:v>MERGED</x:v>
      </x:c>
      <x:c r="AU173"/>
    </x:row>
    <x:row r="174">
      <x:c r="A174" s="79" t="n">
        <x:v>176</x:v>
      </x:c>
      <x:c r="B174" s="79" t="str">
        <x:v>NS-0173-1</x:v>
      </x:c>
      <x:c r="C174" s="79" t="str">
        <x:v>روغن کنجد #</x:v>
      </x:c>
      <x:c r="D174" s="79" t="str">
        <x:v>oil_sesame_1</x:v>
      </x:c>
      <x:c r="E174" s="79" t="str">
        <x:v>update</x:v>
      </x:c>
      <x:c r="F174" s="79" t="str">
        <x:v>بله</x:v>
      </x:c>
      <x:c r="G174" s="79" t="str">
        <x:v>روغن</x:v>
      </x:c>
      <x:c r="H174" s="79" t="str">
        <x:v>روغن</x:v>
      </x:c>
      <x:c r="I174" s="79" t="str">
        <x:v>6a2d446d45c164ce6f28ae30</x:v>
      </x:c>
      <x:c r="J174" s="79" t="str">
        <x:v>oil</x:v>
      </x:c>
      <x:c r="K174" s="79"/>
      <x:c r="L174" s="79" t="str">
        <x:v>EDIBLE</x:v>
      </x:c>
      <x:c r="M174" s="79" t="str">
        <x:v>بله</x:v>
      </x:c>
      <x:c r="N174" s="79" t="str">
        <x:v>خوراکی</x:v>
      </x:c>
      <x:c r="O174" s="79" t="str">
        <x:v>بله</x:v>
      </x:c>
      <x:c r="P174" s="79" t="n">
        <x:v>2</x:v>
      </x:c>
      <x:c r="Q174" s="79" t="str">
        <x:v>کیلو</x:v>
      </x:c>
      <x:c r="R174" s="79" t="str">
        <x:v>؟</x:v>
      </x:c>
      <x:c r="S174" s="104"/>
      <x:c r="T174" s="79" t="n">
        <x:v>1</x:v>
      </x:c>
      <x:c r="U174" s="79" t="str">
        <x:v>kg</x:v>
      </x:c>
      <x:c r="V174" s="79" t="str">
        <x:v>کیلو</x:v>
      </x:c>
      <x:c r="W174" s="99" t="b">
        <x:v>1</x:v>
      </x:c>
      <x:c r="X174" s="79" t="str">
        <x:v>کیلو</x:v>
      </x:c>
      <x:c r="Y174" s="79" t="str">
        <x:v>؟</x:v>
      </x:c>
      <x:c r="Z174" s="104"/>
      <x:c r="AA174" s="79" t="n">
        <x:v>1</x:v>
      </x:c>
      <x:c r="AB174" s="79" t="str">
        <x:v>kg</x:v>
      </x:c>
      <x:c r="AC174" s="79" t="str">
        <x:v>کیلو</x:v>
      </x:c>
      <x:c r="AD174" s="99" t="b">
        <x:v>0</x:v>
      </x:c>
      <x:c r="AE174" s="79" t="str">
        <x:v>نیاز به استعلام</x:v>
      </x:c>
      <x:c r="AF174" s="79" t="str">
        <x:v>دسته‌بندی نهایی</x:v>
      </x:c>
      <x:c r="AG174" s="79" t="str">
        <x:v>یک یا چند قیمت نامشخص است</x:v>
      </x:c>
      <x:c r="AH174" s="79" t="str">
        <x:v>[{"name": "کیلو", "sku": "", "price": null, "stock": "", "weight": 1, "weightUnit": "kg", "containerSize": "کیلو", "isDefault": true}, {"name": "کیلو", "sku": "", "price": null, "stock": "", "weight": 1, "weightUnit": "kg", "containerSize": "کیلو", "isDefault": false}]</x:v>
      </x:c>
      <x:c r="AI174" s="79"/>
      <x:c r="AJ174" s="79"/>
      <x:c r="AK174" s="79"/>
      <x:c r="AL174" t="str">
        <x:v>روغن کنجد</x:v>
      </x:c>
      <x:c r="AM174" t="str">
        <x:v>grp_sesame_oil</x:v>
      </x:c>
      <x:c r="AN174" t="str">
        <x:v>merge_into_canonical_group</x:v>
      </x:c>
      <x:c r="AO174" t="str">
        <x:v>روغن</x:v>
      </x:c>
      <x:c r="AP174" t="str">
        <x:v>6a2d446d45c164ce6f28ae30</x:v>
      </x:c>
      <x:c r="AQ174" t="str">
        <x:v>oil</x:v>
      </x:c>
      <x:c r="AR174" t="str">
        <x:v>EDIBLE</x:v>
      </x:c>
      <x:c r="AS174" t="str">
        <x:v>بله</x:v>
      </x:c>
      <x:c r="AT174" t="str">
        <x:v>MERGED + MISSING_PRICE_REVIEW</x:v>
      </x:c>
      <x:c r="AU174" t="str">
        <x:v>یک یا چند قیمت نامشخص است</x:v>
      </x:c>
    </x:row>
    <x:row r="175">
      <x:c r="A175" s="79" t="n">
        <x:v>177</x:v>
      </x:c>
      <x:c r="B175" s="79" t="str">
        <x:v>NS-0174-1</x:v>
      </x:c>
      <x:c r="C175" s="79" t="str">
        <x:v>روغن کنجد موضعی</x:v>
      </x:c>
      <x:c r="D175" s="79" t="str">
        <x:v>oil_sesame_topical_30ml</x:v>
      </x:c>
      <x:c r="E175" s="79" t="str">
        <x:v>update</x:v>
      </x:c>
      <x:c r="F175" s="79" t="str">
        <x:v>بله</x:v>
      </x:c>
      <x:c r="G175" s="79" t="str">
        <x:v>روغن</x:v>
      </x:c>
      <x:c r="H175" s="79" t="str">
        <x:v>روغن</x:v>
      </x:c>
      <x:c r="I175" s="79" t="str">
        <x:v>6a2d446d45c164ce6f28ae30</x:v>
      </x:c>
      <x:c r="J175" s="79" t="str">
        <x:v>oil</x:v>
      </x:c>
      <x:c r="K175" s="79"/>
      <x:c r="L175" s="79" t="str">
        <x:v>EDIBLE</x:v>
      </x:c>
      <x:c r="M175" s="79" t="str">
        <x:v>بله</x:v>
      </x:c>
      <x:c r="N175" s="79" t="str">
        <x:v>خوراکی</x:v>
      </x:c>
      <x:c r="O175" s="79" t="str">
        <x:v>بله</x:v>
      </x:c>
      <x:c r="P175" s="79" t="n">
        <x:v>2</x:v>
      </x:c>
      <x:c r="Q175" s="79" t="str">
        <x:v>30 میلی لیتر</x:v>
      </x:c>
      <x:c r="R175" s="79" t="n">
        <x:v>45</x:v>
      </x:c>
      <x:c r="S175" s="104" t="n">
        <x:v>45000</x:v>
      </x:c>
      <x:c r="T175" s="79" t="n">
        <x:v>30</x:v>
      </x:c>
      <x:c r="U175" s="79" t="str">
        <x:v>ml</x:v>
      </x:c>
      <x:c r="V175" s="79" t="str">
        <x:v>30 میل</x:v>
      </x:c>
      <x:c r="W175" s="99" t="b">
        <x:v>1</x:v>
      </x:c>
      <x:c r="X175" s="79" t="str">
        <x:v>60 میلی لیتر</x:v>
      </x:c>
      <x:c r="Y175" s="79" t="n">
        <x:v>80</x:v>
      </x:c>
      <x:c r="Z175" s="104" t="n">
        <x:v>80000</x:v>
      </x:c>
      <x:c r="AA175" s="79" t="n">
        <x:v>60</x:v>
      </x:c>
      <x:c r="AB175" s="79" t="str">
        <x:v>ml</x:v>
      </x:c>
      <x:c r="AC175" s="79" t="str">
        <x:v>60 میل</x:v>
      </x:c>
      <x:c r="AD175" s="99" t="b">
        <x:v>0</x:v>
      </x:c>
      <x:c r="AE175" s="79" t="str">
        <x:v>فعال</x:v>
      </x:c>
      <x:c r="AF175" s="79" t="str">
        <x:v>دسته‌بندی نهایی</x:v>
      </x:c>
      <x:c r="AG175" s="79" t="str">
        <x:v>OK</x:v>
      </x:c>
      <x:c r="AH175" s="79" t="str">
        <x:v>[{"name": "30 میلی لیتر", "sku": "", "price": 45000, "stock": "", "weight": 30, "weightUnit": "ml", "containerSize": "30 میل", "isDefault": true}, {"name": "60 میلی لیتر", "sku": "", "price": 80000, "stock": "", "weight": 60, "weightUnit": "ml", "containerSize": "60 میل", "isDefault": false}]</x:v>
      </x:c>
      <x:c r="AI175" s="79"/>
      <x:c r="AJ175" s="79"/>
      <x:c r="AK175" s="79"/>
      <x:c r="AL175" t="str">
        <x:v>روغن کنجد موضعی</x:v>
      </x:c>
      <x:c r="AM175" t="str">
        <x:v>single_177</x:v>
      </x:c>
      <x:c r="AN175" t="str">
        <x:v>canonical_group_row</x:v>
      </x:c>
      <x:c r="AO175" t="str">
        <x:v>روغن</x:v>
      </x:c>
      <x:c r="AP175" t="str">
        <x:v>6a2d446d45c164ce6f28ae30</x:v>
      </x:c>
      <x:c r="AQ175" t="str">
        <x:v>oil</x:v>
      </x:c>
      <x:c r="AR175" t="str">
        <x:v>EDIBLE</x:v>
      </x:c>
      <x:c r="AS175" t="str">
        <x:v>بله</x:v>
      </x:c>
      <x:c r="AT175" t="str">
        <x:v>OK</x:v>
      </x:c>
      <x:c r="AU175"/>
    </x:row>
    <x:row r="176">
      <x:c r="A176" s="79" t="n">
        <x:v>178</x:v>
      </x:c>
      <x:c r="B176" s="79" t="str">
        <x:v>NS-0175-1</x:v>
      </x:c>
      <x:c r="C176" s="79" t="str">
        <x:v>روغن کندر</x:v>
      </x:c>
      <x:c r="D176" s="79" t="str">
        <x:v>oil_frankincense_30ml</x:v>
      </x:c>
      <x:c r="E176" s="79" t="str">
        <x:v>update</x:v>
      </x:c>
      <x:c r="F176" s="79" t="str">
        <x:v>بله</x:v>
      </x:c>
      <x:c r="G176" s="79" t="str">
        <x:v>روغن</x:v>
      </x:c>
      <x:c r="H176" s="79" t="str">
        <x:v>روغن</x:v>
      </x:c>
      <x:c r="I176" s="79" t="str">
        <x:v>6a2d446d45c164ce6f28ae30</x:v>
      </x:c>
      <x:c r="J176" s="79" t="str">
        <x:v>oil</x:v>
      </x:c>
      <x:c r="K176" s="79"/>
      <x:c r="L176" s="79" t="str">
        <x:v>EDIBLE</x:v>
      </x:c>
      <x:c r="M176" s="79" t="str">
        <x:v>بله</x:v>
      </x:c>
      <x:c r="N176" s="79" t="str">
        <x:v>خوراکی</x:v>
      </x:c>
      <x:c r="O176" s="79" t="str">
        <x:v>بله</x:v>
      </x:c>
      <x:c r="P176" s="79" t="n">
        <x:v>2</x:v>
      </x:c>
      <x:c r="Q176" s="79" t="str">
        <x:v>30 میلی لیتر</x:v>
      </x:c>
      <x:c r="R176" s="79" t="n">
        <x:v>85</x:v>
      </x:c>
      <x:c r="S176" s="104" t="n">
        <x:v>85000</x:v>
      </x:c>
      <x:c r="T176" s="79" t="n">
        <x:v>30</x:v>
      </x:c>
      <x:c r="U176" s="79" t="str">
        <x:v>ml</x:v>
      </x:c>
      <x:c r="V176" s="79" t="str">
        <x:v>30 میل</x:v>
      </x:c>
      <x:c r="W176" s="99" t="b">
        <x:v>1</x:v>
      </x:c>
      <x:c r="X176" s="79" t="str">
        <x:v>60 میلی لیتر</x:v>
      </x:c>
      <x:c r="Y176" s="79" t="n">
        <x:v>160</x:v>
      </x:c>
      <x:c r="Z176" s="104" t="n">
        <x:v>160000</x:v>
      </x:c>
      <x:c r="AA176" s="79" t="n">
        <x:v>60</x:v>
      </x:c>
      <x:c r="AB176" s="79" t="str">
        <x:v>ml</x:v>
      </x:c>
      <x:c r="AC176" s="79" t="str">
        <x:v>60 میل</x:v>
      </x:c>
      <x:c r="AD176" s="99" t="b">
        <x:v>0</x:v>
      </x:c>
      <x:c r="AE176" s="79" t="str">
        <x:v>فعال</x:v>
      </x:c>
      <x:c r="AF176" s="79" t="str">
        <x:v>دسته‌بندی نهایی</x:v>
      </x:c>
      <x:c r="AG176" s="79" t="str">
        <x:v>OK</x:v>
      </x:c>
      <x:c r="AH176" s="79" t="str">
        <x:v>[{"name": "30 میلی لیتر", "sku": "", "price": 85000, "stock": "", "weight": 30, "weightUnit": "ml", "containerSize": "30 میل", "isDefault": true}, {"name": "60 میلی لیتر", "sku": "", "price": 160000, "stock": "", "weight": 60, "weightUnit": "ml", "containerSize": "60 میل", "isDefault": false}]</x:v>
      </x:c>
      <x:c r="AI176" s="79"/>
      <x:c r="AJ176" s="79"/>
      <x:c r="AK176" s="79"/>
      <x:c r="AL176" t="str">
        <x:v>روغن کندر</x:v>
      </x:c>
      <x:c r="AM176" t="str">
        <x:v>single_178</x:v>
      </x:c>
      <x:c r="AN176" t="str">
        <x:v>canonical_group_row</x:v>
      </x:c>
      <x:c r="AO176" t="str">
        <x:v>روغن</x:v>
      </x:c>
      <x:c r="AP176" t="str">
        <x:v>6a2d446d45c164ce6f28ae30</x:v>
      </x:c>
      <x:c r="AQ176" t="str">
        <x:v>oil</x:v>
      </x:c>
      <x:c r="AR176" t="str">
        <x:v>EDIBLE</x:v>
      </x:c>
      <x:c r="AS176" t="str">
        <x:v>بله</x:v>
      </x:c>
      <x:c r="AT176" t="str">
        <x:v>OK</x:v>
      </x:c>
      <x:c r="AU176"/>
    </x:row>
    <x:row r="177">
      <x:c r="A177" s="79" t="n">
        <x:v>179</x:v>
      </x:c>
      <x:c r="B177" s="79" t="str">
        <x:v>NS-0176-1</x:v>
      </x:c>
      <x:c r="C177" s="79" t="str">
        <x:v>روغن کندش</x:v>
      </x:c>
      <x:c r="D177" s="79" t="str">
        <x:v>oil_kondosh_30ml</x:v>
      </x:c>
      <x:c r="E177" s="79" t="str">
        <x:v>update</x:v>
      </x:c>
      <x:c r="F177" s="79" t="str">
        <x:v>بله</x:v>
      </x:c>
      <x:c r="G177" s="79" t="str">
        <x:v>روغن</x:v>
      </x:c>
      <x:c r="H177" s="79" t="str">
        <x:v>روغن</x:v>
      </x:c>
      <x:c r="I177" s="79" t="str">
        <x:v>6a2d446d45c164ce6f28ae30</x:v>
      </x:c>
      <x:c r="J177" s="79" t="str">
        <x:v>oil</x:v>
      </x:c>
      <x:c r="K177" s="79"/>
      <x:c r="L177" s="79" t="str">
        <x:v>EDIBLE</x:v>
      </x:c>
      <x:c r="M177" s="79" t="str">
        <x:v>بله</x:v>
      </x:c>
      <x:c r="N177" s="79" t="str">
        <x:v>خوراکی</x:v>
      </x:c>
      <x:c r="O177" s="79" t="str">
        <x:v>بله</x:v>
      </x:c>
      <x:c r="P177" s="79" t="n">
        <x:v>2</x:v>
      </x:c>
      <x:c r="Q177" s="79" t="str">
        <x:v>30 میلی لیتر</x:v>
      </x:c>
      <x:c r="R177" s="79" t="n">
        <x:v>115</x:v>
      </x:c>
      <x:c r="S177" s="104" t="n">
        <x:v>115000</x:v>
      </x:c>
      <x:c r="T177" s="79" t="n">
        <x:v>30</x:v>
      </x:c>
      <x:c r="U177" s="79" t="str">
        <x:v>ml</x:v>
      </x:c>
      <x:c r="V177" s="79" t="str">
        <x:v>30 میل</x:v>
      </x:c>
      <x:c r="W177" s="99" t="b">
        <x:v>1</x:v>
      </x:c>
      <x:c r="X177" s="79" t="str">
        <x:v>60 میلی لیتر</x:v>
      </x:c>
      <x:c r="Y177" s="79" t="n">
        <x:v>220</x:v>
      </x:c>
      <x:c r="Z177" s="104" t="n">
        <x:v>220000</x:v>
      </x:c>
      <x:c r="AA177" s="79" t="n">
        <x:v>60</x:v>
      </x:c>
      <x:c r="AB177" s="79" t="str">
        <x:v>ml</x:v>
      </x:c>
      <x:c r="AC177" s="79" t="str">
        <x:v>60 میل</x:v>
      </x:c>
      <x:c r="AD177" s="99" t="b">
        <x:v>0</x:v>
      </x:c>
      <x:c r="AE177" s="79" t="str">
        <x:v>فعال</x:v>
      </x:c>
      <x:c r="AF177" s="79" t="str">
        <x:v>دسته‌بندی نهایی</x:v>
      </x:c>
      <x:c r="AG177" s="79" t="str">
        <x:v>OK</x:v>
      </x:c>
      <x:c r="AH177" s="79" t="str">
        <x:v>[{"name": "30 میلی لیتر", "sku": "", "price": 115000, "stock": "", "weight": 30, "weightUnit": "ml", "containerSize": "30 میل", "isDefault": true}, {"name": "60 میلی لیتر", "sku": "", "price": 220000, "stock": "", "weight": 60, "weightUnit": "ml", "containerSize": "60 میل", "isDefault": false}]</x:v>
      </x:c>
      <x:c r="AI177" s="79"/>
      <x:c r="AJ177" s="79"/>
      <x:c r="AK177" s="79"/>
      <x:c r="AL177" t="str">
        <x:v>روغن کندش</x:v>
      </x:c>
      <x:c r="AM177" t="str">
        <x:v>single_179</x:v>
      </x:c>
      <x:c r="AN177" t="str">
        <x:v>canonical_group_row</x:v>
      </x:c>
      <x:c r="AO177" t="str">
        <x:v>روغن</x:v>
      </x:c>
      <x:c r="AP177" t="str">
        <x:v>6a2d446d45c164ce6f28ae30</x:v>
      </x:c>
      <x:c r="AQ177" t="str">
        <x:v>oil</x:v>
      </x:c>
      <x:c r="AR177" t="str">
        <x:v>EDIBLE</x:v>
      </x:c>
      <x:c r="AS177" t="str">
        <x:v>بله</x:v>
      </x:c>
      <x:c r="AT177" t="str">
        <x:v>OK</x:v>
      </x:c>
      <x:c r="AU177"/>
    </x:row>
    <x:row r="178">
      <x:c r="A178" s="79" t="n">
        <x:v>180</x:v>
      </x:c>
      <x:c r="B178" s="79" t="str">
        <x:v>NS-0177-1</x:v>
      </x:c>
      <x:c r="C178" s="79" t="str">
        <x:v>روغن کوسه</x:v>
      </x:c>
      <x:c r="D178" s="79" t="str">
        <x:v>oil_shark_30ml</x:v>
      </x:c>
      <x:c r="E178" s="79" t="str">
        <x:v>update</x:v>
      </x:c>
      <x:c r="F178" s="79" t="str">
        <x:v>بله</x:v>
      </x:c>
      <x:c r="G178" s="79" t="str">
        <x:v>روغن</x:v>
      </x:c>
      <x:c r="H178" s="79" t="str">
        <x:v>روغن</x:v>
      </x:c>
      <x:c r="I178" s="79" t="str">
        <x:v>6a2d446d45c164ce6f28ae30</x:v>
      </x:c>
      <x:c r="J178" s="79" t="str">
        <x:v>oil</x:v>
      </x:c>
      <x:c r="K178" s="79"/>
      <x:c r="L178" s="79" t="str">
        <x:v>EDIBLE</x:v>
      </x:c>
      <x:c r="M178" s="79" t="str">
        <x:v>بله</x:v>
      </x:c>
      <x:c r="N178" s="79" t="str">
        <x:v>خوراکی</x:v>
      </x:c>
      <x:c r="O178" s="79" t="str">
        <x:v>بله</x:v>
      </x:c>
      <x:c r="P178" s="79" t="n">
        <x:v>2</x:v>
      </x:c>
      <x:c r="Q178" s="79" t="str">
        <x:v>30 میلی لیتر</x:v>
      </x:c>
      <x:c r="R178" s="79" t="n">
        <x:v>90</x:v>
      </x:c>
      <x:c r="S178" s="104" t="n">
        <x:v>90000</x:v>
      </x:c>
      <x:c r="T178" s="79" t="n">
        <x:v>30</x:v>
      </x:c>
      <x:c r="U178" s="79" t="str">
        <x:v>ml</x:v>
      </x:c>
      <x:c r="V178" s="79" t="str">
        <x:v>30 میل</x:v>
      </x:c>
      <x:c r="W178" s="99" t="b">
        <x:v>1</x:v>
      </x:c>
      <x:c r="X178" s="79" t="str">
        <x:v>60 میلی لیتر</x:v>
      </x:c>
      <x:c r="Y178" s="79" t="n">
        <x:v>170</x:v>
      </x:c>
      <x:c r="Z178" s="104" t="n">
        <x:v>170000</x:v>
      </x:c>
      <x:c r="AA178" s="79" t="n">
        <x:v>60</x:v>
      </x:c>
      <x:c r="AB178" s="79" t="str">
        <x:v>ml</x:v>
      </x:c>
      <x:c r="AC178" s="79" t="str">
        <x:v>60 میل</x:v>
      </x:c>
      <x:c r="AD178" s="99" t="b">
        <x:v>0</x:v>
      </x:c>
      <x:c r="AE178" s="79" t="str">
        <x:v>فعال</x:v>
      </x:c>
      <x:c r="AF178" s="79" t="str">
        <x:v>دسته‌بندی نهایی</x:v>
      </x:c>
      <x:c r="AG178" s="79" t="str">
        <x:v>OK</x:v>
      </x:c>
      <x:c r="AH178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  <x:c r="AI178" s="79"/>
      <x:c r="AJ178" s="79"/>
      <x:c r="AK178" s="79"/>
      <x:c r="AL178" t="str">
        <x:v>روغن کوسه</x:v>
      </x:c>
      <x:c r="AM178" t="str">
        <x:v>single_180</x:v>
      </x:c>
      <x:c r="AN178" t="str">
        <x:v>canonical_group_row</x:v>
      </x:c>
      <x:c r="AO178" t="str">
        <x:v>روغن</x:v>
      </x:c>
      <x:c r="AP178" t="str">
        <x:v>6a2d446d45c164ce6f28ae30</x:v>
      </x:c>
      <x:c r="AQ178" t="str">
        <x:v>oil</x:v>
      </x:c>
      <x:c r="AR178" t="str">
        <x:v>EDIBLE</x:v>
      </x:c>
      <x:c r="AS178" t="str">
        <x:v>بله</x:v>
      </x:c>
      <x:c r="AT178" t="str">
        <x:v>OK</x:v>
      </x:c>
      <x:c r="AU178"/>
    </x:row>
    <x:row r="179">
      <x:c r="A179" s="79" t="n">
        <x:v>181</x:v>
      </x:c>
      <x:c r="B179" s="79" t="str">
        <x:v>NS-0178-1</x:v>
      </x:c>
      <x:c r="C179" s="79" t="str">
        <x:v>روغن کوهان شتر</x:v>
      </x:c>
      <x:c r="D179" s="79" t="str">
        <x:v>oil_hump_camel_30ml</x:v>
      </x:c>
      <x:c r="E179" s="79" t="str">
        <x:v>update</x:v>
      </x:c>
      <x:c r="F179" s="79" t="str">
        <x:v>بله</x:v>
      </x:c>
      <x:c r="G179" s="79" t="str">
        <x:v>روغن</x:v>
      </x:c>
      <x:c r="H179" s="79" t="str">
        <x:v>روغن</x:v>
      </x:c>
      <x:c r="I179" s="79" t="str">
        <x:v>6a2d446d45c164ce6f28ae30</x:v>
      </x:c>
      <x:c r="J179" s="79" t="str">
        <x:v>oil</x:v>
      </x:c>
      <x:c r="K179" s="79"/>
      <x:c r="L179" s="79" t="str">
        <x:v>EDIBLE</x:v>
      </x:c>
      <x:c r="M179" s="79" t="str">
        <x:v>بله</x:v>
      </x:c>
      <x:c r="N179" s="79" t="str">
        <x:v>خوراکی</x:v>
      </x:c>
      <x:c r="O179" s="79" t="str">
        <x:v>بله</x:v>
      </x:c>
      <x:c r="P179" s="79" t="n">
        <x:v>2</x:v>
      </x:c>
      <x:c r="Q179" s="79" t="str">
        <x:v>30 میلی لیتر</x:v>
      </x:c>
      <x:c r="R179" s="79" t="n">
        <x:v>90</x:v>
      </x:c>
      <x:c r="S179" s="104" t="n">
        <x:v>90000</x:v>
      </x:c>
      <x:c r="T179" s="79" t="n">
        <x:v>30</x:v>
      </x:c>
      <x:c r="U179" s="79" t="str">
        <x:v>ml</x:v>
      </x:c>
      <x:c r="V179" s="79" t="str">
        <x:v>30 میل</x:v>
      </x:c>
      <x:c r="W179" s="99" t="b">
        <x:v>1</x:v>
      </x:c>
      <x:c r="X179" s="79" t="str">
        <x:v>60 میلی لیتر</x:v>
      </x:c>
      <x:c r="Y179" s="79" t="n">
        <x:v>170</x:v>
      </x:c>
      <x:c r="Z179" s="104" t="n">
        <x:v>170000</x:v>
      </x:c>
      <x:c r="AA179" s="79" t="n">
        <x:v>60</x:v>
      </x:c>
      <x:c r="AB179" s="79" t="str">
        <x:v>ml</x:v>
      </x:c>
      <x:c r="AC179" s="79" t="str">
        <x:v>60 میل</x:v>
      </x:c>
      <x:c r="AD179" s="99" t="b">
        <x:v>0</x:v>
      </x:c>
      <x:c r="AE179" s="79" t="str">
        <x:v>فعال</x:v>
      </x:c>
      <x:c r="AF179" s="79" t="str">
        <x:v>دسته‌بندی نهایی</x:v>
      </x:c>
      <x:c r="AG179" s="79" t="str">
        <x:v>OK</x:v>
      </x:c>
      <x:c r="AH179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  <x:c r="AI179" s="79"/>
      <x:c r="AJ179" s="79"/>
      <x:c r="AK179" s="79"/>
      <x:c r="AL179" t="str">
        <x:v>روغن کوهان شتر</x:v>
      </x:c>
      <x:c r="AM179" t="str">
        <x:v>single_181</x:v>
      </x:c>
      <x:c r="AN179" t="str">
        <x:v>canonical_group_row</x:v>
      </x:c>
      <x:c r="AO179" t="str">
        <x:v>روغن</x:v>
      </x:c>
      <x:c r="AP179" t="str">
        <x:v>6a2d446d45c164ce6f28ae30</x:v>
      </x:c>
      <x:c r="AQ179" t="str">
        <x:v>oil</x:v>
      </x:c>
      <x:c r="AR179" t="str">
        <x:v>EDIBLE</x:v>
      </x:c>
      <x:c r="AS179" t="str">
        <x:v>بله</x:v>
      </x:c>
      <x:c r="AT179" t="str">
        <x:v>OK</x:v>
      </x:c>
      <x:c r="AU179"/>
    </x:row>
    <x:row r="180">
      <x:c r="A180" s="79" t="n">
        <x:v>182</x:v>
      </x:c>
      <x:c r="B180" s="79" t="str">
        <x:v>NS-0179-1</x:v>
      </x:c>
      <x:c r="C180" s="79" t="str">
        <x:v>روغن گردو</x:v>
      </x:c>
      <x:c r="D180" s="79" t="str">
        <x:v>oil_walnut_30ml</x:v>
      </x:c>
      <x:c r="E180" s="79" t="str">
        <x:v>update</x:v>
      </x:c>
      <x:c r="F180" s="79" t="str">
        <x:v>بله</x:v>
      </x:c>
      <x:c r="G180" s="79" t="str">
        <x:v>روغن</x:v>
      </x:c>
      <x:c r="H180" s="79" t="str">
        <x:v>روغن</x:v>
      </x:c>
      <x:c r="I180" s="79" t="str">
        <x:v>6a2d446d45c164ce6f28ae30</x:v>
      </x:c>
      <x:c r="J180" s="79" t="str">
        <x:v>oil</x:v>
      </x:c>
      <x:c r="K180" s="79"/>
      <x:c r="L180" s="79" t="str">
        <x:v>EDIBLE</x:v>
      </x:c>
      <x:c r="M180" s="79" t="str">
        <x:v>بله</x:v>
      </x:c>
      <x:c r="N180" s="79" t="str">
        <x:v>خوراکی</x:v>
      </x:c>
      <x:c r="O180" s="79" t="str">
        <x:v>بله</x:v>
      </x:c>
      <x:c r="P180" s="79" t="n">
        <x:v>2</x:v>
      </x:c>
      <x:c r="Q180" s="79" t="str">
        <x:v>30 میلی لیتر</x:v>
      </x:c>
      <x:c r="R180" s="79" t="n">
        <x:v>115</x:v>
      </x:c>
      <x:c r="S180" s="104" t="n">
        <x:v>115000</x:v>
      </x:c>
      <x:c r="T180" s="79" t="n">
        <x:v>30</x:v>
      </x:c>
      <x:c r="U180" s="79" t="str">
        <x:v>ml</x:v>
      </x:c>
      <x:c r="V180" s="79" t="str">
        <x:v>30 میل</x:v>
      </x:c>
      <x:c r="W180" s="99" t="b">
        <x:v>1</x:v>
      </x:c>
      <x:c r="X180" s="79" t="str">
        <x:v>60 میلی لیتر</x:v>
      </x:c>
      <x:c r="Y180" s="79" t="n">
        <x:v>220</x:v>
      </x:c>
      <x:c r="Z180" s="104" t="n">
        <x:v>220000</x:v>
      </x:c>
      <x:c r="AA180" s="79" t="n">
        <x:v>60</x:v>
      </x:c>
      <x:c r="AB180" s="79" t="str">
        <x:v>ml</x:v>
      </x:c>
      <x:c r="AC180" s="79" t="str">
        <x:v>60 میل</x:v>
      </x:c>
      <x:c r="AD180" s="99" t="b">
        <x:v>0</x:v>
      </x:c>
      <x:c r="AE180" s="79" t="str">
        <x:v>فعال</x:v>
      </x:c>
      <x:c r="AF180" s="79" t="str">
        <x:v>دسته‌بندی نهایی</x:v>
      </x:c>
      <x:c r="AG180" s="79" t="str">
        <x:v>OK</x:v>
      </x:c>
      <x:c r="AH180" s="79" t="str">
        <x:v>[{"name": "30 میلی لیتر", "sku": "", "price": 115000, "stock": "", "weight": 30, "weightUnit": "ml", "containerSize": "30 میل", "isDefault": true}, {"name": "60 میلی لیتر", "sku": "", "price": 220000, "stock": "", "weight": 60, "weightUnit": "ml", "containerSize": "60 میل", "isDefault": false}]</x:v>
      </x:c>
      <x:c r="AI180" s="79"/>
      <x:c r="AJ180" s="79"/>
      <x:c r="AK180" s="79"/>
      <x:c r="AL180" t="str">
        <x:v>روغن گردو</x:v>
      </x:c>
      <x:c r="AM180" t="str">
        <x:v>single_182</x:v>
      </x:c>
      <x:c r="AN180" t="str">
        <x:v>canonical_group_row</x:v>
      </x:c>
      <x:c r="AO180" t="str">
        <x:v>روغن</x:v>
      </x:c>
      <x:c r="AP180" t="str">
        <x:v>6a2d446d45c164ce6f28ae30</x:v>
      </x:c>
      <x:c r="AQ180" t="str">
        <x:v>oil</x:v>
      </x:c>
      <x:c r="AR180" t="str">
        <x:v>EDIBLE</x:v>
      </x:c>
      <x:c r="AS180" t="str">
        <x:v>بله</x:v>
      </x:c>
      <x:c r="AT180" t="str">
        <x:v>OK</x:v>
      </x:c>
      <x:c r="AU180"/>
    </x:row>
    <x:row r="181">
      <x:c r="A181" s="79" t="n">
        <x:v>183</x:v>
      </x:c>
      <x:c r="B181" s="79" t="str">
        <x:v>NS-0180-1</x:v>
      </x:c>
      <x:c r="C181" s="79" t="str">
        <x:v>روغن گل سرخ</x:v>
      </x:c>
      <x:c r="D181" s="79" t="str">
        <x:v>oil_flower_rose_30ml</x:v>
      </x:c>
      <x:c r="E181" s="79" t="str">
        <x:v>update</x:v>
      </x:c>
      <x:c r="F181" s="79" t="str">
        <x:v>بله</x:v>
      </x:c>
      <x:c r="G181" s="79" t="str">
        <x:v>روغن</x:v>
      </x:c>
      <x:c r="H181" s="79" t="str">
        <x:v>روغن</x:v>
      </x:c>
      <x:c r="I181" s="79" t="str">
        <x:v>6a2d446d45c164ce6f28ae30</x:v>
      </x:c>
      <x:c r="J181" s="79" t="str">
        <x:v>oil</x:v>
      </x:c>
      <x:c r="K181" s="79"/>
      <x:c r="L181" s="79" t="str">
        <x:v>EDIBLE</x:v>
      </x:c>
      <x:c r="M181" s="79" t="str">
        <x:v>بله</x:v>
      </x:c>
      <x:c r="N181" s="79" t="str">
        <x:v>خوراکی</x:v>
      </x:c>
      <x:c r="O181" s="79" t="str">
        <x:v>بله</x:v>
      </x:c>
      <x:c r="P181" s="79" t="n">
        <x:v>2</x:v>
      </x:c>
      <x:c r="Q181" s="79" t="str">
        <x:v>30 میلی لیتر</x:v>
      </x:c>
      <x:c r="R181" s="79" t="n">
        <x:v>90</x:v>
      </x:c>
      <x:c r="S181" s="104" t="n">
        <x:v>90000</x:v>
      </x:c>
      <x:c r="T181" s="79" t="n">
        <x:v>30</x:v>
      </x:c>
      <x:c r="U181" s="79" t="str">
        <x:v>ml</x:v>
      </x:c>
      <x:c r="V181" s="79" t="str">
        <x:v>30 میل</x:v>
      </x:c>
      <x:c r="W181" s="99" t="b">
        <x:v>1</x:v>
      </x:c>
      <x:c r="X181" s="79" t="str">
        <x:v>60 میلی لیتر</x:v>
      </x:c>
      <x:c r="Y181" s="79" t="n">
        <x:v>170</x:v>
      </x:c>
      <x:c r="Z181" s="104" t="n">
        <x:v>170000</x:v>
      </x:c>
      <x:c r="AA181" s="79" t="n">
        <x:v>60</x:v>
      </x:c>
      <x:c r="AB181" s="79" t="str">
        <x:v>ml</x:v>
      </x:c>
      <x:c r="AC181" s="79" t="str">
        <x:v>60 میل</x:v>
      </x:c>
      <x:c r="AD181" s="99" t="b">
        <x:v>0</x:v>
      </x:c>
      <x:c r="AE181" s="79" t="str">
        <x:v>فعال</x:v>
      </x:c>
      <x:c r="AF181" s="79" t="str">
        <x:v>دسته‌بندی نهایی</x:v>
      </x:c>
      <x:c r="AG181" s="79" t="str">
        <x:v>OK</x:v>
      </x:c>
      <x:c r="AH181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  <x:c r="AI181" s="79"/>
      <x:c r="AJ181" s="79"/>
      <x:c r="AK181" s="79"/>
      <x:c r="AL181" t="str">
        <x:v>روغن گل سرخ</x:v>
      </x:c>
      <x:c r="AM181" t="str">
        <x:v>single_183</x:v>
      </x:c>
      <x:c r="AN181" t="str">
        <x:v>canonical_group_row</x:v>
      </x:c>
      <x:c r="AO181" t="str">
        <x:v>روغن</x:v>
      </x:c>
      <x:c r="AP181" t="str">
        <x:v>6a2d446d45c164ce6f28ae30</x:v>
      </x:c>
      <x:c r="AQ181" t="str">
        <x:v>oil</x:v>
      </x:c>
      <x:c r="AR181" t="str">
        <x:v>EDIBLE</x:v>
      </x:c>
      <x:c r="AS181" t="str">
        <x:v>بله</x:v>
      </x:c>
      <x:c r="AT181" t="str">
        <x:v>OK</x:v>
      </x:c>
      <x:c r="AU181"/>
    </x:row>
    <x:row r="182">
      <x:c r="A182" s="79" t="n">
        <x:v>184</x:v>
      </x:c>
      <x:c r="B182" s="79" t="str">
        <x:v>NS-0181-1</x:v>
      </x:c>
      <x:c r="C182" s="79" t="str">
        <x:v>روغن گلیسیرین</x:v>
      </x:c>
      <x:c r="D182" s="79" t="str">
        <x:v>oil_glycerin_30ml</x:v>
      </x:c>
      <x:c r="E182" s="79" t="str">
        <x:v>update</x:v>
      </x:c>
      <x:c r="F182" s="79" t="str">
        <x:v>بله</x:v>
      </x:c>
      <x:c r="G182" s="79" t="str">
        <x:v>روغن</x:v>
      </x:c>
      <x:c r="H182" s="79" t="str">
        <x:v>روغن</x:v>
      </x:c>
      <x:c r="I182" s="79" t="str">
        <x:v>6a2d446d45c164ce6f28ae30</x:v>
      </x:c>
      <x:c r="J182" s="79" t="str">
        <x:v>oil</x:v>
      </x:c>
      <x:c r="K182" s="79"/>
      <x:c r="L182" s="79" t="str">
        <x:v>EDIBLE</x:v>
      </x:c>
      <x:c r="M182" s="79" t="str">
        <x:v>بله</x:v>
      </x:c>
      <x:c r="N182" s="79" t="str">
        <x:v>خوراکی</x:v>
      </x:c>
      <x:c r="O182" s="79" t="str">
        <x:v>بله</x:v>
      </x:c>
      <x:c r="P182" s="79" t="n">
        <x:v>2</x:v>
      </x:c>
      <x:c r="Q182" s="79" t="str">
        <x:v>30 میلی لیتر</x:v>
      </x:c>
      <x:c r="R182" s="79" t="n">
        <x:v>75</x:v>
      </x:c>
      <x:c r="S182" s="104" t="n">
        <x:v>75000</x:v>
      </x:c>
      <x:c r="T182" s="79" t="n">
        <x:v>30</x:v>
      </x:c>
      <x:c r="U182" s="79" t="str">
        <x:v>ml</x:v>
      </x:c>
      <x:c r="V182" s="79" t="str">
        <x:v>30 میل</x:v>
      </x:c>
      <x:c r="W182" s="99" t="b">
        <x:v>1</x:v>
      </x:c>
      <x:c r="X182" s="79" t="str">
        <x:v>60 میلی لیتر</x:v>
      </x:c>
      <x:c r="Y182" s="79" t="n">
        <x:v>140</x:v>
      </x:c>
      <x:c r="Z182" s="104" t="n">
        <x:v>140000</x:v>
      </x:c>
      <x:c r="AA182" s="79" t="n">
        <x:v>60</x:v>
      </x:c>
      <x:c r="AB182" s="79" t="str">
        <x:v>ml</x:v>
      </x:c>
      <x:c r="AC182" s="79" t="str">
        <x:v>60 میل</x:v>
      </x:c>
      <x:c r="AD182" s="99" t="b">
        <x:v>0</x:v>
      </x:c>
      <x:c r="AE182" s="79" t="str">
        <x:v>فعال</x:v>
      </x:c>
      <x:c r="AF182" s="79" t="str">
        <x:v>دسته‌بندی نهایی</x:v>
      </x:c>
      <x:c r="AG182" s="79" t="str">
        <x:v>OK</x:v>
      </x:c>
      <x:c r="AH182" s="79" t="str">
        <x:v>[{"name": "30 میلی لیتر", "sku": "", "price": 75000, "stock": "", "weight": 30, "weightUnit": "ml", "containerSize": "30 میل", "isDefault": true}, {"name": "60 میلی لیتر", "sku": "", "price": 140000, "stock": "", "weight": 60, "weightUnit": "ml", "containerSize": "60 میل", "isDefault": false}]</x:v>
      </x:c>
      <x:c r="AI182" s="79"/>
      <x:c r="AJ182" s="79"/>
      <x:c r="AK182" s="79"/>
      <x:c r="AL182" t="str">
        <x:v>روغن گلیسیرین</x:v>
      </x:c>
      <x:c r="AM182" t="str">
        <x:v>single_184</x:v>
      </x:c>
      <x:c r="AN182" t="str">
        <x:v>canonical_group_row</x:v>
      </x:c>
      <x:c r="AO182" t="str">
        <x:v>روغن</x:v>
      </x:c>
      <x:c r="AP182" t="str">
        <x:v>6a2d446d45c164ce6f28ae30</x:v>
      </x:c>
      <x:c r="AQ182" t="str">
        <x:v>oil</x:v>
      </x:c>
      <x:c r="AR182" t="str">
        <x:v>EDIBLE</x:v>
      </x:c>
      <x:c r="AS182" t="str">
        <x:v>بله</x:v>
      </x:c>
      <x:c r="AT182" t="str">
        <x:v>OK</x:v>
      </x:c>
      <x:c r="AU182"/>
    </x:row>
    <x:row r="183">
      <x:c r="A183" s="79" t="n">
        <x:v>185</x:v>
      </x:c>
      <x:c r="B183" s="79" t="str">
        <x:v>NS-0182-1</x:v>
      </x:c>
      <x:c r="C183" s="79" t="str">
        <x:v>روغن لیمو</x:v>
      </x:c>
      <x:c r="D183" s="79" t="str">
        <x:v>oil_lemon_30ml</x:v>
      </x:c>
      <x:c r="E183" s="79" t="str">
        <x:v>update</x:v>
      </x:c>
      <x:c r="F183" s="79" t="str">
        <x:v>بله</x:v>
      </x:c>
      <x:c r="G183" s="79" t="str">
        <x:v>روغن</x:v>
      </x:c>
      <x:c r="H183" s="79" t="str">
        <x:v>روغن</x:v>
      </x:c>
      <x:c r="I183" s="79" t="str">
        <x:v>6a2d446d45c164ce6f28ae30</x:v>
      </x:c>
      <x:c r="J183" s="79" t="str">
        <x:v>oil</x:v>
      </x:c>
      <x:c r="K183" s="79"/>
      <x:c r="L183" s="79" t="str">
        <x:v>EDIBLE</x:v>
      </x:c>
      <x:c r="M183" s="79" t="str">
        <x:v>بله</x:v>
      </x:c>
      <x:c r="N183" s="79" t="str">
        <x:v>خوراکی</x:v>
      </x:c>
      <x:c r="O183" s="79" t="str">
        <x:v>بله</x:v>
      </x:c>
      <x:c r="P183" s="79" t="n">
        <x:v>2</x:v>
      </x:c>
      <x:c r="Q183" s="79" t="str">
        <x:v>30 میلی لیتر</x:v>
      </x:c>
      <x:c r="R183" s="79" t="n">
        <x:v>90</x:v>
      </x:c>
      <x:c r="S183" s="104" t="n">
        <x:v>90000</x:v>
      </x:c>
      <x:c r="T183" s="79" t="n">
        <x:v>30</x:v>
      </x:c>
      <x:c r="U183" s="79" t="str">
        <x:v>ml</x:v>
      </x:c>
      <x:c r="V183" s="79" t="str">
        <x:v>30 میل</x:v>
      </x:c>
      <x:c r="W183" s="99" t="b">
        <x:v>1</x:v>
      </x:c>
      <x:c r="X183" s="79" t="str">
        <x:v>60 میلی لیتر</x:v>
      </x:c>
      <x:c r="Y183" s="79" t="n">
        <x:v>170</x:v>
      </x:c>
      <x:c r="Z183" s="104" t="n">
        <x:v>170000</x:v>
      </x:c>
      <x:c r="AA183" s="79" t="n">
        <x:v>60</x:v>
      </x:c>
      <x:c r="AB183" s="79" t="str">
        <x:v>ml</x:v>
      </x:c>
      <x:c r="AC183" s="79" t="str">
        <x:v>60 میل</x:v>
      </x:c>
      <x:c r="AD183" s="99" t="b">
        <x:v>0</x:v>
      </x:c>
      <x:c r="AE183" s="79" t="str">
        <x:v>فعال</x:v>
      </x:c>
      <x:c r="AF183" s="79" t="str">
        <x:v>دسته‌بندی نهایی</x:v>
      </x:c>
      <x:c r="AG183" s="79" t="str">
        <x:v>OK</x:v>
      </x:c>
      <x:c r="AH183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  <x:c r="AI183" s="79"/>
      <x:c r="AJ183" s="79"/>
      <x:c r="AK183" s="79"/>
      <x:c r="AL183" t="str">
        <x:v>روغن لیمو</x:v>
      </x:c>
      <x:c r="AM183" t="str">
        <x:v>single_185</x:v>
      </x:c>
      <x:c r="AN183" t="str">
        <x:v>canonical_group_row</x:v>
      </x:c>
      <x:c r="AO183" t="str">
        <x:v>روغن</x:v>
      </x:c>
      <x:c r="AP183" t="str">
        <x:v>6a2d446d45c164ce6f28ae30</x:v>
      </x:c>
      <x:c r="AQ183" t="str">
        <x:v>oil</x:v>
      </x:c>
      <x:c r="AR183" t="str">
        <x:v>EDIBLE</x:v>
      </x:c>
      <x:c r="AS183" t="str">
        <x:v>بله</x:v>
      </x:c>
      <x:c r="AT183" t="str">
        <x:v>OK</x:v>
      </x:c>
      <x:c r="AU183"/>
    </x:row>
    <x:row r="184">
      <x:c r="A184" s="79" t="n">
        <x:v>186</x:v>
      </x:c>
      <x:c r="B184" s="79" t="str">
        <x:v>NS-0183-1</x:v>
      </x:c>
      <x:c r="C184" s="79" t="str">
        <x:v>روغن ماکادمیا</x:v>
      </x:c>
      <x:c r="D184" s="79" t="str">
        <x:v>oil_macadamia_30ml</x:v>
      </x:c>
      <x:c r="E184" s="79" t="str">
        <x:v>update</x:v>
      </x:c>
      <x:c r="F184" s="79" t="str">
        <x:v>بله</x:v>
      </x:c>
      <x:c r="G184" s="79" t="str">
        <x:v>روغن</x:v>
      </x:c>
      <x:c r="H184" s="79" t="str">
        <x:v>روغن</x:v>
      </x:c>
      <x:c r="I184" s="79" t="str">
        <x:v>6a2d446d45c164ce6f28ae30</x:v>
      </x:c>
      <x:c r="J184" s="79" t="str">
        <x:v>oil</x:v>
      </x:c>
      <x:c r="K184" s="79"/>
      <x:c r="L184" s="79" t="str">
        <x:v>EDIBLE</x:v>
      </x:c>
      <x:c r="M184" s="79" t="str">
        <x:v>بله</x:v>
      </x:c>
      <x:c r="N184" s="79" t="str">
        <x:v>خوراکی</x:v>
      </x:c>
      <x:c r="O184" s="79" t="str">
        <x:v>بله</x:v>
      </x:c>
      <x:c r="P184" s="79" t="n">
        <x:v>2</x:v>
      </x:c>
      <x:c r="Q184" s="79" t="str">
        <x:v>30 میلی لیتر</x:v>
      </x:c>
      <x:c r="R184" s="79" t="n">
        <x:v>100</x:v>
      </x:c>
      <x:c r="S184" s="104" t="n">
        <x:v>100000</x:v>
      </x:c>
      <x:c r="T184" s="79" t="n">
        <x:v>30</x:v>
      </x:c>
      <x:c r="U184" s="79" t="str">
        <x:v>ml</x:v>
      </x:c>
      <x:c r="V184" s="79" t="str">
        <x:v>30 میل</x:v>
      </x:c>
      <x:c r="W184" s="99" t="b">
        <x:v>1</x:v>
      </x:c>
      <x:c r="X184" s="79" t="str">
        <x:v>60 میلی لیتر</x:v>
      </x:c>
      <x:c r="Y184" s="79" t="n">
        <x:v>190</x:v>
      </x:c>
      <x:c r="Z184" s="104" t="n">
        <x:v>190000</x:v>
      </x:c>
      <x:c r="AA184" s="79" t="n">
        <x:v>60</x:v>
      </x:c>
      <x:c r="AB184" s="79" t="str">
        <x:v>ml</x:v>
      </x:c>
      <x:c r="AC184" s="79" t="str">
        <x:v>60 میل</x:v>
      </x:c>
      <x:c r="AD184" s="99" t="b">
        <x:v>0</x:v>
      </x:c>
      <x:c r="AE184" s="79" t="str">
        <x:v>فعال</x:v>
      </x:c>
      <x:c r="AF184" s="79" t="str">
        <x:v>دسته‌بندی نهایی</x:v>
      </x:c>
      <x:c r="AG184" s="79" t="str">
        <x:v>OK</x:v>
      </x:c>
      <x:c r="AH184" s="79" t="str">
        <x:v>[{"name": "30 میلی لیتر", "sku": "", "price": 100000, "stock": "", "weight": 30, "weightUnit": "ml", "containerSize": "30 میل", "isDefault": true}, {"name": "60 میلی لیتر", "sku": "", "price": 190000, "stock": "", "weight": 60, "weightUnit": "ml", "containerSize": "60 میل", "isDefault": false}]</x:v>
      </x:c>
      <x:c r="AI184" s="79"/>
      <x:c r="AJ184" s="79"/>
      <x:c r="AK184" s="79"/>
      <x:c r="AL184" t="str">
        <x:v>روغن ماکادمیا</x:v>
      </x:c>
      <x:c r="AM184" t="str">
        <x:v>single_186</x:v>
      </x:c>
      <x:c r="AN184" t="str">
        <x:v>canonical_group_row</x:v>
      </x:c>
      <x:c r="AO184" t="str">
        <x:v>روغن</x:v>
      </x:c>
      <x:c r="AP184" t="str">
        <x:v>6a2d446d45c164ce6f28ae30</x:v>
      </x:c>
      <x:c r="AQ184" t="str">
        <x:v>oil</x:v>
      </x:c>
      <x:c r="AR184" t="str">
        <x:v>EDIBLE</x:v>
      </x:c>
      <x:c r="AS184" t="str">
        <x:v>بله</x:v>
      </x:c>
      <x:c r="AT184" t="str">
        <x:v>OK</x:v>
      </x:c>
      <x:c r="AU184"/>
    </x:row>
    <x:row r="185">
      <x:c r="A185" s="79" t="n">
        <x:v>187</x:v>
      </x:c>
      <x:c r="B185" s="79" t="str">
        <x:v>NS-0184-1</x:v>
      </x:c>
      <x:c r="C185" s="79" t="str">
        <x:v>روغن مورد</x:v>
      </x:c>
      <x:c r="D185" s="79" t="str">
        <x:v>oil_myrtle_30ml</x:v>
      </x:c>
      <x:c r="E185" s="79" t="str">
        <x:v>update</x:v>
      </x:c>
      <x:c r="F185" s="79" t="str">
        <x:v>بله</x:v>
      </x:c>
      <x:c r="G185" s="79" t="str">
        <x:v>روغن</x:v>
      </x:c>
      <x:c r="H185" s="79" t="str">
        <x:v>روغن</x:v>
      </x:c>
      <x:c r="I185" s="79" t="str">
        <x:v>6a2d446d45c164ce6f28ae30</x:v>
      </x:c>
      <x:c r="J185" s="79" t="str">
        <x:v>oil</x:v>
      </x:c>
      <x:c r="K185" s="79"/>
      <x:c r="L185" s="79" t="str">
        <x:v>EDIBLE</x:v>
      </x:c>
      <x:c r="M185" s="79" t="str">
        <x:v>بله</x:v>
      </x:c>
      <x:c r="N185" s="79" t="str">
        <x:v>خوراکی</x:v>
      </x:c>
      <x:c r="O185" s="79" t="str">
        <x:v>بله</x:v>
      </x:c>
      <x:c r="P185" s="79" t="n">
        <x:v>2</x:v>
      </x:c>
      <x:c r="Q185" s="79" t="str">
        <x:v>30 میلی لیتر</x:v>
      </x:c>
      <x:c r="R185" s="79" t="n">
        <x:v>90</x:v>
      </x:c>
      <x:c r="S185" s="104" t="n">
        <x:v>90000</x:v>
      </x:c>
      <x:c r="T185" s="79" t="n">
        <x:v>30</x:v>
      </x:c>
      <x:c r="U185" s="79" t="str">
        <x:v>ml</x:v>
      </x:c>
      <x:c r="V185" s="79" t="str">
        <x:v>30 میل</x:v>
      </x:c>
      <x:c r="W185" s="99" t="b">
        <x:v>1</x:v>
      </x:c>
      <x:c r="X185" s="79" t="str">
        <x:v>60 میلی لیتر</x:v>
      </x:c>
      <x:c r="Y185" s="79" t="n">
        <x:v>170</x:v>
      </x:c>
      <x:c r="Z185" s="104" t="n">
        <x:v>170000</x:v>
      </x:c>
      <x:c r="AA185" s="79" t="n">
        <x:v>60</x:v>
      </x:c>
      <x:c r="AB185" s="79" t="str">
        <x:v>ml</x:v>
      </x:c>
      <x:c r="AC185" s="79" t="str">
        <x:v>60 میل</x:v>
      </x:c>
      <x:c r="AD185" s="99" t="b">
        <x:v>0</x:v>
      </x:c>
      <x:c r="AE185" s="79" t="str">
        <x:v>فعال</x:v>
      </x:c>
      <x:c r="AF185" s="79" t="str">
        <x:v>دسته‌بندی نهایی</x:v>
      </x:c>
      <x:c r="AG185" s="79" t="str">
        <x:v>OK</x:v>
      </x:c>
      <x:c r="AH185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  <x:c r="AI185" s="79"/>
      <x:c r="AJ185" s="79"/>
      <x:c r="AK185" s="79"/>
      <x:c r="AL185" t="str">
        <x:v>روغن مورد</x:v>
      </x:c>
      <x:c r="AM185" t="str">
        <x:v>single_187</x:v>
      </x:c>
      <x:c r="AN185" t="str">
        <x:v>canonical_group_row</x:v>
      </x:c>
      <x:c r="AO185" t="str">
        <x:v>روغن</x:v>
      </x:c>
      <x:c r="AP185" t="str">
        <x:v>6a2d446d45c164ce6f28ae30</x:v>
      </x:c>
      <x:c r="AQ185" t="str">
        <x:v>oil</x:v>
      </x:c>
      <x:c r="AR185" t="str">
        <x:v>EDIBLE</x:v>
      </x:c>
      <x:c r="AS185" t="str">
        <x:v>بله</x:v>
      </x:c>
      <x:c r="AT185" t="str">
        <x:v>OK</x:v>
      </x:c>
      <x:c r="AU185"/>
    </x:row>
    <x:row r="186">
      <x:c r="A186" s="79" t="n">
        <x:v>188</x:v>
      </x:c>
      <x:c r="B186" s="79" t="str">
        <x:v>NS-0185-1</x:v>
      </x:c>
      <x:c r="C186" s="79" t="str">
        <x:v>روغن مورینگا</x:v>
      </x:c>
      <x:c r="D186" s="79" t="str">
        <x:v>oil_moringa_30ml</x:v>
      </x:c>
      <x:c r="E186" s="79" t="str">
        <x:v>update</x:v>
      </x:c>
      <x:c r="F186" s="79" t="str">
        <x:v>بله</x:v>
      </x:c>
      <x:c r="G186" s="79" t="str">
        <x:v>روغن</x:v>
      </x:c>
      <x:c r="H186" s="79" t="str">
        <x:v>روغن</x:v>
      </x:c>
      <x:c r="I186" s="79" t="str">
        <x:v>6a2d446d45c164ce6f28ae30</x:v>
      </x:c>
      <x:c r="J186" s="79" t="str">
        <x:v>oil</x:v>
      </x:c>
      <x:c r="K186" s="79"/>
      <x:c r="L186" s="79" t="str">
        <x:v>EDIBLE</x:v>
      </x:c>
      <x:c r="M186" s="79" t="str">
        <x:v>بله</x:v>
      </x:c>
      <x:c r="N186" s="79" t="str">
        <x:v>خوراکی</x:v>
      </x:c>
      <x:c r="O186" s="79" t="str">
        <x:v>بله</x:v>
      </x:c>
      <x:c r="P186" s="79" t="n">
        <x:v>2</x:v>
      </x:c>
      <x:c r="Q186" s="79" t="str">
        <x:v>30 میلی لیتر</x:v>
      </x:c>
      <x:c r="R186" s="79" t="n">
        <x:v>100</x:v>
      </x:c>
      <x:c r="S186" s="104" t="n">
        <x:v>100000</x:v>
      </x:c>
      <x:c r="T186" s="79" t="n">
        <x:v>30</x:v>
      </x:c>
      <x:c r="U186" s="79" t="str">
        <x:v>ml</x:v>
      </x:c>
      <x:c r="V186" s="79" t="str">
        <x:v>30 میل</x:v>
      </x:c>
      <x:c r="W186" s="99" t="b">
        <x:v>1</x:v>
      </x:c>
      <x:c r="X186" s="79" t="str">
        <x:v>60 میلی لیتر</x:v>
      </x:c>
      <x:c r="Y186" s="79" t="n">
        <x:v>190</x:v>
      </x:c>
      <x:c r="Z186" s="104" t="n">
        <x:v>190000</x:v>
      </x:c>
      <x:c r="AA186" s="79" t="n">
        <x:v>60</x:v>
      </x:c>
      <x:c r="AB186" s="79" t="str">
        <x:v>ml</x:v>
      </x:c>
      <x:c r="AC186" s="79" t="str">
        <x:v>60 میل</x:v>
      </x:c>
      <x:c r="AD186" s="99" t="b">
        <x:v>0</x:v>
      </x:c>
      <x:c r="AE186" s="79" t="str">
        <x:v>فعال</x:v>
      </x:c>
      <x:c r="AF186" s="79" t="str">
        <x:v>دسته‌بندی نهایی</x:v>
      </x:c>
      <x:c r="AG186" s="79" t="str">
        <x:v>OK</x:v>
      </x:c>
      <x:c r="AH186" s="79" t="str">
        <x:v>[{"name": "30 میلی لیتر", "sku": "", "price": 100000, "stock": "", "weight": 30, "weightUnit": "ml", "containerSize": "30 میل", "isDefault": true}, {"name": "60 میلی لیتر", "sku": "", "price": 190000, "stock": "", "weight": 60, "weightUnit": "ml", "containerSize": "60 میل", "isDefault": false}]</x:v>
      </x:c>
      <x:c r="AI186" s="79"/>
      <x:c r="AJ186" s="79"/>
      <x:c r="AK186" s="79"/>
      <x:c r="AL186" t="str">
        <x:v>روغن مورینگا</x:v>
      </x:c>
      <x:c r="AM186" t="str">
        <x:v>single_188</x:v>
      </x:c>
      <x:c r="AN186" t="str">
        <x:v>canonical_group_row</x:v>
      </x:c>
      <x:c r="AO186" t="str">
        <x:v>روغن</x:v>
      </x:c>
      <x:c r="AP186" t="str">
        <x:v>6a2d446d45c164ce6f28ae30</x:v>
      </x:c>
      <x:c r="AQ186" t="str">
        <x:v>oil</x:v>
      </x:c>
      <x:c r="AR186" t="str">
        <x:v>EDIBLE</x:v>
      </x:c>
      <x:c r="AS186" t="str">
        <x:v>بله</x:v>
      </x:c>
      <x:c r="AT186" t="str">
        <x:v>OK</x:v>
      </x:c>
      <x:c r="AU186"/>
    </x:row>
    <x:row r="187">
      <x:c r="A187" s="79" t="n">
        <x:v>189</x:v>
      </x:c>
      <x:c r="B187" s="79" t="str">
        <x:v>NS-0186-1</x:v>
      </x:c>
      <x:c r="C187" s="79" t="str">
        <x:v>روغن میخک</x:v>
      </x:c>
      <x:c r="D187" s="79" t="str">
        <x:v>oil_clove_30ml</x:v>
      </x:c>
      <x:c r="E187" s="79" t="str">
        <x:v>update</x:v>
      </x:c>
      <x:c r="F187" s="79" t="str">
        <x:v>بله</x:v>
      </x:c>
      <x:c r="G187" s="79" t="str">
        <x:v>روغن</x:v>
      </x:c>
      <x:c r="H187" s="79" t="str">
        <x:v>روغن</x:v>
      </x:c>
      <x:c r="I187" s="79" t="str">
        <x:v>6a2d446d45c164ce6f28ae30</x:v>
      </x:c>
      <x:c r="J187" s="79" t="str">
        <x:v>oil</x:v>
      </x:c>
      <x:c r="K187" s="79"/>
      <x:c r="L187" s="79" t="str">
        <x:v>EDIBLE</x:v>
      </x:c>
      <x:c r="M187" s="79" t="str">
        <x:v>بله</x:v>
      </x:c>
      <x:c r="N187" s="79" t="str">
        <x:v>خوراکی</x:v>
      </x:c>
      <x:c r="O187" s="79" t="str">
        <x:v>بله</x:v>
      </x:c>
      <x:c r="P187" s="79" t="n">
        <x:v>2</x:v>
      </x:c>
      <x:c r="Q187" s="79" t="str">
        <x:v>30 میلی لیتر</x:v>
      </x:c>
      <x:c r="R187" s="79" t="n">
        <x:v>90</x:v>
      </x:c>
      <x:c r="S187" s="104" t="n">
        <x:v>90000</x:v>
      </x:c>
      <x:c r="T187" s="79" t="n">
        <x:v>30</x:v>
      </x:c>
      <x:c r="U187" s="79" t="str">
        <x:v>ml</x:v>
      </x:c>
      <x:c r="V187" s="79" t="str">
        <x:v>30 میل</x:v>
      </x:c>
      <x:c r="W187" s="99" t="b">
        <x:v>1</x:v>
      </x:c>
      <x:c r="X187" s="79" t="str">
        <x:v>60 میلی لیتر</x:v>
      </x:c>
      <x:c r="Y187" s="79" t="n">
        <x:v>170</x:v>
      </x:c>
      <x:c r="Z187" s="104" t="n">
        <x:v>170000</x:v>
      </x:c>
      <x:c r="AA187" s="79" t="n">
        <x:v>60</x:v>
      </x:c>
      <x:c r="AB187" s="79" t="str">
        <x:v>ml</x:v>
      </x:c>
      <x:c r="AC187" s="79" t="str">
        <x:v>60 میل</x:v>
      </x:c>
      <x:c r="AD187" s="99" t="b">
        <x:v>0</x:v>
      </x:c>
      <x:c r="AE187" s="79" t="str">
        <x:v>فعال</x:v>
      </x:c>
      <x:c r="AF187" s="79" t="str">
        <x:v>دسته‌بندی نهایی</x:v>
      </x:c>
      <x:c r="AG187" s="79" t="str">
        <x:v>OK</x:v>
      </x:c>
      <x:c r="AH187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  <x:c r="AI187" s="79"/>
      <x:c r="AJ187" s="79"/>
      <x:c r="AK187" s="79"/>
      <x:c r="AL187" t="str">
        <x:v>روغن میخک</x:v>
      </x:c>
      <x:c r="AM187" t="str">
        <x:v>single_189</x:v>
      </x:c>
      <x:c r="AN187" t="str">
        <x:v>canonical_group_row</x:v>
      </x:c>
      <x:c r="AO187" t="str">
        <x:v>روغن</x:v>
      </x:c>
      <x:c r="AP187" t="str">
        <x:v>6a2d446d45c164ce6f28ae30</x:v>
      </x:c>
      <x:c r="AQ187" t="str">
        <x:v>oil</x:v>
      </x:c>
      <x:c r="AR187" t="str">
        <x:v>EDIBLE</x:v>
      </x:c>
      <x:c r="AS187" t="str">
        <x:v>بله</x:v>
      </x:c>
      <x:c r="AT187" t="str">
        <x:v>OK</x:v>
      </x:c>
      <x:c r="AU187"/>
    </x:row>
    <x:row r="188">
      <x:c r="A188" s="79" t="n">
        <x:v>190</x:v>
      </x:c>
      <x:c r="B188" s="79" t="str">
        <x:v>NS-0187-1</x:v>
      </x:c>
      <x:c r="C188" s="79" t="str">
        <x:v>روغن نارگیل</x:v>
      </x:c>
      <x:c r="D188" s="79" t="str">
        <x:v>oil_coconut_half_liter</x:v>
      </x:c>
      <x:c r="E188" s="79" t="str">
        <x:v>update</x:v>
      </x:c>
      <x:c r="F188" s="79" t="str">
        <x:v>بله</x:v>
      </x:c>
      <x:c r="G188" s="79" t="str">
        <x:v>روغن</x:v>
      </x:c>
      <x:c r="H188" s="79" t="str">
        <x:v>روغن</x:v>
      </x:c>
      <x:c r="I188" s="79" t="str">
        <x:v>6a2d446d45c164ce6f28ae30</x:v>
      </x:c>
      <x:c r="J188" s="79" t="str">
        <x:v>oil</x:v>
      </x:c>
      <x:c r="K188" s="79"/>
      <x:c r="L188" s="79" t="str">
        <x:v>EDIBLE</x:v>
      </x:c>
      <x:c r="M188" s="79" t="str">
        <x:v>بله</x:v>
      </x:c>
      <x:c r="N188" s="79" t="str">
        <x:v>خوراکی</x:v>
      </x:c>
      <x:c r="O188" s="79" t="str">
        <x:v>بله</x:v>
      </x:c>
      <x:c r="P188" s="79" t="n">
        <x:v>2</x:v>
      </x:c>
      <x:c r="Q188" s="79" t="str">
        <x:v>نیم لیتر</x:v>
      </x:c>
      <x:c r="R188" s="79" t="str">
        <x:v>1/100</x:v>
      </x:c>
      <x:c r="S188" s="104" t="n">
        <x:v>1100000</x:v>
      </x:c>
      <x:c r="T188" s="79" t="n">
        <x:v>500</x:v>
      </x:c>
      <x:c r="U188" s="79" t="str">
        <x:v>ml</x:v>
      </x:c>
      <x:c r="V188" s="79" t="str">
        <x:v>نیم لیتر</x:v>
      </x:c>
      <x:c r="W188" s="99" t="b">
        <x:v>1</x:v>
      </x:c>
      <x:c r="X188" s="79" t="str">
        <x:v>1 لیتر</x:v>
      </x:c>
      <x:c r="Y188" s="79" t="str">
        <x:v>2/200</x:v>
      </x:c>
      <x:c r="Z188" s="104" t="n">
        <x:v>2200000</x:v>
      </x:c>
      <x:c r="AA188" s="79" t="n">
        <x:v>1000</x:v>
      </x:c>
      <x:c r="AB188" s="79" t="str">
        <x:v>ml</x:v>
      </x:c>
      <x:c r="AC188" s="79" t="str">
        <x:v>1 لیتر</x:v>
      </x:c>
      <x:c r="AD188" s="99" t="b">
        <x:v>0</x:v>
      </x:c>
      <x:c r="AE188" s="79" t="str">
        <x:v>فعال</x:v>
      </x:c>
      <x:c r="AF188" s="79" t="str">
        <x:v>دسته‌بندی نهایی</x:v>
      </x:c>
      <x:c r="AG188" s="79" t="str">
        <x:v>MERGED</x:v>
      </x:c>
      <x:c r="AH188" s="79" t="str">
        <x:v>[{"name": "نیم لیتر", "sku": "", "price": 1100000, "stock": "", "weight": 500, "weightUnit": "ml", "containerSize": "نیم لیتر", "isDefault": true}, {"name": "1 لیتر", "sku": "", "price": 2200000, "stock": "", "weight": 1000, "weightUnit": "ml", "containerSize": "1 لیتر", "isDefault": false}]</x:v>
      </x:c>
      <x:c r="AI188" s="79"/>
      <x:c r="AJ188" s="79"/>
      <x:c r="AK188" s="79"/>
      <x:c r="AL188" t="str">
        <x:v>روغن نارگیل</x:v>
      </x:c>
      <x:c r="AM188" t="str">
        <x:v>grp_coconut_oil</x:v>
      </x:c>
      <x:c r="AN188" t="str">
        <x:v>canonical_group_row</x:v>
      </x:c>
      <x:c r="AO188" t="str">
        <x:v>روغن</x:v>
      </x:c>
      <x:c r="AP188" t="str">
        <x:v>6a2d446d45c164ce6f28ae30</x:v>
      </x:c>
      <x:c r="AQ188" t="str">
        <x:v>oil</x:v>
      </x:c>
      <x:c r="AR188" t="str">
        <x:v>EDIBLE</x:v>
      </x:c>
      <x:c r="AS188" t="str">
        <x:v>بله</x:v>
      </x:c>
      <x:c r="AT188" t="str">
        <x:v>MERGED</x:v>
      </x:c>
      <x:c r="AU188"/>
    </x:row>
    <x:row r="189">
      <x:c r="A189" s="79" t="n">
        <x:v>191</x:v>
      </x:c>
      <x:c r="B189" s="79" t="str">
        <x:v>NS-0187-1</x:v>
      </x:c>
      <x:c r="C189" s="79" t="str">
        <x:v>روغن نارگیل</x:v>
      </x:c>
      <x:c r="D189" s="79" t="str">
        <x:v>oil_coconut_half_liter</x:v>
      </x:c>
      <x:c r="E189" s="79" t="str">
        <x:v>update</x:v>
      </x:c>
      <x:c r="F189" s="79" t="str">
        <x:v>بله</x:v>
      </x:c>
      <x:c r="G189" s="79" t="str">
        <x:v>روغن</x:v>
      </x:c>
      <x:c r="H189" s="79" t="str">
        <x:v>روغن</x:v>
      </x:c>
      <x:c r="I189" s="79" t="str">
        <x:v>6a2d446d45c164ce6f28ae30</x:v>
      </x:c>
      <x:c r="J189" s="79" t="str">
        <x:v>oil</x:v>
      </x:c>
      <x:c r="K189" s="79"/>
      <x:c r="L189" s="79" t="str">
        <x:v>EDIBLE</x:v>
      </x:c>
      <x:c r="M189" s="79" t="str">
        <x:v>بله</x:v>
      </x:c>
      <x:c r="N189" s="79" t="str">
        <x:v>خوراکی</x:v>
      </x:c>
      <x:c r="O189" s="79" t="str">
        <x:v>بله</x:v>
      </x:c>
      <x:c r="P189" s="79" t="n">
        <x:v>2</x:v>
      </x:c>
      <x:c r="Q189" s="79" t="str">
        <x:v>30 میلی لیتر</x:v>
      </x:c>
      <x:c r="R189" s="79" t="n">
        <x:v>90</x:v>
      </x:c>
      <x:c r="S189" s="104" t="n">
        <x:v>90000</x:v>
      </x:c>
      <x:c r="T189" s="79" t="n">
        <x:v>30</x:v>
      </x:c>
      <x:c r="U189" s="79" t="str">
        <x:v>ml</x:v>
      </x:c>
      <x:c r="V189" s="79" t="str">
        <x:v>30 میل</x:v>
      </x:c>
      <x:c r="W189" s="99" t="b">
        <x:v>1</x:v>
      </x:c>
      <x:c r="X189" s="79" t="str">
        <x:v>60 میلی لیتر</x:v>
      </x:c>
      <x:c r="Y189" s="79" t="n">
        <x:v>170</x:v>
      </x:c>
      <x:c r="Z189" s="104" t="n">
        <x:v>170000</x:v>
      </x:c>
      <x:c r="AA189" s="79" t="n">
        <x:v>60</x:v>
      </x:c>
      <x:c r="AB189" s="79" t="str">
        <x:v>ml</x:v>
      </x:c>
      <x:c r="AC189" s="79" t="str">
        <x:v>60 میل</x:v>
      </x:c>
      <x:c r="AD189" s="99" t="b">
        <x:v>0</x:v>
      </x:c>
      <x:c r="AE189" s="79" t="str">
        <x:v>فعال</x:v>
      </x:c>
      <x:c r="AF189" s="79" t="str">
        <x:v>دسته‌بندی نهایی</x:v>
      </x:c>
      <x:c r="AG189" s="79" t="str">
        <x:v>MERGED</x:v>
      </x:c>
      <x:c r="AH189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  <x:c r="AI189" s="79"/>
      <x:c r="AJ189" s="79"/>
      <x:c r="AK189" s="79"/>
      <x:c r="AL189" t="str">
        <x:v>روغن نارگیل</x:v>
      </x:c>
      <x:c r="AM189" t="str">
        <x:v>grp_coconut_oil</x:v>
      </x:c>
      <x:c r="AN189" t="str">
        <x:v>merge_into_canonical_group</x:v>
      </x:c>
      <x:c r="AO189" t="str">
        <x:v>روغن</x:v>
      </x:c>
      <x:c r="AP189" t="str">
        <x:v>6a2d446d45c164ce6f28ae30</x:v>
      </x:c>
      <x:c r="AQ189" t="str">
        <x:v>oil</x:v>
      </x:c>
      <x:c r="AR189" t="str">
        <x:v>EDIBLE</x:v>
      </x:c>
      <x:c r="AS189" t="str">
        <x:v>بله</x:v>
      </x:c>
      <x:c r="AT189" t="str">
        <x:v>MERGED</x:v>
      </x:c>
      <x:c r="AU189"/>
    </x:row>
    <x:row r="190">
      <x:c r="A190" s="79" t="n">
        <x:v>192</x:v>
      </x:c>
      <x:c r="B190" s="79" t="str">
        <x:v>NS-0189-1</x:v>
      </x:c>
      <x:c r="C190" s="79" t="str">
        <x:v>روغن هسته انگور</x:v>
      </x:c>
      <x:c r="D190" s="79" t="str">
        <x:v>grape_seed_oil_30ml</x:v>
      </x:c>
      <x:c r="E190" s="79" t="str">
        <x:v>update</x:v>
      </x:c>
      <x:c r="F190" s="79" t="str">
        <x:v>بله</x:v>
      </x:c>
      <x:c r="G190" s="79" t="str">
        <x:v>روغن</x:v>
      </x:c>
      <x:c r="H190" s="79" t="str">
        <x:v>روغن</x:v>
      </x:c>
      <x:c r="I190" s="79" t="str">
        <x:v>6a2d446d45c164ce6f28ae30</x:v>
      </x:c>
      <x:c r="J190" s="79" t="str">
        <x:v>oil</x:v>
      </x:c>
      <x:c r="K190" s="79"/>
      <x:c r="L190" s="79" t="str">
        <x:v>EDIBLE</x:v>
      </x:c>
      <x:c r="M190" s="79" t="str">
        <x:v>بله</x:v>
      </x:c>
      <x:c r="N190" s="79" t="str">
        <x:v>خوراکی</x:v>
      </x:c>
      <x:c r="O190" s="79" t="str">
        <x:v>بله</x:v>
      </x:c>
      <x:c r="P190" s="79" t="n">
        <x:v>2</x:v>
      </x:c>
      <x:c r="Q190" s="79" t="str">
        <x:v>30 میلی لیتر</x:v>
      </x:c>
      <x:c r="R190" s="79" t="n">
        <x:v>65</x:v>
      </x:c>
      <x:c r="S190" s="104" t="n">
        <x:v>65000</x:v>
      </x:c>
      <x:c r="T190" s="79" t="n">
        <x:v>30</x:v>
      </x:c>
      <x:c r="U190" s="79" t="str">
        <x:v>ml</x:v>
      </x:c>
      <x:c r="V190" s="79" t="str">
        <x:v>30 میل</x:v>
      </x:c>
      <x:c r="W190" s="99" t="b">
        <x:v>1</x:v>
      </x:c>
      <x:c r="X190" s="79" t="str">
        <x:v>60 میلی لیتر</x:v>
      </x:c>
      <x:c r="Y190" s="79" t="n">
        <x:v>120</x:v>
      </x:c>
      <x:c r="Z190" s="104" t="n">
        <x:v>120000</x:v>
      </x:c>
      <x:c r="AA190" s="79" t="n">
        <x:v>60</x:v>
      </x:c>
      <x:c r="AB190" s="79" t="str">
        <x:v>ml</x:v>
      </x:c>
      <x:c r="AC190" s="79" t="str">
        <x:v>60 میل</x:v>
      </x:c>
      <x:c r="AD190" s="99" t="b">
        <x:v>0</x:v>
      </x:c>
      <x:c r="AE190" s="79" t="str">
        <x:v>فعال</x:v>
      </x:c>
      <x:c r="AF190" s="79" t="str">
        <x:v>دسته‌بندی نهایی</x:v>
      </x:c>
      <x:c r="AG190" s="79" t="str">
        <x:v>OK</x:v>
      </x:c>
      <x:c r="AH190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  <x:c r="AI190" s="79"/>
      <x:c r="AJ190" s="79"/>
      <x:c r="AK190" s="79"/>
      <x:c r="AL190" t="str">
        <x:v>روغن هسته انگور</x:v>
      </x:c>
      <x:c r="AM190" t="str">
        <x:v>single_192</x:v>
      </x:c>
      <x:c r="AN190" t="str">
        <x:v>canonical_group_row</x:v>
      </x:c>
      <x:c r="AO190" t="str">
        <x:v>روغن</x:v>
      </x:c>
      <x:c r="AP190" t="str">
        <x:v>6a2d446d45c164ce6f28ae30</x:v>
      </x:c>
      <x:c r="AQ190" t="str">
        <x:v>oil</x:v>
      </x:c>
      <x:c r="AR190" t="str">
        <x:v>EDIBLE</x:v>
      </x:c>
      <x:c r="AS190" t="str">
        <x:v>بله</x:v>
      </x:c>
      <x:c r="AT190" t="str">
        <x:v>OK</x:v>
      </x:c>
      <x:c r="AU190"/>
    </x:row>
    <x:row r="191">
      <x:c r="A191" s="79" t="n">
        <x:v>193</x:v>
      </x:c>
      <x:c r="B191" s="79" t="str">
        <x:v>NS-0190-1</x:v>
      </x:c>
      <x:c r="C191" s="79" t="str">
        <x:v>روغن هسته نارنج</x:v>
      </x:c>
      <x:c r="D191" s="79" t="str">
        <x:v>bitter_orange_seed_oil_30ml</x:v>
      </x:c>
      <x:c r="E191" s="79" t="str">
        <x:v>update</x:v>
      </x:c>
      <x:c r="F191" s="79" t="str">
        <x:v>بله</x:v>
      </x:c>
      <x:c r="G191" s="79" t="str">
        <x:v>روغن</x:v>
      </x:c>
      <x:c r="H191" s="79" t="str">
        <x:v>روغن</x:v>
      </x:c>
      <x:c r="I191" s="79" t="str">
        <x:v>6a2d446d45c164ce6f28ae30</x:v>
      </x:c>
      <x:c r="J191" s="79" t="str">
        <x:v>oil</x:v>
      </x:c>
      <x:c r="K191" s="79"/>
      <x:c r="L191" s="79" t="str">
        <x:v>EDIBLE</x:v>
      </x:c>
      <x:c r="M191" s="79" t="str">
        <x:v>بله</x:v>
      </x:c>
      <x:c r="N191" s="79" t="str">
        <x:v>خوراکی</x:v>
      </x:c>
      <x:c r="O191" s="79" t="str">
        <x:v>بله</x:v>
      </x:c>
      <x:c r="P191" s="79" t="n">
        <x:v>2</x:v>
      </x:c>
      <x:c r="Q191" s="79" t="str">
        <x:v>30 میلی لیتر</x:v>
      </x:c>
      <x:c r="R191" s="79" t="n">
        <x:v>65</x:v>
      </x:c>
      <x:c r="S191" s="104" t="n">
        <x:v>65000</x:v>
      </x:c>
      <x:c r="T191" s="79" t="n">
        <x:v>30</x:v>
      </x:c>
      <x:c r="U191" s="79" t="str">
        <x:v>ml</x:v>
      </x:c>
      <x:c r="V191" s="79" t="str">
        <x:v>30 میل</x:v>
      </x:c>
      <x:c r="W191" s="99" t="b">
        <x:v>1</x:v>
      </x:c>
      <x:c r="X191" s="79" t="str">
        <x:v>60 میلی لیتر</x:v>
      </x:c>
      <x:c r="Y191" s="79" t="str">
        <x:v>؟</x:v>
      </x:c>
      <x:c r="Z191" s="104"/>
      <x:c r="AA191" s="79" t="n">
        <x:v>60</x:v>
      </x:c>
      <x:c r="AB191" s="79" t="str">
        <x:v>ml</x:v>
      </x:c>
      <x:c r="AC191" s="79" t="str">
        <x:v>60 میل</x:v>
      </x:c>
      <x:c r="AD191" s="99" t="b">
        <x:v>0</x:v>
      </x:c>
      <x:c r="AE191" s="79" t="str">
        <x:v>فعال</x:v>
      </x:c>
      <x:c r="AF191" s="79" t="str">
        <x:v>دسته‌بندی نهایی</x:v>
      </x:c>
      <x:c r="AG191" s="79" t="str">
        <x:v>یک یا چند قیمت نامشخص است</x:v>
      </x:c>
      <x:c r="AH191" s="79" t="str">
        <x:v>[{"name": "30 میلی لیتر", "sku": "", "price": 65000, "stock": "", "weight": 30, "weightUnit": "ml", "containerSize": "30 میل", "isDefault": true}, {"name": "60 میلی لیتر", "sku": "", "price": null, "stock": "", "weight": 60, "weightUnit": "ml", "containerSize": "60 میل", "isDefault": false}]</x:v>
      </x:c>
      <x:c r="AI191" s="79"/>
      <x:c r="AJ191" s="79"/>
      <x:c r="AK191" s="79"/>
      <x:c r="AL191" t="str">
        <x:v>روغن هسته نارنج</x:v>
      </x:c>
      <x:c r="AM191" t="str">
        <x:v>single_193</x:v>
      </x:c>
      <x:c r="AN191" t="str">
        <x:v>canonical_group_row</x:v>
      </x:c>
      <x:c r="AO191" t="str">
        <x:v>روغن</x:v>
      </x:c>
      <x:c r="AP191" t="str">
        <x:v>6a2d446d45c164ce6f28ae30</x:v>
      </x:c>
      <x:c r="AQ191" t="str">
        <x:v>oil</x:v>
      </x:c>
      <x:c r="AR191" t="str">
        <x:v>EDIBLE</x:v>
      </x:c>
      <x:c r="AS191" t="str">
        <x:v>بله</x:v>
      </x:c>
      <x:c r="AT191" t="str">
        <x:v>MISSING_PRICE_REVIEW</x:v>
      </x:c>
      <x:c r="AU191" t="str">
        <x:v>یک یا چند قیمت نامشخص است</x:v>
      </x:c>
    </x:row>
    <x:row r="192">
      <x:c r="A192" s="79" t="n">
        <x:v>194</x:v>
      </x:c>
      <x:c r="B192" s="79" t="str">
        <x:v>NS-0191-1</x:v>
      </x:c>
      <x:c r="C192" s="79" t="str">
        <x:v>زاج</x:v>
      </x:c>
      <x:c r="D192" s="79" t="str">
        <x:v>zaj</x:v>
      </x:c>
      <x:c r="E192" s="79" t="str">
        <x:v>update</x:v>
      </x:c>
      <x:c r="F192" s="79" t="str">
        <x:v>بله</x:v>
      </x:c>
      <x:c r="G192" s="79" t="str">
        <x:v>سایر</x:v>
      </x:c>
      <x:c r="H192" s="79" t="str">
        <x:v>گیاهان دارویی</x:v>
      </x:c>
      <x:c r="I192" s="79" t="str">
        <x:v>6a3782d7df5573f4e676e243</x:v>
      </x:c>
      <x:c r="J192" s="79" t="str">
        <x:v>medicinal-plants</x:v>
      </x:c>
      <x:c r="K192" s="79"/>
      <x:c r="L192" s="79" t="str">
        <x:v>TOPICAL</x:v>
      </x:c>
      <x:c r="M192" s="79" t="str">
        <x:v>خیر</x:v>
      </x:c>
      <x:c r="N192" s="79" t="str">
        <x:v>غیرخوراکی/موضعی</x:v>
      </x:c>
      <x:c r="O192" s="79" t="str">
        <x:v>خیر</x:v>
      </x:c>
      <x:c r="P192" s="79" t="n">
        <x:v>1</x:v>
      </x:c>
      <x:c r="Q192" s="79" t="str">
        <x:v>کیلو</x:v>
      </x:c>
      <x:c r="R192" s="79" t="n">
        <x:v>500</x:v>
      </x:c>
      <x:c r="S192" s="104" t="n">
        <x:v>500000</x:v>
      </x:c>
      <x:c r="T192" s="79" t="n">
        <x:v>1</x:v>
      </x:c>
      <x:c r="U192" s="79" t="str">
        <x:v>kg</x:v>
      </x:c>
      <x:c r="V192" s="79" t="str">
        <x:v>کیلو</x:v>
      </x:c>
      <x:c r="W192" s="99" t="b">
        <x:v>1</x:v>
      </x:c>
      <x:c r="X192" s="79" t="str"/>
      <x:c r="Y192" s="79"/>
      <x:c r="Z192" s="104"/>
      <x:c r="AA192" s="79" t="str"/>
      <x:c r="AB192" s="79" t="str"/>
      <x:c r="AC192" s="79" t="str"/>
      <x:c r="AD192" s="79" t="str"/>
      <x:c r="AE192" s="79" t="str">
        <x:v>فعال</x:v>
      </x:c>
      <x:c r="AF192" s="79" t="str">
        <x:v>نیازمند بررسی دستی</x:v>
      </x:c>
      <x:c r="AG19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192" s="79" t="str">
        <x:v>[{"name": "کیلو", "sku": "", "price": 500000, "stock": "", "weight": 1, "weightUnit": "kg", "containerSize": "کیلو", "isDefault": true}]</x:v>
      </x:c>
      <x:c r="AI192" s="79"/>
      <x:c r="AJ192" s="79"/>
      <x:c r="AK192" s="79"/>
      <x:c r="AL192" t="str">
        <x:v>زاج</x:v>
      </x:c>
      <x:c r="AM192" t="str">
        <x:v>single_194</x:v>
      </x:c>
      <x:c r="AN192" t="str">
        <x:v>canonical_group_row</x:v>
      </x:c>
      <x:c r="AO192" t="str">
        <x:v>گیاهان دارویی</x:v>
      </x:c>
      <x:c r="AP192" t="str">
        <x:v>6a3782d7df5573f4e676e243</x:v>
      </x:c>
      <x:c r="AQ192" t="str">
        <x:v>medicinal-plants</x:v>
      </x:c>
      <x:c r="AR192" t="str">
        <x:v>TOPICAL</x:v>
      </x:c>
      <x:c r="AS192" t="str">
        <x:v>خیر</x:v>
      </x:c>
      <x:c r="AT192" t="str">
        <x:v>OK</x:v>
      </x:c>
      <x:c r="AU192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93">
      <x:c r="A193" s="79" t="n">
        <x:v>195</x:v>
      </x:c>
      <x:c r="B193" s="79" t="str">
        <x:v>NS-0192-1</x:v>
      </x:c>
      <x:c r="C193" s="79" t="str">
        <x:v>زردچوبه چارمنار</x:v>
      </x:c>
      <x:c r="D193" s="79" t="str">
        <x:v>turmeric_chahar_menar</x:v>
      </x:c>
      <x:c r="E193" s="79" t="str">
        <x:v>update</x:v>
      </x:c>
      <x:c r="F193" s="79" t="str">
        <x:v>بله</x:v>
      </x:c>
      <x:c r="G193" s="79" t="str">
        <x:v>ادویه و چاشنی</x:v>
      </x:c>
      <x:c r="H193" s="79" t="str">
        <x:v>ادویه</x:v>
      </x:c>
      <x:c r="I193" s="79" t="str">
        <x:v>6a3781e4df5573f4e676e226</x:v>
      </x:c>
      <x:c r="J193" s="79" t="str">
        <x:v>spice</x:v>
      </x:c>
      <x:c r="K193" s="79"/>
      <x:c r="L193" s="79" t="str">
        <x:v>EDIBLE</x:v>
      </x:c>
      <x:c r="M193" s="79" t="str">
        <x:v>بله</x:v>
      </x:c>
      <x:c r="N193" s="79" t="str">
        <x:v>خوراکی</x:v>
      </x:c>
      <x:c r="O193" s="79" t="str">
        <x:v>خیر</x:v>
      </x:c>
      <x:c r="P193" s="79" t="n">
        <x:v>1</x:v>
      </x:c>
      <x:c r="Q193" s="79" t="str">
        <x:v>کیلو</x:v>
      </x:c>
      <x:c r="R193" s="79" t="n">
        <x:v>880</x:v>
      </x:c>
      <x:c r="S193" s="104" t="n">
        <x:v>880000</x:v>
      </x:c>
      <x:c r="T193" s="79" t="n">
        <x:v>1</x:v>
      </x:c>
      <x:c r="U193" s="79" t="str">
        <x:v>kg</x:v>
      </x:c>
      <x:c r="V193" s="79" t="str">
        <x:v>کیلو</x:v>
      </x:c>
      <x:c r="W193" s="99" t="b">
        <x:v>1</x:v>
      </x:c>
      <x:c r="X193" s="79" t="str"/>
      <x:c r="Y193" s="79"/>
      <x:c r="Z193" s="104"/>
      <x:c r="AA193" s="79" t="str"/>
      <x:c r="AB193" s="79" t="str"/>
      <x:c r="AC193" s="79" t="str"/>
      <x:c r="AD193" s="79" t="str"/>
      <x:c r="AE193" s="79" t="str">
        <x:v>فعال</x:v>
      </x:c>
      <x:c r="AF193" s="79" t="str">
        <x:v>دسته‌بندی نهایی</x:v>
      </x:c>
      <x:c r="AG193" s="79" t="str">
        <x:v>MERGED</x:v>
      </x:c>
      <x:c r="AH193" s="79" t="str">
        <x:v>[{"name": "کیلو", "sku": "", "price": 880000, "stock": "", "weight": 1, "weightUnit": "kg", "containerSize": "کیلو", "isDefault": true}]</x:v>
      </x:c>
      <x:c r="AI193" s="79"/>
      <x:c r="AJ193" s="79"/>
      <x:c r="AK193" s="79"/>
      <x:c r="AL193" t="str">
        <x:v>زردچوبه</x:v>
      </x:c>
      <x:c r="AM193" t="str">
        <x:v>grp_turmeric</x:v>
      </x:c>
      <x:c r="AN193" t="str">
        <x:v>canonical_group_row</x:v>
      </x:c>
      <x:c r="AO193" t="str">
        <x:v>ادویه</x:v>
      </x:c>
      <x:c r="AP193" t="str">
        <x:v>6a3781e4df5573f4e676e226</x:v>
      </x:c>
      <x:c r="AQ193" t="str">
        <x:v>spice</x:v>
      </x:c>
      <x:c r="AR193" t="str">
        <x:v>EDIBLE</x:v>
      </x:c>
      <x:c r="AS193" t="str">
        <x:v>بله</x:v>
      </x:c>
      <x:c r="AT193" t="str">
        <x:v>MERGED</x:v>
      </x:c>
      <x:c r="AU193"/>
    </x:row>
    <x:row r="194">
      <x:c r="A194" s="79" t="n">
        <x:v>196</x:v>
      </x:c>
      <x:c r="B194" s="79" t="str">
        <x:v>NS-0193-1</x:v>
      </x:c>
      <x:c r="C194" s="79" t="str">
        <x:v>زردچوبه زرین</x:v>
      </x:c>
      <x:c r="D194" s="79" t="str">
        <x:v>turmeric_zarrin</x:v>
      </x:c>
      <x:c r="E194" s="79" t="str">
        <x:v>update</x:v>
      </x:c>
      <x:c r="F194" s="79" t="str">
        <x:v>بله</x:v>
      </x:c>
      <x:c r="G194" s="79" t="str">
        <x:v>ادویه و چاشنی</x:v>
      </x:c>
      <x:c r="H194" s="79" t="str">
        <x:v>ادویه</x:v>
      </x:c>
      <x:c r="I194" s="79" t="str">
        <x:v>6a3781e4df5573f4e676e226</x:v>
      </x:c>
      <x:c r="J194" s="79" t="str">
        <x:v>spice</x:v>
      </x:c>
      <x:c r="K194" s="79"/>
      <x:c r="L194" s="79" t="str">
        <x:v>EDIBLE</x:v>
      </x:c>
      <x:c r="M194" s="79" t="str">
        <x:v>بله</x:v>
      </x:c>
      <x:c r="N194" s="79" t="str">
        <x:v>خوراکی</x:v>
      </x:c>
      <x:c r="O194" s="79" t="str">
        <x:v>خیر</x:v>
      </x:c>
      <x:c r="P194" s="79" t="n">
        <x:v>1</x:v>
      </x:c>
      <x:c r="Q194" s="79" t="str">
        <x:v>کیلو</x:v>
      </x:c>
      <x:c r="R194" s="79" t="str">
        <x:v>؟</x:v>
      </x:c>
      <x:c r="S194" s="104"/>
      <x:c r="T194" s="79" t="n">
        <x:v>1</x:v>
      </x:c>
      <x:c r="U194" s="79" t="str">
        <x:v>kg</x:v>
      </x:c>
      <x:c r="V194" s="79" t="str">
        <x:v>کیلو</x:v>
      </x:c>
      <x:c r="W194" s="99" t="b">
        <x:v>1</x:v>
      </x:c>
      <x:c r="X194" s="79" t="str"/>
      <x:c r="Y194" s="79"/>
      <x:c r="Z194" s="104"/>
      <x:c r="AA194" s="79" t="str"/>
      <x:c r="AB194" s="79" t="str"/>
      <x:c r="AC194" s="79" t="str"/>
      <x:c r="AD194" s="79" t="str"/>
      <x:c r="AE194" s="79" t="str">
        <x:v>نیاز به استعلام</x:v>
      </x:c>
      <x:c r="AF194" s="79" t="str">
        <x:v>دسته‌بندی نهایی</x:v>
      </x:c>
      <x:c r="AG194" s="79" t="str">
        <x:v>یک یا چند قیمت نامشخص است</x:v>
      </x:c>
      <x:c r="AH194" s="79" t="str">
        <x:v>[{"name": "کیلو", "sku": "", "price": null, "stock": "", "weight": 1, "weightUnit": "kg", "containerSize": "کیلو", "isDefault": true}]</x:v>
      </x:c>
      <x:c r="AI194" s="79"/>
      <x:c r="AJ194" s="79"/>
      <x:c r="AK194" s="79"/>
      <x:c r="AL194" t="str">
        <x:v>زردچوبه</x:v>
      </x:c>
      <x:c r="AM194" t="str">
        <x:v>grp_turmeric</x:v>
      </x:c>
      <x:c r="AN194" t="str">
        <x:v>merge_into_canonical_group</x:v>
      </x:c>
      <x:c r="AO194" t="str">
        <x:v>ادویه</x:v>
      </x:c>
      <x:c r="AP194" t="str">
        <x:v>6a3781e4df5573f4e676e226</x:v>
      </x:c>
      <x:c r="AQ194" t="str">
        <x:v>spice</x:v>
      </x:c>
      <x:c r="AR194" t="str">
        <x:v>EDIBLE</x:v>
      </x:c>
      <x:c r="AS194" t="str">
        <x:v>بله</x:v>
      </x:c>
      <x:c r="AT194" t="str">
        <x:v>MERGED + MISSING_PRICE_REVIEW</x:v>
      </x:c>
      <x:c r="AU194" t="str">
        <x:v>یک یا چند قیمت نامشخص است</x:v>
      </x:c>
    </x:row>
    <x:row r="195">
      <x:c r="A195" s="79" t="n">
        <x:v>197</x:v>
      </x:c>
      <x:c r="B195" s="79" t="str">
        <x:v>NS-0194-1</x:v>
      </x:c>
      <x:c r="C195" s="79" t="str">
        <x:v>زرشک پفکی</x:v>
      </x:c>
      <x:c r="D195" s="79" t="str">
        <x:v>puffed_barberry</x:v>
      </x:c>
      <x:c r="E195" s="79" t="str">
        <x:v>update</x:v>
      </x:c>
      <x:c r="F195" s="79" t="str">
        <x:v>بله</x:v>
      </x:c>
      <x:c r="G195" s="79" t="str">
        <x:v>خشکبار و آجیل</x:v>
      </x:c>
      <x:c r="H195" s="79" t="str">
        <x:v>خشکبار و آجیل</x:v>
      </x:c>
      <x:c r="I195" s="79" t="str">
        <x:v>6a37810ddf5573f4e676e201</x:v>
      </x:c>
      <x:c r="J195" s="79" t="str">
        <x:v>dried-fruits-nuts</x:v>
      </x:c>
      <x:c r="K195" s="79"/>
      <x:c r="L195" s="79" t="str">
        <x:v>EDIBLE</x:v>
      </x:c>
      <x:c r="M195" s="79" t="str">
        <x:v>بله</x:v>
      </x:c>
      <x:c r="N195" s="79" t="str">
        <x:v>خوراکی</x:v>
      </x:c>
      <x:c r="O195" s="79" t="str">
        <x:v>خیر</x:v>
      </x:c>
      <x:c r="P195" s="79" t="n">
        <x:v>1</x:v>
      </x:c>
      <x:c r="Q195" s="79" t="str">
        <x:v>کیلو</x:v>
      </x:c>
      <x:c r="R195" s="79" t="str">
        <x:v>؟</x:v>
      </x:c>
      <x:c r="S195" s="104"/>
      <x:c r="T195" s="79" t="n">
        <x:v>1</x:v>
      </x:c>
      <x:c r="U195" s="79" t="str">
        <x:v>kg</x:v>
      </x:c>
      <x:c r="V195" s="79" t="str">
        <x:v>کیلو</x:v>
      </x:c>
      <x:c r="W195" s="99" t="b">
        <x:v>1</x:v>
      </x:c>
      <x:c r="X195" s="79" t="str"/>
      <x:c r="Y195" s="79"/>
      <x:c r="Z195" s="104"/>
      <x:c r="AA195" s="79" t="str"/>
      <x:c r="AB195" s="79" t="str"/>
      <x:c r="AC195" s="79" t="str"/>
      <x:c r="AD195" s="79" t="str"/>
      <x:c r="AE195" s="79" t="str">
        <x:v>نیاز به استعلام</x:v>
      </x:c>
      <x:c r="AF195" s="79" t="str">
        <x:v>دسته‌بندی نهایی</x:v>
      </x:c>
      <x:c r="AG195" s="79" t="str">
        <x:v>یک یا چند قیمت نامشخص است</x:v>
      </x:c>
      <x:c r="AH195" s="79" t="str">
        <x:v>[{"name": "کیلو", "sku": "", "price": null, "stock": "", "weight": 1, "weightUnit": "kg", "containerSize": "کیلو", "isDefault": true}]</x:v>
      </x:c>
      <x:c r="AI195" s="79"/>
      <x:c r="AJ195" s="79"/>
      <x:c r="AK195" s="79"/>
      <x:c r="AL195" t="str">
        <x:v>زرشک</x:v>
      </x:c>
      <x:c r="AM195" t="str">
        <x:v>grp_barberry</x:v>
      </x:c>
      <x:c r="AN195" t="str">
        <x:v>canonical_group_row</x:v>
      </x:c>
      <x:c r="AO195" t="str">
        <x:v>خشکبار و آجیل</x:v>
      </x:c>
      <x:c r="AP195" t="str">
        <x:v>6a37810ddf5573f4e676e201</x:v>
      </x:c>
      <x:c r="AQ195" t="str">
        <x:v>dried-fruits-nuts</x:v>
      </x:c>
      <x:c r="AR195" t="str">
        <x:v>EDIBLE</x:v>
      </x:c>
      <x:c r="AS195" t="str">
        <x:v>بله</x:v>
      </x:c>
      <x:c r="AT195" t="str">
        <x:v>MERGED + MISSING_PRICE_REVIEW</x:v>
      </x:c>
      <x:c r="AU195" t="str">
        <x:v>یک یا چند قیمت نامشخص است</x:v>
      </x:c>
    </x:row>
    <x:row r="196">
      <x:c r="A196" s="79" t="n">
        <x:v>198</x:v>
      </x:c>
      <x:c r="B196" s="79" t="str">
        <x:v>NS-0195-1</x:v>
      </x:c>
      <x:c r="C196" s="79" t="str">
        <x:v>زرشک ناپاک</x:v>
      </x:c>
      <x:c r="D196" s="79" t="str">
        <x:v>uncleaned_barberry</x:v>
      </x:c>
      <x:c r="E196" s="79" t="str">
        <x:v>update</x:v>
      </x:c>
      <x:c r="F196" s="79" t="str">
        <x:v>بله</x:v>
      </x:c>
      <x:c r="G196" s="79" t="str">
        <x:v>خشکبار و آجیل</x:v>
      </x:c>
      <x:c r="H196" s="79" t="str">
        <x:v>خشکبار و آجیل</x:v>
      </x:c>
      <x:c r="I196" s="79" t="str">
        <x:v>6a37810ddf5573f4e676e201</x:v>
      </x:c>
      <x:c r="J196" s="79" t="str">
        <x:v>dried-fruits-nuts</x:v>
      </x:c>
      <x:c r="K196" s="79"/>
      <x:c r="L196" s="79" t="str">
        <x:v>EDIBLE</x:v>
      </x:c>
      <x:c r="M196" s="79" t="str">
        <x:v>بله</x:v>
      </x:c>
      <x:c r="N196" s="79" t="str">
        <x:v>خوراکی</x:v>
      </x:c>
      <x:c r="O196" s="79" t="str">
        <x:v>خیر</x:v>
      </x:c>
      <x:c r="P196" s="79" t="n">
        <x:v>1</x:v>
      </x:c>
      <x:c r="Q196" s="79" t="str">
        <x:v>کیلو</x:v>
      </x:c>
      <x:c r="R196" s="79" t="str">
        <x:v>؟</x:v>
      </x:c>
      <x:c r="S196" s="104"/>
      <x:c r="T196" s="79" t="n">
        <x:v>1</x:v>
      </x:c>
      <x:c r="U196" s="79" t="str">
        <x:v>kg</x:v>
      </x:c>
      <x:c r="V196" s="79" t="str">
        <x:v>کیلو</x:v>
      </x:c>
      <x:c r="W196" s="99" t="b">
        <x:v>1</x:v>
      </x:c>
      <x:c r="X196" s="79" t="str"/>
      <x:c r="Y196" s="79"/>
      <x:c r="Z196" s="104"/>
      <x:c r="AA196" s="79" t="str"/>
      <x:c r="AB196" s="79" t="str"/>
      <x:c r="AC196" s="79" t="str"/>
      <x:c r="AD196" s="79" t="str"/>
      <x:c r="AE196" s="79" t="str">
        <x:v>نیاز به استعلام</x:v>
      </x:c>
      <x:c r="AF196" s="79" t="str">
        <x:v>دسته‌بندی نهایی</x:v>
      </x:c>
      <x:c r="AG196" s="79" t="str">
        <x:v>یک یا چند قیمت نامشخص است</x:v>
      </x:c>
      <x:c r="AH196" s="79" t="str">
        <x:v>[{"name": "کیلو", "sku": "", "price": null, "stock": "", "weight": 1, "weightUnit": "kg", "containerSize": "کیلو", "isDefault": true}]</x:v>
      </x:c>
      <x:c r="AI196" s="79"/>
      <x:c r="AJ196" s="79"/>
      <x:c r="AK196" s="79"/>
      <x:c r="AL196" t="str">
        <x:v>زرشک</x:v>
      </x:c>
      <x:c r="AM196" t="str">
        <x:v>grp_barberry</x:v>
      </x:c>
      <x:c r="AN196" t="str">
        <x:v>merge_into_canonical_group</x:v>
      </x:c>
      <x:c r="AO196" t="str">
        <x:v>خشکبار و آجیل</x:v>
      </x:c>
      <x:c r="AP196" t="str">
        <x:v>6a37810ddf5573f4e676e201</x:v>
      </x:c>
      <x:c r="AQ196" t="str">
        <x:v>dried-fruits-nuts</x:v>
      </x:c>
      <x:c r="AR196" t="str">
        <x:v>EDIBLE</x:v>
      </x:c>
      <x:c r="AS196" t="str">
        <x:v>بله</x:v>
      </x:c>
      <x:c r="AT196" t="str">
        <x:v>MERGED + MISSING_PRICE_REVIEW</x:v>
      </x:c>
      <x:c r="AU196" t="str">
        <x:v>یک یا چند قیمت نامشخص است</x:v>
      </x:c>
    </x:row>
    <x:row r="197">
      <x:c r="A197" s="79" t="n">
        <x:v>199</x:v>
      </x:c>
      <x:c r="B197" s="79" t="str">
        <x:v>NS-0196-1</x:v>
      </x:c>
      <x:c r="C197" s="79" t="str">
        <x:v>زعفران</x:v>
      </x:c>
      <x:c r="D197" s="79" t="str">
        <x:v>saffron</x:v>
      </x:c>
      <x:c r="E197" s="79" t="str">
        <x:v>update</x:v>
      </x:c>
      <x:c r="F197" s="79" t="str">
        <x:v>بله</x:v>
      </x:c>
      <x:c r="G197" s="79" t="str">
        <x:v>ادویه و چاشنی</x:v>
      </x:c>
      <x:c r="H197" s="79" t="str">
        <x:v>ادویه</x:v>
      </x:c>
      <x:c r="I197" s="79" t="str">
        <x:v>6a3781e4df5573f4e676e226</x:v>
      </x:c>
      <x:c r="J197" s="79" t="str">
        <x:v>spice</x:v>
      </x:c>
      <x:c r="K197" s="79"/>
      <x:c r="L197" s="79" t="str">
        <x:v>EDIBLE</x:v>
      </x:c>
      <x:c r="M197" s="79" t="str">
        <x:v>بله</x:v>
      </x:c>
      <x:c r="N197" s="79" t="str">
        <x:v>خوراکی</x:v>
      </x:c>
      <x:c r="O197" s="79" t="str">
        <x:v>خیر</x:v>
      </x:c>
      <x:c r="P197" s="79" t="n">
        <x:v>1</x:v>
      </x:c>
      <x:c r="Q197" s="79" t="str">
        <x:v>کیلو</x:v>
      </x:c>
      <x:c r="R197" s="79" t="str">
        <x:v>؟</x:v>
      </x:c>
      <x:c r="S197" s="104"/>
      <x:c r="T197" s="79" t="n">
        <x:v>1</x:v>
      </x:c>
      <x:c r="U197" s="79" t="str">
        <x:v>kg</x:v>
      </x:c>
      <x:c r="V197" s="79" t="str">
        <x:v>کیلو</x:v>
      </x:c>
      <x:c r="W197" s="99" t="b">
        <x:v>1</x:v>
      </x:c>
      <x:c r="X197" s="79" t="str"/>
      <x:c r="Y197" s="79"/>
      <x:c r="Z197" s="104"/>
      <x:c r="AA197" s="79" t="str"/>
      <x:c r="AB197" s="79" t="str"/>
      <x:c r="AC197" s="79" t="str"/>
      <x:c r="AD197" s="79" t="str"/>
      <x:c r="AE197" s="79" t="str">
        <x:v>نیاز به استعلام</x:v>
      </x:c>
      <x:c r="AF197" s="79" t="str">
        <x:v>دسته‌بندی نهایی</x:v>
      </x:c>
      <x:c r="AG197" s="79" t="str">
        <x:v>یک یا چند قیمت نامشخص است</x:v>
      </x:c>
      <x:c r="AH197" s="79" t="str">
        <x:v>[{"name": "کیلو", "sku": "", "price": null, "stock": "", "weight": 1, "weightUnit": "kg", "containerSize": "کیلو", "isDefault": true}]</x:v>
      </x:c>
      <x:c r="AI197" s="79"/>
      <x:c r="AJ197" s="79"/>
      <x:c r="AK197" s="79"/>
      <x:c r="AL197" t="str">
        <x:v>زعفران</x:v>
      </x:c>
      <x:c r="AM197" t="str">
        <x:v>single_199</x:v>
      </x:c>
      <x:c r="AN197" t="str">
        <x:v>canonical_group_row</x:v>
      </x:c>
      <x:c r="AO197" t="str">
        <x:v>ادویه</x:v>
      </x:c>
      <x:c r="AP197" t="str">
        <x:v>6a3781e4df5573f4e676e226</x:v>
      </x:c>
      <x:c r="AQ197" t="str">
        <x:v>spice</x:v>
      </x:c>
      <x:c r="AR197" t="str">
        <x:v>EDIBLE</x:v>
      </x:c>
      <x:c r="AS197" t="str">
        <x:v>بله</x:v>
      </x:c>
      <x:c r="AT197" t="str">
        <x:v>MISSING_PRICE_REVIEW</x:v>
      </x:c>
      <x:c r="AU197" t="str">
        <x:v>یک یا چند قیمت نامشخص است</x:v>
      </x:c>
    </x:row>
    <x:row r="198">
      <x:c r="A198" s="79" t="n">
        <x:v>200</x:v>
      </x:c>
      <x:c r="B198" s="79" t="str">
        <x:v>NS-0197-1</x:v>
      </x:c>
      <x:c r="C198" s="79" t="str">
        <x:v>زنجبیل چینی</x:v>
      </x:c>
      <x:c r="D198" s="79" t="str">
        <x:v>ginger_chinese</x:v>
      </x:c>
      <x:c r="E198" s="79" t="str">
        <x:v>update</x:v>
      </x:c>
      <x:c r="F198" s="79" t="str">
        <x:v>بله</x:v>
      </x:c>
      <x:c r="G198" s="79" t="str">
        <x:v>ادویه و چاشنی</x:v>
      </x:c>
      <x:c r="H198" s="79" t="str">
        <x:v>ادویه</x:v>
      </x:c>
      <x:c r="I198" s="79" t="str">
        <x:v>6a3781e4df5573f4e676e226</x:v>
      </x:c>
      <x:c r="J198" s="79" t="str">
        <x:v>spice</x:v>
      </x:c>
      <x:c r="K198" s="79"/>
      <x:c r="L198" s="79" t="str">
        <x:v>EDIBLE</x:v>
      </x:c>
      <x:c r="M198" s="79" t="str">
        <x:v>بله</x:v>
      </x:c>
      <x:c r="N198" s="79" t="str">
        <x:v>خوراکی</x:v>
      </x:c>
      <x:c r="O198" s="79" t="str">
        <x:v>خیر</x:v>
      </x:c>
      <x:c r="P198" s="79" t="n">
        <x:v>1</x:v>
      </x:c>
      <x:c r="Q198" s="79" t="str">
        <x:v>کیلو</x:v>
      </x:c>
      <x:c r="R198" s="79" t="str">
        <x:v>1/200</x:v>
      </x:c>
      <x:c r="S198" s="104" t="n">
        <x:v>1200000</x:v>
      </x:c>
      <x:c r="T198" s="79" t="n">
        <x:v>1</x:v>
      </x:c>
      <x:c r="U198" s="79" t="str">
        <x:v>kg</x:v>
      </x:c>
      <x:c r="V198" s="79" t="str">
        <x:v>کیلو</x:v>
      </x:c>
      <x:c r="W198" s="99" t="b">
        <x:v>1</x:v>
      </x:c>
      <x:c r="X198" s="79" t="str"/>
      <x:c r="Y198" s="79"/>
      <x:c r="Z198" s="104"/>
      <x:c r="AA198" s="79" t="str"/>
      <x:c r="AB198" s="79" t="str"/>
      <x:c r="AC198" s="79" t="str"/>
      <x:c r="AD198" s="79" t="str"/>
      <x:c r="AE198" s="79" t="str">
        <x:v>فعال</x:v>
      </x:c>
      <x:c r="AF198" s="79" t="str">
        <x:v>دسته‌بندی نهایی</x:v>
      </x:c>
      <x:c r="AG198" s="79" t="str">
        <x:v>OK</x:v>
      </x:c>
      <x:c r="AH198" s="79" t="str">
        <x:v>[{"name": "کیلو", "sku": "", "price": 1200000, "stock": "", "weight": 1, "weightUnit": "kg", "containerSize": "کیلو", "isDefault": true}]</x:v>
      </x:c>
      <x:c r="AI198" s="79"/>
      <x:c r="AJ198" s="79"/>
      <x:c r="AK198" s="79"/>
      <x:c r="AL198" t="str">
        <x:v>زنجبیل چینی</x:v>
      </x:c>
      <x:c r="AM198" t="str">
        <x:v>single_200</x:v>
      </x:c>
      <x:c r="AN198" t="str">
        <x:v>canonical_group_row</x:v>
      </x:c>
      <x:c r="AO198" t="str">
        <x:v>ادویه</x:v>
      </x:c>
      <x:c r="AP198" t="str">
        <x:v>6a3781e4df5573f4e676e226</x:v>
      </x:c>
      <x:c r="AQ198" t="str">
        <x:v>spice</x:v>
      </x:c>
      <x:c r="AR198" t="str">
        <x:v>EDIBLE</x:v>
      </x:c>
      <x:c r="AS198" t="str">
        <x:v>بله</x:v>
      </x:c>
      <x:c r="AT198" t="str">
        <x:v>OK</x:v>
      </x:c>
      <x:c r="AU198"/>
    </x:row>
    <x:row r="199">
      <x:c r="A199" s="79" t="n">
        <x:v>201</x:v>
      </x:c>
      <x:c r="B199" s="79" t="str">
        <x:v>NS-0198-1</x:v>
      </x:c>
      <x:c r="C199" s="79" t="str">
        <x:v>زنیان</x:v>
      </x:c>
      <x:c r="D199" s="79" t="str">
        <x:v>ajwain</x:v>
      </x:c>
      <x:c r="E199" s="79" t="str">
        <x:v>update</x:v>
      </x:c>
      <x:c r="F199" s="79" t="str">
        <x:v>بله</x:v>
      </x:c>
      <x:c r="G199" s="79" t="str">
        <x:v>گیاهان دارویی</x:v>
      </x:c>
      <x:c r="H199" s="79" t="str">
        <x:v>ادویه</x:v>
      </x:c>
      <x:c r="I199" s="79" t="str">
        <x:v>6a3781e4df5573f4e676e226</x:v>
      </x:c>
      <x:c r="J199" s="79" t="str">
        <x:v>spice</x:v>
      </x:c>
      <x:c r="K199" s="79"/>
      <x:c r="L199" s="79" t="str">
        <x:v>EDIBLE</x:v>
      </x:c>
      <x:c r="M199" s="79" t="str">
        <x:v>بله</x:v>
      </x:c>
      <x:c r="N199" s="79" t="str">
        <x:v>خوراکی</x:v>
      </x:c>
      <x:c r="O199" s="79" t="str">
        <x:v>خیر</x:v>
      </x:c>
      <x:c r="P199" s="79" t="n">
        <x:v>1</x:v>
      </x:c>
      <x:c r="Q199" s="79" t="str">
        <x:v>کیلو</x:v>
      </x:c>
      <x:c r="R199" s="79" t="n">
        <x:v>500</x:v>
      </x:c>
      <x:c r="S199" s="104" t="n">
        <x:v>500000</x:v>
      </x:c>
      <x:c r="T199" s="79" t="n">
        <x:v>1</x:v>
      </x:c>
      <x:c r="U199" s="79" t="str">
        <x:v>kg</x:v>
      </x:c>
      <x:c r="V199" s="79" t="str">
        <x:v>کیلو</x:v>
      </x:c>
      <x:c r="W199" s="99" t="b">
        <x:v>1</x:v>
      </x:c>
      <x:c r="X199" s="79" t="str"/>
      <x:c r="Y199" s="79"/>
      <x:c r="Z199" s="104"/>
      <x:c r="AA199" s="79" t="str"/>
      <x:c r="AB199" s="79" t="str"/>
      <x:c r="AC199" s="79" t="str"/>
      <x:c r="AD199" s="79" t="str"/>
      <x:c r="AE199" s="79" t="str">
        <x:v>فعال</x:v>
      </x:c>
      <x:c r="AF199" s="79" t="str">
        <x:v>دسته‌بندی نهایی</x:v>
      </x:c>
      <x:c r="AG199" s="79" t="str">
        <x:v>OK</x:v>
      </x:c>
      <x:c r="AH199" s="79" t="str">
        <x:v>[{"name": "کیلو", "sku": "", "price": 500000, "stock": "", "weight": 1, "weightUnit": "kg", "containerSize": "کیلو", "isDefault": true}]</x:v>
      </x:c>
      <x:c r="AI199" s="79"/>
      <x:c r="AJ199" s="79"/>
      <x:c r="AK199" s="79"/>
      <x:c r="AL199" t="str">
        <x:v>زنیان</x:v>
      </x:c>
      <x:c r="AM199" t="str">
        <x:v>single_201</x:v>
      </x:c>
      <x:c r="AN199" t="str">
        <x:v>canonical_group_row</x:v>
      </x:c>
      <x:c r="AO199" t="str">
        <x:v>ادویه</x:v>
      </x:c>
      <x:c r="AP199" t="str">
        <x:v>6a3781e4df5573f4e676e226</x:v>
      </x:c>
      <x:c r="AQ199" t="str">
        <x:v>spice</x:v>
      </x:c>
      <x:c r="AR199" t="str">
        <x:v>EDIBLE</x:v>
      </x:c>
      <x:c r="AS199" t="str">
        <x:v>بله</x:v>
      </x:c>
      <x:c r="AT199" t="str">
        <x:v>OK</x:v>
      </x:c>
      <x:c r="AU199"/>
    </x:row>
    <x:row r="200">
      <x:c r="A200" s="79" t="n">
        <x:v>202</x:v>
      </x:c>
      <x:c r="B200" s="79" t="str">
        <x:v>NS-0199-1</x:v>
      </x:c>
      <x:c r="C200" s="79" t="str">
        <x:v>زیره سبز</x:v>
      </x:c>
      <x:c r="D200" s="79" t="str">
        <x:v>cumin_green</x:v>
      </x:c>
      <x:c r="E200" s="79" t="str">
        <x:v>update</x:v>
      </x:c>
      <x:c r="F200" s="79" t="str">
        <x:v>بله</x:v>
      </x:c>
      <x:c r="G200" s="79" t="str">
        <x:v>ادویه و چاشنی</x:v>
      </x:c>
      <x:c r="H200" s="79" t="str">
        <x:v>ادویه</x:v>
      </x:c>
      <x:c r="I200" s="79" t="str">
        <x:v>6a3781e4df5573f4e676e226</x:v>
      </x:c>
      <x:c r="J200" s="79" t="str">
        <x:v>spice</x:v>
      </x:c>
      <x:c r="K200" s="79"/>
      <x:c r="L200" s="79" t="str">
        <x:v>EDIBLE</x:v>
      </x:c>
      <x:c r="M200" s="79" t="str">
        <x:v>بله</x:v>
      </x:c>
      <x:c r="N200" s="79" t="str">
        <x:v>خوراکی</x:v>
      </x:c>
      <x:c r="O200" s="79" t="str">
        <x:v>خیر</x:v>
      </x:c>
      <x:c r="P200" s="79" t="n">
        <x:v>1</x:v>
      </x:c>
      <x:c r="Q200" s="79" t="str">
        <x:v>کیلو</x:v>
      </x:c>
      <x:c r="R200" s="79" t="str">
        <x:v>1/340</x:v>
      </x:c>
      <x:c r="S200" s="104" t="n">
        <x:v>1340000</x:v>
      </x:c>
      <x:c r="T200" s="79" t="n">
        <x:v>1</x:v>
      </x:c>
      <x:c r="U200" s="79" t="str">
        <x:v>kg</x:v>
      </x:c>
      <x:c r="V200" s="79" t="str">
        <x:v>کیلو</x:v>
      </x:c>
      <x:c r="W200" s="99" t="b">
        <x:v>1</x:v>
      </x:c>
      <x:c r="X200" s="79" t="str"/>
      <x:c r="Y200" s="79"/>
      <x:c r="Z200" s="104"/>
      <x:c r="AA200" s="79" t="str"/>
      <x:c r="AB200" s="79" t="str"/>
      <x:c r="AC200" s="79" t="str"/>
      <x:c r="AD200" s="79" t="str"/>
      <x:c r="AE200" s="79" t="str">
        <x:v>فعال</x:v>
      </x:c>
      <x:c r="AF200" s="79" t="str">
        <x:v>دسته‌بندی نهایی</x:v>
      </x:c>
      <x:c r="AG200" s="79" t="str">
        <x:v>OK</x:v>
      </x:c>
      <x:c r="AH200" s="79" t="str">
        <x:v>[{"name": "کیلو", "sku": "", "price": 1340000, "stock": "", "weight": 1, "weightUnit": "kg", "containerSize": "کیلو", "isDefault": true}]</x:v>
      </x:c>
      <x:c r="AI200" s="79"/>
      <x:c r="AJ200" s="79"/>
      <x:c r="AK200" s="79"/>
      <x:c r="AL200" t="str">
        <x:v>زیره سبز</x:v>
      </x:c>
      <x:c r="AM200" t="str">
        <x:v>single_202</x:v>
      </x:c>
      <x:c r="AN200" t="str">
        <x:v>canonical_group_row</x:v>
      </x:c>
      <x:c r="AO200" t="str">
        <x:v>ادویه</x:v>
      </x:c>
      <x:c r="AP200" t="str">
        <x:v>6a3781e4df5573f4e676e226</x:v>
      </x:c>
      <x:c r="AQ200" t="str">
        <x:v>spice</x:v>
      </x:c>
      <x:c r="AR200" t="str">
        <x:v>EDIBLE</x:v>
      </x:c>
      <x:c r="AS200" t="str">
        <x:v>بله</x:v>
      </x:c>
      <x:c r="AT200" t="str">
        <x:v>OK</x:v>
      </x:c>
      <x:c r="AU200"/>
    </x:row>
    <x:row r="201">
      <x:c r="A201" s="79" t="n">
        <x:v>203</x:v>
      </x:c>
      <x:c r="B201" s="79" t="str">
        <x:v>NS-0200-1</x:v>
      </x:c>
      <x:c r="C201" s="79" t="str">
        <x:v>زیره سیاه</x:v>
      </x:c>
      <x:c r="D201" s="79" t="str">
        <x:v>cumin_black</x:v>
      </x:c>
      <x:c r="E201" s="79" t="str">
        <x:v>update</x:v>
      </x:c>
      <x:c r="F201" s="79" t="str">
        <x:v>بله</x:v>
      </x:c>
      <x:c r="G201" s="79" t="str">
        <x:v>ادویه و چاشنی</x:v>
      </x:c>
      <x:c r="H201" s="79" t="str">
        <x:v>ادویه</x:v>
      </x:c>
      <x:c r="I201" s="79" t="str">
        <x:v>6a3781e4df5573f4e676e226</x:v>
      </x:c>
      <x:c r="J201" s="79" t="str">
        <x:v>spice</x:v>
      </x:c>
      <x:c r="K201" s="79"/>
      <x:c r="L201" s="79" t="str">
        <x:v>EDIBLE</x:v>
      </x:c>
      <x:c r="M201" s="79" t="str">
        <x:v>بله</x:v>
      </x:c>
      <x:c r="N201" s="79" t="str">
        <x:v>خوراکی</x:v>
      </x:c>
      <x:c r="O201" s="79" t="str">
        <x:v>خیر</x:v>
      </x:c>
      <x:c r="P201" s="79" t="n">
        <x:v>1</x:v>
      </x:c>
      <x:c r="Q201" s="79" t="str">
        <x:v>کیلو</x:v>
      </x:c>
      <x:c r="R201" s="79" t="str">
        <x:v>2/950</x:v>
      </x:c>
      <x:c r="S201" s="104" t="n">
        <x:v>2950000</x:v>
      </x:c>
      <x:c r="T201" s="79" t="n">
        <x:v>1</x:v>
      </x:c>
      <x:c r="U201" s="79" t="str">
        <x:v>kg</x:v>
      </x:c>
      <x:c r="V201" s="79" t="str">
        <x:v>کیلو</x:v>
      </x:c>
      <x:c r="W201" s="99" t="b">
        <x:v>1</x:v>
      </x:c>
      <x:c r="X201" s="79" t="str"/>
      <x:c r="Y201" s="79"/>
      <x:c r="Z201" s="104"/>
      <x:c r="AA201" s="79" t="str"/>
      <x:c r="AB201" s="79" t="str"/>
      <x:c r="AC201" s="79" t="str"/>
      <x:c r="AD201" s="79" t="str"/>
      <x:c r="AE201" s="79" t="str">
        <x:v>فعال</x:v>
      </x:c>
      <x:c r="AF201" s="79" t="str">
        <x:v>دسته‌بندی نهایی</x:v>
      </x:c>
      <x:c r="AG201" s="79" t="str">
        <x:v>OK</x:v>
      </x:c>
      <x:c r="AH201" s="79" t="str">
        <x:v>[{"name": "کیلو", "sku": "", "price": 2950000, "stock": "", "weight": 1, "weightUnit": "kg", "containerSize": "کیلو", "isDefault": true}]</x:v>
      </x:c>
      <x:c r="AI201" s="79"/>
      <x:c r="AJ201" s="79"/>
      <x:c r="AK201" s="79"/>
      <x:c r="AL201" t="str">
        <x:v>زیره سیاه</x:v>
      </x:c>
      <x:c r="AM201" t="str">
        <x:v>single_203</x:v>
      </x:c>
      <x:c r="AN201" t="str">
        <x:v>canonical_group_row</x:v>
      </x:c>
      <x:c r="AO201" t="str">
        <x:v>ادویه</x:v>
      </x:c>
      <x:c r="AP201" t="str">
        <x:v>6a3781e4df5573f4e676e226</x:v>
      </x:c>
      <x:c r="AQ201" t="str">
        <x:v>spice</x:v>
      </x:c>
      <x:c r="AR201" t="str">
        <x:v>EDIBLE</x:v>
      </x:c>
      <x:c r="AS201" t="str">
        <x:v>بله</x:v>
      </x:c>
      <x:c r="AT201" t="str">
        <x:v>OK</x:v>
      </x:c>
      <x:c r="AU201"/>
    </x:row>
    <x:row r="202">
      <x:c r="A202" s="79" t="n">
        <x:v>204</x:v>
      </x:c>
      <x:c r="B202" s="79" t="str">
        <x:v>NS-0201-1</x:v>
      </x:c>
      <x:c r="C202" s="79" t="str">
        <x:v>ژلاتین</x:v>
      </x:c>
      <x:c r="D202" s="79" t="str">
        <x:v>gelatin</x:v>
      </x:c>
      <x:c r="E202" s="79" t="str">
        <x:v>update</x:v>
      </x:c>
      <x:c r="F202" s="79" t="str">
        <x:v>بله</x:v>
      </x:c>
      <x:c r="G202" s="79" t="str">
        <x:v>آرد و قنادی</x:v>
      </x:c>
      <x:c r="H202" s="79" t="str">
        <x:v>آرد و قنادی</x:v>
      </x:c>
      <x:c r="I202" s="79" t="str">
        <x:v>6a3a00000000000000000004</x:v>
      </x:c>
      <x:c r="J202" s="79" t="str">
        <x:v>flour-confectionery</x:v>
      </x:c>
      <x:c r="K202" s="79" t="str">
        <x:v>6a3a00000000000000000003</x:v>
      </x:c>
      <x:c r="L202" s="79" t="str">
        <x:v>EDIBLE</x:v>
      </x:c>
      <x:c r="M202" s="79" t="str">
        <x:v>بله</x:v>
      </x:c>
      <x:c r="N202" s="79" t="str">
        <x:v>خوراکی</x:v>
      </x:c>
      <x:c r="O202" s="79" t="str">
        <x:v>خیر</x:v>
      </x:c>
      <x:c r="P202" s="79" t="n">
        <x:v>1</x:v>
      </x:c>
      <x:c r="Q202" s="79" t="str">
        <x:v>کیلو</x:v>
      </x:c>
      <x:c r="R202" s="79" t="n">
        <x:v>910</x:v>
      </x:c>
      <x:c r="S202" s="104" t="n">
        <x:v>910000</x:v>
      </x:c>
      <x:c r="T202" s="79" t="n">
        <x:v>1</x:v>
      </x:c>
      <x:c r="U202" s="79" t="str">
        <x:v>kg</x:v>
      </x:c>
      <x:c r="V202" s="79" t="str">
        <x:v>کیلو</x:v>
      </x:c>
      <x:c r="W202" s="99" t="b">
        <x:v>1</x:v>
      </x:c>
      <x:c r="X202" s="79" t="str"/>
      <x:c r="Y202" s="79"/>
      <x:c r="Z202" s="104"/>
      <x:c r="AA202" s="79" t="str"/>
      <x:c r="AB202" s="79" t="str"/>
      <x:c r="AC202" s="79" t="str"/>
      <x:c r="AD202" s="79" t="str"/>
      <x:c r="AE202" s="79" t="str">
        <x:v>فعال</x:v>
      </x:c>
      <x:c r="AF202" s="79" t="str">
        <x:v>دسته‌بندی نهایی</x:v>
      </x:c>
      <x:c r="AG202" s="79" t="str">
        <x:v>OK</x:v>
      </x:c>
      <x:c r="AH202" s="79" t="str">
        <x:v>[{"name": "کیلو", "sku": "", "price": 910000, "stock": "", "weight": 1, "weightUnit": "kg", "containerSize": "کیلو", "isDefault": true}]</x:v>
      </x:c>
      <x:c r="AI202" s="79"/>
      <x:c r="AJ202" s="79"/>
      <x:c r="AK202" s="79"/>
      <x:c r="AL202" t="str">
        <x:v>ژلاتین</x:v>
      </x:c>
      <x:c r="AM202" t="str">
        <x:v>single_204</x:v>
      </x:c>
      <x:c r="AN202" t="str">
        <x:v>canonical_group_row</x:v>
      </x:c>
      <x:c r="AO202" t="str">
        <x:v>آرد و قنادی</x:v>
      </x:c>
      <x:c r="AP202" t="str">
        <x:v>6a3a00000000000000000004</x:v>
      </x:c>
      <x:c r="AQ202" t="str">
        <x:v>flour-confectionery</x:v>
      </x:c>
      <x:c r="AR202" t="str">
        <x:v>EDIBLE</x:v>
      </x:c>
      <x:c r="AS202" t="str">
        <x:v>بله</x:v>
      </x:c>
      <x:c r="AT202" t="str">
        <x:v>OK</x:v>
      </x:c>
      <x:c r="AU202"/>
    </x:row>
    <x:row r="203">
      <x:c r="A203" s="79" t="n">
        <x:v>205</x:v>
      </x:c>
      <x:c r="B203" s="79" t="str">
        <x:v>NS-0202-1</x:v>
      </x:c>
      <x:c r="C203" s="79" t="str">
        <x:v>سدر</x:v>
      </x:c>
      <x:c r="D203" s="79" t="str">
        <x:v>sidr</x:v>
      </x:c>
      <x:c r="E203" s="79" t="str">
        <x:v>update</x:v>
      </x:c>
      <x:c r="F203" s="79" t="str">
        <x:v>بله</x:v>
      </x:c>
      <x:c r="G203" s="79" t="str">
        <x:v>سایر</x:v>
      </x:c>
      <x:c r="H203" s="79" t="str">
        <x:v>گیاهان دارویی</x:v>
      </x:c>
      <x:c r="I203" s="79" t="str">
        <x:v>6a3782d7df5573f4e676e243</x:v>
      </x:c>
      <x:c r="J203" s="79" t="str">
        <x:v>medicinal-plants</x:v>
      </x:c>
      <x:c r="K203" s="79"/>
      <x:c r="L203" s="79" t="str">
        <x:v>TOPICAL</x:v>
      </x:c>
      <x:c r="M203" s="79" t="str">
        <x:v>خیر</x:v>
      </x:c>
      <x:c r="N203" s="79" t="str">
        <x:v>غیرخوراکی/موضعی</x:v>
      </x:c>
      <x:c r="O203" s="79" t="str">
        <x:v>خیر</x:v>
      </x:c>
      <x:c r="P203" s="79" t="n">
        <x:v>1</x:v>
      </x:c>
      <x:c r="Q203" s="79" t="str">
        <x:v>کیلو</x:v>
      </x:c>
      <x:c r="R203" s="79" t="n">
        <x:v>500</x:v>
      </x:c>
      <x:c r="S203" s="104" t="n">
        <x:v>500000</x:v>
      </x:c>
      <x:c r="T203" s="79" t="n">
        <x:v>1</x:v>
      </x:c>
      <x:c r="U203" s="79" t="str">
        <x:v>kg</x:v>
      </x:c>
      <x:c r="V203" s="79" t="str">
        <x:v>کیلو</x:v>
      </x:c>
      <x:c r="W203" s="99" t="b">
        <x:v>1</x:v>
      </x:c>
      <x:c r="X203" s="79" t="str"/>
      <x:c r="Y203" s="79"/>
      <x:c r="Z203" s="104"/>
      <x:c r="AA203" s="79" t="str"/>
      <x:c r="AB203" s="79" t="str"/>
      <x:c r="AC203" s="79" t="str"/>
      <x:c r="AD203" s="79" t="str"/>
      <x:c r="AE203" s="79" t="str">
        <x:v>فعال</x:v>
      </x:c>
      <x:c r="AF203" s="79" t="str">
        <x:v>نیازمند بررسی دستی</x:v>
      </x:c>
      <x:c r="AG20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03" s="79" t="str">
        <x:v>[{"name": "کیلو", "sku": "", "price": 500000, "stock": "", "weight": 1, "weightUnit": "kg", "containerSize": "کیلو", "isDefault": true}]</x:v>
      </x:c>
      <x:c r="AI203" s="79"/>
      <x:c r="AJ203" s="79"/>
      <x:c r="AK203" s="79"/>
      <x:c r="AL203" t="str">
        <x:v>سدر</x:v>
      </x:c>
      <x:c r="AM203" t="str">
        <x:v>single_205</x:v>
      </x:c>
      <x:c r="AN203" t="str">
        <x:v>canonical_group_row</x:v>
      </x:c>
      <x:c r="AO203" t="str">
        <x:v>گیاهان دارویی</x:v>
      </x:c>
      <x:c r="AP203" t="str">
        <x:v>6a3782d7df5573f4e676e243</x:v>
      </x:c>
      <x:c r="AQ203" t="str">
        <x:v>medicinal-plants</x:v>
      </x:c>
      <x:c r="AR203" t="str">
        <x:v>TOPICAL</x:v>
      </x:c>
      <x:c r="AS203" t="str">
        <x:v>خیر</x:v>
      </x:c>
      <x:c r="AT203" t="str">
        <x:v>OK</x:v>
      </x:c>
      <x:c r="AU203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04">
      <x:c r="A204" s="79" t="n">
        <x:v>206</x:v>
      </x:c>
      <x:c r="B204" s="79" t="str"/>
      <x:c r="C204" s="79" t="str">
        <x:v>سرکه انگور</x:v>
      </x:c>
      <x:c r="D204" s="79" t="str">
        <x:v>srkh-angvr</x:v>
      </x:c>
      <x:c r="E204" s="79" t="str">
        <x:v>import</x:v>
      </x:c>
      <x:c r="F204" s="79" t="str">
        <x:v>خیر</x:v>
      </x:c>
      <x:c r="G204" s="79" t="str"/>
      <x:c r="H204" s="79" t="str">
        <x:v>نوشیدنی‌ها</x:v>
      </x:c>
      <x:c r="I204" s="79" t="str">
        <x:v>6a3782ffdf5573f4e676e24b</x:v>
      </x:c>
      <x:c r="J204" s="79" t="str">
        <x:v>syrup</x:v>
      </x:c>
      <x:c r="K204" s="79" t="str">
        <x:v>6a3782d7df5573f4e676e243</x:v>
      </x:c>
      <x:c r="L204" s="79" t="str">
        <x:v>EDIBLE</x:v>
      </x:c>
      <x:c r="M204" s="79" t="str">
        <x:v>بله</x:v>
      </x:c>
      <x:c r="N204" s="79" t="str">
        <x:v>خوراکی</x:v>
      </x:c>
      <x:c r="O204" s="79" t="str">
        <x:v>بله</x:v>
      </x:c>
      <x:c r="P204" s="79" t="n">
        <x:v>2</x:v>
      </x:c>
      <x:c r="Q204" s="79" t="str">
        <x:v>نیم کیلو</x:v>
      </x:c>
      <x:c r="R204" s="79" t="n">
        <x:v>135</x:v>
      </x:c>
      <x:c r="S204" s="104" t="n">
        <x:v>135000</x:v>
      </x:c>
      <x:c r="T204" s="79" t="n">
        <x:v>1</x:v>
      </x:c>
      <x:c r="U204" s="79" t="str">
        <x:v>kg</x:v>
      </x:c>
      <x:c r="V204" s="79" t="str">
        <x:v>نیم کیلو</x:v>
      </x:c>
      <x:c r="W204" s="99" t="b">
        <x:v>1</x:v>
      </x:c>
      <x:c r="X204" s="79" t="str">
        <x:v>1کیلو</x:v>
      </x:c>
      <x:c r="Y204" s="79" t="n">
        <x:v>260</x:v>
      </x:c>
      <x:c r="Z204" s="104" t="n">
        <x:v>260000</x:v>
      </x:c>
      <x:c r="AA204" s="79" t="n">
        <x:v>1</x:v>
      </x:c>
      <x:c r="AB204" s="79" t="str">
        <x:v>kg</x:v>
      </x:c>
      <x:c r="AC204" s="79" t="str">
        <x:v>1کیلو</x:v>
      </x:c>
      <x:c r="AD204" s="99" t="b">
        <x:v>0</x:v>
      </x:c>
      <x:c r="AE204" s="79" t="str">
        <x:v>فعال</x:v>
      </x:c>
      <x:c r="AF204" s="79" t="str">
        <x:v>دسته‌بندی نهایی</x:v>
      </x:c>
      <x:c r="AG204" s="79" t="str">
        <x:v>OK</x:v>
      </x:c>
      <x:c r="AH204" s="79" t="str">
        <x:v>[{"name": "نیم کیلو", "sku": "", "price": 135000, "stock": "", "weight": 1, "weightUnit": "kg", "containerSize": "نیم کیلو", "isDefault": true}, {"name": "1کیلو", "sku": "", "price": 260000, "stock": "", "weight": 1, "weightUnit": "kg", "containerSize": "1کیلو", "isDefault": false}]</x:v>
      </x:c>
      <x:c r="AI204" s="79"/>
      <x:c r="AJ204" s="79"/>
      <x:c r="AK204" s="79"/>
      <x:c r="AL204" t="str">
        <x:v>سرکه انگور</x:v>
      </x:c>
      <x:c r="AM204" t="str">
        <x:v>single_206</x:v>
      </x:c>
      <x:c r="AN204" t="str">
        <x:v>canonical_group_row</x:v>
      </x:c>
      <x:c r="AO204" t="str">
        <x:v>نوشیدنی‌ها</x:v>
      </x:c>
      <x:c r="AP204" t="str">
        <x:v>6a3782ffdf5573f4e676e24b</x:v>
      </x:c>
      <x:c r="AQ204" t="str">
        <x:v>syrup</x:v>
      </x:c>
      <x:c r="AR204" t="str">
        <x:v>EDIBLE</x:v>
      </x:c>
      <x:c r="AS204" t="str">
        <x:v>بله</x:v>
      </x:c>
      <x:c r="AT204" t="str">
        <x:v>OK</x:v>
      </x:c>
      <x:c r="AU204"/>
    </x:row>
    <x:row r="205">
      <x:c r="A205" s="79" t="n">
        <x:v>207</x:v>
      </x:c>
      <x:c r="B205" s="79" t="str"/>
      <x:c r="C205" s="79" t="str">
        <x:v>سرکه سیب</x:v>
      </x:c>
      <x:c r="D205" s="79" t="str">
        <x:v>srkh-syb</x:v>
      </x:c>
      <x:c r="E205" s="79" t="str">
        <x:v>import</x:v>
      </x:c>
      <x:c r="F205" s="79" t="str">
        <x:v>خیر</x:v>
      </x:c>
      <x:c r="G205" s="79" t="str"/>
      <x:c r="H205" s="79" t="str">
        <x:v>نوشیدنی‌ها</x:v>
      </x:c>
      <x:c r="I205" s="79" t="str">
        <x:v>6a3782ffdf5573f4e676e24b</x:v>
      </x:c>
      <x:c r="J205" s="79" t="str">
        <x:v>syrup</x:v>
      </x:c>
      <x:c r="K205" s="79" t="str">
        <x:v>6a3782d7df5573f4e676e243</x:v>
      </x:c>
      <x:c r="L205" s="79" t="str">
        <x:v>EDIBLE</x:v>
      </x:c>
      <x:c r="M205" s="79" t="str">
        <x:v>بله</x:v>
      </x:c>
      <x:c r="N205" s="79" t="str">
        <x:v>خوراکی</x:v>
      </x:c>
      <x:c r="O205" s="79" t="str">
        <x:v>بله</x:v>
      </x:c>
      <x:c r="P205" s="79" t="n">
        <x:v>2</x:v>
      </x:c>
      <x:c r="Q205" s="79" t="str">
        <x:v>نیم کیلو</x:v>
      </x:c>
      <x:c r="R205" s="79" t="n">
        <x:v>130</x:v>
      </x:c>
      <x:c r="S205" s="104" t="n">
        <x:v>130000</x:v>
      </x:c>
      <x:c r="T205" s="79" t="n">
        <x:v>1</x:v>
      </x:c>
      <x:c r="U205" s="79" t="str">
        <x:v>kg</x:v>
      </x:c>
      <x:c r="V205" s="79" t="str">
        <x:v>نیم کیلو</x:v>
      </x:c>
      <x:c r="W205" s="99" t="b">
        <x:v>1</x:v>
      </x:c>
      <x:c r="X205" s="79" t="str">
        <x:v>1کیلو</x:v>
      </x:c>
      <x:c r="Y205" s="79" t="n">
        <x:v>250</x:v>
      </x:c>
      <x:c r="Z205" s="104" t="n">
        <x:v>250000</x:v>
      </x:c>
      <x:c r="AA205" s="79" t="n">
        <x:v>1</x:v>
      </x:c>
      <x:c r="AB205" s="79" t="str">
        <x:v>kg</x:v>
      </x:c>
      <x:c r="AC205" s="79" t="str">
        <x:v>1کیلو</x:v>
      </x:c>
      <x:c r="AD205" s="99" t="b">
        <x:v>0</x:v>
      </x:c>
      <x:c r="AE205" s="79" t="str">
        <x:v>فعال</x:v>
      </x:c>
      <x:c r="AF205" s="79" t="str">
        <x:v>دسته‌بندی نهایی</x:v>
      </x:c>
      <x:c r="AG205" s="79" t="str">
        <x:v>OK</x:v>
      </x:c>
      <x:c r="AH205" s="79" t="str">
        <x:v>[{"name": "نیم کیلو", "sku": "", "price": 130000, "stock": "", "weight": 1, "weightUnit": "kg", "containerSize": "نیم کیلو", "isDefault": true}, {"name": "1کیلو", "sku": "", "price": 250000, "stock": "", "weight": 1, "weightUnit": "kg", "containerSize": "1کیلو", "isDefault": false}]</x:v>
      </x:c>
      <x:c r="AI205" s="79"/>
      <x:c r="AJ205" s="79"/>
      <x:c r="AK205" s="79"/>
      <x:c r="AL205" t="str">
        <x:v>سرکه سیب</x:v>
      </x:c>
      <x:c r="AM205" t="str">
        <x:v>single_207</x:v>
      </x:c>
      <x:c r="AN205" t="str">
        <x:v>canonical_group_row</x:v>
      </x:c>
      <x:c r="AO205" t="str">
        <x:v>نوشیدنی‌ها</x:v>
      </x:c>
      <x:c r="AP205" t="str">
        <x:v>6a3782ffdf5573f4e676e24b</x:v>
      </x:c>
      <x:c r="AQ205" t="str">
        <x:v>syrup</x:v>
      </x:c>
      <x:c r="AR205" t="str">
        <x:v>EDIBLE</x:v>
      </x:c>
      <x:c r="AS205" t="str">
        <x:v>بله</x:v>
      </x:c>
      <x:c r="AT205" t="str">
        <x:v>OK</x:v>
      </x:c>
      <x:c r="AU205"/>
    </x:row>
    <x:row r="206">
      <x:c r="A206" s="79" t="n">
        <x:v>208</x:v>
      </x:c>
      <x:c r="B206" s="79" t="str">
        <x:v>NS-0205-1</x:v>
      </x:c>
      <x:c r="C206" s="79" t="str">
        <x:v>سرمه</x:v>
      </x:c>
      <x:c r="D206" s="79" t="str">
        <x:v>surma</x:v>
      </x:c>
      <x:c r="E206" s="79" t="str">
        <x:v>update</x:v>
      </x:c>
      <x:c r="F206" s="79" t="str">
        <x:v>بله</x:v>
      </x:c>
      <x:c r="G206" s="79" t="str">
        <x:v>سایر</x:v>
      </x:c>
      <x:c r="H206" s="79" t="str">
        <x:v>گیاهان دارویی</x:v>
      </x:c>
      <x:c r="I206" s="79" t="str">
        <x:v>6a3782d7df5573f4e676e243</x:v>
      </x:c>
      <x:c r="J206" s="79" t="str">
        <x:v>medicinal-plants</x:v>
      </x:c>
      <x:c r="K206" s="79"/>
      <x:c r="L206" s="79" t="str">
        <x:v>TOPICAL</x:v>
      </x:c>
      <x:c r="M206" s="79" t="str">
        <x:v>خیر</x:v>
      </x:c>
      <x:c r="N206" s="79" t="str">
        <x:v>غیرخوراکی/موضعی</x:v>
      </x:c>
      <x:c r="O206" s="79" t="str">
        <x:v>خیر</x:v>
      </x:c>
      <x:c r="P206" s="79" t="n">
        <x:v>1</x:v>
      </x:c>
      <x:c r="Q206" s="79" t="str">
        <x:v>کیلو</x:v>
      </x:c>
      <x:c r="R206" s="79" t="n">
        <x:v>80</x:v>
      </x:c>
      <x:c r="S206" s="104" t="n">
        <x:v>80000</x:v>
      </x:c>
      <x:c r="T206" s="79" t="n">
        <x:v>1</x:v>
      </x:c>
      <x:c r="U206" s="79" t="str">
        <x:v>kg</x:v>
      </x:c>
      <x:c r="V206" s="79" t="str">
        <x:v>کیلو</x:v>
      </x:c>
      <x:c r="W206" s="99" t="b">
        <x:v>1</x:v>
      </x:c>
      <x:c r="X206" s="79" t="str"/>
      <x:c r="Y206" s="79"/>
      <x:c r="Z206" s="104"/>
      <x:c r="AA206" s="79" t="str"/>
      <x:c r="AB206" s="79" t="str"/>
      <x:c r="AC206" s="79" t="str"/>
      <x:c r="AD206" s="79" t="str"/>
      <x:c r="AE206" s="79" t="str">
        <x:v>فعال</x:v>
      </x:c>
      <x:c r="AF206" s="79" t="str">
        <x:v>نیازمند بررسی دستی</x:v>
      </x:c>
      <x:c r="AG206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06" s="79" t="str">
        <x:v>[{"name": "کیلو", "sku": "", "price": 80000, "stock": "", "weight": 1, "weightUnit": "kg", "containerSize": "کیلو", "isDefault": true}]</x:v>
      </x:c>
      <x:c r="AI206" s="79"/>
      <x:c r="AJ206" s="79"/>
      <x:c r="AK206" s="79"/>
      <x:c r="AL206" t="str">
        <x:v>سرمه</x:v>
      </x:c>
      <x:c r="AM206" t="str">
        <x:v>single_208</x:v>
      </x:c>
      <x:c r="AN206" t="str">
        <x:v>canonical_group_row</x:v>
      </x:c>
      <x:c r="AO206" t="str">
        <x:v>گیاهان دارویی</x:v>
      </x:c>
      <x:c r="AP206" t="str">
        <x:v>6a3782d7df5573f4e676e243</x:v>
      </x:c>
      <x:c r="AQ206" t="str">
        <x:v>medicinal-plants</x:v>
      </x:c>
      <x:c r="AR206" t="str">
        <x:v>TOPICAL</x:v>
      </x:c>
      <x:c r="AS206" t="str">
        <x:v>خیر</x:v>
      </x:c>
      <x:c r="AT206" t="str">
        <x:v>OK</x:v>
      </x:c>
      <x:c r="AU206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07">
      <x:c r="A207" s="79" t="n">
        <x:v>209</x:v>
      </x:c>
      <x:c r="B207" s="79" t="str">
        <x:v>NS-0206-1</x:v>
      </x:c>
      <x:c r="C207" s="79" t="str">
        <x:v>سفیده تخم مرغ</x:v>
      </x:c>
      <x:c r="D207" s="79" t="str">
        <x:v>egg_white</x:v>
      </x:c>
      <x:c r="E207" s="79" t="str">
        <x:v>update</x:v>
      </x:c>
      <x:c r="F207" s="79" t="str">
        <x:v>بله</x:v>
      </x:c>
      <x:c r="G207" s="79" t="str">
        <x:v>ادویه و چاشنی</x:v>
      </x:c>
      <x:c r="H207" s="79" t="str">
        <x:v>قنادی و شیرینی</x:v>
      </x:c>
      <x:c r="I207" s="79" t="str">
        <x:v>6a3a00000000000000000003</x:v>
      </x:c>
      <x:c r="J207" s="79" t="str">
        <x:v>confectionery</x:v>
      </x:c>
      <x:c r="K207" s="79"/>
      <x:c r="L207" s="79" t="str">
        <x:v>EDIBLE</x:v>
      </x:c>
      <x:c r="M207" s="79" t="str">
        <x:v>بله</x:v>
      </x:c>
      <x:c r="N207" s="79" t="str">
        <x:v>خوراکی</x:v>
      </x:c>
      <x:c r="O207" s="79" t="str">
        <x:v>خیر</x:v>
      </x:c>
      <x:c r="P207" s="79" t="n">
        <x:v>1</x:v>
      </x:c>
      <x:c r="Q207" s="79" t="str">
        <x:v>کیلو</x:v>
      </x:c>
      <x:c r="R207" s="79" t="str">
        <x:v>3/000</x:v>
      </x:c>
      <x:c r="S207" s="104" t="n">
        <x:v>3000000</x:v>
      </x:c>
      <x:c r="T207" s="79" t="n">
        <x:v>1</x:v>
      </x:c>
      <x:c r="U207" s="79" t="str">
        <x:v>kg</x:v>
      </x:c>
      <x:c r="V207" s="79" t="str">
        <x:v>کیلو</x:v>
      </x:c>
      <x:c r="W207" s="99" t="b">
        <x:v>1</x:v>
      </x:c>
      <x:c r="X207" s="79" t="str"/>
      <x:c r="Y207" s="79"/>
      <x:c r="Z207" s="104"/>
      <x:c r="AA207" s="79" t="str"/>
      <x:c r="AB207" s="79" t="str"/>
      <x:c r="AC207" s="79" t="str"/>
      <x:c r="AD207" s="79" t="str"/>
      <x:c r="AE207" s="79" t="str">
        <x:v>فعال</x:v>
      </x:c>
      <x:c r="AF207" s="79" t="str">
        <x:v>دسته‌بندی نهایی</x:v>
      </x:c>
      <x:c r="AG207" s="79" t="str">
        <x:v>دسته از «ادویه» به «قنادی و شیرینی» اصلاح شد</x:v>
      </x:c>
      <x:c r="AH207" s="79" t="str">
        <x:v>[{"name": "کیلو", "sku": "", "price": 3000000, "stock": "", "weight": 1, "weightUnit": "kg", "containerSize": "کیلو", "isDefault": true}]</x:v>
      </x:c>
      <x:c r="AI207" s="79"/>
      <x:c r="AJ207" s="79"/>
      <x:c r="AK207" s="79"/>
      <x:c r="AL207" t="str">
        <x:v>سفیده تخم مرغ</x:v>
      </x:c>
      <x:c r="AM207" t="str">
        <x:v>single_209</x:v>
      </x:c>
      <x:c r="AN207" t="str">
        <x:v>canonical_group_row</x:v>
      </x:c>
      <x:c r="AO207" t="str">
        <x:v>قنادی و شیرینی</x:v>
      </x:c>
      <x:c r="AP207" t="str">
        <x:v>6a3a00000000000000000003</x:v>
      </x:c>
      <x:c r="AQ207" t="str">
        <x:v>confectionery</x:v>
      </x:c>
      <x:c r="AR207" t="str">
        <x:v>EDIBLE</x:v>
      </x:c>
      <x:c r="AS207" t="str">
        <x:v>بله</x:v>
      </x:c>
      <x:c r="AT207" t="str">
        <x:v>OK</x:v>
      </x:c>
      <x:c r="AU207" t="str">
        <x:v>دسته از «ادویه» به «قنادی و شیرینی» اصلاح شد</x:v>
      </x:c>
    </x:row>
    <x:row r="208">
      <x:c r="A208" s="79" t="n">
        <x:v>210</x:v>
      </x:c>
      <x:c r="B208" s="79" t="str">
        <x:v>NS-0207-1</x:v>
      </x:c>
      <x:c r="C208" s="79" t="str">
        <x:v>سماق قرمز پودر</x:v>
      </x:c>
      <x:c r="D208" s="79" t="str">
        <x:v>red_sumac_powder</x:v>
      </x:c>
      <x:c r="E208" s="79" t="str">
        <x:v>update</x:v>
      </x:c>
      <x:c r="F208" s="79" t="str">
        <x:v>بله</x:v>
      </x:c>
      <x:c r="G208" s="79" t="str">
        <x:v>ادویه و چاشنی</x:v>
      </x:c>
      <x:c r="H208" s="79" t="str">
        <x:v>ادویه</x:v>
      </x:c>
      <x:c r="I208" s="79" t="str">
        <x:v>6a3781e4df5573f4e676e226</x:v>
      </x:c>
      <x:c r="J208" s="79" t="str">
        <x:v>spice</x:v>
      </x:c>
      <x:c r="K208" s="79"/>
      <x:c r="L208" s="79" t="str">
        <x:v>EDIBLE</x:v>
      </x:c>
      <x:c r="M208" s="79" t="str">
        <x:v>بله</x:v>
      </x:c>
      <x:c r="N208" s="79" t="str">
        <x:v>خوراکی</x:v>
      </x:c>
      <x:c r="O208" s="79" t="str">
        <x:v>خیر</x:v>
      </x:c>
      <x:c r="P208" s="79" t="n">
        <x:v>1</x:v>
      </x:c>
      <x:c r="Q208" s="79" t="str">
        <x:v>کیلو</x:v>
      </x:c>
      <x:c r="R208" s="79" t="str">
        <x:v>2/600</x:v>
      </x:c>
      <x:c r="S208" s="104" t="n">
        <x:v>2600000</x:v>
      </x:c>
      <x:c r="T208" s="79" t="n">
        <x:v>1</x:v>
      </x:c>
      <x:c r="U208" s="79" t="str">
        <x:v>kg</x:v>
      </x:c>
      <x:c r="V208" s="79" t="str">
        <x:v>کیلو</x:v>
      </x:c>
      <x:c r="W208" s="99" t="b">
        <x:v>1</x:v>
      </x:c>
      <x:c r="X208" s="79" t="str"/>
      <x:c r="Y208" s="79"/>
      <x:c r="Z208" s="104"/>
      <x:c r="AA208" s="79" t="str"/>
      <x:c r="AB208" s="79" t="str"/>
      <x:c r="AC208" s="79" t="str"/>
      <x:c r="AD208" s="79" t="str"/>
      <x:c r="AE208" s="79" t="str">
        <x:v>فعال</x:v>
      </x:c>
      <x:c r="AF208" s="79" t="str">
        <x:v>دسته‌بندی نهایی</x:v>
      </x:c>
      <x:c r="AG208" s="79" t="str">
        <x:v>OK</x:v>
      </x:c>
      <x:c r="AH208" s="79" t="str">
        <x:v>[{"name": "کیلو", "sku": "", "price": 2600000, "stock": "", "weight": 1, "weightUnit": "kg", "containerSize": "کیلو", "isDefault": true}]</x:v>
      </x:c>
      <x:c r="AI208" s="79"/>
      <x:c r="AJ208" s="79"/>
      <x:c r="AK208" s="79"/>
      <x:c r="AL208" t="str">
        <x:v>سماق قرمز پودر</x:v>
      </x:c>
      <x:c r="AM208" t="str">
        <x:v>single_210</x:v>
      </x:c>
      <x:c r="AN208" t="str">
        <x:v>canonical_group_row</x:v>
      </x:c>
      <x:c r="AO208" t="str">
        <x:v>ادویه</x:v>
      </x:c>
      <x:c r="AP208" t="str">
        <x:v>6a3781e4df5573f4e676e226</x:v>
      </x:c>
      <x:c r="AQ208" t="str">
        <x:v>spice</x:v>
      </x:c>
      <x:c r="AR208" t="str">
        <x:v>EDIBLE</x:v>
      </x:c>
      <x:c r="AS208" t="str">
        <x:v>بله</x:v>
      </x:c>
      <x:c r="AT208" t="str">
        <x:v>OK</x:v>
      </x:c>
      <x:c r="AU208"/>
    </x:row>
    <x:row r="209">
      <x:c r="A209" s="79" t="n">
        <x:v>211</x:v>
      </x:c>
      <x:c r="B209" s="79" t="str">
        <x:v>NS-0208-1</x:v>
      </x:c>
      <x:c r="C209" s="79" t="str">
        <x:v>سماق قهوه ای پودر</x:v>
      </x:c>
      <x:c r="D209" s="79" t="str">
        <x:v>brown_sumac_powder</x:v>
      </x:c>
      <x:c r="E209" s="79" t="str">
        <x:v>update</x:v>
      </x:c>
      <x:c r="F209" s="79" t="str">
        <x:v>بله</x:v>
      </x:c>
      <x:c r="G209" s="79" t="str">
        <x:v>ادویه و چاشنی</x:v>
      </x:c>
      <x:c r="H209" s="79" t="str">
        <x:v>ادویه</x:v>
      </x:c>
      <x:c r="I209" s="79" t="str">
        <x:v>6a3781e4df5573f4e676e226</x:v>
      </x:c>
      <x:c r="J209" s="79" t="str">
        <x:v>spice</x:v>
      </x:c>
      <x:c r="K209" s="79"/>
      <x:c r="L209" s="79" t="str">
        <x:v>EDIBLE</x:v>
      </x:c>
      <x:c r="M209" s="79" t="str">
        <x:v>بله</x:v>
      </x:c>
      <x:c r="N209" s="79" t="str">
        <x:v>خوراکی</x:v>
      </x:c>
      <x:c r="O209" s="79" t="str">
        <x:v>خیر</x:v>
      </x:c>
      <x:c r="P209" s="79" t="n">
        <x:v>1</x:v>
      </x:c>
      <x:c r="Q209" s="79" t="str">
        <x:v>کیلو</x:v>
      </x:c>
      <x:c r="R209" s="79" t="str">
        <x:v>2/600</x:v>
      </x:c>
      <x:c r="S209" s="104" t="n">
        <x:v>2600000</x:v>
      </x:c>
      <x:c r="T209" s="79" t="n">
        <x:v>1</x:v>
      </x:c>
      <x:c r="U209" s="79" t="str">
        <x:v>kg</x:v>
      </x:c>
      <x:c r="V209" s="79" t="str">
        <x:v>کیلو</x:v>
      </x:c>
      <x:c r="W209" s="99" t="b">
        <x:v>1</x:v>
      </x:c>
      <x:c r="X209" s="79" t="str"/>
      <x:c r="Y209" s="79"/>
      <x:c r="Z209" s="104"/>
      <x:c r="AA209" s="79" t="str"/>
      <x:c r="AB209" s="79" t="str"/>
      <x:c r="AC209" s="79" t="str"/>
      <x:c r="AD209" s="79" t="str"/>
      <x:c r="AE209" s="79" t="str">
        <x:v>فعال</x:v>
      </x:c>
      <x:c r="AF209" s="79" t="str">
        <x:v>دسته‌بندی نهایی</x:v>
      </x:c>
      <x:c r="AG209" s="79" t="str">
        <x:v>OK</x:v>
      </x:c>
      <x:c r="AH209" s="79" t="str">
        <x:v>[{"name": "کیلو", "sku": "", "price": 2600000, "stock": "", "weight": 1, "weightUnit": "kg", "containerSize": "کیلو", "isDefault": true}]</x:v>
      </x:c>
      <x:c r="AI209" s="79"/>
      <x:c r="AJ209" s="79"/>
      <x:c r="AK209" s="79"/>
      <x:c r="AL209" t="str">
        <x:v>سماق قهوه ای پودر</x:v>
      </x:c>
      <x:c r="AM209" t="str">
        <x:v>single_211</x:v>
      </x:c>
      <x:c r="AN209" t="str">
        <x:v>canonical_group_row</x:v>
      </x:c>
      <x:c r="AO209" t="str">
        <x:v>ادویه</x:v>
      </x:c>
      <x:c r="AP209" t="str">
        <x:v>6a3781e4df5573f4e676e226</x:v>
      </x:c>
      <x:c r="AQ209" t="str">
        <x:v>spice</x:v>
      </x:c>
      <x:c r="AR209" t="str">
        <x:v>EDIBLE</x:v>
      </x:c>
      <x:c r="AS209" t="str">
        <x:v>بله</x:v>
      </x:c>
      <x:c r="AT209" t="str">
        <x:v>OK</x:v>
      </x:c>
      <x:c r="AU209"/>
    </x:row>
    <x:row r="210">
      <x:c r="A210" s="79" t="n">
        <x:v>212</x:v>
      </x:c>
      <x:c r="B210" s="79" t="str">
        <x:v>NS-0209-1</x:v>
      </x:c>
      <x:c r="C210" s="79" t="str">
        <x:v>سماق ناساب</x:v>
      </x:c>
      <x:c r="D210" s="79" t="str">
        <x:v>whole_sumac</x:v>
      </x:c>
      <x:c r="E210" s="79" t="str">
        <x:v>update</x:v>
      </x:c>
      <x:c r="F210" s="79" t="str">
        <x:v>بله</x:v>
      </x:c>
      <x:c r="G210" s="79" t="str">
        <x:v>ادویه و چاشنی</x:v>
      </x:c>
      <x:c r="H210" s="79" t="str">
        <x:v>ادویه</x:v>
      </x:c>
      <x:c r="I210" s="79" t="str">
        <x:v>6a3781e4df5573f4e676e226</x:v>
      </x:c>
      <x:c r="J210" s="79" t="str">
        <x:v>spice</x:v>
      </x:c>
      <x:c r="K210" s="79"/>
      <x:c r="L210" s="79" t="str">
        <x:v>EDIBLE</x:v>
      </x:c>
      <x:c r="M210" s="79" t="str">
        <x:v>بله</x:v>
      </x:c>
      <x:c r="N210" s="79" t="str">
        <x:v>خوراکی</x:v>
      </x:c>
      <x:c r="O210" s="79" t="str">
        <x:v>خیر</x:v>
      </x:c>
      <x:c r="P210" s="79" t="n">
        <x:v>1</x:v>
      </x:c>
      <x:c r="Q210" s="79" t="str">
        <x:v>کیلو</x:v>
      </x:c>
      <x:c r="R210" s="79" t="n">
        <x:v>400</x:v>
      </x:c>
      <x:c r="S210" s="104" t="n">
        <x:v>400000</x:v>
      </x:c>
      <x:c r="T210" s="79" t="n">
        <x:v>1</x:v>
      </x:c>
      <x:c r="U210" s="79" t="str">
        <x:v>kg</x:v>
      </x:c>
      <x:c r="V210" s="79" t="str">
        <x:v>کیلو</x:v>
      </x:c>
      <x:c r="W210" s="99" t="b">
        <x:v>1</x:v>
      </x:c>
      <x:c r="X210" s="79" t="str"/>
      <x:c r="Y210" s="79"/>
      <x:c r="Z210" s="104"/>
      <x:c r="AA210" s="79" t="str"/>
      <x:c r="AB210" s="79" t="str"/>
      <x:c r="AC210" s="79" t="str"/>
      <x:c r="AD210" s="79" t="str"/>
      <x:c r="AE210" s="79" t="str">
        <x:v>فعال</x:v>
      </x:c>
      <x:c r="AF210" s="79" t="str">
        <x:v>دسته‌بندی نهایی</x:v>
      </x:c>
      <x:c r="AG210" s="79" t="str">
        <x:v>OK</x:v>
      </x:c>
      <x:c r="AH210" s="79" t="str">
        <x:v>[{"name": "کیلو", "sku": "", "price": 400000, "stock": "", "weight": 1, "weightUnit": "kg", "containerSize": "کیلو", "isDefault": true}]</x:v>
      </x:c>
      <x:c r="AI210" s="79"/>
      <x:c r="AJ210" s="79"/>
      <x:c r="AK210" s="79"/>
      <x:c r="AL210" t="str">
        <x:v>سماق ناساب</x:v>
      </x:c>
      <x:c r="AM210" t="str">
        <x:v>single_212</x:v>
      </x:c>
      <x:c r="AN210" t="str">
        <x:v>canonical_group_row</x:v>
      </x:c>
      <x:c r="AO210" t="str">
        <x:v>ادویه</x:v>
      </x:c>
      <x:c r="AP210" t="str">
        <x:v>6a3781e4df5573f4e676e226</x:v>
      </x:c>
      <x:c r="AQ210" t="str">
        <x:v>spice</x:v>
      </x:c>
      <x:c r="AR210" t="str">
        <x:v>EDIBLE</x:v>
      </x:c>
      <x:c r="AS210" t="str">
        <x:v>بله</x:v>
      </x:c>
      <x:c r="AT210" t="str">
        <x:v>OK</x:v>
      </x:c>
      <x:c r="AU210"/>
    </x:row>
    <x:row r="211">
      <x:c r="A211" s="79" t="n">
        <x:v>213</x:v>
      </x:c>
      <x:c r="B211" s="79" t="str">
        <x:v>NS-0210-1</x:v>
      </x:c>
      <x:c r="C211" s="79" t="str">
        <x:v>سمنو</x:v>
      </x:c>
      <x:c r="D211" s="79" t="str">
        <x:v>samanu</x:v>
      </x:c>
      <x:c r="E211" s="79" t="str">
        <x:v>update</x:v>
      </x:c>
      <x:c r="F211" s="79" t="str">
        <x:v>بله</x:v>
      </x:c>
      <x:c r="G211" s="79" t="str">
        <x:v>سایر</x:v>
      </x:c>
      <x:c r="H211" s="79" t="str">
        <x:v>قنادی و شیرینی</x:v>
      </x:c>
      <x:c r="I211" s="79" t="str">
        <x:v>6a3a00000000000000000003</x:v>
      </x:c>
      <x:c r="J211" s="79" t="str">
        <x:v>confectionery</x:v>
      </x:c>
      <x:c r="K211" s="79"/>
      <x:c r="L211" s="79" t="str">
        <x:v>EDIBLE</x:v>
      </x:c>
      <x:c r="M211" s="79" t="str">
        <x:v>بله</x:v>
      </x:c>
      <x:c r="N211" s="79" t="str">
        <x:v>خوراکی</x:v>
      </x:c>
      <x:c r="O211" s="79" t="str">
        <x:v>خیر</x:v>
      </x:c>
      <x:c r="P211" s="79" t="n">
        <x:v>1</x:v>
      </x:c>
      <x:c r="Q211" s="79" t="str">
        <x:v>کیلو</x:v>
      </x:c>
      <x:c r="R211" s="79" t="n">
        <x:v>180</x:v>
      </x:c>
      <x:c r="S211" s="104" t="n">
        <x:v>180000</x:v>
      </x:c>
      <x:c r="T211" s="79" t="n">
        <x:v>1</x:v>
      </x:c>
      <x:c r="U211" s="79" t="str">
        <x:v>kg</x:v>
      </x:c>
      <x:c r="V211" s="79" t="str">
        <x:v>کیلو</x:v>
      </x:c>
      <x:c r="W211" s="99" t="b">
        <x:v>1</x:v>
      </x:c>
      <x:c r="X211" s="79" t="str"/>
      <x:c r="Y211" s="79"/>
      <x:c r="Z211" s="104"/>
      <x:c r="AA211" s="79" t="str"/>
      <x:c r="AB211" s="79" t="str"/>
      <x:c r="AC211" s="79" t="str"/>
      <x:c r="AD211" s="79" t="str"/>
      <x:c r="AE211" s="79" t="str">
        <x:v>فعال</x:v>
      </x:c>
      <x:c r="AF211" s="79" t="str">
        <x:v>نیازمند بررسی دستی</x:v>
      </x:c>
      <x:c r="AG211" s="79" t="str">
        <x:v>دسته از «نیاز به بررسی» به «قنادی و شیرینی» اصلاح شد</x:v>
      </x:c>
      <x:c r="AH211" s="79" t="str">
        <x:v>[{"name": "کیلو", "sku": "", "price": 180000, "stock": "", "weight": 1, "weightUnit": "kg", "containerSize": "کیلو", "isDefault": true}]</x:v>
      </x:c>
      <x:c r="AI211" s="79"/>
      <x:c r="AJ211" s="79"/>
      <x:c r="AK211" s="79"/>
      <x:c r="AL211" t="str">
        <x:v>سمنو</x:v>
      </x:c>
      <x:c r="AM211" t="str">
        <x:v>single_213</x:v>
      </x:c>
      <x:c r="AN211" t="str">
        <x:v>canonical_group_row</x:v>
      </x:c>
      <x:c r="AO211" t="str">
        <x:v>قنادی و شیرینی</x:v>
      </x:c>
      <x:c r="AP211" t="str">
        <x:v>6a3a00000000000000000003</x:v>
      </x:c>
      <x:c r="AQ211" t="str">
        <x:v>confectionery</x:v>
      </x:c>
      <x:c r="AR211" t="str">
        <x:v>EDIBLE</x:v>
      </x:c>
      <x:c r="AS211" t="str">
        <x:v>بله</x:v>
      </x:c>
      <x:c r="AT211" t="str">
        <x:v>OK</x:v>
      </x:c>
      <x:c r="AU211" t="str">
        <x:v>دسته از «نیاز به بررسی» به «قنادی و شیرینی» اصلاح شد</x:v>
      </x:c>
    </x:row>
    <x:row r="212">
      <x:c r="A212" s="79" t="n">
        <x:v>214</x:v>
      </x:c>
      <x:c r="B212" s="79" t="str">
        <x:v>NS-0211-1</x:v>
      </x:c>
      <x:c r="C212" s="79" t="str">
        <x:v>سنبل الطیب</x:v>
      </x:c>
      <x:c r="D212" s="79" t="str">
        <x:v>valerian</x:v>
      </x:c>
      <x:c r="E212" s="79" t="str">
        <x:v>update</x:v>
      </x:c>
      <x:c r="F212" s="79" t="str">
        <x:v>بله</x:v>
      </x:c>
      <x:c r="G212" s="79" t="str">
        <x:v>گیاهان دارویی</x:v>
      </x:c>
      <x:c r="H212" s="79" t="str">
        <x:v>گیاهان دارویی</x:v>
      </x:c>
      <x:c r="I212" s="79" t="str">
        <x:v>6a3782d7df5573f4e676e243</x:v>
      </x:c>
      <x:c r="J212" s="79" t="str">
        <x:v>medicinal-plants</x:v>
      </x:c>
      <x:c r="K212" s="79"/>
      <x:c r="L212" s="79" t="str">
        <x:v>EDIBLE</x:v>
      </x:c>
      <x:c r="M212" s="79" t="str">
        <x:v>بله</x:v>
      </x:c>
      <x:c r="N212" s="79" t="str">
        <x:v>خوراکی</x:v>
      </x:c>
      <x:c r="O212" s="79" t="str">
        <x:v>خیر</x:v>
      </x:c>
      <x:c r="P212" s="79" t="n">
        <x:v>1</x:v>
      </x:c>
      <x:c r="Q212" s="79" t="str">
        <x:v>کیلو</x:v>
      </x:c>
      <x:c r="R212" s="79" t="str">
        <x:v>2/600</x:v>
      </x:c>
      <x:c r="S212" s="104" t="n">
        <x:v>2600000</x:v>
      </x:c>
      <x:c r="T212" s="79" t="n">
        <x:v>1</x:v>
      </x:c>
      <x:c r="U212" s="79" t="str">
        <x:v>kg</x:v>
      </x:c>
      <x:c r="V212" s="79" t="str">
        <x:v>کیلو</x:v>
      </x:c>
      <x:c r="W212" s="99" t="b">
        <x:v>1</x:v>
      </x:c>
      <x:c r="X212" s="79" t="str"/>
      <x:c r="Y212" s="79"/>
      <x:c r="Z212" s="104"/>
      <x:c r="AA212" s="79" t="str"/>
      <x:c r="AB212" s="79" t="str"/>
      <x:c r="AC212" s="79" t="str"/>
      <x:c r="AD212" s="79" t="str"/>
      <x:c r="AE212" s="79" t="str">
        <x:v>فعال</x:v>
      </x:c>
      <x:c r="AF212" s="79" t="str">
        <x:v>دسته‌بندی نهایی</x:v>
      </x:c>
      <x:c r="AG212" s="79" t="str">
        <x:v>OK</x:v>
      </x:c>
      <x:c r="AH212" s="79" t="str">
        <x:v>[{"name": "کیلو", "sku": "", "price": 2600000, "stock": "", "weight": 1, "weightUnit": "kg", "containerSize": "کیلو", "isDefault": true}]</x:v>
      </x:c>
      <x:c r="AI212" s="79"/>
      <x:c r="AJ212" s="79"/>
      <x:c r="AK212" s="79"/>
      <x:c r="AL212" t="str">
        <x:v>سنبل الطیب</x:v>
      </x:c>
      <x:c r="AM212" t="str">
        <x:v>single_214</x:v>
      </x:c>
      <x:c r="AN212" t="str">
        <x:v>canonical_group_row</x:v>
      </x:c>
      <x:c r="AO212" t="str">
        <x:v>گیاهان دارویی</x:v>
      </x:c>
      <x:c r="AP212" t="str">
        <x:v>6a3782d7df5573f4e676e243</x:v>
      </x:c>
      <x:c r="AQ212" t="str">
        <x:v>medicinal-plants</x:v>
      </x:c>
      <x:c r="AR212" t="str">
        <x:v>EDIBLE</x:v>
      </x:c>
      <x:c r="AS212" t="str">
        <x:v>بله</x:v>
      </x:c>
      <x:c r="AT212" t="str">
        <x:v>OK</x:v>
      </x:c>
      <x:c r="AU212"/>
    </x:row>
    <x:row r="213">
      <x:c r="A213" s="79" t="n">
        <x:v>215</x:v>
      </x:c>
      <x:c r="B213" s="79" t="str">
        <x:v>NS-0212-1</x:v>
      </x:c>
      <x:c r="C213" s="79" t="str">
        <x:v>سنجد</x:v>
      </x:c>
      <x:c r="D213" s="79" t="str">
        <x:v>oleaster</x:v>
      </x:c>
      <x:c r="E213" s="79" t="str">
        <x:v>update</x:v>
      </x:c>
      <x:c r="F213" s="79" t="str">
        <x:v>بله</x:v>
      </x:c>
      <x:c r="G213" s="79" t="str">
        <x:v>خشکبار و آجیل</x:v>
      </x:c>
      <x:c r="H213" s="79" t="str">
        <x:v>خشکبار و آجیل</x:v>
      </x:c>
      <x:c r="I213" s="79" t="str">
        <x:v>6a37810ddf5573f4e676e201</x:v>
      </x:c>
      <x:c r="J213" s="79" t="str">
        <x:v>dried-fruits-nuts</x:v>
      </x:c>
      <x:c r="K213" s="79"/>
      <x:c r="L213" s="79" t="str">
        <x:v>EDIBLE</x:v>
      </x:c>
      <x:c r="M213" s="79" t="str">
        <x:v>بله</x:v>
      </x:c>
      <x:c r="N213" s="79" t="str">
        <x:v>خوراکی</x:v>
      </x:c>
      <x:c r="O213" s="79" t="str">
        <x:v>خیر</x:v>
      </x:c>
      <x:c r="P213" s="79" t="n">
        <x:v>1</x:v>
      </x:c>
      <x:c r="Q213" s="79" t="str">
        <x:v>کیلو</x:v>
      </x:c>
      <x:c r="R213" s="79" t="n">
        <x:v>500</x:v>
      </x:c>
      <x:c r="S213" s="104" t="n">
        <x:v>500000</x:v>
      </x:c>
      <x:c r="T213" s="79" t="n">
        <x:v>1</x:v>
      </x:c>
      <x:c r="U213" s="79" t="str">
        <x:v>kg</x:v>
      </x:c>
      <x:c r="V213" s="79" t="str">
        <x:v>کیلو</x:v>
      </x:c>
      <x:c r="W213" s="99" t="b">
        <x:v>1</x:v>
      </x:c>
      <x:c r="X213" s="79" t="str"/>
      <x:c r="Y213" s="79"/>
      <x:c r="Z213" s="104"/>
      <x:c r="AA213" s="79" t="str"/>
      <x:c r="AB213" s="79" t="str"/>
      <x:c r="AC213" s="79" t="str"/>
      <x:c r="AD213" s="79" t="str"/>
      <x:c r="AE213" s="79" t="str">
        <x:v>فعال</x:v>
      </x:c>
      <x:c r="AF213" s="79" t="str">
        <x:v>دسته‌بندی نهایی</x:v>
      </x:c>
      <x:c r="AG213" s="79" t="str">
        <x:v>MERGED</x:v>
      </x:c>
      <x:c r="AH213" s="79" t="str">
        <x:v>[{"name": "کیلو", "sku": "", "price": 500000, "stock": "", "weight": 1, "weightUnit": "kg", "containerSize": "کیلو", "isDefault": true}]</x:v>
      </x:c>
      <x:c r="AI213" s="79"/>
      <x:c r="AJ213" s="79"/>
      <x:c r="AK213" s="79"/>
      <x:c r="AL213" t="str">
        <x:v>سنجد</x:v>
      </x:c>
      <x:c r="AM213" t="str">
        <x:v>grp_oleaster</x:v>
      </x:c>
      <x:c r="AN213" t="str">
        <x:v>canonical_group_row</x:v>
      </x:c>
      <x:c r="AO213" t="str">
        <x:v>خشکبار و آجیل</x:v>
      </x:c>
      <x:c r="AP213" t="str">
        <x:v>6a37810ddf5573f4e676e201</x:v>
      </x:c>
      <x:c r="AQ213" t="str">
        <x:v>dried-fruits-nuts</x:v>
      </x:c>
      <x:c r="AR213" t="str">
        <x:v>EDIBLE</x:v>
      </x:c>
      <x:c r="AS213" t="str">
        <x:v>بله</x:v>
      </x:c>
      <x:c r="AT213" t="str">
        <x:v>MERGED</x:v>
      </x:c>
      <x:c r="AU213"/>
    </x:row>
    <x:row r="214">
      <x:c r="A214" s="79" t="n">
        <x:v>216</x:v>
      </x:c>
      <x:c r="B214" s="79" t="str">
        <x:v>NS-0213-1</x:v>
      </x:c>
      <x:c r="C214" s="79" t="str">
        <x:v>سنجد پودر</x:v>
      </x:c>
      <x:c r="D214" s="79" t="str">
        <x:v>oleaster_powder</x:v>
      </x:c>
      <x:c r="E214" s="79" t="str">
        <x:v>update</x:v>
      </x:c>
      <x:c r="F214" s="79" t="str">
        <x:v>بله</x:v>
      </x:c>
      <x:c r="G214" s="79" t="str">
        <x:v>خشکبار و آجیل</x:v>
      </x:c>
      <x:c r="H214" s="79" t="str">
        <x:v>خشکبار و آجیل</x:v>
      </x:c>
      <x:c r="I214" s="79" t="str">
        <x:v>6a37810ddf5573f4e676e201</x:v>
      </x:c>
      <x:c r="J214" s="79" t="str">
        <x:v>dried-fruits-nuts</x:v>
      </x:c>
      <x:c r="K214" s="79"/>
      <x:c r="L214" s="79" t="str">
        <x:v>EDIBLE</x:v>
      </x:c>
      <x:c r="M214" s="79" t="str">
        <x:v>بله</x:v>
      </x:c>
      <x:c r="N214" s="79" t="str">
        <x:v>خوراکی</x:v>
      </x:c>
      <x:c r="O214" s="79" t="str">
        <x:v>خیر</x:v>
      </x:c>
      <x:c r="P214" s="79" t="n">
        <x:v>1</x:v>
      </x:c>
      <x:c r="Q214" s="79" t="str">
        <x:v>کیلو</x:v>
      </x:c>
      <x:c r="R214" s="79" t="n">
        <x:v>650</x:v>
      </x:c>
      <x:c r="S214" s="104" t="n">
        <x:v>650000</x:v>
      </x:c>
      <x:c r="T214" s="79" t="n">
        <x:v>1</x:v>
      </x:c>
      <x:c r="U214" s="79" t="str">
        <x:v>kg</x:v>
      </x:c>
      <x:c r="V214" s="79" t="str">
        <x:v>کیلو</x:v>
      </x:c>
      <x:c r="W214" s="99" t="b">
        <x:v>1</x:v>
      </x:c>
      <x:c r="X214" s="79" t="str"/>
      <x:c r="Y214" s="79"/>
      <x:c r="Z214" s="104"/>
      <x:c r="AA214" s="79" t="str"/>
      <x:c r="AB214" s="79" t="str"/>
      <x:c r="AC214" s="79" t="str"/>
      <x:c r="AD214" s="79" t="str"/>
      <x:c r="AE214" s="79" t="str">
        <x:v>فعال</x:v>
      </x:c>
      <x:c r="AF214" s="79" t="str">
        <x:v>دسته‌بندی نهایی</x:v>
      </x:c>
      <x:c r="AG214" s="79" t="str">
        <x:v>MERGED</x:v>
      </x:c>
      <x:c r="AH214" s="79" t="str">
        <x:v>[{"name": "کیلو", "sku": "", "price": 650000, "stock": "", "weight": 1, "weightUnit": "kg", "containerSize": "کیلو", "isDefault": true}]</x:v>
      </x:c>
      <x:c r="AI214" s="79"/>
      <x:c r="AJ214" s="79"/>
      <x:c r="AK214" s="79"/>
      <x:c r="AL214" t="str">
        <x:v>سنجد</x:v>
      </x:c>
      <x:c r="AM214" t="str">
        <x:v>grp_oleaster</x:v>
      </x:c>
      <x:c r="AN214" t="str">
        <x:v>merge_into_canonical_group</x:v>
      </x:c>
      <x:c r="AO214" t="str">
        <x:v>خشکبار و آجیل</x:v>
      </x:c>
      <x:c r="AP214" t="str">
        <x:v>6a37810ddf5573f4e676e201</x:v>
      </x:c>
      <x:c r="AQ214" t="str">
        <x:v>dried-fruits-nuts</x:v>
      </x:c>
      <x:c r="AR214" t="str">
        <x:v>EDIBLE</x:v>
      </x:c>
      <x:c r="AS214" t="str">
        <x:v>بله</x:v>
      </x:c>
      <x:c r="AT214" t="str">
        <x:v>MERGED</x:v>
      </x:c>
      <x:c r="AU214"/>
    </x:row>
    <x:row r="215">
      <x:c r="A215" s="79" t="n">
        <x:v>217</x:v>
      </x:c>
      <x:c r="B215" s="79" t="str">
        <x:v>NS-0214-1</x:v>
      </x:c>
      <x:c r="C215" s="79" t="str">
        <x:v>سویق ترکیبی</x:v>
      </x:c>
      <x:c r="D215" s="79" t="str">
        <x:v>saviq_mixed</x:v>
      </x:c>
      <x:c r="E215" s="79" t="str">
        <x:v>update</x:v>
      </x:c>
      <x:c r="F215" s="79" t="str">
        <x:v>بله</x:v>
      </x:c>
      <x:c r="G215" s="79" t="str">
        <x:v>سایر</x:v>
      </x:c>
      <x:c r="H215" s="79" t="str">
        <x:v>حبوبات و غلات</x:v>
      </x:c>
      <x:c r="I215" s="79" t="str">
        <x:v>6a3a00000000000000000002</x:v>
      </x:c>
      <x:c r="J215" s="79" t="str">
        <x:v>legumes-grains</x:v>
      </x:c>
      <x:c r="K215" s="79"/>
      <x:c r="L215" s="79" t="str">
        <x:v>EDIBLE</x:v>
      </x:c>
      <x:c r="M215" s="79" t="str">
        <x:v>بله</x:v>
      </x:c>
      <x:c r="N215" s="79" t="str">
        <x:v>خوراکی</x:v>
      </x:c>
      <x:c r="O215" s="79" t="str">
        <x:v>خیر</x:v>
      </x:c>
      <x:c r="P215" s="79" t="n">
        <x:v>1</x:v>
      </x:c>
      <x:c r="Q215" s="79" t="str">
        <x:v>کیلو</x:v>
      </x:c>
      <x:c r="R215" s="79" t="n">
        <x:v>500</x:v>
      </x:c>
      <x:c r="S215" s="104" t="n">
        <x:v>500000</x:v>
      </x:c>
      <x:c r="T215" s="79" t="n">
        <x:v>1</x:v>
      </x:c>
      <x:c r="U215" s="79" t="str">
        <x:v>kg</x:v>
      </x:c>
      <x:c r="V215" s="79" t="str">
        <x:v>کیلو</x:v>
      </x:c>
      <x:c r="W215" s="99" t="b">
        <x:v>1</x:v>
      </x:c>
      <x:c r="X215" s="79" t="str"/>
      <x:c r="Y215" s="79"/>
      <x:c r="Z215" s="104"/>
      <x:c r="AA215" s="79" t="str"/>
      <x:c r="AB215" s="79" t="str"/>
      <x:c r="AC215" s="79" t="str"/>
      <x:c r="AD215" s="79" t="str"/>
      <x:c r="AE215" s="79" t="str">
        <x:v>فعال</x:v>
      </x:c>
      <x:c r="AF215" s="79" t="str">
        <x:v>نیازمند بررسی دستی</x:v>
      </x:c>
      <x:c r="AG215" s="79" t="str">
        <x:v>دسته از «نیاز به بررسی» به «حبوبات و غلات» اصلاح شد</x:v>
      </x:c>
      <x:c r="AH215" s="79" t="str">
        <x:v>[{"name": "کیلو", "sku": "", "price": 500000, "stock": "", "weight": 1, "weightUnit": "kg", "containerSize": "کیلو", "isDefault": true}]</x:v>
      </x:c>
      <x:c r="AI215" s="79"/>
      <x:c r="AJ215" s="79"/>
      <x:c r="AK215" s="79"/>
      <x:c r="AL215" t="str">
        <x:v>سویق ترکیبی</x:v>
      </x:c>
      <x:c r="AM215" t="str">
        <x:v>single_217</x:v>
      </x:c>
      <x:c r="AN215" t="str">
        <x:v>canonical_group_row</x:v>
      </x:c>
      <x:c r="AO215" t="str">
        <x:v>حبوبات و غلات</x:v>
      </x:c>
      <x:c r="AP215" t="str">
        <x:v>6a3a00000000000000000002</x:v>
      </x:c>
      <x:c r="AQ215" t="str">
        <x:v>legumes-grains</x:v>
      </x:c>
      <x:c r="AR215" t="str">
        <x:v>EDIBLE</x:v>
      </x:c>
      <x:c r="AS215" t="str">
        <x:v>بله</x:v>
      </x:c>
      <x:c r="AT215" t="str">
        <x:v>OK</x:v>
      </x:c>
      <x:c r="AU215" t="str">
        <x:v>دسته از «نیاز به بررسی» به «حبوبات و غلات» اصلاح شد</x:v>
      </x:c>
    </x:row>
    <x:row r="216">
      <x:c r="A216" s="79" t="n">
        <x:v>218</x:v>
      </x:c>
      <x:c r="B216" s="79" t="str">
        <x:v>NS-0215-1</x:v>
      </x:c>
      <x:c r="C216" s="79" t="str">
        <x:v>سویق جوانه جو</x:v>
      </x:c>
      <x:c r="D216" s="79" t="str">
        <x:v>saviq_sprout_barley</x:v>
      </x:c>
      <x:c r="E216" s="79" t="str">
        <x:v>update</x:v>
      </x:c>
      <x:c r="F216" s="79" t="str">
        <x:v>بله</x:v>
      </x:c>
      <x:c r="G216" s="79" t="str">
        <x:v>حبوبات و غلات</x:v>
      </x:c>
      <x:c r="H216" s="79" t="str">
        <x:v>حبوبات و غلات</x:v>
      </x:c>
      <x:c r="I216" s="79" t="str">
        <x:v>6a3a00000000000000000002</x:v>
      </x:c>
      <x:c r="J216" s="79" t="str">
        <x:v>legumes-grains</x:v>
      </x:c>
      <x:c r="K216" s="79"/>
      <x:c r="L216" s="79" t="str">
        <x:v>EDIBLE</x:v>
      </x:c>
      <x:c r="M216" s="79" t="str">
        <x:v>بله</x:v>
      </x:c>
      <x:c r="N216" s="79" t="str">
        <x:v>خوراکی</x:v>
      </x:c>
      <x:c r="O216" s="79" t="str">
        <x:v>خیر</x:v>
      </x:c>
      <x:c r="P216" s="79" t="n">
        <x:v>1</x:v>
      </x:c>
      <x:c r="Q216" s="79" t="str">
        <x:v>کیلو</x:v>
      </x:c>
      <x:c r="R216" s="79" t="n">
        <x:v>500</x:v>
      </x:c>
      <x:c r="S216" s="104" t="n">
        <x:v>500000</x:v>
      </x:c>
      <x:c r="T216" s="79" t="n">
        <x:v>1</x:v>
      </x:c>
      <x:c r="U216" s="79" t="str">
        <x:v>kg</x:v>
      </x:c>
      <x:c r="V216" s="79" t="str">
        <x:v>کیلو</x:v>
      </x:c>
      <x:c r="W216" s="99" t="b">
        <x:v>1</x:v>
      </x:c>
      <x:c r="X216" s="79" t="str"/>
      <x:c r="Y216" s="79"/>
      <x:c r="Z216" s="104"/>
      <x:c r="AA216" s="79" t="str"/>
      <x:c r="AB216" s="79" t="str"/>
      <x:c r="AC216" s="79" t="str"/>
      <x:c r="AD216" s="79" t="str"/>
      <x:c r="AE216" s="79" t="str">
        <x:v>فعال</x:v>
      </x:c>
      <x:c r="AF216" s="79" t="str">
        <x:v>دسته‌بندی نهایی</x:v>
      </x:c>
      <x:c r="AG216" s="79" t="str">
        <x:v>OK</x:v>
      </x:c>
      <x:c r="AH216" s="79" t="str">
        <x:v>[{"name": "کیلو", "sku": "", "price": 500000, "stock": "", "weight": 1, "weightUnit": "kg", "containerSize": "کیلو", "isDefault": true}]</x:v>
      </x:c>
      <x:c r="AI216" s="79"/>
      <x:c r="AJ216" s="79"/>
      <x:c r="AK216" s="79"/>
      <x:c r="AL216" t="str">
        <x:v>سویق جوانه جو</x:v>
      </x:c>
      <x:c r="AM216" t="str">
        <x:v>single_218</x:v>
      </x:c>
      <x:c r="AN216" t="str">
        <x:v>canonical_group_row</x:v>
      </x:c>
      <x:c r="AO216" t="str">
        <x:v>حبوبات و غلات</x:v>
      </x:c>
      <x:c r="AP216" t="str">
        <x:v>6a3a00000000000000000002</x:v>
      </x:c>
      <x:c r="AQ216" t="str">
        <x:v>legumes-grains</x:v>
      </x:c>
      <x:c r="AR216" t="str">
        <x:v>EDIBLE</x:v>
      </x:c>
      <x:c r="AS216" t="str">
        <x:v>بله</x:v>
      </x:c>
      <x:c r="AT216" t="str">
        <x:v>OK</x:v>
      </x:c>
      <x:c r="AU216"/>
    </x:row>
    <x:row r="217">
      <x:c r="A217" s="79" t="n">
        <x:v>219</x:v>
      </x:c>
      <x:c r="B217" s="79" t="str">
        <x:v>NS-0216-1</x:v>
      </x:c>
      <x:c r="C217" s="79" t="str">
        <x:v>سویق جوانه عدس</x:v>
      </x:c>
      <x:c r="D217" s="79" t="str">
        <x:v>saviq_sprout_lentil</x:v>
      </x:c>
      <x:c r="E217" s="79" t="str">
        <x:v>update</x:v>
      </x:c>
      <x:c r="F217" s="79" t="str">
        <x:v>بله</x:v>
      </x:c>
      <x:c r="G217" s="79" t="str">
        <x:v>حبوبات و غلات</x:v>
      </x:c>
      <x:c r="H217" s="79" t="str">
        <x:v>حبوبات و غلات</x:v>
      </x:c>
      <x:c r="I217" s="79" t="str">
        <x:v>6a3a00000000000000000002</x:v>
      </x:c>
      <x:c r="J217" s="79" t="str">
        <x:v>legumes-grains</x:v>
      </x:c>
      <x:c r="K217" s="79"/>
      <x:c r="L217" s="79" t="str">
        <x:v>EDIBLE</x:v>
      </x:c>
      <x:c r="M217" s="79" t="str">
        <x:v>بله</x:v>
      </x:c>
      <x:c r="N217" s="79" t="str">
        <x:v>خوراکی</x:v>
      </x:c>
      <x:c r="O217" s="79" t="str">
        <x:v>خیر</x:v>
      </x:c>
      <x:c r="P217" s="79" t="n">
        <x:v>1</x:v>
      </x:c>
      <x:c r="Q217" s="79" t="str">
        <x:v>کیلو</x:v>
      </x:c>
      <x:c r="R217" s="79" t="n">
        <x:v>450</x:v>
      </x:c>
      <x:c r="S217" s="104" t="n">
        <x:v>450000</x:v>
      </x:c>
      <x:c r="T217" s="79" t="n">
        <x:v>1</x:v>
      </x:c>
      <x:c r="U217" s="79" t="str">
        <x:v>kg</x:v>
      </x:c>
      <x:c r="V217" s="79" t="str">
        <x:v>کیلو</x:v>
      </x:c>
      <x:c r="W217" s="99" t="b">
        <x:v>1</x:v>
      </x:c>
      <x:c r="X217" s="79" t="str"/>
      <x:c r="Y217" s="79"/>
      <x:c r="Z217" s="104"/>
      <x:c r="AA217" s="79" t="str"/>
      <x:c r="AB217" s="79" t="str"/>
      <x:c r="AC217" s="79" t="str"/>
      <x:c r="AD217" s="79" t="str"/>
      <x:c r="AE217" s="79" t="str">
        <x:v>فعال</x:v>
      </x:c>
      <x:c r="AF217" s="79" t="str">
        <x:v>دسته‌بندی نهایی</x:v>
      </x:c>
      <x:c r="AG217" s="79" t="str">
        <x:v>OK</x:v>
      </x:c>
      <x:c r="AH217" s="79" t="str">
        <x:v>[{"name": "کیلو", "sku": "", "price": 450000, "stock": "", "weight": 1, "weightUnit": "kg", "containerSize": "کیلو", "isDefault": true}]</x:v>
      </x:c>
      <x:c r="AI217" s="79"/>
      <x:c r="AJ217" s="79"/>
      <x:c r="AK217" s="79"/>
      <x:c r="AL217" t="str">
        <x:v>سویق جوانه عدس</x:v>
      </x:c>
      <x:c r="AM217" t="str">
        <x:v>single_219</x:v>
      </x:c>
      <x:c r="AN217" t="str">
        <x:v>canonical_group_row</x:v>
      </x:c>
      <x:c r="AO217" t="str">
        <x:v>حبوبات و غلات</x:v>
      </x:c>
      <x:c r="AP217" t="str">
        <x:v>6a3a00000000000000000002</x:v>
      </x:c>
      <x:c r="AQ217" t="str">
        <x:v>legumes-grains</x:v>
      </x:c>
      <x:c r="AR217" t="str">
        <x:v>EDIBLE</x:v>
      </x:c>
      <x:c r="AS217" t="str">
        <x:v>بله</x:v>
      </x:c>
      <x:c r="AT217" t="str">
        <x:v>OK</x:v>
      </x:c>
      <x:c r="AU217"/>
    </x:row>
    <x:row r="218">
      <x:c r="A218" s="79" t="n">
        <x:v>220</x:v>
      </x:c>
      <x:c r="B218" s="79" t="str">
        <x:v>NS-0217-1</x:v>
      </x:c>
      <x:c r="C218" s="79" t="str">
        <x:v>سویق جوانه گندم</x:v>
      </x:c>
      <x:c r="D218" s="79" t="str">
        <x:v>saviq_sprout_wheat</x:v>
      </x:c>
      <x:c r="E218" s="79" t="str">
        <x:v>update</x:v>
      </x:c>
      <x:c r="F218" s="79" t="str">
        <x:v>بله</x:v>
      </x:c>
      <x:c r="G218" s="79" t="str">
        <x:v>حبوبات و غلات</x:v>
      </x:c>
      <x:c r="H218" s="79" t="str">
        <x:v>حبوبات و غلات</x:v>
      </x:c>
      <x:c r="I218" s="79" t="str">
        <x:v>6a3a00000000000000000002</x:v>
      </x:c>
      <x:c r="J218" s="79" t="str">
        <x:v>legumes-grains</x:v>
      </x:c>
      <x:c r="K218" s="79"/>
      <x:c r="L218" s="79" t="str">
        <x:v>EDIBLE</x:v>
      </x:c>
      <x:c r="M218" s="79" t="str">
        <x:v>بله</x:v>
      </x:c>
      <x:c r="N218" s="79" t="str">
        <x:v>خوراکی</x:v>
      </x:c>
      <x:c r="O218" s="79" t="str">
        <x:v>خیر</x:v>
      </x:c>
      <x:c r="P218" s="79" t="n">
        <x:v>1</x:v>
      </x:c>
      <x:c r="Q218" s="79" t="str">
        <x:v>کیلو</x:v>
      </x:c>
      <x:c r="R218" s="79" t="n">
        <x:v>380</x:v>
      </x:c>
      <x:c r="S218" s="104" t="n">
        <x:v>380000</x:v>
      </x:c>
      <x:c r="T218" s="79" t="n">
        <x:v>1</x:v>
      </x:c>
      <x:c r="U218" s="79" t="str">
        <x:v>kg</x:v>
      </x:c>
      <x:c r="V218" s="79" t="str">
        <x:v>کیلو</x:v>
      </x:c>
      <x:c r="W218" s="99" t="b">
        <x:v>1</x:v>
      </x:c>
      <x:c r="X218" s="79" t="str"/>
      <x:c r="Y218" s="79"/>
      <x:c r="Z218" s="104"/>
      <x:c r="AA218" s="79" t="str"/>
      <x:c r="AB218" s="79" t="str"/>
      <x:c r="AC218" s="79" t="str"/>
      <x:c r="AD218" s="79" t="str"/>
      <x:c r="AE218" s="79" t="str">
        <x:v>فعال</x:v>
      </x:c>
      <x:c r="AF218" s="79" t="str">
        <x:v>دسته‌بندی نهایی</x:v>
      </x:c>
      <x:c r="AG218" s="79" t="str">
        <x:v>OK</x:v>
      </x:c>
      <x:c r="AH218" s="79" t="str">
        <x:v>[{"name": "کیلو", "sku": "", "price": 380000, "stock": "", "weight": 1, "weightUnit": "kg", "containerSize": "کیلو", "isDefault": true}]</x:v>
      </x:c>
      <x:c r="AI218" s="79"/>
      <x:c r="AJ218" s="79"/>
      <x:c r="AK218" s="79"/>
      <x:c r="AL218" t="str">
        <x:v>سویق جوانه گندم</x:v>
      </x:c>
      <x:c r="AM218" t="str">
        <x:v>single_220</x:v>
      </x:c>
      <x:c r="AN218" t="str">
        <x:v>canonical_group_row</x:v>
      </x:c>
      <x:c r="AO218" t="str">
        <x:v>حبوبات و غلات</x:v>
      </x:c>
      <x:c r="AP218" t="str">
        <x:v>6a3a00000000000000000002</x:v>
      </x:c>
      <x:c r="AQ218" t="str">
        <x:v>legumes-grains</x:v>
      </x:c>
      <x:c r="AR218" t="str">
        <x:v>EDIBLE</x:v>
      </x:c>
      <x:c r="AS218" t="str">
        <x:v>بله</x:v>
      </x:c>
      <x:c r="AT218" t="str">
        <x:v>OK</x:v>
      </x:c>
      <x:c r="AU218"/>
    </x:row>
    <x:row r="219">
      <x:c r="A219" s="79" t="n">
        <x:v>221</x:v>
      </x:c>
      <x:c r="B219" s="79" t="str">
        <x:v>NS-0218-1</x:v>
      </x:c>
      <x:c r="C219" s="79" t="str">
        <x:v>سویق جوانه ماش</x:v>
      </x:c>
      <x:c r="D219" s="79" t="str">
        <x:v>saviq_sprout_mung</x:v>
      </x:c>
      <x:c r="E219" s="79" t="str">
        <x:v>update</x:v>
      </x:c>
      <x:c r="F219" s="79" t="str">
        <x:v>بله</x:v>
      </x:c>
      <x:c r="G219" s="79" t="str">
        <x:v>حبوبات و غلات</x:v>
      </x:c>
      <x:c r="H219" s="79" t="str">
        <x:v>حبوبات و غلات</x:v>
      </x:c>
      <x:c r="I219" s="79" t="str">
        <x:v>6a3a00000000000000000002</x:v>
      </x:c>
      <x:c r="J219" s="79" t="str">
        <x:v>legumes-grains</x:v>
      </x:c>
      <x:c r="K219" s="79"/>
      <x:c r="L219" s="79" t="str">
        <x:v>EDIBLE</x:v>
      </x:c>
      <x:c r="M219" s="79" t="str">
        <x:v>بله</x:v>
      </x:c>
      <x:c r="N219" s="79" t="str">
        <x:v>خوراکی</x:v>
      </x:c>
      <x:c r="O219" s="79" t="str">
        <x:v>خیر</x:v>
      </x:c>
      <x:c r="P219" s="79" t="n">
        <x:v>1</x:v>
      </x:c>
      <x:c r="Q219" s="79" t="str">
        <x:v>کیلو</x:v>
      </x:c>
      <x:c r="R219" s="79" t="n">
        <x:v>450</x:v>
      </x:c>
      <x:c r="S219" s="104" t="n">
        <x:v>450000</x:v>
      </x:c>
      <x:c r="T219" s="79" t="n">
        <x:v>1</x:v>
      </x:c>
      <x:c r="U219" s="79" t="str">
        <x:v>kg</x:v>
      </x:c>
      <x:c r="V219" s="79" t="str">
        <x:v>کیلو</x:v>
      </x:c>
      <x:c r="W219" s="99" t="b">
        <x:v>1</x:v>
      </x:c>
      <x:c r="X219" s="79" t="str"/>
      <x:c r="Y219" s="79"/>
      <x:c r="Z219" s="104"/>
      <x:c r="AA219" s="79" t="str"/>
      <x:c r="AB219" s="79" t="str"/>
      <x:c r="AC219" s="79" t="str"/>
      <x:c r="AD219" s="79" t="str"/>
      <x:c r="AE219" s="79" t="str">
        <x:v>فعال</x:v>
      </x:c>
      <x:c r="AF219" s="79" t="str">
        <x:v>دسته‌بندی نهایی</x:v>
      </x:c>
      <x:c r="AG219" s="79" t="str">
        <x:v>OK</x:v>
      </x:c>
      <x:c r="AH219" s="79" t="str">
        <x:v>[{"name": "کیلو", "sku": "", "price": 450000, "stock": "", "weight": 1, "weightUnit": "kg", "containerSize": "کیلو", "isDefault": true}]</x:v>
      </x:c>
      <x:c r="AI219" s="79"/>
      <x:c r="AJ219" s="79"/>
      <x:c r="AK219" s="79"/>
      <x:c r="AL219" t="str">
        <x:v>سویق جوانه ماش</x:v>
      </x:c>
      <x:c r="AM219" t="str">
        <x:v>single_221</x:v>
      </x:c>
      <x:c r="AN219" t="str">
        <x:v>canonical_group_row</x:v>
      </x:c>
      <x:c r="AO219" t="str">
        <x:v>حبوبات و غلات</x:v>
      </x:c>
      <x:c r="AP219" t="str">
        <x:v>6a3a00000000000000000002</x:v>
      </x:c>
      <x:c r="AQ219" t="str">
        <x:v>legumes-grains</x:v>
      </x:c>
      <x:c r="AR219" t="str">
        <x:v>EDIBLE</x:v>
      </x:c>
      <x:c r="AS219" t="str">
        <x:v>بله</x:v>
      </x:c>
      <x:c r="AT219" t="str">
        <x:v>OK</x:v>
      </x:c>
      <x:c r="AU219"/>
    </x:row>
    <x:row r="220">
      <x:c r="A220" s="79" t="n">
        <x:v>222</x:v>
      </x:c>
      <x:c r="B220" s="79" t="str">
        <x:v>NS-0219-1</x:v>
      </x:c>
      <x:c r="C220" s="79" t="str">
        <x:v>سیاهدانه</x:v>
      </x:c>
      <x:c r="D220" s="79" t="str">
        <x:v>black_seed</x:v>
      </x:c>
      <x:c r="E220" s="79" t="str">
        <x:v>update</x:v>
      </x:c>
      <x:c r="F220" s="79" t="str">
        <x:v>بله</x:v>
      </x:c>
      <x:c r="G220" s="79" t="str">
        <x:v>سایر</x:v>
      </x:c>
      <x:c r="H220" s="79" t="str">
        <x:v>گیاهان دارویی</x:v>
      </x:c>
      <x:c r="I220" s="79" t="str">
        <x:v>6a3782d7df5573f4e676e243</x:v>
      </x:c>
      <x:c r="J220" s="79" t="str">
        <x:v>medicinal-plants</x:v>
      </x:c>
      <x:c r="K220" s="79"/>
      <x:c r="L220" s="79" t="str">
        <x:v>EDIBLE</x:v>
      </x:c>
      <x:c r="M220" s="79" t="str">
        <x:v>بله</x:v>
      </x:c>
      <x:c r="N220" s="79" t="str">
        <x:v>خوراکی</x:v>
      </x:c>
      <x:c r="O220" s="79" t="str">
        <x:v>خیر</x:v>
      </x:c>
      <x:c r="P220" s="79" t="n">
        <x:v>1</x:v>
      </x:c>
      <x:c r="Q220" s="79" t="str">
        <x:v>کیلو</x:v>
      </x:c>
      <x:c r="R220" s="79" t="str">
        <x:v>1/300</x:v>
      </x:c>
      <x:c r="S220" s="104" t="n">
        <x:v>1300000</x:v>
      </x:c>
      <x:c r="T220" s="79" t="n">
        <x:v>1</x:v>
      </x:c>
      <x:c r="U220" s="79" t="str">
        <x:v>kg</x:v>
      </x:c>
      <x:c r="V220" s="79" t="str">
        <x:v>کیلو</x:v>
      </x:c>
      <x:c r="W220" s="99" t="b">
        <x:v>1</x:v>
      </x:c>
      <x:c r="X220" s="79" t="str"/>
      <x:c r="Y220" s="79"/>
      <x:c r="Z220" s="104"/>
      <x:c r="AA220" s="79" t="str"/>
      <x:c r="AB220" s="79" t="str"/>
      <x:c r="AC220" s="79" t="str"/>
      <x:c r="AD220" s="79" t="str"/>
      <x:c r="AE220" s="79" t="str">
        <x:v>فعال</x:v>
      </x:c>
      <x:c r="AF220" s="79" t="str">
        <x:v>نیازمند بررسی دستی</x:v>
      </x:c>
      <x:c r="AG220" s="79" t="str">
        <x:v>دسته از «نیاز به بررسی» به «گیاهان دارویی» اصلاح شد</x:v>
      </x:c>
      <x:c r="AH220" s="79" t="str">
        <x:v>[{"name": "کیلو", "sku": "", "price": 1300000, "stock": "", "weight": 1, "weightUnit": "kg", "containerSize": "کیلو", "isDefault": true}]</x:v>
      </x:c>
      <x:c r="AI220" s="79"/>
      <x:c r="AJ220" s="79"/>
      <x:c r="AK220" s="79"/>
      <x:c r="AL220" t="str">
        <x:v>سیاهدانه</x:v>
      </x:c>
      <x:c r="AM220" t="str">
        <x:v>single_222</x:v>
      </x:c>
      <x:c r="AN220" t="str">
        <x:v>canonical_group_row</x:v>
      </x:c>
      <x:c r="AO220" t="str">
        <x:v>گیاهان دارویی</x:v>
      </x:c>
      <x:c r="AP220" t="str">
        <x:v>6a3782d7df5573f4e676e243</x:v>
      </x:c>
      <x:c r="AQ220" t="str">
        <x:v>medicinal-plants</x:v>
      </x:c>
      <x:c r="AR220" t="str">
        <x:v>EDIBLE</x:v>
      </x:c>
      <x:c r="AS220" t="str">
        <x:v>بله</x:v>
      </x:c>
      <x:c r="AT220" t="str">
        <x:v>OK</x:v>
      </x:c>
      <x:c r="AU220" t="str">
        <x:v>دسته از «نیاز به بررسی» به «گیاهان دارویی» اصلاح شد</x:v>
      </x:c>
    </x:row>
    <x:row r="221">
      <x:c r="A221" s="79" t="n">
        <x:v>223</x:v>
      </x:c>
      <x:c r="B221" s="79" t="str">
        <x:v>NS-0220-1</x:v>
      </x:c>
      <x:c r="C221" s="79" t="str">
        <x:v>سیر سیاه</x:v>
      </x:c>
      <x:c r="D221" s="79" t="str">
        <x:v>black_garlic</x:v>
      </x:c>
      <x:c r="E221" s="79" t="str">
        <x:v>update</x:v>
      </x:c>
      <x:c r="F221" s="79" t="str">
        <x:v>بله</x:v>
      </x:c>
      <x:c r="G221" s="79" t="str">
        <x:v>ادویه و چاشنی</x:v>
      </x:c>
      <x:c r="H221" s="79" t="str">
        <x:v>ادویه</x:v>
      </x:c>
      <x:c r="I221" s="79" t="str">
        <x:v>6a3781e4df5573f4e676e226</x:v>
      </x:c>
      <x:c r="J221" s="79" t="str">
        <x:v>spice</x:v>
      </x:c>
      <x:c r="K221" s="79"/>
      <x:c r="L221" s="79" t="str">
        <x:v>EDIBLE</x:v>
      </x:c>
      <x:c r="M221" s="79" t="str">
        <x:v>بله</x:v>
      </x:c>
      <x:c r="N221" s="79" t="str">
        <x:v>خوراکی</x:v>
      </x:c>
      <x:c r="O221" s="79" t="str">
        <x:v>خیر</x:v>
      </x:c>
      <x:c r="P221" s="79" t="n">
        <x:v>1</x:v>
      </x:c>
      <x:c r="Q221" s="79" t="str">
        <x:v>کیلو</x:v>
      </x:c>
      <x:c r="R221" s="79" t="n">
        <x:v>800</x:v>
      </x:c>
      <x:c r="S221" s="104" t="n">
        <x:v>800000</x:v>
      </x:c>
      <x:c r="T221" s="79" t="n">
        <x:v>1</x:v>
      </x:c>
      <x:c r="U221" s="79" t="str">
        <x:v>kg</x:v>
      </x:c>
      <x:c r="V221" s="79" t="str">
        <x:v>کیلو</x:v>
      </x:c>
      <x:c r="W221" s="99" t="b">
        <x:v>1</x:v>
      </x:c>
      <x:c r="X221" s="79" t="str"/>
      <x:c r="Y221" s="79"/>
      <x:c r="Z221" s="104"/>
      <x:c r="AA221" s="79" t="str"/>
      <x:c r="AB221" s="79" t="str"/>
      <x:c r="AC221" s="79" t="str"/>
      <x:c r="AD221" s="79" t="str"/>
      <x:c r="AE221" s="79" t="str">
        <x:v>فعال</x:v>
      </x:c>
      <x:c r="AF221" s="79" t="str">
        <x:v>دسته‌بندی نهایی</x:v>
      </x:c>
      <x:c r="AG221" s="79" t="str">
        <x:v>OK</x:v>
      </x:c>
      <x:c r="AH221" s="79" t="str">
        <x:v>[{"name": "کیلو", "sku": "", "price": 800000, "stock": "", "weight": 1, "weightUnit": "kg", "containerSize": "کیلو", "isDefault": true}]</x:v>
      </x:c>
      <x:c r="AI221" s="79"/>
      <x:c r="AJ221" s="79"/>
      <x:c r="AK221" s="79"/>
      <x:c r="AL221" t="str">
        <x:v>سیر سیاه</x:v>
      </x:c>
      <x:c r="AM221" t="str">
        <x:v>single_223</x:v>
      </x:c>
      <x:c r="AN221" t="str">
        <x:v>canonical_group_row</x:v>
      </x:c>
      <x:c r="AO221" t="str">
        <x:v>ادویه</x:v>
      </x:c>
      <x:c r="AP221" t="str">
        <x:v>6a3781e4df5573f4e676e226</x:v>
      </x:c>
      <x:c r="AQ221" t="str">
        <x:v>spice</x:v>
      </x:c>
      <x:c r="AR221" t="str">
        <x:v>EDIBLE</x:v>
      </x:c>
      <x:c r="AS221" t="str">
        <x:v>بله</x:v>
      </x:c>
      <x:c r="AT221" t="str">
        <x:v>OK</x:v>
      </x:c>
      <x:c r="AU221"/>
    </x:row>
    <x:row r="222">
      <x:c r="A222" s="79" t="n">
        <x:v>224</x:v>
      </x:c>
      <x:c r="B222" s="79" t="str">
        <x:v>NS-0221-1</x:v>
      </x:c>
      <x:c r="C222" s="79" t="str">
        <x:v>سیر همدان</x:v>
      </x:c>
      <x:c r="D222" s="79" t="str">
        <x:v>garlic_hamedan</x:v>
      </x:c>
      <x:c r="E222" s="79" t="str">
        <x:v>update</x:v>
      </x:c>
      <x:c r="F222" s="79" t="str">
        <x:v>بله</x:v>
      </x:c>
      <x:c r="G222" s="79" t="str">
        <x:v>ادویه و چاشنی</x:v>
      </x:c>
      <x:c r="H222" s="79" t="str">
        <x:v>ادویه</x:v>
      </x:c>
      <x:c r="I222" s="79" t="str">
        <x:v>6a3781e4df5573f4e676e226</x:v>
      </x:c>
      <x:c r="J222" s="79" t="str">
        <x:v>spice</x:v>
      </x:c>
      <x:c r="K222" s="79"/>
      <x:c r="L222" s="79" t="str">
        <x:v>EDIBLE</x:v>
      </x:c>
      <x:c r="M222" s="79" t="str">
        <x:v>بله</x:v>
      </x:c>
      <x:c r="N222" s="79" t="str">
        <x:v>خوراکی</x:v>
      </x:c>
      <x:c r="O222" s="79" t="str">
        <x:v>خیر</x:v>
      </x:c>
      <x:c r="P222" s="79" t="n">
        <x:v>1</x:v>
      </x:c>
      <x:c r="Q222" s="79" t="str">
        <x:v>کیلو</x:v>
      </x:c>
      <x:c r="R222" s="79" t="str">
        <x:v>1/100</x:v>
      </x:c>
      <x:c r="S222" s="104" t="n">
        <x:v>1100000</x:v>
      </x:c>
      <x:c r="T222" s="79" t="n">
        <x:v>1</x:v>
      </x:c>
      <x:c r="U222" s="79" t="str">
        <x:v>kg</x:v>
      </x:c>
      <x:c r="V222" s="79" t="str">
        <x:v>کیلو</x:v>
      </x:c>
      <x:c r="W222" s="99" t="b">
        <x:v>1</x:v>
      </x:c>
      <x:c r="X222" s="79" t="str"/>
      <x:c r="Y222" s="79"/>
      <x:c r="Z222" s="104"/>
      <x:c r="AA222" s="79" t="str"/>
      <x:c r="AB222" s="79" t="str"/>
      <x:c r="AC222" s="79" t="str"/>
      <x:c r="AD222" s="79" t="str"/>
      <x:c r="AE222" s="79" t="str">
        <x:v>فعال</x:v>
      </x:c>
      <x:c r="AF222" s="79" t="str">
        <x:v>دسته‌بندی نهایی</x:v>
      </x:c>
      <x:c r="AG222" s="79" t="str">
        <x:v>OK</x:v>
      </x:c>
      <x:c r="AH222" s="79" t="str">
        <x:v>[{"name": "کیلو", "sku": "", "price": 1100000, "stock": "", "weight": 1, "weightUnit": "kg", "containerSize": "کیلو", "isDefault": true}]</x:v>
      </x:c>
      <x:c r="AI222" s="79"/>
      <x:c r="AJ222" s="79"/>
      <x:c r="AK222" s="79"/>
      <x:c r="AL222" t="str">
        <x:v>سیر همدان</x:v>
      </x:c>
      <x:c r="AM222" t="str">
        <x:v>single_224</x:v>
      </x:c>
      <x:c r="AN222" t="str">
        <x:v>canonical_group_row</x:v>
      </x:c>
      <x:c r="AO222" t="str">
        <x:v>ادویه</x:v>
      </x:c>
      <x:c r="AP222" t="str">
        <x:v>6a3781e4df5573f4e676e226</x:v>
      </x:c>
      <x:c r="AQ222" t="str">
        <x:v>spice</x:v>
      </x:c>
      <x:c r="AR222" t="str">
        <x:v>EDIBLE</x:v>
      </x:c>
      <x:c r="AS222" t="str">
        <x:v>بله</x:v>
      </x:c>
      <x:c r="AT222" t="str">
        <x:v>OK</x:v>
      </x:c>
      <x:c r="AU222"/>
    </x:row>
    <x:row r="223">
      <x:c r="A223" s="79" t="n">
        <x:v>225</x:v>
      </x:c>
      <x:c r="B223" s="79" t="str">
        <x:v>NS-0222-1</x:v>
      </x:c>
      <x:c r="C223" s="79" t="str">
        <x:v>سیر هندی</x:v>
      </x:c>
      <x:c r="D223" s="79" t="str">
        <x:v>garlic_cashew</x:v>
      </x:c>
      <x:c r="E223" s="79" t="str">
        <x:v>update</x:v>
      </x:c>
      <x:c r="F223" s="79" t="str">
        <x:v>بله</x:v>
      </x:c>
      <x:c r="G223" s="79" t="str">
        <x:v>ادویه و چاشنی</x:v>
      </x:c>
      <x:c r="H223" s="79" t="str">
        <x:v>ادویه</x:v>
      </x:c>
      <x:c r="I223" s="79" t="str">
        <x:v>6a3781e4df5573f4e676e226</x:v>
      </x:c>
      <x:c r="J223" s="79" t="str">
        <x:v>spice</x:v>
      </x:c>
      <x:c r="K223" s="79"/>
      <x:c r="L223" s="79" t="str">
        <x:v>EDIBLE</x:v>
      </x:c>
      <x:c r="M223" s="79" t="str">
        <x:v>بله</x:v>
      </x:c>
      <x:c r="N223" s="79" t="str">
        <x:v>خوراکی</x:v>
      </x:c>
      <x:c r="O223" s="79" t="str">
        <x:v>خیر</x:v>
      </x:c>
      <x:c r="P223" s="79" t="n">
        <x:v>1</x:v>
      </x:c>
      <x:c r="Q223" s="79" t="str">
        <x:v>کیلو</x:v>
      </x:c>
      <x:c r="R223" s="79" t="str">
        <x:v>؟</x:v>
      </x:c>
      <x:c r="S223" s="104"/>
      <x:c r="T223" s="79" t="n">
        <x:v>1</x:v>
      </x:c>
      <x:c r="U223" s="79" t="str">
        <x:v>kg</x:v>
      </x:c>
      <x:c r="V223" s="79" t="str">
        <x:v>کیلو</x:v>
      </x:c>
      <x:c r="W223" s="99" t="b">
        <x:v>1</x:v>
      </x:c>
      <x:c r="X223" s="79" t="str"/>
      <x:c r="Y223" s="79"/>
      <x:c r="Z223" s="104"/>
      <x:c r="AA223" s="79" t="str"/>
      <x:c r="AB223" s="79" t="str"/>
      <x:c r="AC223" s="79" t="str"/>
      <x:c r="AD223" s="79" t="str"/>
      <x:c r="AE223" s="79" t="str">
        <x:v>نیاز به استعلام</x:v>
      </x:c>
      <x:c r="AF223" s="79" t="str">
        <x:v>دسته‌بندی نهایی</x:v>
      </x:c>
      <x:c r="AG223" s="79" t="str">
        <x:v>یک یا چند قیمت نامشخص است</x:v>
      </x:c>
      <x:c r="AH223" s="79" t="str">
        <x:v>[{"name": "کیلو", "sku": "", "price": null, "stock": "", "weight": 1, "weightUnit": "kg", "containerSize": "کیلو", "isDefault": true}]</x:v>
      </x:c>
      <x:c r="AI223" s="79"/>
      <x:c r="AJ223" s="79"/>
      <x:c r="AK223" s="79"/>
      <x:c r="AL223" t="str">
        <x:v>سیر هندی</x:v>
      </x:c>
      <x:c r="AM223" t="str">
        <x:v>single_225</x:v>
      </x:c>
      <x:c r="AN223" t="str">
        <x:v>canonical_group_row</x:v>
      </x:c>
      <x:c r="AO223" t="str">
        <x:v>ادویه</x:v>
      </x:c>
      <x:c r="AP223" t="str">
        <x:v>6a3781e4df5573f4e676e226</x:v>
      </x:c>
      <x:c r="AQ223" t="str">
        <x:v>spice</x:v>
      </x:c>
      <x:c r="AR223" t="str">
        <x:v>EDIBLE</x:v>
      </x:c>
      <x:c r="AS223" t="str">
        <x:v>بله</x:v>
      </x:c>
      <x:c r="AT223" t="str">
        <x:v>MISSING_PRICE_REVIEW</x:v>
      </x:c>
      <x:c r="AU223" t="str">
        <x:v>یک یا چند قیمت نامشخص است</x:v>
      </x:c>
    </x:row>
    <x:row r="224">
      <x:c r="A224" s="79" t="n">
        <x:v>226</x:v>
      </x:c>
      <x:c r="B224" s="79" t="str"/>
      <x:c r="C224" s="79" t="str">
        <x:v>شربت آلبالو</x:v>
      </x:c>
      <x:c r="D224" s="79" t="str">
        <x:v>shrbt-albalv</x:v>
      </x:c>
      <x:c r="E224" s="79" t="str">
        <x:v>import</x:v>
      </x:c>
      <x:c r="F224" s="79" t="str">
        <x:v>خیر</x:v>
      </x:c>
      <x:c r="G224" s="79" t="str"/>
      <x:c r="H224" s="79" t="str">
        <x:v>نوشیدنی‌ها</x:v>
      </x:c>
      <x:c r="I224" s="79" t="str">
        <x:v>6a3782ffdf5573f4e676e24b</x:v>
      </x:c>
      <x:c r="J224" s="79" t="str">
        <x:v>syrup</x:v>
      </x:c>
      <x:c r="K224" s="79" t="str">
        <x:v>6a3782d7df5573f4e676e243</x:v>
      </x:c>
      <x:c r="L224" s="79" t="str">
        <x:v>EDIBLE</x:v>
      </x:c>
      <x:c r="M224" s="79" t="str">
        <x:v>بله</x:v>
      </x:c>
      <x:c r="N224" s="79" t="str">
        <x:v>خوراکی</x:v>
      </x:c>
      <x:c r="O224" s="79" t="str">
        <x:v>خیر</x:v>
      </x:c>
      <x:c r="P224" s="79" t="n">
        <x:v>1</x:v>
      </x:c>
      <x:c r="Q224" s="79" t="str">
        <x:v>کیلو</x:v>
      </x:c>
      <x:c r="R224" s="79" t="str">
        <x:v>؟</x:v>
      </x:c>
      <x:c r="S224" s="104"/>
      <x:c r="T224" s="79" t="n">
        <x:v>1</x:v>
      </x:c>
      <x:c r="U224" s="79" t="str">
        <x:v>kg</x:v>
      </x:c>
      <x:c r="V224" s="79" t="str">
        <x:v>کیلو</x:v>
      </x:c>
      <x:c r="W224" s="99" t="b">
        <x:v>1</x:v>
      </x:c>
      <x:c r="X224" s="79" t="str"/>
      <x:c r="Y224" s="79"/>
      <x:c r="Z224" s="104"/>
      <x:c r="AA224" s="79" t="str"/>
      <x:c r="AB224" s="79" t="str"/>
      <x:c r="AC224" s="79" t="str"/>
      <x:c r="AD224" s="79" t="str"/>
      <x:c r="AE224" s="79" t="str">
        <x:v>نیاز به استعلام</x:v>
      </x:c>
      <x:c r="AF224" s="79" t="str">
        <x:v>دسته‌بندی نهایی</x:v>
      </x:c>
      <x:c r="AG224" s="79" t="str">
        <x:v>یک یا چند قیمت نامشخص است</x:v>
      </x:c>
      <x:c r="AH224" s="79" t="str">
        <x:v>[{"name": "کیلو", "sku": "", "price": null, "stock": "", "weight": 1, "weightUnit": "kg", "containerSize": "کیلو", "isDefault": true}]</x:v>
      </x:c>
      <x:c r="AI224" s="79"/>
      <x:c r="AJ224" s="79"/>
      <x:c r="AK224" s="79"/>
      <x:c r="AL224" t="str">
        <x:v>شربت آلبالو</x:v>
      </x:c>
      <x:c r="AM224" t="str">
        <x:v>single_226</x:v>
      </x:c>
      <x:c r="AN224" t="str">
        <x:v>canonical_group_row</x:v>
      </x:c>
      <x:c r="AO224" t="str">
        <x:v>نوشیدنی‌ها</x:v>
      </x:c>
      <x:c r="AP224" t="str">
        <x:v>6a3782ffdf5573f4e676e24b</x:v>
      </x:c>
      <x:c r="AQ224" t="str">
        <x:v>syrup</x:v>
      </x:c>
      <x:c r="AR224" t="str">
        <x:v>EDIBLE</x:v>
      </x:c>
      <x:c r="AS224" t="str">
        <x:v>بله</x:v>
      </x:c>
      <x:c r="AT224" t="str">
        <x:v>MISSING_PRICE_REVIEW</x:v>
      </x:c>
      <x:c r="AU224" t="str">
        <x:v>یک یا چند قیمت نامشخص است</x:v>
      </x:c>
    </x:row>
    <x:row r="225">
      <x:c r="A225" s="79" t="n">
        <x:v>227</x:v>
      </x:c>
      <x:c r="B225" s="79" t="str"/>
      <x:c r="C225" s="79" t="str">
        <x:v>شربت سرکه انگبین</x:v>
      </x:c>
      <x:c r="D225" s="79" t="str">
        <x:v>shrbt-srkh-angbyn</x:v>
      </x:c>
      <x:c r="E225" s="79" t="str">
        <x:v>import</x:v>
      </x:c>
      <x:c r="F225" s="79" t="str">
        <x:v>خیر</x:v>
      </x:c>
      <x:c r="G225" s="79" t="str"/>
      <x:c r="H225" s="79" t="str">
        <x:v>نوشیدنی‌ها</x:v>
      </x:c>
      <x:c r="I225" s="79" t="str">
        <x:v>6a3782ffdf5573f4e676e24b</x:v>
      </x:c>
      <x:c r="J225" s="79" t="str">
        <x:v>syrup</x:v>
      </x:c>
      <x:c r="K225" s="79" t="str">
        <x:v>6a3782d7df5573f4e676e243</x:v>
      </x:c>
      <x:c r="L225" s="79" t="str">
        <x:v>EDIBLE</x:v>
      </x:c>
      <x:c r="M225" s="79" t="str">
        <x:v>بله</x:v>
      </x:c>
      <x:c r="N225" s="79" t="str">
        <x:v>خوراکی</x:v>
      </x:c>
      <x:c r="O225" s="79" t="str">
        <x:v>بله</x:v>
      </x:c>
      <x:c r="P225" s="79" t="n">
        <x:v>2</x:v>
      </x:c>
      <x:c r="Q225" s="79" t="str">
        <x:v>نیم لیتر</x:v>
      </x:c>
      <x:c r="R225" s="79" t="n">
        <x:v>250</x:v>
      </x:c>
      <x:c r="S225" s="104" t="n">
        <x:v>250000</x:v>
      </x:c>
      <x:c r="T225" s="79" t="n">
        <x:v>500</x:v>
      </x:c>
      <x:c r="U225" s="79" t="str">
        <x:v>ml</x:v>
      </x:c>
      <x:c r="V225" s="79" t="str">
        <x:v>نیم لیتر</x:v>
      </x:c>
      <x:c r="W225" s="99" t="b">
        <x:v>1</x:v>
      </x:c>
      <x:c r="X225" s="79" t="str">
        <x:v>1 لیتر</x:v>
      </x:c>
      <x:c r="Y225" s="79" t="n">
        <x:v>500</x:v>
      </x:c>
      <x:c r="Z225" s="104" t="n">
        <x:v>500000</x:v>
      </x:c>
      <x:c r="AA225" s="79" t="n">
        <x:v>1000</x:v>
      </x:c>
      <x:c r="AB225" s="79" t="str">
        <x:v>ml</x:v>
      </x:c>
      <x:c r="AC225" s="79" t="str">
        <x:v>1 لیتر</x:v>
      </x:c>
      <x:c r="AD225" s="99" t="b">
        <x:v>0</x:v>
      </x:c>
      <x:c r="AE225" s="79" t="str">
        <x:v>فعال</x:v>
      </x:c>
      <x:c r="AF225" s="79" t="str">
        <x:v>دسته‌بندی نهایی</x:v>
      </x:c>
      <x:c r="AG225" s="79" t="str">
        <x:v>OK</x:v>
      </x:c>
      <x:c r="AH225" s="79" t="str">
        <x:v>[{"name": "نیم لیتر", "sku": "", "price": 250000, "stock": "", "weight": 500, "weightUnit": "ml", "containerSize": "نیم لیتر", "isDefault": true}, {"name": "1 لیتر", "sku": "", "price": 500000, "stock": "", "weight": 1000, "weightUnit": "ml", "containerSize": "1 لیتر", "isDefault": false}]</x:v>
      </x:c>
      <x:c r="AI225" s="79"/>
      <x:c r="AJ225" s="79"/>
      <x:c r="AK225" s="79"/>
      <x:c r="AL225" t="str">
        <x:v>شربت سرکه انگبین</x:v>
      </x:c>
      <x:c r="AM225" t="str">
        <x:v>single_227</x:v>
      </x:c>
      <x:c r="AN225" t="str">
        <x:v>canonical_group_row</x:v>
      </x:c>
      <x:c r="AO225" t="str">
        <x:v>نوشیدنی‌ها</x:v>
      </x:c>
      <x:c r="AP225" t="str">
        <x:v>6a3782ffdf5573f4e676e24b</x:v>
      </x:c>
      <x:c r="AQ225" t="str">
        <x:v>syrup</x:v>
      </x:c>
      <x:c r="AR225" t="str">
        <x:v>EDIBLE</x:v>
      </x:c>
      <x:c r="AS225" t="str">
        <x:v>بله</x:v>
      </x:c>
      <x:c r="AT225" t="str">
        <x:v>OK</x:v>
      </x:c>
      <x:c r="AU225"/>
    </x:row>
    <x:row r="226">
      <x:c r="A226" s="79" t="n">
        <x:v>228</x:v>
      </x:c>
      <x:c r="B226" s="79" t="str"/>
      <x:c r="C226" s="79" t="str">
        <x:v>شربت سکنجبین</x:v>
      </x:c>
      <x:c r="D226" s="79" t="str">
        <x:v>shrbt-sknjbyn</x:v>
      </x:c>
      <x:c r="E226" s="79" t="str">
        <x:v>import</x:v>
      </x:c>
      <x:c r="F226" s="79" t="str">
        <x:v>خیر</x:v>
      </x:c>
      <x:c r="G226" s="79" t="str"/>
      <x:c r="H226" s="79" t="str">
        <x:v>نوشیدنی‌ها</x:v>
      </x:c>
      <x:c r="I226" s="79" t="str">
        <x:v>6a3782ffdf5573f4e676e24b</x:v>
      </x:c>
      <x:c r="J226" s="79" t="str">
        <x:v>syrup</x:v>
      </x:c>
      <x:c r="K226" s="79" t="str">
        <x:v>6a3782d7df5573f4e676e243</x:v>
      </x:c>
      <x:c r="L226" s="79" t="str">
        <x:v>EDIBLE</x:v>
      </x:c>
      <x:c r="M226" s="79" t="str">
        <x:v>بله</x:v>
      </x:c>
      <x:c r="N226" s="79" t="str">
        <x:v>خوراکی</x:v>
      </x:c>
      <x:c r="O226" s="79" t="str">
        <x:v>بله</x:v>
      </x:c>
      <x:c r="P226" s="79" t="n">
        <x:v>2</x:v>
      </x:c>
      <x:c r="Q226" s="79" t="str">
        <x:v>نیم لیتر</x:v>
      </x:c>
      <x:c r="R226" s="79" t="n">
        <x:v>155</x:v>
      </x:c>
      <x:c r="S226" s="104" t="n">
        <x:v>155000</x:v>
      </x:c>
      <x:c r="T226" s="79" t="n">
        <x:v>500</x:v>
      </x:c>
      <x:c r="U226" s="79" t="str">
        <x:v>ml</x:v>
      </x:c>
      <x:c r="V226" s="79" t="str">
        <x:v>نیم لیتر</x:v>
      </x:c>
      <x:c r="W226" s="99" t="b">
        <x:v>1</x:v>
      </x:c>
      <x:c r="X226" s="79" t="str">
        <x:v>1 لیتر</x:v>
      </x:c>
      <x:c r="Y226" s="79" t="n">
        <x:v>295</x:v>
      </x:c>
      <x:c r="Z226" s="104" t="n">
        <x:v>295000</x:v>
      </x:c>
      <x:c r="AA226" s="79" t="n">
        <x:v>1000</x:v>
      </x:c>
      <x:c r="AB226" s="79" t="str">
        <x:v>ml</x:v>
      </x:c>
      <x:c r="AC226" s="79" t="str">
        <x:v>1 لیتر</x:v>
      </x:c>
      <x:c r="AD226" s="99" t="b">
        <x:v>0</x:v>
      </x:c>
      <x:c r="AE226" s="79" t="str">
        <x:v>فعال</x:v>
      </x:c>
      <x:c r="AF226" s="79" t="str">
        <x:v>دسته‌بندی نهایی</x:v>
      </x:c>
      <x:c r="AG226" s="79" t="str">
        <x:v>OK</x:v>
      </x:c>
      <x:c r="AH226" s="79" t="str">
        <x:v>[{"name": "نیم لیتر", "sku": "", "price": 155000, "stock": "", "weight": 500, "weightUnit": "ml", "containerSize": "نیم لیتر", "isDefault": true}, {"name": "1 لیتر", "sku": "", "price": 295000, "stock": "", "weight": 1000, "weightUnit": "ml", "containerSize": "1 لیتر", "isDefault": false}]</x:v>
      </x:c>
      <x:c r="AI226" s="79"/>
      <x:c r="AJ226" s="79"/>
      <x:c r="AK226" s="79"/>
      <x:c r="AL226" t="str">
        <x:v>شربت سکنجبین</x:v>
      </x:c>
      <x:c r="AM226" t="str">
        <x:v>single_228</x:v>
      </x:c>
      <x:c r="AN226" t="str">
        <x:v>canonical_group_row</x:v>
      </x:c>
      <x:c r="AO226" t="str">
        <x:v>نوشیدنی‌ها</x:v>
      </x:c>
      <x:c r="AP226" t="str">
        <x:v>6a3782ffdf5573f4e676e24b</x:v>
      </x:c>
      <x:c r="AQ226" t="str">
        <x:v>syrup</x:v>
      </x:c>
      <x:c r="AR226" t="str">
        <x:v>EDIBLE</x:v>
      </x:c>
      <x:c r="AS226" t="str">
        <x:v>بله</x:v>
      </x:c>
      <x:c r="AT226" t="str">
        <x:v>OK</x:v>
      </x:c>
      <x:c r="AU226"/>
    </x:row>
    <x:row r="227">
      <x:c r="A227" s="79" t="n">
        <x:v>229</x:v>
      </x:c>
      <x:c r="B227" s="79" t="str">
        <x:v>NS-0226-1</x:v>
      </x:c>
      <x:c r="C227" s="79" t="str">
        <x:v>شکر سفید</x:v>
      </x:c>
      <x:c r="D227" s="79" t="str">
        <x:v>white_sugar</x:v>
      </x:c>
      <x:c r="E227" s="79" t="str">
        <x:v>update</x:v>
      </x:c>
      <x:c r="F227" s="79" t="str">
        <x:v>بله</x:v>
      </x:c>
      <x:c r="G227" s="79" t="str">
        <x:v>قنادی و شیرینی</x:v>
      </x:c>
      <x:c r="H227" s="79" t="str">
        <x:v>قنادی و شیرینی</x:v>
      </x:c>
      <x:c r="I227" s="79" t="str">
        <x:v>6a3a00000000000000000003</x:v>
      </x:c>
      <x:c r="J227" s="79" t="str">
        <x:v>confectionery</x:v>
      </x:c>
      <x:c r="K227" s="79"/>
      <x:c r="L227" s="79" t="str">
        <x:v>EDIBLE</x:v>
      </x:c>
      <x:c r="M227" s="79" t="str">
        <x:v>بله</x:v>
      </x:c>
      <x:c r="N227" s="79" t="str">
        <x:v>خوراکی</x:v>
      </x:c>
      <x:c r="O227" s="79" t="str">
        <x:v>خیر</x:v>
      </x:c>
      <x:c r="P227" s="79" t="n">
        <x:v>1</x:v>
      </x:c>
      <x:c r="Q227" s="79" t="str">
        <x:v>کیلو</x:v>
      </x:c>
      <x:c r="R227" s="79" t="str">
        <x:v>؟</x:v>
      </x:c>
      <x:c r="S227" s="104"/>
      <x:c r="T227" s="79" t="n">
        <x:v>1</x:v>
      </x:c>
      <x:c r="U227" s="79" t="str">
        <x:v>kg</x:v>
      </x:c>
      <x:c r="V227" s="79" t="str">
        <x:v>کیلو</x:v>
      </x:c>
      <x:c r="W227" s="99" t="b">
        <x:v>1</x:v>
      </x:c>
      <x:c r="X227" s="79" t="str"/>
      <x:c r="Y227" s="79"/>
      <x:c r="Z227" s="104"/>
      <x:c r="AA227" s="79" t="str"/>
      <x:c r="AB227" s="79" t="str"/>
      <x:c r="AC227" s="79" t="str"/>
      <x:c r="AD227" s="79" t="str"/>
      <x:c r="AE227" s="79" t="str">
        <x:v>نیاز به استعلام</x:v>
      </x:c>
      <x:c r="AF227" s="79" t="str">
        <x:v>دسته‌بندی نهایی</x:v>
      </x:c>
      <x:c r="AG227" s="79" t="str">
        <x:v>یک یا چند قیمت نامشخص است</x:v>
      </x:c>
      <x:c r="AH227" s="79" t="str">
        <x:v>[{"name": "کیلو", "sku": "", "price": null, "stock": "", "weight": 1, "weightUnit": "kg", "containerSize": "کیلو", "isDefault": true}]</x:v>
      </x:c>
      <x:c r="AI227" s="79"/>
      <x:c r="AJ227" s="79"/>
      <x:c r="AK227" s="79"/>
      <x:c r="AL227" t="str">
        <x:v>شکر سفید</x:v>
      </x:c>
      <x:c r="AM227" t="str">
        <x:v>single_229</x:v>
      </x:c>
      <x:c r="AN227" t="str">
        <x:v>canonical_group_row</x:v>
      </x:c>
      <x:c r="AO227" t="str">
        <x:v>قنادی و شیرینی</x:v>
      </x:c>
      <x:c r="AP227" t="str">
        <x:v>6a3a00000000000000000003</x:v>
      </x:c>
      <x:c r="AQ227" t="str">
        <x:v>confectionery</x:v>
      </x:c>
      <x:c r="AR227" t="str">
        <x:v>EDIBLE</x:v>
      </x:c>
      <x:c r="AS227" t="str">
        <x:v>بله</x:v>
      </x:c>
      <x:c r="AT227" t="str">
        <x:v>MISSING_PRICE_REVIEW</x:v>
      </x:c>
      <x:c r="AU227" t="str">
        <x:v>یک یا چند قیمت نامشخص است</x:v>
      </x:c>
    </x:row>
    <x:row r="228">
      <x:c r="A228" s="79" t="n">
        <x:v>230</x:v>
      </x:c>
      <x:c r="B228" s="79" t="str">
        <x:v>NS-0227-1</x:v>
      </x:c>
      <x:c r="C228" s="79" t="str">
        <x:v>شکر قهوه ای</x:v>
      </x:c>
      <x:c r="D228" s="79" t="str">
        <x:v>brown_sugar</x:v>
      </x:c>
      <x:c r="E228" s="79" t="str">
        <x:v>update</x:v>
      </x:c>
      <x:c r="F228" s="79" t="str">
        <x:v>بله</x:v>
      </x:c>
      <x:c r="G228" s="79" t="str">
        <x:v>قنادی و شیرینی</x:v>
      </x:c>
      <x:c r="H228" s="79" t="str">
        <x:v>قنادی و شیرینی</x:v>
      </x:c>
      <x:c r="I228" s="79" t="str">
        <x:v>6a3a00000000000000000003</x:v>
      </x:c>
      <x:c r="J228" s="79" t="str">
        <x:v>confectionery</x:v>
      </x:c>
      <x:c r="K228" s="79"/>
      <x:c r="L228" s="79" t="str">
        <x:v>EDIBLE</x:v>
      </x:c>
      <x:c r="M228" s="79" t="str">
        <x:v>بله</x:v>
      </x:c>
      <x:c r="N228" s="79" t="str">
        <x:v>خوراکی</x:v>
      </x:c>
      <x:c r="O228" s="79" t="str">
        <x:v>خیر</x:v>
      </x:c>
      <x:c r="P228" s="79" t="n">
        <x:v>1</x:v>
      </x:c>
      <x:c r="Q228" s="79" t="str">
        <x:v>کیلو</x:v>
      </x:c>
      <x:c r="R228" s="79" t="n">
        <x:v>190</x:v>
      </x:c>
      <x:c r="S228" s="104" t="n">
        <x:v>190000</x:v>
      </x:c>
      <x:c r="T228" s="79" t="n">
        <x:v>1</x:v>
      </x:c>
      <x:c r="U228" s="79" t="str">
        <x:v>kg</x:v>
      </x:c>
      <x:c r="V228" s="79" t="str">
        <x:v>کیلو</x:v>
      </x:c>
      <x:c r="W228" s="99" t="b">
        <x:v>1</x:v>
      </x:c>
      <x:c r="X228" s="79" t="str"/>
      <x:c r="Y228" s="79"/>
      <x:c r="Z228" s="104"/>
      <x:c r="AA228" s="79" t="str"/>
      <x:c r="AB228" s="79" t="str"/>
      <x:c r="AC228" s="79" t="str"/>
      <x:c r="AD228" s="79" t="str"/>
      <x:c r="AE228" s="79" t="str">
        <x:v>فعال</x:v>
      </x:c>
      <x:c r="AF228" s="79" t="str">
        <x:v>دسته‌بندی نهایی</x:v>
      </x:c>
      <x:c r="AG228" s="79" t="str">
        <x:v>OK</x:v>
      </x:c>
      <x:c r="AH228" s="79" t="str">
        <x:v>[{"name": "کیلو", "sku": "", "price": 190000, "stock": "", "weight": 1, "weightUnit": "kg", "containerSize": "کیلو", "isDefault": true}]</x:v>
      </x:c>
      <x:c r="AI228" s="79"/>
      <x:c r="AJ228" s="79"/>
      <x:c r="AK228" s="79"/>
      <x:c r="AL228" t="str">
        <x:v>شکر قهوه ای</x:v>
      </x:c>
      <x:c r="AM228" t="str">
        <x:v>single_230</x:v>
      </x:c>
      <x:c r="AN228" t="str">
        <x:v>canonical_group_row</x:v>
      </x:c>
      <x:c r="AO228" t="str">
        <x:v>قنادی و شیرینی</x:v>
      </x:c>
      <x:c r="AP228" t="str">
        <x:v>6a3a00000000000000000003</x:v>
      </x:c>
      <x:c r="AQ228" t="str">
        <x:v>confectionery</x:v>
      </x:c>
      <x:c r="AR228" t="str">
        <x:v>EDIBLE</x:v>
      </x:c>
      <x:c r="AS228" t="str">
        <x:v>بله</x:v>
      </x:c>
      <x:c r="AT228" t="str">
        <x:v>OK</x:v>
      </x:c>
      <x:c r="AU228"/>
    </x:row>
    <x:row r="229">
      <x:c r="A229" s="79" t="n">
        <x:v>231</x:v>
      </x:c>
      <x:c r="B229" s="79" t="str">
        <x:v>NS-0228-1</x:v>
      </x:c>
      <x:c r="C229" s="79" t="str">
        <x:v>شکلات تخته ای وانیلی</x:v>
      </x:c>
      <x:c r="D229" s="79" t="str">
        <x:v>vanilla_bar_chocolate</x:v>
      </x:c>
      <x:c r="E229" s="79" t="str">
        <x:v>update</x:v>
      </x:c>
      <x:c r="F229" s="79" t="str">
        <x:v>بله</x:v>
      </x:c>
      <x:c r="G229" s="79" t="str">
        <x:v>قنادی و شیرینی</x:v>
      </x:c>
      <x:c r="H229" s="79" t="str">
        <x:v>قنادی و شیرینی</x:v>
      </x:c>
      <x:c r="I229" s="79" t="str">
        <x:v>6a3a00000000000000000003</x:v>
      </x:c>
      <x:c r="J229" s="79" t="str">
        <x:v>confectionery</x:v>
      </x:c>
      <x:c r="K229" s="79"/>
      <x:c r="L229" s="79" t="str">
        <x:v>EDIBLE</x:v>
      </x:c>
      <x:c r="M229" s="79" t="str">
        <x:v>بله</x:v>
      </x:c>
      <x:c r="N229" s="79" t="str">
        <x:v>خوراکی</x:v>
      </x:c>
      <x:c r="O229" s="79" t="str">
        <x:v>خیر</x:v>
      </x:c>
      <x:c r="P229" s="79" t="n">
        <x:v>1</x:v>
      </x:c>
      <x:c r="Q229" s="79" t="str">
        <x:v>کیلو</x:v>
      </x:c>
      <x:c r="R229" s="79" t="n">
        <x:v>700</x:v>
      </x:c>
      <x:c r="S229" s="104" t="n">
        <x:v>700000</x:v>
      </x:c>
      <x:c r="T229" s="79" t="n">
        <x:v>1</x:v>
      </x:c>
      <x:c r="U229" s="79" t="str">
        <x:v>kg</x:v>
      </x:c>
      <x:c r="V229" s="79" t="str">
        <x:v>کیلو</x:v>
      </x:c>
      <x:c r="W229" s="99" t="b">
        <x:v>1</x:v>
      </x:c>
      <x:c r="X229" s="79" t="str"/>
      <x:c r="Y229" s="79"/>
      <x:c r="Z229" s="104"/>
      <x:c r="AA229" s="79" t="str"/>
      <x:c r="AB229" s="79" t="str"/>
      <x:c r="AC229" s="79" t="str"/>
      <x:c r="AD229" s="79" t="str"/>
      <x:c r="AE229" s="79" t="str">
        <x:v>فعال</x:v>
      </x:c>
      <x:c r="AF229" s="79" t="str">
        <x:v>دسته‌بندی نهایی</x:v>
      </x:c>
      <x:c r="AG229" s="79" t="str">
        <x:v>OK</x:v>
      </x:c>
      <x:c r="AH229" s="79" t="str">
        <x:v>[{"name": "کیلو", "sku": "", "price": 700000, "stock": "", "weight": 1, "weightUnit": "kg", "containerSize": "کیلو", "isDefault": true}]</x:v>
      </x:c>
      <x:c r="AI229" s="79"/>
      <x:c r="AJ229" s="79"/>
      <x:c r="AK229" s="79"/>
      <x:c r="AL229" t="str">
        <x:v>شکلات تخته ای وانیلی</x:v>
      </x:c>
      <x:c r="AM229" t="str">
        <x:v>single_231</x:v>
      </x:c>
      <x:c r="AN229" t="str">
        <x:v>canonical_group_row</x:v>
      </x:c>
      <x:c r="AO229" t="str">
        <x:v>قنادی و شیرینی</x:v>
      </x:c>
      <x:c r="AP229" t="str">
        <x:v>6a3a00000000000000000003</x:v>
      </x:c>
      <x:c r="AQ229" t="str">
        <x:v>confectionery</x:v>
      </x:c>
      <x:c r="AR229" t="str">
        <x:v>EDIBLE</x:v>
      </x:c>
      <x:c r="AS229" t="str">
        <x:v>بله</x:v>
      </x:c>
      <x:c r="AT229" t="str">
        <x:v>OK</x:v>
      </x:c>
      <x:c r="AU229"/>
    </x:row>
    <x:row r="230">
      <x:c r="A230" s="79" t="n">
        <x:v>232</x:v>
      </x:c>
      <x:c r="B230" s="79" t="str">
        <x:v>NS-0229-1</x:v>
      </x:c>
      <x:c r="C230" s="79" t="str">
        <x:v>شکلات چیپسی تلخ</x:v>
      </x:c>
      <x:c r="D230" s="79" t="str">
        <x:v>dark_chocolate_chips</x:v>
      </x:c>
      <x:c r="E230" s="79" t="str">
        <x:v>update</x:v>
      </x:c>
      <x:c r="F230" s="79" t="str">
        <x:v>بله</x:v>
      </x:c>
      <x:c r="G230" s="79" t="str">
        <x:v>قنادی و شیرینی</x:v>
      </x:c>
      <x:c r="H230" s="79" t="str">
        <x:v>قنادی و شیرینی</x:v>
      </x:c>
      <x:c r="I230" s="79" t="str">
        <x:v>6a3a00000000000000000003</x:v>
      </x:c>
      <x:c r="J230" s="79" t="str">
        <x:v>confectionery</x:v>
      </x:c>
      <x:c r="K230" s="79"/>
      <x:c r="L230" s="79" t="str">
        <x:v>EDIBLE</x:v>
      </x:c>
      <x:c r="M230" s="79" t="str">
        <x:v>بله</x:v>
      </x:c>
      <x:c r="N230" s="79" t="str">
        <x:v>خوراکی</x:v>
      </x:c>
      <x:c r="O230" s="79" t="str">
        <x:v>خیر</x:v>
      </x:c>
      <x:c r="P230" s="79" t="n">
        <x:v>1</x:v>
      </x:c>
      <x:c r="Q230" s="79" t="str">
        <x:v>کیلو</x:v>
      </x:c>
      <x:c r="R230" s="79" t="n">
        <x:v>890</x:v>
      </x:c>
      <x:c r="S230" s="104" t="n">
        <x:v>890000</x:v>
      </x:c>
      <x:c r="T230" s="79" t="n">
        <x:v>1</x:v>
      </x:c>
      <x:c r="U230" s="79" t="str">
        <x:v>kg</x:v>
      </x:c>
      <x:c r="V230" s="79" t="str">
        <x:v>کیلو</x:v>
      </x:c>
      <x:c r="W230" s="99" t="b">
        <x:v>1</x:v>
      </x:c>
      <x:c r="X230" s="79" t="str"/>
      <x:c r="Y230" s="79"/>
      <x:c r="Z230" s="104"/>
      <x:c r="AA230" s="79" t="str"/>
      <x:c r="AB230" s="79" t="str"/>
      <x:c r="AC230" s="79" t="str"/>
      <x:c r="AD230" s="79" t="str"/>
      <x:c r="AE230" s="79" t="str">
        <x:v>فعال</x:v>
      </x:c>
      <x:c r="AF230" s="79" t="str">
        <x:v>دسته‌بندی نهایی</x:v>
      </x:c>
      <x:c r="AG230" s="79" t="str">
        <x:v>OK</x:v>
      </x:c>
      <x:c r="AH230" s="79" t="str">
        <x:v>[{"name": "کیلو", "sku": "", "price": 890000, "stock": "", "weight": 1, "weightUnit": "kg", "containerSize": "کیلو", "isDefault": true}]</x:v>
      </x:c>
      <x:c r="AI230" s="79"/>
      <x:c r="AJ230" s="79"/>
      <x:c r="AK230" s="79"/>
      <x:c r="AL230" t="str">
        <x:v>شکلات چیپسی تلخ</x:v>
      </x:c>
      <x:c r="AM230" t="str">
        <x:v>single_232</x:v>
      </x:c>
      <x:c r="AN230" t="str">
        <x:v>canonical_group_row</x:v>
      </x:c>
      <x:c r="AO230" t="str">
        <x:v>قنادی و شیرینی</x:v>
      </x:c>
      <x:c r="AP230" t="str">
        <x:v>6a3a00000000000000000003</x:v>
      </x:c>
      <x:c r="AQ230" t="str">
        <x:v>confectionery</x:v>
      </x:c>
      <x:c r="AR230" t="str">
        <x:v>EDIBLE</x:v>
      </x:c>
      <x:c r="AS230" t="str">
        <x:v>بله</x:v>
      </x:c>
      <x:c r="AT230" t="str">
        <x:v>OK</x:v>
      </x:c>
      <x:c r="AU230"/>
    </x:row>
    <x:row r="231">
      <x:c r="A231" s="79" t="n">
        <x:v>233</x:v>
      </x:c>
      <x:c r="B231" s="79" t="str">
        <x:v>NS-0230-1</x:v>
      </x:c>
      <x:c r="C231" s="79" t="str">
        <x:v>شکلات نسوز کوکی</x:v>
      </x:c>
      <x:c r="D231" s="79" t="str">
        <x:v>bake_stable_cookie_chocolate</x:v>
      </x:c>
      <x:c r="E231" s="79" t="str">
        <x:v>update</x:v>
      </x:c>
      <x:c r="F231" s="79" t="str">
        <x:v>بله</x:v>
      </x:c>
      <x:c r="G231" s="79" t="str">
        <x:v>قنادی و شیرینی</x:v>
      </x:c>
      <x:c r="H231" s="79" t="str">
        <x:v>قنادی و شیرینی</x:v>
      </x:c>
      <x:c r="I231" s="79" t="str">
        <x:v>6a3a00000000000000000003</x:v>
      </x:c>
      <x:c r="J231" s="79" t="str">
        <x:v>confectionery</x:v>
      </x:c>
      <x:c r="K231" s="79"/>
      <x:c r="L231" s="79" t="str">
        <x:v>EDIBLE</x:v>
      </x:c>
      <x:c r="M231" s="79" t="str">
        <x:v>بله</x:v>
      </x:c>
      <x:c r="N231" s="79" t="str">
        <x:v>خوراکی</x:v>
      </x:c>
      <x:c r="O231" s="79" t="str">
        <x:v>خیر</x:v>
      </x:c>
      <x:c r="P231" s="79" t="n">
        <x:v>1</x:v>
      </x:c>
      <x:c r="Q231" s="79" t="str">
        <x:v>کیلو</x:v>
      </x:c>
      <x:c r="R231" s="79" t="n">
        <x:v>890</x:v>
      </x:c>
      <x:c r="S231" s="104" t="n">
        <x:v>890000</x:v>
      </x:c>
      <x:c r="T231" s="79" t="n">
        <x:v>1</x:v>
      </x:c>
      <x:c r="U231" s="79" t="str">
        <x:v>kg</x:v>
      </x:c>
      <x:c r="V231" s="79" t="str">
        <x:v>کیلو</x:v>
      </x:c>
      <x:c r="W231" s="99" t="b">
        <x:v>1</x:v>
      </x:c>
      <x:c r="X231" s="79" t="str"/>
      <x:c r="Y231" s="79"/>
      <x:c r="Z231" s="104"/>
      <x:c r="AA231" s="79" t="str"/>
      <x:c r="AB231" s="79" t="str"/>
      <x:c r="AC231" s="79" t="str"/>
      <x:c r="AD231" s="79" t="str"/>
      <x:c r="AE231" s="79" t="str">
        <x:v>فعال</x:v>
      </x:c>
      <x:c r="AF231" s="79" t="str">
        <x:v>دسته‌بندی نهایی</x:v>
      </x:c>
      <x:c r="AG231" s="79" t="str">
        <x:v>OK</x:v>
      </x:c>
      <x:c r="AH231" s="79" t="str">
        <x:v>[{"name": "کیلو", "sku": "", "price": 890000, "stock": "", "weight": 1, "weightUnit": "kg", "containerSize": "کیلو", "isDefault": true}]</x:v>
      </x:c>
      <x:c r="AI231" s="79"/>
      <x:c r="AJ231" s="79"/>
      <x:c r="AK231" s="79"/>
      <x:c r="AL231" t="str">
        <x:v>شکلات نسوز کوکی</x:v>
      </x:c>
      <x:c r="AM231" t="str">
        <x:v>single_233</x:v>
      </x:c>
      <x:c r="AN231" t="str">
        <x:v>canonical_group_row</x:v>
      </x:c>
      <x:c r="AO231" t="str">
        <x:v>قنادی و شیرینی</x:v>
      </x:c>
      <x:c r="AP231" t="str">
        <x:v>6a3a00000000000000000003</x:v>
      </x:c>
      <x:c r="AQ231" t="str">
        <x:v>confectionery</x:v>
      </x:c>
      <x:c r="AR231" t="str">
        <x:v>EDIBLE</x:v>
      </x:c>
      <x:c r="AS231" t="str">
        <x:v>بله</x:v>
      </x:c>
      <x:c r="AT231" t="str">
        <x:v>OK</x:v>
      </x:c>
      <x:c r="AU231"/>
    </x:row>
    <x:row r="232">
      <x:c r="A232" s="79" t="n">
        <x:v>234</x:v>
      </x:c>
      <x:c r="B232" s="79" t="str">
        <x:v>NS-0231-1</x:v>
      </x:c>
      <x:c r="C232" s="79" t="str">
        <x:v>شلغم پودر</x:v>
      </x:c>
      <x:c r="D232" s="79" t="str">
        <x:v>turnip_powder</x:v>
      </x:c>
      <x:c r="E232" s="79" t="str">
        <x:v>update</x:v>
      </x:c>
      <x:c r="F232" s="79" t="str">
        <x:v>بله</x:v>
      </x:c>
      <x:c r="G232" s="79" t="str">
        <x:v>سایر</x:v>
      </x:c>
      <x:c r="H232" s="79" t="str">
        <x:v>گیاهان دارویی</x:v>
      </x:c>
      <x:c r="I232" s="79" t="str">
        <x:v>6a3782d7df5573f4e676e243</x:v>
      </x:c>
      <x:c r="J232" s="79" t="str">
        <x:v>medicinal-plants</x:v>
      </x:c>
      <x:c r="K232" s="79"/>
      <x:c r="L232" s="79" t="str">
        <x:v>EDIBLE</x:v>
      </x:c>
      <x:c r="M232" s="79" t="str">
        <x:v>بله</x:v>
      </x:c>
      <x:c r="N232" s="79" t="str">
        <x:v>خوراکی</x:v>
      </x:c>
      <x:c r="O232" s="79" t="str">
        <x:v>خیر</x:v>
      </x:c>
      <x:c r="P232" s="79" t="n">
        <x:v>1</x:v>
      </x:c>
      <x:c r="Q232" s="79" t="str">
        <x:v>کیلو</x:v>
      </x:c>
      <x:c r="R232" s="79" t="str">
        <x:v>؟</x:v>
      </x:c>
      <x:c r="S232" s="104"/>
      <x:c r="T232" s="79" t="n">
        <x:v>1</x:v>
      </x:c>
      <x:c r="U232" s="79" t="str">
        <x:v>kg</x:v>
      </x:c>
      <x:c r="V232" s="79" t="str">
        <x:v>کیلو</x:v>
      </x:c>
      <x:c r="W232" s="99" t="b">
        <x:v>1</x:v>
      </x:c>
      <x:c r="X232" s="79" t="str"/>
      <x:c r="Y232" s="79"/>
      <x:c r="Z232" s="104"/>
      <x:c r="AA232" s="79" t="str"/>
      <x:c r="AB232" s="79" t="str"/>
      <x:c r="AC232" s="79" t="str"/>
      <x:c r="AD232" s="79" t="str"/>
      <x:c r="AE232" s="79" t="str">
        <x:v>نیاز به استعلام</x:v>
      </x:c>
      <x:c r="AF232" s="79" t="str">
        <x:v>نیازمند بررسی دستی</x:v>
      </x:c>
      <x:c r="AG232" s="79" t="str">
        <x:v>دسته از «نیاز به بررسی» به «گیاهان دارویی» اصلاح شد | یک یا چند قیمت نامشخص است</x:v>
      </x:c>
      <x:c r="AH232" s="79" t="str">
        <x:v>[{"name": "کیلو", "sku": "", "price": null, "stock": "", "weight": 1, "weightUnit": "kg", "containerSize": "کیلو", "isDefault": true}]</x:v>
      </x:c>
      <x:c r="AI232" s="79"/>
      <x:c r="AJ232" s="79"/>
      <x:c r="AK232" s="79"/>
      <x:c r="AL232" t="str">
        <x:v>شلغم پودر</x:v>
      </x:c>
      <x:c r="AM232" t="str">
        <x:v>single_234</x:v>
      </x:c>
      <x:c r="AN232" t="str">
        <x:v>canonical_group_row</x:v>
      </x:c>
      <x:c r="AO232" t="str">
        <x:v>گیاهان دارویی</x:v>
      </x:c>
      <x:c r="AP232" t="str">
        <x:v>6a3782d7df5573f4e676e243</x:v>
      </x:c>
      <x:c r="AQ232" t="str">
        <x:v>medicinal-plants</x:v>
      </x:c>
      <x:c r="AR232" t="str">
        <x:v>EDIBLE</x:v>
      </x:c>
      <x:c r="AS232" t="str">
        <x:v>بله</x:v>
      </x:c>
      <x:c r="AT232" t="str">
        <x:v>MISSING_PRICE_REVIEW</x:v>
      </x:c>
      <x:c r="AU232" t="str">
        <x:v>دسته از «نیاز به بررسی» به «گیاهان دارویی» اصلاح شد | یک یا چند قیمت نامشخص است</x:v>
      </x:c>
    </x:row>
    <x:row r="233">
      <x:c r="A233" s="79" t="n">
        <x:v>235</x:v>
      </x:c>
      <x:c r="B233" s="79" t="str">
        <x:v>NS-0232-1</x:v>
      </x:c>
      <x:c r="C233" s="79" t="str">
        <x:v>شنبلیله</x:v>
      </x:c>
      <x:c r="D233" s="79" t="str">
        <x:v>fenugreek</x:v>
      </x:c>
      <x:c r="E233" s="79" t="str">
        <x:v>update</x:v>
      </x:c>
      <x:c r="F233" s="79" t="str">
        <x:v>بله</x:v>
      </x:c>
      <x:c r="G233" s="79" t="str">
        <x:v>سایر</x:v>
      </x:c>
      <x:c r="H233" s="79" t="str">
        <x:v>گیاهان دارویی</x:v>
      </x:c>
      <x:c r="I233" s="79" t="str">
        <x:v>6a3782d7df5573f4e676e243</x:v>
      </x:c>
      <x:c r="J233" s="79" t="str">
        <x:v>medicinal-plants</x:v>
      </x:c>
      <x:c r="K233" s="79"/>
      <x:c r="L233" s="79" t="str">
        <x:v>EDIBLE</x:v>
      </x:c>
      <x:c r="M233" s="79" t="str">
        <x:v>بله</x:v>
      </x:c>
      <x:c r="N233" s="79" t="str">
        <x:v>خوراکی</x:v>
      </x:c>
      <x:c r="O233" s="79" t="str">
        <x:v>خیر</x:v>
      </x:c>
      <x:c r="P233" s="79" t="n">
        <x:v>1</x:v>
      </x:c>
      <x:c r="Q233" s="79" t="str">
        <x:v>کیلو</x:v>
      </x:c>
      <x:c r="R233" s="79" t="n">
        <x:v>650</x:v>
      </x:c>
      <x:c r="S233" s="104" t="n">
        <x:v>650000</x:v>
      </x:c>
      <x:c r="T233" s="79" t="n">
        <x:v>1</x:v>
      </x:c>
      <x:c r="U233" s="79" t="str">
        <x:v>kg</x:v>
      </x:c>
      <x:c r="V233" s="79" t="str">
        <x:v>کیلو</x:v>
      </x:c>
      <x:c r="W233" s="99" t="b">
        <x:v>1</x:v>
      </x:c>
      <x:c r="X233" s="79" t="str"/>
      <x:c r="Y233" s="79"/>
      <x:c r="Z233" s="104"/>
      <x:c r="AA233" s="79" t="str"/>
      <x:c r="AB233" s="79" t="str"/>
      <x:c r="AC233" s="79" t="str"/>
      <x:c r="AD233" s="79" t="str"/>
      <x:c r="AE233" s="79" t="str">
        <x:v>فعال</x:v>
      </x:c>
      <x:c r="AF233" s="79" t="str">
        <x:v>دسته‌بندی نهایی</x:v>
      </x:c>
      <x:c r="AG233" s="79" t="str">
        <x:v>OK</x:v>
      </x:c>
      <x:c r="AH233" s="79" t="str">
        <x:v>[{"name": "کیلو", "sku": "", "price": 650000, "stock": "", "weight": 1, "weightUnit": "kg", "containerSize": "کیلو", "isDefault": true}]</x:v>
      </x:c>
      <x:c r="AI233" s="79"/>
      <x:c r="AJ233" s="79"/>
      <x:c r="AK233" s="79"/>
      <x:c r="AL233" t="str">
        <x:v>شنبلیله</x:v>
      </x:c>
      <x:c r="AM233" t="str">
        <x:v>single_235</x:v>
      </x:c>
      <x:c r="AN233" t="str">
        <x:v>canonical_group_row</x:v>
      </x:c>
      <x:c r="AO233" t="str">
        <x:v>گیاهان دارویی</x:v>
      </x:c>
      <x:c r="AP233" t="str">
        <x:v>6a3782d7df5573f4e676e243</x:v>
      </x:c>
      <x:c r="AQ233" t="str">
        <x:v>medicinal-plants</x:v>
      </x:c>
      <x:c r="AR233" t="str">
        <x:v>EDIBLE</x:v>
      </x:c>
      <x:c r="AS233" t="str">
        <x:v>بله</x:v>
      </x:c>
      <x:c r="AT233" t="str">
        <x:v>OK</x:v>
      </x:c>
      <x:c r="AU233"/>
    </x:row>
    <x:row r="234">
      <x:c r="A234" s="79" t="n">
        <x:v>236</x:v>
      </x:c>
      <x:c r="B234" s="79" t="str">
        <x:v>NS-0233-1</x:v>
      </x:c>
      <x:c r="C234" s="79" t="str">
        <x:v>شنبلیله تخم</x:v>
      </x:c>
      <x:c r="D234" s="79" t="str">
        <x:v>fenugreek_seed</x:v>
      </x:c>
      <x:c r="E234" s="79" t="str">
        <x:v>update</x:v>
      </x:c>
      <x:c r="F234" s="79" t="str">
        <x:v>بله</x:v>
      </x:c>
      <x:c r="G234" s="79" t="str">
        <x:v>سایر</x:v>
      </x:c>
      <x:c r="H234" s="79" t="str">
        <x:v>گیاهان دارویی</x:v>
      </x:c>
      <x:c r="I234" s="79" t="str">
        <x:v>6a3782d7df5573f4e676e243</x:v>
      </x:c>
      <x:c r="J234" s="79" t="str">
        <x:v>medicinal-plants</x:v>
      </x:c>
      <x:c r="K234" s="79"/>
      <x:c r="L234" s="79" t="str">
        <x:v>EDIBLE</x:v>
      </x:c>
      <x:c r="M234" s="79" t="str">
        <x:v>بله</x:v>
      </x:c>
      <x:c r="N234" s="79" t="str">
        <x:v>خوراکی</x:v>
      </x:c>
      <x:c r="O234" s="79" t="str">
        <x:v>خیر</x:v>
      </x:c>
      <x:c r="P234" s="79" t="n">
        <x:v>1</x:v>
      </x:c>
      <x:c r="Q234" s="79" t="str">
        <x:v>کیلو</x:v>
      </x:c>
      <x:c r="R234" s="79" t="n">
        <x:v>700</x:v>
      </x:c>
      <x:c r="S234" s="104" t="n">
        <x:v>700000</x:v>
      </x:c>
      <x:c r="T234" s="79" t="n">
        <x:v>1</x:v>
      </x:c>
      <x:c r="U234" s="79" t="str">
        <x:v>kg</x:v>
      </x:c>
      <x:c r="V234" s="79" t="str">
        <x:v>کیلو</x:v>
      </x:c>
      <x:c r="W234" s="99" t="b">
        <x:v>1</x:v>
      </x:c>
      <x:c r="X234" s="79" t="str"/>
      <x:c r="Y234" s="79"/>
      <x:c r="Z234" s="104"/>
      <x:c r="AA234" s="79" t="str"/>
      <x:c r="AB234" s="79" t="str"/>
      <x:c r="AC234" s="79" t="str"/>
      <x:c r="AD234" s="79" t="str"/>
      <x:c r="AE234" s="79" t="str">
        <x:v>فعال</x:v>
      </x:c>
      <x:c r="AF234" s="79" t="str">
        <x:v>دسته‌بندی نهایی؛ اصلاح‌شده</x:v>
      </x:c>
      <x:c r="AG234" s="79" t="str">
        <x:v>دسته از «خشکبار و آجیل» به «گیاهان دارویی» اصلاح شد</x:v>
      </x:c>
      <x:c r="AH234" s="79" t="str">
        <x:v>[{"name": "کیلو", "sku": "", "price": 700000, "stock": "", "weight": 1, "weightUnit": "kg", "containerSize": "کیلو", "isDefault": true}]</x:v>
      </x:c>
      <x:c r="AI234" s="79"/>
      <x:c r="AJ234" s="79"/>
      <x:c r="AK234" s="79"/>
      <x:c r="AL234" t="str">
        <x:v>شنبلیله تخم</x:v>
      </x:c>
      <x:c r="AM234" t="str">
        <x:v>single_236</x:v>
      </x:c>
      <x:c r="AN234" t="str">
        <x:v>canonical_group_row</x:v>
      </x:c>
      <x:c r="AO234" t="str">
        <x:v>گیاهان دارویی</x:v>
      </x:c>
      <x:c r="AP234" t="str">
        <x:v>6a3782d7df5573f4e676e243</x:v>
      </x:c>
      <x:c r="AQ234" t="str">
        <x:v>medicinal-plants</x:v>
      </x:c>
      <x:c r="AR234" t="str">
        <x:v>EDIBLE</x:v>
      </x:c>
      <x:c r="AS234" t="str">
        <x:v>بله</x:v>
      </x:c>
      <x:c r="AT234" t="str">
        <x:v>OK</x:v>
      </x:c>
      <x:c r="AU234" t="str">
        <x:v>دسته از «خشکبار و آجیل» به «گیاهان دارویی» اصلاح شد</x:v>
      </x:c>
    </x:row>
    <x:row r="235">
      <x:c r="A235" s="79" t="n">
        <x:v>237</x:v>
      </x:c>
      <x:c r="B235" s="79" t="str">
        <x:v>NS-0234-1</x:v>
      </x:c>
      <x:c r="C235" s="79" t="str">
        <x:v>شوید خشک</x:v>
      </x:c>
      <x:c r="D235" s="79" t="str">
        <x:v>dried_dill</x:v>
      </x:c>
      <x:c r="E235" s="79" t="str">
        <x:v>update</x:v>
      </x:c>
      <x:c r="F235" s="79" t="str">
        <x:v>بله</x:v>
      </x:c>
      <x:c r="G235" s="79" t="str">
        <x:v>سایر</x:v>
      </x:c>
      <x:c r="H235" s="79" t="str">
        <x:v>گیاهان دارویی</x:v>
      </x:c>
      <x:c r="I235" s="79" t="str">
        <x:v>6a3782d7df5573f4e676e243</x:v>
      </x:c>
      <x:c r="J235" s="79" t="str">
        <x:v>medicinal-plants</x:v>
      </x:c>
      <x:c r="K235" s="79"/>
      <x:c r="L235" s="79" t="str">
        <x:v>EDIBLE</x:v>
      </x:c>
      <x:c r="M235" s="79" t="str">
        <x:v>بله</x:v>
      </x:c>
      <x:c r="N235" s="79" t="str">
        <x:v>خوراکی</x:v>
      </x:c>
      <x:c r="O235" s="79" t="str">
        <x:v>خیر</x:v>
      </x:c>
      <x:c r="P235" s="79" t="n">
        <x:v>1</x:v>
      </x:c>
      <x:c r="Q235" s="79" t="str">
        <x:v>کیلو</x:v>
      </x:c>
      <x:c r="R235" s="79" t="n">
        <x:v>950</x:v>
      </x:c>
      <x:c r="S235" s="104" t="n">
        <x:v>950000</x:v>
      </x:c>
      <x:c r="T235" s="79" t="n">
        <x:v>1</x:v>
      </x:c>
      <x:c r="U235" s="79" t="str">
        <x:v>kg</x:v>
      </x:c>
      <x:c r="V235" s="79" t="str">
        <x:v>کیلو</x:v>
      </x:c>
      <x:c r="W235" s="99" t="b">
        <x:v>1</x:v>
      </x:c>
      <x:c r="X235" s="79" t="str"/>
      <x:c r="Y235" s="79"/>
      <x:c r="Z235" s="104"/>
      <x:c r="AA235" s="79" t="str"/>
      <x:c r="AB235" s="79" t="str"/>
      <x:c r="AC235" s="79" t="str"/>
      <x:c r="AD235" s="79" t="str"/>
      <x:c r="AE235" s="79" t="str">
        <x:v>فعال</x:v>
      </x:c>
      <x:c r="AF235" s="79" t="str">
        <x:v>نیازمند بررسی دستی</x:v>
      </x:c>
      <x:c r="AG235" s="79" t="str">
        <x:v>دسته از «نیاز به بررسی» به «گیاهان دارویی» اصلاح شد</x:v>
      </x:c>
      <x:c r="AH235" s="79" t="str">
        <x:v>[{"name": "کیلو", "sku": "", "price": 950000, "stock": "", "weight": 1, "weightUnit": "kg", "containerSize": "کیلو", "isDefault": true}]</x:v>
      </x:c>
      <x:c r="AI235" s="79"/>
      <x:c r="AJ235" s="79"/>
      <x:c r="AK235" s="79"/>
      <x:c r="AL235" t="str">
        <x:v>شوید خشک</x:v>
      </x:c>
      <x:c r="AM235" t="str">
        <x:v>single_237</x:v>
      </x:c>
      <x:c r="AN235" t="str">
        <x:v>canonical_group_row</x:v>
      </x:c>
      <x:c r="AO235" t="str">
        <x:v>گیاهان دارویی</x:v>
      </x:c>
      <x:c r="AP235" t="str">
        <x:v>6a3782d7df5573f4e676e243</x:v>
      </x:c>
      <x:c r="AQ235" t="str">
        <x:v>medicinal-plants</x:v>
      </x:c>
      <x:c r="AR235" t="str">
        <x:v>EDIBLE</x:v>
      </x:c>
      <x:c r="AS235" t="str">
        <x:v>بله</x:v>
      </x:c>
      <x:c r="AT235" t="str">
        <x:v>OK</x:v>
      </x:c>
      <x:c r="AU235" t="str">
        <x:v>دسته از «نیاز به بررسی» به «گیاهان دارویی» اصلاح شد</x:v>
      </x:c>
    </x:row>
    <x:row r="236">
      <x:c r="A236" s="79" t="n">
        <x:v>238</x:v>
      </x:c>
      <x:c r="B236" s="79" t="str">
        <x:v>NS-0235-1</x:v>
      </x:c>
      <x:c r="C236" s="79" t="str">
        <x:v>شیرخشک قنادی</x:v>
      </x:c>
      <x:c r="D236" s="79" t="str">
        <x:v>confectionery_milk_powder</x:v>
      </x:c>
      <x:c r="E236" s="79" t="str">
        <x:v>update</x:v>
      </x:c>
      <x:c r="F236" s="79" t="str">
        <x:v>بله</x:v>
      </x:c>
      <x:c r="G236" s="79" t="str">
        <x:v>سایر</x:v>
      </x:c>
      <x:c r="H236" s="79" t="str">
        <x:v>قنادی و شیرینی</x:v>
      </x:c>
      <x:c r="I236" s="79" t="str">
        <x:v>6a3a00000000000000000003</x:v>
      </x:c>
      <x:c r="J236" s="79" t="str">
        <x:v>confectionery</x:v>
      </x:c>
      <x:c r="K236" s="79"/>
      <x:c r="L236" s="79" t="str">
        <x:v>EDIBLE</x:v>
      </x:c>
      <x:c r="M236" s="79" t="str">
        <x:v>بله</x:v>
      </x:c>
      <x:c r="N236" s="79" t="str">
        <x:v>خوراکی</x:v>
      </x:c>
      <x:c r="O236" s="79" t="str">
        <x:v>خیر</x:v>
      </x:c>
      <x:c r="P236" s="79" t="n">
        <x:v>1</x:v>
      </x:c>
      <x:c r="Q236" s="79" t="str">
        <x:v>کیلو</x:v>
      </x:c>
      <x:c r="R236" s="79" t="n">
        <x:v>980</x:v>
      </x:c>
      <x:c r="S236" s="104" t="n">
        <x:v>980000</x:v>
      </x:c>
      <x:c r="T236" s="79" t="n">
        <x:v>1</x:v>
      </x:c>
      <x:c r="U236" s="79" t="str">
        <x:v>kg</x:v>
      </x:c>
      <x:c r="V236" s="79" t="str">
        <x:v>کیلو</x:v>
      </x:c>
      <x:c r="W236" s="99" t="b">
        <x:v>1</x:v>
      </x:c>
      <x:c r="X236" s="79" t="str"/>
      <x:c r="Y236" s="79"/>
      <x:c r="Z236" s="104"/>
      <x:c r="AA236" s="79" t="str"/>
      <x:c r="AB236" s="79" t="str"/>
      <x:c r="AC236" s="79" t="str"/>
      <x:c r="AD236" s="79" t="str"/>
      <x:c r="AE236" s="79" t="str">
        <x:v>فعال</x:v>
      </x:c>
      <x:c r="AF236" s="79" t="str">
        <x:v>نیازمند بررسی دستی</x:v>
      </x:c>
      <x:c r="AG236" s="79" t="str">
        <x:v>دسته از «نیاز به بررسی» به «قنادی و شیرینی» اصلاح شد</x:v>
      </x:c>
      <x:c r="AH236" s="79" t="str">
        <x:v>[{"name": "کیلو", "sku": "", "price": 980000, "stock": "", "weight": 1, "weightUnit": "kg", "containerSize": "کیلو", "isDefault": true}]</x:v>
      </x:c>
      <x:c r="AI236" s="79"/>
      <x:c r="AJ236" s="79"/>
      <x:c r="AK236" s="79"/>
      <x:c r="AL236" t="str">
        <x:v>شیرخشک قنادی</x:v>
      </x:c>
      <x:c r="AM236" t="str">
        <x:v>single_238</x:v>
      </x:c>
      <x:c r="AN236" t="str">
        <x:v>canonical_group_row</x:v>
      </x:c>
      <x:c r="AO236" t="str">
        <x:v>قنادی و شیرینی</x:v>
      </x:c>
      <x:c r="AP236" t="str">
        <x:v>6a3a00000000000000000003</x:v>
      </x:c>
      <x:c r="AQ236" t="str">
        <x:v>confectionery</x:v>
      </x:c>
      <x:c r="AR236" t="str">
        <x:v>EDIBLE</x:v>
      </x:c>
      <x:c r="AS236" t="str">
        <x:v>بله</x:v>
      </x:c>
      <x:c r="AT236" t="str">
        <x:v>OK</x:v>
      </x:c>
      <x:c r="AU236" t="str">
        <x:v>دسته از «نیاز به بررسی» به «قنادی و شیرینی» اصلاح شد</x:v>
      </x:c>
    </x:row>
    <x:row r="237">
      <x:c r="A237" s="79" t="n">
        <x:v>239</x:v>
      </x:c>
      <x:c r="B237" s="79" t="str">
        <x:v>NS-0236-1</x:v>
      </x:c>
      <x:c r="C237" s="79" t="str">
        <x:v>شیره 3 شیره</x:v>
      </x:c>
      <x:c r="D237" s="79" t="str">
        <x:v>syrup_3_syrup</x:v>
      </x:c>
      <x:c r="E237" s="79" t="str">
        <x:v>update</x:v>
      </x:c>
      <x:c r="F237" s="79" t="str">
        <x:v>بله</x:v>
      </x:c>
      <x:c r="G237" s="79" t="str">
        <x:v>سایر</x:v>
      </x:c>
      <x:c r="H237" s="79" t="str">
        <x:v>نوشیدنی‌ها</x:v>
      </x:c>
      <x:c r="I237" s="79" t="str">
        <x:v>6a3782ffdf5573f4e676e24b</x:v>
      </x:c>
      <x:c r="J237" s="79" t="str">
        <x:v>syrup</x:v>
      </x:c>
      <x:c r="K237" s="79" t="str">
        <x:v>6a3782d7df5573f4e676e243</x:v>
      </x:c>
      <x:c r="L237" s="79" t="str">
        <x:v>EDIBLE</x:v>
      </x:c>
      <x:c r="M237" s="79" t="str">
        <x:v>بله</x:v>
      </x:c>
      <x:c r="N237" s="79" t="str">
        <x:v>خوراکی</x:v>
      </x:c>
      <x:c r="O237" s="79" t="str">
        <x:v>خیر</x:v>
      </x:c>
      <x:c r="P237" s="79" t="n">
        <x:v>1</x:v>
      </x:c>
      <x:c r="Q237" s="79" t="str">
        <x:v>500 گرمی</x:v>
      </x:c>
      <x:c r="R237" s="79" t="n">
        <x:v>230</x:v>
      </x:c>
      <x:c r="S237" s="104" t="n">
        <x:v>230000</x:v>
      </x:c>
      <x:c r="T237" s="79" t="n">
        <x:v>500</x:v>
      </x:c>
      <x:c r="U237" s="79" t="str">
        <x:v>g</x:v>
      </x:c>
      <x:c r="V237" s="79" t="str">
        <x:v>500 گرم</x:v>
      </x:c>
      <x:c r="W237" s="99" t="b">
        <x:v>1</x:v>
      </x:c>
      <x:c r="X237" s="79" t="str"/>
      <x:c r="Y237" s="79"/>
      <x:c r="Z237" s="104"/>
      <x:c r="AA237" s="79" t="str"/>
      <x:c r="AB237" s="79" t="str"/>
      <x:c r="AC237" s="79" t="str"/>
      <x:c r="AD237" s="79" t="str"/>
      <x:c r="AE237" s="79" t="str">
        <x:v>فعال</x:v>
      </x:c>
      <x:c r="AF237" s="79" t="str">
        <x:v>نیازمند بررسی دستی</x:v>
      </x:c>
      <x:c r="AG237" s="79" t="str">
        <x:v>دسته از «نیاز به بررسی» به «نوشیدنی‌ها» اصلاح شد</x:v>
      </x:c>
      <x:c r="AH237" s="79" t="str">
        <x:v>[{"name": "500 گرمی", "sku": "", "price": 230000, "stock": "", "weight": 500, "weightUnit": "g", "containerSize": "500 گرم", "isDefault": true}]</x:v>
      </x:c>
      <x:c r="AI237" s="79"/>
      <x:c r="AJ237" s="79"/>
      <x:c r="AK237" s="79"/>
      <x:c r="AL237" t="str">
        <x:v>شیره 3 شیره</x:v>
      </x:c>
      <x:c r="AM237" t="str">
        <x:v>single_239</x:v>
      </x:c>
      <x:c r="AN237" t="str">
        <x:v>canonical_group_row</x:v>
      </x:c>
      <x:c r="AO237" t="str">
        <x:v>نوشیدنی‌ها</x:v>
      </x:c>
      <x:c r="AP237" t="str">
        <x:v>6a3782ffdf5573f4e676e24b</x:v>
      </x:c>
      <x:c r="AQ237" t="str">
        <x:v>syrup</x:v>
      </x:c>
      <x:c r="AR237" t="str">
        <x:v>EDIBLE</x:v>
      </x:c>
      <x:c r="AS237" t="str">
        <x:v>بله</x:v>
      </x:c>
      <x:c r="AT237" t="str">
        <x:v>OK</x:v>
      </x:c>
      <x:c r="AU237" t="str">
        <x:v>دسته از «نیاز به بررسی» به «نوشیدنی‌ها» اصلاح شد</x:v>
      </x:c>
    </x:row>
    <x:row r="238">
      <x:c r="A238" s="79" t="n">
        <x:v>240</x:v>
      </x:c>
      <x:c r="B238" s="79" t="str">
        <x:v>NS-0237-1</x:v>
      </x:c>
      <x:c r="C238" s="79" t="str">
        <x:v>شیره 4 شیره</x:v>
      </x:c>
      <x:c r="D238" s="79" t="str">
        <x:v>syrup_4_syrup</x:v>
      </x:c>
      <x:c r="E238" s="79" t="str">
        <x:v>update</x:v>
      </x:c>
      <x:c r="F238" s="79" t="str">
        <x:v>بله</x:v>
      </x:c>
      <x:c r="G238" s="79" t="str">
        <x:v>سایر</x:v>
      </x:c>
      <x:c r="H238" s="79" t="str">
        <x:v>نوشیدنی‌ها</x:v>
      </x:c>
      <x:c r="I238" s="79" t="str">
        <x:v>6a3782ffdf5573f4e676e24b</x:v>
      </x:c>
      <x:c r="J238" s="79" t="str">
        <x:v>syrup</x:v>
      </x:c>
      <x:c r="K238" s="79" t="str">
        <x:v>6a3782d7df5573f4e676e243</x:v>
      </x:c>
      <x:c r="L238" s="79" t="str">
        <x:v>EDIBLE</x:v>
      </x:c>
      <x:c r="M238" s="79" t="str">
        <x:v>بله</x:v>
      </x:c>
      <x:c r="N238" s="79" t="str">
        <x:v>خوراکی</x:v>
      </x:c>
      <x:c r="O238" s="79" t="str">
        <x:v>خیر</x:v>
      </x:c>
      <x:c r="P238" s="79" t="n">
        <x:v>1</x:v>
      </x:c>
      <x:c r="Q238" s="79" t="str">
        <x:v>500 گرمی</x:v>
      </x:c>
      <x:c r="R238" s="79" t="n">
        <x:v>230</x:v>
      </x:c>
      <x:c r="S238" s="104" t="n">
        <x:v>230000</x:v>
      </x:c>
      <x:c r="T238" s="79" t="n">
        <x:v>500</x:v>
      </x:c>
      <x:c r="U238" s="79" t="str">
        <x:v>g</x:v>
      </x:c>
      <x:c r="V238" s="79" t="str">
        <x:v>500 گرم</x:v>
      </x:c>
      <x:c r="W238" s="99" t="b">
        <x:v>1</x:v>
      </x:c>
      <x:c r="X238" s="79" t="str"/>
      <x:c r="Y238" s="79"/>
      <x:c r="Z238" s="104"/>
      <x:c r="AA238" s="79" t="str"/>
      <x:c r="AB238" s="79" t="str"/>
      <x:c r="AC238" s="79" t="str"/>
      <x:c r="AD238" s="79" t="str"/>
      <x:c r="AE238" s="79" t="str">
        <x:v>فعال</x:v>
      </x:c>
      <x:c r="AF238" s="79" t="str">
        <x:v>نیازمند بررسی دستی</x:v>
      </x:c>
      <x:c r="AG238" s="79" t="str">
        <x:v>دسته از «نیاز به بررسی» به «نوشیدنی‌ها» اصلاح شد</x:v>
      </x:c>
      <x:c r="AH238" s="79" t="str">
        <x:v>[{"name": "500 گرمی", "sku": "", "price": 230000, "stock": "", "weight": 500, "weightUnit": "g", "containerSize": "500 گرم", "isDefault": true}]</x:v>
      </x:c>
      <x:c r="AI238" s="79"/>
      <x:c r="AJ238" s="79"/>
      <x:c r="AK238" s="79"/>
      <x:c r="AL238" t="str">
        <x:v>شیره 4 شیره</x:v>
      </x:c>
      <x:c r="AM238" t="str">
        <x:v>single_240</x:v>
      </x:c>
      <x:c r="AN238" t="str">
        <x:v>canonical_group_row</x:v>
      </x:c>
      <x:c r="AO238" t="str">
        <x:v>نوشیدنی‌ها</x:v>
      </x:c>
      <x:c r="AP238" t="str">
        <x:v>6a3782ffdf5573f4e676e24b</x:v>
      </x:c>
      <x:c r="AQ238" t="str">
        <x:v>syrup</x:v>
      </x:c>
      <x:c r="AR238" t="str">
        <x:v>EDIBLE</x:v>
      </x:c>
      <x:c r="AS238" t="str">
        <x:v>بله</x:v>
      </x:c>
      <x:c r="AT238" t="str">
        <x:v>OK</x:v>
      </x:c>
      <x:c r="AU238" t="str">
        <x:v>دسته از «نیاز به بررسی» به «نوشیدنی‌ها» اصلاح شد</x:v>
      </x:c>
    </x:row>
    <x:row r="239">
      <x:c r="A239" s="79" t="n">
        <x:v>241</x:v>
      </x:c>
      <x:c r="B239" s="79" t="str">
        <x:v>NS-0238-1</x:v>
      </x:c>
      <x:c r="C239" s="79" t="str">
        <x:v>شیره انجیر</x:v>
      </x:c>
      <x:c r="D239" s="79" t="str">
        <x:v>fig_syrup</x:v>
      </x:c>
      <x:c r="E239" s="79" t="str">
        <x:v>update</x:v>
      </x:c>
      <x:c r="F239" s="79" t="str">
        <x:v>بله</x:v>
      </x:c>
      <x:c r="G239" s="79" t="str">
        <x:v>خشکبار و آجیل</x:v>
      </x:c>
      <x:c r="H239" s="79" t="str">
        <x:v>خشکبار و آجیل</x:v>
      </x:c>
      <x:c r="I239" s="79" t="str">
        <x:v>6a37810ddf5573f4e676e201</x:v>
      </x:c>
      <x:c r="J239" s="79" t="str">
        <x:v>dried-fruits-nuts</x:v>
      </x:c>
      <x:c r="K239" s="79"/>
      <x:c r="L239" s="79" t="str">
        <x:v>EDIBLE</x:v>
      </x:c>
      <x:c r="M239" s="79" t="str">
        <x:v>بله</x:v>
      </x:c>
      <x:c r="N239" s="79" t="str">
        <x:v>خوراکی</x:v>
      </x:c>
      <x:c r="O239" s="79" t="str">
        <x:v>خیر</x:v>
      </x:c>
      <x:c r="P239" s="79" t="n">
        <x:v>1</x:v>
      </x:c>
      <x:c r="Q239" s="79" t="str">
        <x:v>500 گرمی</x:v>
      </x:c>
      <x:c r="R239" s="79" t="n">
        <x:v>230</x:v>
      </x:c>
      <x:c r="S239" s="104" t="n">
        <x:v>230000</x:v>
      </x:c>
      <x:c r="T239" s="79" t="n">
        <x:v>500</x:v>
      </x:c>
      <x:c r="U239" s="79" t="str">
        <x:v>g</x:v>
      </x:c>
      <x:c r="V239" s="79" t="str">
        <x:v>500 گرم</x:v>
      </x:c>
      <x:c r="W239" s="99" t="b">
        <x:v>1</x:v>
      </x:c>
      <x:c r="X239" s="79" t="str"/>
      <x:c r="Y239" s="79"/>
      <x:c r="Z239" s="104"/>
      <x:c r="AA239" s="79" t="str"/>
      <x:c r="AB239" s="79" t="str"/>
      <x:c r="AC239" s="79" t="str"/>
      <x:c r="AD239" s="79" t="str"/>
      <x:c r="AE239" s="79" t="str">
        <x:v>فعال</x:v>
      </x:c>
      <x:c r="AF239" s="79" t="str">
        <x:v>دسته‌بندی نهایی</x:v>
      </x:c>
      <x:c r="AG239" s="79" t="str">
        <x:v>OK</x:v>
      </x:c>
      <x:c r="AH239" s="79" t="str">
        <x:v>[{"name": "500 گرمی", "sku": "", "price": 230000, "stock": "", "weight": 500, "weightUnit": "g", "containerSize": "500 گرم", "isDefault": true}]</x:v>
      </x:c>
      <x:c r="AI239" s="79"/>
      <x:c r="AJ239" s="79"/>
      <x:c r="AK239" s="79"/>
      <x:c r="AL239" t="str">
        <x:v>شیره انجیر</x:v>
      </x:c>
      <x:c r="AM239" t="str">
        <x:v>single_241</x:v>
      </x:c>
      <x:c r="AN239" t="str">
        <x:v>canonical_group_row</x:v>
      </x:c>
      <x:c r="AO239" t="str">
        <x:v>خشکبار و آجیل</x:v>
      </x:c>
      <x:c r="AP239" t="str">
        <x:v>6a37810ddf5573f4e676e201</x:v>
      </x:c>
      <x:c r="AQ239" t="str">
        <x:v>dried-fruits-nuts</x:v>
      </x:c>
      <x:c r="AR239" t="str">
        <x:v>EDIBLE</x:v>
      </x:c>
      <x:c r="AS239" t="str">
        <x:v>بله</x:v>
      </x:c>
      <x:c r="AT239" t="str">
        <x:v>OK</x:v>
      </x:c>
      <x:c r="AU239"/>
    </x:row>
    <x:row r="240">
      <x:c r="A240" s="79" t="n">
        <x:v>242</x:v>
      </x:c>
      <x:c r="B240" s="79" t="str">
        <x:v>NS-0239-1</x:v>
      </x:c>
      <x:c r="C240" s="79" t="str">
        <x:v>شیره انگور</x:v>
      </x:c>
      <x:c r="D240" s="79" t="str">
        <x:v>grape_syrup</x:v>
      </x:c>
      <x:c r="E240" s="79" t="str">
        <x:v>update</x:v>
      </x:c>
      <x:c r="F240" s="79" t="str">
        <x:v>بله</x:v>
      </x:c>
      <x:c r="G240" s="79" t="str">
        <x:v>سایر</x:v>
      </x:c>
      <x:c r="H240" s="79" t="str">
        <x:v>نوشیدنی‌ها</x:v>
      </x:c>
      <x:c r="I240" s="79" t="str">
        <x:v>6a3782ffdf5573f4e676e24b</x:v>
      </x:c>
      <x:c r="J240" s="79" t="str">
        <x:v>syrup</x:v>
      </x:c>
      <x:c r="K240" s="79" t="str">
        <x:v>6a3782d7df5573f4e676e243</x:v>
      </x:c>
      <x:c r="L240" s="79" t="str">
        <x:v>EDIBLE</x:v>
      </x:c>
      <x:c r="M240" s="79" t="str">
        <x:v>بله</x:v>
      </x:c>
      <x:c r="N240" s="79" t="str">
        <x:v>خوراکی</x:v>
      </x:c>
      <x:c r="O240" s="79" t="str">
        <x:v>خیر</x:v>
      </x:c>
      <x:c r="P240" s="79" t="n">
        <x:v>1</x:v>
      </x:c>
      <x:c r="Q240" s="79" t="str">
        <x:v>500 گرمی</x:v>
      </x:c>
      <x:c r="R240" s="79" t="n">
        <x:v>230</x:v>
      </x:c>
      <x:c r="S240" s="104" t="n">
        <x:v>230000</x:v>
      </x:c>
      <x:c r="T240" s="79" t="n">
        <x:v>500</x:v>
      </x:c>
      <x:c r="U240" s="79" t="str">
        <x:v>g</x:v>
      </x:c>
      <x:c r="V240" s="79" t="str">
        <x:v>500 گرم</x:v>
      </x:c>
      <x:c r="W240" s="99" t="b">
        <x:v>1</x:v>
      </x:c>
      <x:c r="X240" s="79" t="str"/>
      <x:c r="Y240" s="79"/>
      <x:c r="Z240" s="104"/>
      <x:c r="AA240" s="79" t="str"/>
      <x:c r="AB240" s="79" t="str"/>
      <x:c r="AC240" s="79" t="str"/>
      <x:c r="AD240" s="79" t="str"/>
      <x:c r="AE240" s="79" t="str">
        <x:v>فعال</x:v>
      </x:c>
      <x:c r="AF240" s="79" t="str">
        <x:v>نیازمند بررسی دستی</x:v>
      </x:c>
      <x:c r="AG240" s="79" t="str">
        <x:v>دسته از «نیاز به بررسی» به «نوشیدنی‌ها» اصلاح شد</x:v>
      </x:c>
      <x:c r="AH240" s="79" t="str">
        <x:v>[{"name": "500 گرمی", "sku": "", "price": 230000, "stock": "", "weight": 500, "weightUnit": "g", "containerSize": "500 گرم", "isDefault": true}]</x:v>
      </x:c>
      <x:c r="AI240" s="79"/>
      <x:c r="AJ240" s="79"/>
      <x:c r="AK240" s="79"/>
      <x:c r="AL240" t="str">
        <x:v>شیره انگور</x:v>
      </x:c>
      <x:c r="AM240" t="str">
        <x:v>single_242</x:v>
      </x:c>
      <x:c r="AN240" t="str">
        <x:v>canonical_group_row</x:v>
      </x:c>
      <x:c r="AO240" t="str">
        <x:v>نوشیدنی‌ها</x:v>
      </x:c>
      <x:c r="AP240" t="str">
        <x:v>6a3782ffdf5573f4e676e24b</x:v>
      </x:c>
      <x:c r="AQ240" t="str">
        <x:v>syrup</x:v>
      </x:c>
      <x:c r="AR240" t="str">
        <x:v>EDIBLE</x:v>
      </x:c>
      <x:c r="AS240" t="str">
        <x:v>بله</x:v>
      </x:c>
      <x:c r="AT240" t="str">
        <x:v>OK</x:v>
      </x:c>
      <x:c r="AU240" t="str">
        <x:v>دسته از «نیاز به بررسی» به «نوشیدنی‌ها» اصلاح شد</x:v>
      </x:c>
    </x:row>
    <x:row r="241">
      <x:c r="A241" s="79" t="n">
        <x:v>243</x:v>
      </x:c>
      <x:c r="B241" s="79" t="str">
        <x:v>NS-0240-1</x:v>
      </x:c>
      <x:c r="C241" s="79" t="str">
        <x:v>شیره توت</x:v>
      </x:c>
      <x:c r="D241" s="79" t="str">
        <x:v>mulberry_syrup</x:v>
      </x:c>
      <x:c r="E241" s="79" t="str">
        <x:v>update</x:v>
      </x:c>
      <x:c r="F241" s="79" t="str">
        <x:v>بله</x:v>
      </x:c>
      <x:c r="G241" s="79" t="str">
        <x:v>سایر</x:v>
      </x:c>
      <x:c r="H241" s="79" t="str">
        <x:v>نوشیدنی‌ها</x:v>
      </x:c>
      <x:c r="I241" s="79" t="str">
        <x:v>6a3782ffdf5573f4e676e24b</x:v>
      </x:c>
      <x:c r="J241" s="79" t="str">
        <x:v>syrup</x:v>
      </x:c>
      <x:c r="K241" s="79" t="str">
        <x:v>6a3782d7df5573f4e676e243</x:v>
      </x:c>
      <x:c r="L241" s="79" t="str">
        <x:v>EDIBLE</x:v>
      </x:c>
      <x:c r="M241" s="79" t="str">
        <x:v>بله</x:v>
      </x:c>
      <x:c r="N241" s="79" t="str">
        <x:v>خوراکی</x:v>
      </x:c>
      <x:c r="O241" s="79" t="str">
        <x:v>خیر</x:v>
      </x:c>
      <x:c r="P241" s="79" t="n">
        <x:v>1</x:v>
      </x:c>
      <x:c r="Q241" s="79" t="str">
        <x:v>500 گرمی</x:v>
      </x:c>
      <x:c r="R241" s="79" t="n">
        <x:v>230</x:v>
      </x:c>
      <x:c r="S241" s="104" t="n">
        <x:v>230000</x:v>
      </x:c>
      <x:c r="T241" s="79" t="n">
        <x:v>500</x:v>
      </x:c>
      <x:c r="U241" s="79" t="str">
        <x:v>g</x:v>
      </x:c>
      <x:c r="V241" s="79" t="str">
        <x:v>500 گرم</x:v>
      </x:c>
      <x:c r="W241" s="99" t="b">
        <x:v>1</x:v>
      </x:c>
      <x:c r="X241" s="79" t="str"/>
      <x:c r="Y241" s="79"/>
      <x:c r="Z241" s="104"/>
      <x:c r="AA241" s="79" t="str"/>
      <x:c r="AB241" s="79" t="str"/>
      <x:c r="AC241" s="79" t="str"/>
      <x:c r="AD241" s="79" t="str"/>
      <x:c r="AE241" s="79" t="str">
        <x:v>فعال</x:v>
      </x:c>
      <x:c r="AF241" s="79" t="str">
        <x:v>نیازمند بررسی دستی</x:v>
      </x:c>
      <x:c r="AG241" s="79" t="str">
        <x:v>دسته از «نیاز به بررسی» به «نوشیدنی‌ها» اصلاح شد</x:v>
      </x:c>
      <x:c r="AH241" s="79" t="str">
        <x:v>[{"name": "500 گرمی", "sku": "", "price": 230000, "stock": "", "weight": 500, "weightUnit": "g", "containerSize": "500 گرم", "isDefault": true}]</x:v>
      </x:c>
      <x:c r="AI241" s="79"/>
      <x:c r="AJ241" s="79"/>
      <x:c r="AK241" s="79"/>
      <x:c r="AL241" t="str">
        <x:v>شیره توت</x:v>
      </x:c>
      <x:c r="AM241" t="str">
        <x:v>single_243</x:v>
      </x:c>
      <x:c r="AN241" t="str">
        <x:v>canonical_group_row</x:v>
      </x:c>
      <x:c r="AO241" t="str">
        <x:v>نوشیدنی‌ها</x:v>
      </x:c>
      <x:c r="AP241" t="str">
        <x:v>6a3782ffdf5573f4e676e24b</x:v>
      </x:c>
      <x:c r="AQ241" t="str">
        <x:v>syrup</x:v>
      </x:c>
      <x:c r="AR241" t="str">
        <x:v>EDIBLE</x:v>
      </x:c>
      <x:c r="AS241" t="str">
        <x:v>بله</x:v>
      </x:c>
      <x:c r="AT241" t="str">
        <x:v>OK</x:v>
      </x:c>
      <x:c r="AU241" t="str">
        <x:v>دسته از «نیاز به بررسی» به «نوشیدنی‌ها» اصلاح شد</x:v>
      </x:c>
    </x:row>
    <x:row r="242">
      <x:c r="A242" s="79" t="n">
        <x:v>244</x:v>
      </x:c>
      <x:c r="B242" s="79" t="str">
        <x:v>NS-0241-1</x:v>
      </x:c>
      <x:c r="C242" s="79" t="str">
        <x:v>شیره خرما</x:v>
      </x:c>
      <x:c r="D242" s="79" t="str">
        <x:v>date_syrup</x:v>
      </x:c>
      <x:c r="E242" s="79" t="str">
        <x:v>update</x:v>
      </x:c>
      <x:c r="F242" s="79" t="str">
        <x:v>بله</x:v>
      </x:c>
      <x:c r="G242" s="79" t="str">
        <x:v>قنادی و شیرینی</x:v>
      </x:c>
      <x:c r="H242" s="79" t="str">
        <x:v>قنادی و شیرینی</x:v>
      </x:c>
      <x:c r="I242" s="79" t="str">
        <x:v>6a3a00000000000000000003</x:v>
      </x:c>
      <x:c r="J242" s="79" t="str">
        <x:v>confectionery</x:v>
      </x:c>
      <x:c r="K242" s="79"/>
      <x:c r="L242" s="79" t="str">
        <x:v>EDIBLE</x:v>
      </x:c>
      <x:c r="M242" s="79" t="str">
        <x:v>بله</x:v>
      </x:c>
      <x:c r="N242" s="79" t="str">
        <x:v>خوراکی</x:v>
      </x:c>
      <x:c r="O242" s="79" t="str">
        <x:v>خیر</x:v>
      </x:c>
      <x:c r="P242" s="79" t="n">
        <x:v>1</x:v>
      </x:c>
      <x:c r="Q242" s="79" t="str">
        <x:v>500 گرمی</x:v>
      </x:c>
      <x:c r="R242" s="79" t="n">
        <x:v>220</x:v>
      </x:c>
      <x:c r="S242" s="104" t="n">
        <x:v>220000</x:v>
      </x:c>
      <x:c r="T242" s="79" t="n">
        <x:v>500</x:v>
      </x:c>
      <x:c r="U242" s="79" t="str">
        <x:v>g</x:v>
      </x:c>
      <x:c r="V242" s="79" t="str">
        <x:v>500 گرم</x:v>
      </x:c>
      <x:c r="W242" s="99" t="b">
        <x:v>1</x:v>
      </x:c>
      <x:c r="X242" s="79" t="str"/>
      <x:c r="Y242" s="79"/>
      <x:c r="Z242" s="104"/>
      <x:c r="AA242" s="79" t="str"/>
      <x:c r="AB242" s="79" t="str"/>
      <x:c r="AC242" s="79" t="str"/>
      <x:c r="AD242" s="79" t="str"/>
      <x:c r="AE242" s="79" t="str">
        <x:v>فعال</x:v>
      </x:c>
      <x:c r="AF242" s="79" t="str">
        <x:v>دسته‌بندی نهایی</x:v>
      </x:c>
      <x:c r="AG242" s="79" t="str">
        <x:v>OK</x:v>
      </x:c>
      <x:c r="AH242" s="79" t="str">
        <x:v>[{"name": "500 گرمی", "sku": "", "price": 220000, "stock": "", "weight": 500, "weightUnit": "g", "containerSize": "500 گرم", "isDefault": true}]</x:v>
      </x:c>
      <x:c r="AI242" s="79"/>
      <x:c r="AJ242" s="79"/>
      <x:c r="AK242" s="79"/>
      <x:c r="AL242" t="str">
        <x:v>شیره خرما</x:v>
      </x:c>
      <x:c r="AM242" t="str">
        <x:v>single_244</x:v>
      </x:c>
      <x:c r="AN242" t="str">
        <x:v>canonical_group_row</x:v>
      </x:c>
      <x:c r="AO242" t="str">
        <x:v>قنادی و شیرینی</x:v>
      </x:c>
      <x:c r="AP242" t="str">
        <x:v>6a3a00000000000000000003</x:v>
      </x:c>
      <x:c r="AQ242" t="str">
        <x:v>confectionery</x:v>
      </x:c>
      <x:c r="AR242" t="str">
        <x:v>EDIBLE</x:v>
      </x:c>
      <x:c r="AS242" t="str">
        <x:v>بله</x:v>
      </x:c>
      <x:c r="AT242" t="str">
        <x:v>OK</x:v>
      </x:c>
      <x:c r="AU242"/>
    </x:row>
    <x:row r="243">
      <x:c r="A243" s="79" t="n">
        <x:v>245</x:v>
      </x:c>
      <x:c r="B243" s="79" t="str">
        <x:v>NS-0242-1</x:v>
      </x:c>
      <x:c r="C243" s="79" t="str">
        <x:v>شیره سفید</x:v>
      </x:c>
      <x:c r="D243" s="79" t="str">
        <x:v>white_syrup_500g</x:v>
      </x:c>
      <x:c r="E243" s="79" t="str">
        <x:v>update</x:v>
      </x:c>
      <x:c r="F243" s="79" t="str">
        <x:v>بله</x:v>
      </x:c>
      <x:c r="G243" s="79" t="str">
        <x:v>سایر</x:v>
      </x:c>
      <x:c r="H243" s="79" t="str">
        <x:v>نوشیدنی‌ها</x:v>
      </x:c>
      <x:c r="I243" s="79" t="str">
        <x:v>6a3782ffdf5573f4e676e24b</x:v>
      </x:c>
      <x:c r="J243" s="79" t="str">
        <x:v>syrup</x:v>
      </x:c>
      <x:c r="K243" s="79" t="str">
        <x:v>6a3782d7df5573f4e676e243</x:v>
      </x:c>
      <x:c r="L243" s="79" t="str">
        <x:v>EDIBLE</x:v>
      </x:c>
      <x:c r="M243" s="79" t="str">
        <x:v>بله</x:v>
      </x:c>
      <x:c r="N243" s="79" t="str">
        <x:v>خوراکی</x:v>
      </x:c>
      <x:c r="O243" s="79" t="str">
        <x:v>بله</x:v>
      </x:c>
      <x:c r="P243" s="79" t="n">
        <x:v>2</x:v>
      </x:c>
      <x:c r="Q243" s="79" t="str">
        <x:v>500 گرمی</x:v>
      </x:c>
      <x:c r="R243" s="79" t="n">
        <x:v>340</x:v>
      </x:c>
      <x:c r="S243" s="104" t="n">
        <x:v>340000</x:v>
      </x:c>
      <x:c r="T243" s="79" t="n">
        <x:v>500</x:v>
      </x:c>
      <x:c r="U243" s="79" t="str">
        <x:v>g</x:v>
      </x:c>
      <x:c r="V243" s="79" t="str">
        <x:v>500 گرم</x:v>
      </x:c>
      <x:c r="W243" s="99" t="b">
        <x:v>1</x:v>
      </x:c>
      <x:c r="X243" s="79" t="str">
        <x:v>1 کیلو</x:v>
      </x:c>
      <x:c r="Y243" s="79" t="n">
        <x:v>670</x:v>
      </x:c>
      <x:c r="Z243" s="104" t="n">
        <x:v>670000</x:v>
      </x:c>
      <x:c r="AA243" s="79" t="n">
        <x:v>1</x:v>
      </x:c>
      <x:c r="AB243" s="79" t="str">
        <x:v>kg</x:v>
      </x:c>
      <x:c r="AC243" s="79" t="str">
        <x:v>1 کیلو</x:v>
      </x:c>
      <x:c r="AD243" s="99" t="b">
        <x:v>0</x:v>
      </x:c>
      <x:c r="AE243" s="79" t="str">
        <x:v>فعال</x:v>
      </x:c>
      <x:c r="AF243" s="79" t="str">
        <x:v>نیازمند بررسی دستی</x:v>
      </x:c>
      <x:c r="AG243" s="79" t="str">
        <x:v>دسته از «نیاز به بررسی» به «نوشیدنی‌ها» اصلاح شد</x:v>
      </x:c>
      <x:c r="AH243" s="79" t="str">
        <x:v>[{"name": "500 گرمی", "sku": "", "price": 340000, "stock": "", "weight": 500, "weightUnit": "g", "containerSize": "500 گرم", "isDefault": true}, {"name": "1 کیلو", "sku": "", "price": 670000, "stock": "", "weight": 1, "weightUnit": "kg", "containerSize": "1 کیلو", "isDefault": false}]</x:v>
      </x:c>
      <x:c r="AI243" s="79"/>
      <x:c r="AJ243" s="79"/>
      <x:c r="AK243" s="79"/>
      <x:c r="AL243" t="str">
        <x:v>شیره سفید</x:v>
      </x:c>
      <x:c r="AM243" t="str">
        <x:v>single_245</x:v>
      </x:c>
      <x:c r="AN243" t="str">
        <x:v>canonical_group_row</x:v>
      </x:c>
      <x:c r="AO243" t="str">
        <x:v>نوشیدنی‌ها</x:v>
      </x:c>
      <x:c r="AP243" t="str">
        <x:v>6a3782ffdf5573f4e676e24b</x:v>
      </x:c>
      <x:c r="AQ243" t="str">
        <x:v>syrup</x:v>
      </x:c>
      <x:c r="AR243" t="str">
        <x:v>EDIBLE</x:v>
      </x:c>
      <x:c r="AS243" t="str">
        <x:v>بله</x:v>
      </x:c>
      <x:c r="AT243" t="str">
        <x:v>OK</x:v>
      </x:c>
      <x:c r="AU243" t="str">
        <x:v>دسته از «نیاز به بررسی» به «نوشیدنی‌ها» اصلاح شد</x:v>
      </x:c>
    </x:row>
    <x:row r="244">
      <x:c r="A244" s="79" t="n">
        <x:v>246</x:v>
      </x:c>
      <x:c r="B244" s="79" t="str">
        <x:v>NS-0243-1</x:v>
      </x:c>
      <x:c r="C244" s="79" t="str">
        <x:v>شیره سیب</x:v>
      </x:c>
      <x:c r="D244" s="79" t="str">
        <x:v>apple_syrup</x:v>
      </x:c>
      <x:c r="E244" s="79" t="str">
        <x:v>update</x:v>
      </x:c>
      <x:c r="F244" s="79" t="str">
        <x:v>بله</x:v>
      </x:c>
      <x:c r="G244" s="79" t="str">
        <x:v>سایر</x:v>
      </x:c>
      <x:c r="H244" s="79" t="str">
        <x:v>نوشیدنی‌ها</x:v>
      </x:c>
      <x:c r="I244" s="79" t="str">
        <x:v>6a3782ffdf5573f4e676e24b</x:v>
      </x:c>
      <x:c r="J244" s="79" t="str">
        <x:v>syrup</x:v>
      </x:c>
      <x:c r="K244" s="79" t="str">
        <x:v>6a3782d7df5573f4e676e243</x:v>
      </x:c>
      <x:c r="L244" s="79" t="str">
        <x:v>EDIBLE</x:v>
      </x:c>
      <x:c r="M244" s="79" t="str">
        <x:v>بله</x:v>
      </x:c>
      <x:c r="N244" s="79" t="str">
        <x:v>خوراکی</x:v>
      </x:c>
      <x:c r="O244" s="79" t="str">
        <x:v>خیر</x:v>
      </x:c>
      <x:c r="P244" s="79" t="n">
        <x:v>1</x:v>
      </x:c>
      <x:c r="Q244" s="79" t="str">
        <x:v>500 گرمی</x:v>
      </x:c>
      <x:c r="R244" s="79" t="n">
        <x:v>300</x:v>
      </x:c>
      <x:c r="S244" s="104" t="n">
        <x:v>300000</x:v>
      </x:c>
      <x:c r="T244" s="79" t="n">
        <x:v>500</x:v>
      </x:c>
      <x:c r="U244" s="79" t="str">
        <x:v>g</x:v>
      </x:c>
      <x:c r="V244" s="79" t="str">
        <x:v>500 گرم</x:v>
      </x:c>
      <x:c r="W244" s="99" t="b">
        <x:v>1</x:v>
      </x:c>
      <x:c r="X244" s="79" t="str"/>
      <x:c r="Y244" s="79"/>
      <x:c r="Z244" s="104"/>
      <x:c r="AA244" s="79" t="str"/>
      <x:c r="AB244" s="79" t="str"/>
      <x:c r="AC244" s="79" t="str"/>
      <x:c r="AD244" s="79" t="str"/>
      <x:c r="AE244" s="79" t="str">
        <x:v>فعال</x:v>
      </x:c>
      <x:c r="AF244" s="79" t="str">
        <x:v>نیازمند بررسی دستی</x:v>
      </x:c>
      <x:c r="AG244" s="79" t="str">
        <x:v>دسته از «نیاز به بررسی» به «نوشیدنی‌ها» اصلاح شد</x:v>
      </x:c>
      <x:c r="AH244" s="79" t="str">
        <x:v>[{"name": "500 گرمی", "sku": "", "price": 300000, "stock": "", "weight": 500, "weightUnit": "g", "containerSize": "500 گرم", "isDefault": true}]</x:v>
      </x:c>
      <x:c r="AI244" s="79"/>
      <x:c r="AJ244" s="79"/>
      <x:c r="AK244" s="79"/>
      <x:c r="AL244" t="str">
        <x:v>شیره سیب</x:v>
      </x:c>
      <x:c r="AM244" t="str">
        <x:v>single_246</x:v>
      </x:c>
      <x:c r="AN244" t="str">
        <x:v>canonical_group_row</x:v>
      </x:c>
      <x:c r="AO244" t="str">
        <x:v>نوشیدنی‌ها</x:v>
      </x:c>
      <x:c r="AP244" t="str">
        <x:v>6a3782ffdf5573f4e676e24b</x:v>
      </x:c>
      <x:c r="AQ244" t="str">
        <x:v>syrup</x:v>
      </x:c>
      <x:c r="AR244" t="str">
        <x:v>EDIBLE</x:v>
      </x:c>
      <x:c r="AS244" t="str">
        <x:v>بله</x:v>
      </x:c>
      <x:c r="AT244" t="str">
        <x:v>OK</x:v>
      </x:c>
      <x:c r="AU244" t="str">
        <x:v>دسته از «نیاز به بررسی» به «نوشیدنی‌ها» اصلاح شد</x:v>
      </x:c>
    </x:row>
    <x:row r="245">
      <x:c r="A245" s="79" t="n">
        <x:v>247</x:v>
      </x:c>
      <x:c r="B245" s="79" t="str">
        <x:v>NS-0244-1</x:v>
      </x:c>
      <x:c r="C245" s="79" t="str">
        <x:v>شیره شیرین بیان</x:v>
      </x:c>
      <x:c r="D245" s="79" t="str">
        <x:v>licorice_syrup</x:v>
      </x:c>
      <x:c r="E245" s="79" t="str">
        <x:v>update</x:v>
      </x:c>
      <x:c r="F245" s="79" t="str">
        <x:v>بله</x:v>
      </x:c>
      <x:c r="G245" s="79" t="str">
        <x:v>گیاهان دارویی</x:v>
      </x:c>
      <x:c r="H245" s="79" t="str">
        <x:v>گیاهان دارویی</x:v>
      </x:c>
      <x:c r="I245" s="79" t="str">
        <x:v>6a3782d7df5573f4e676e243</x:v>
      </x:c>
      <x:c r="J245" s="79" t="str">
        <x:v>medicinal-plants</x:v>
      </x:c>
      <x:c r="K245" s="79"/>
      <x:c r="L245" s="79" t="str">
        <x:v>EDIBLE</x:v>
      </x:c>
      <x:c r="M245" s="79" t="str">
        <x:v>بله</x:v>
      </x:c>
      <x:c r="N245" s="79" t="str">
        <x:v>خوراکی</x:v>
      </x:c>
      <x:c r="O245" s="79" t="str">
        <x:v>خیر</x:v>
      </x:c>
      <x:c r="P245" s="79" t="n">
        <x:v>1</x:v>
      </x:c>
      <x:c r="Q245" s="79" t="str">
        <x:v>کیلو</x:v>
      </x:c>
      <x:c r="R245" s="79" t="str">
        <x:v>1/800</x:v>
      </x:c>
      <x:c r="S245" s="104" t="n">
        <x:v>1800000</x:v>
      </x:c>
      <x:c r="T245" s="79" t="n">
        <x:v>1</x:v>
      </x:c>
      <x:c r="U245" s="79" t="str">
        <x:v>kg</x:v>
      </x:c>
      <x:c r="V245" s="79" t="str">
        <x:v>کیلو</x:v>
      </x:c>
      <x:c r="W245" s="99" t="b">
        <x:v>1</x:v>
      </x:c>
      <x:c r="X245" s="79" t="str"/>
      <x:c r="Y245" s="79"/>
      <x:c r="Z245" s="104"/>
      <x:c r="AA245" s="79" t="str"/>
      <x:c r="AB245" s="79" t="str"/>
      <x:c r="AC245" s="79" t="str"/>
      <x:c r="AD245" s="79" t="str"/>
      <x:c r="AE245" s="79" t="str">
        <x:v>فعال</x:v>
      </x:c>
      <x:c r="AF245" s="79" t="str">
        <x:v>دسته‌بندی نهایی</x:v>
      </x:c>
      <x:c r="AG245" s="79" t="str">
        <x:v>OK</x:v>
      </x:c>
      <x:c r="AH245" s="79" t="str">
        <x:v>[{"name": "کیلو", "sku": "", "price": 1800000, "stock": "", "weight": 1, "weightUnit": "kg", "containerSize": "کیلو", "isDefault": true}]</x:v>
      </x:c>
      <x:c r="AI245" s="79"/>
      <x:c r="AJ245" s="79"/>
      <x:c r="AK245" s="79"/>
      <x:c r="AL245" t="str">
        <x:v>شیره شیرین بیان</x:v>
      </x:c>
      <x:c r="AM245" t="str">
        <x:v>single_247</x:v>
      </x:c>
      <x:c r="AN245" t="str">
        <x:v>canonical_group_row</x:v>
      </x:c>
      <x:c r="AO245" t="str">
        <x:v>گیاهان دارویی</x:v>
      </x:c>
      <x:c r="AP245" t="str">
        <x:v>6a3782d7df5573f4e676e243</x:v>
      </x:c>
      <x:c r="AQ245" t="str">
        <x:v>medicinal-plants</x:v>
      </x:c>
      <x:c r="AR245" t="str">
        <x:v>EDIBLE</x:v>
      </x:c>
      <x:c r="AS245" t="str">
        <x:v>بله</x:v>
      </x:c>
      <x:c r="AT245" t="str">
        <x:v>OK</x:v>
      </x:c>
      <x:c r="AU245"/>
    </x:row>
    <x:row r="246">
      <x:c r="A246" s="79" t="n">
        <x:v>248</x:v>
      </x:c>
      <x:c r="B246" s="79" t="str">
        <x:v>NS-0245-1</x:v>
      </x:c>
      <x:c r="C246" s="79" t="str">
        <x:v>شیرین بیان چوب</x:v>
      </x:c>
      <x:c r="D246" s="79" t="str">
        <x:v>licorice_root</x:v>
      </x:c>
      <x:c r="E246" s="79" t="str">
        <x:v>update</x:v>
      </x:c>
      <x:c r="F246" s="79" t="str">
        <x:v>بله</x:v>
      </x:c>
      <x:c r="G246" s="79" t="str">
        <x:v>گیاهان دارویی</x:v>
      </x:c>
      <x:c r="H246" s="79" t="str">
        <x:v>گیاهان دارویی</x:v>
      </x:c>
      <x:c r="I246" s="79" t="str">
        <x:v>6a3782d7df5573f4e676e243</x:v>
      </x:c>
      <x:c r="J246" s="79" t="str">
        <x:v>medicinal-plants</x:v>
      </x:c>
      <x:c r="K246" s="79"/>
      <x:c r="L246" s="79" t="str">
        <x:v>EDIBLE</x:v>
      </x:c>
      <x:c r="M246" s="79" t="str">
        <x:v>بله</x:v>
      </x:c>
      <x:c r="N246" s="79" t="str">
        <x:v>خوراکی</x:v>
      </x:c>
      <x:c r="O246" s="79" t="str">
        <x:v>خیر</x:v>
      </x:c>
      <x:c r="P246" s="79" t="n">
        <x:v>1</x:v>
      </x:c>
      <x:c r="Q246" s="79" t="str">
        <x:v>کیلو</x:v>
      </x:c>
      <x:c r="R246" s="79" t="n">
        <x:v>600</x:v>
      </x:c>
      <x:c r="S246" s="104" t="n">
        <x:v>600000</x:v>
      </x:c>
      <x:c r="T246" s="79" t="n">
        <x:v>1</x:v>
      </x:c>
      <x:c r="U246" s="79" t="str">
        <x:v>kg</x:v>
      </x:c>
      <x:c r="V246" s="79" t="str">
        <x:v>کیلو</x:v>
      </x:c>
      <x:c r="W246" s="99" t="b">
        <x:v>1</x:v>
      </x:c>
      <x:c r="X246" s="79" t="str"/>
      <x:c r="Y246" s="79"/>
      <x:c r="Z246" s="104"/>
      <x:c r="AA246" s="79" t="str"/>
      <x:c r="AB246" s="79" t="str"/>
      <x:c r="AC246" s="79" t="str"/>
      <x:c r="AD246" s="79" t="str"/>
      <x:c r="AE246" s="79" t="str">
        <x:v>فعال</x:v>
      </x:c>
      <x:c r="AF246" s="79" t="str">
        <x:v>دسته‌بندی نهایی</x:v>
      </x:c>
      <x:c r="AG246" s="79" t="str">
        <x:v>OK</x:v>
      </x:c>
      <x:c r="AH246" s="79" t="str">
        <x:v>[{"name": "کیلو", "sku": "", "price": 600000, "stock": "", "weight": 1, "weightUnit": "kg", "containerSize": "کیلو", "isDefault": true}]</x:v>
      </x:c>
      <x:c r="AI246" s="79"/>
      <x:c r="AJ246" s="79"/>
      <x:c r="AK246" s="79"/>
      <x:c r="AL246" t="str">
        <x:v>شیرین بیان چوب</x:v>
      </x:c>
      <x:c r="AM246" t="str">
        <x:v>single_248</x:v>
      </x:c>
      <x:c r="AN246" t="str">
        <x:v>canonical_group_row</x:v>
      </x:c>
      <x:c r="AO246" t="str">
        <x:v>گیاهان دارویی</x:v>
      </x:c>
      <x:c r="AP246" t="str">
        <x:v>6a3782d7df5573f4e676e243</x:v>
      </x:c>
      <x:c r="AQ246" t="str">
        <x:v>medicinal-plants</x:v>
      </x:c>
      <x:c r="AR246" t="str">
        <x:v>EDIBLE</x:v>
      </x:c>
      <x:c r="AS246" t="str">
        <x:v>بله</x:v>
      </x:c>
      <x:c r="AT246" t="str">
        <x:v>OK</x:v>
      </x:c>
      <x:c r="AU246"/>
    </x:row>
    <x:row r="247">
      <x:c r="A247" s="79" t="n">
        <x:v>249</x:v>
      </x:c>
      <x:c r="B247" s="79" t="str">
        <x:v>NS-0246-1</x:v>
      </x:c>
      <x:c r="C247" s="79" t="str">
        <x:v>صابون 7 گیاه</x:v>
      </x:c>
      <x:c r="D247" s="79" t="str">
        <x:v>soap_7_herb</x:v>
      </x:c>
      <x:c r="E247" s="79" t="str">
        <x:v>update</x:v>
      </x:c>
      <x:c r="F247" s="79" t="str">
        <x:v>بله</x:v>
      </x:c>
      <x:c r="G247" s="79" t="str">
        <x:v>سایر</x:v>
      </x:c>
      <x:c r="H247" s="79" t="str">
        <x:v>گیاهان دارویی</x:v>
      </x:c>
      <x:c r="I247" s="79" t="str">
        <x:v>6a3782d7df5573f4e676e243</x:v>
      </x:c>
      <x:c r="J247" s="79" t="str">
        <x:v>medicinal-plants</x:v>
      </x:c>
      <x:c r="K247" s="79"/>
      <x:c r="L247" s="79" t="str">
        <x:v>TOPICAL</x:v>
      </x:c>
      <x:c r="M247" s="79" t="str">
        <x:v>خیر</x:v>
      </x:c>
      <x:c r="N247" s="79" t="str">
        <x:v>غیرخوراکی/موضعی</x:v>
      </x:c>
      <x:c r="O247" s="79" t="str">
        <x:v>خیر</x:v>
      </x:c>
      <x:c r="P247" s="79" t="n">
        <x:v>1</x:v>
      </x:c>
      <x:c r="Q247" s="79" t="str">
        <x:v>کیلو</x:v>
      </x:c>
      <x:c r="R247" s="79" t="n">
        <x:v>120</x:v>
      </x:c>
      <x:c r="S247" s="104" t="n">
        <x:v>120000</x:v>
      </x:c>
      <x:c r="T247" s="79" t="n">
        <x:v>1</x:v>
      </x:c>
      <x:c r="U247" s="79" t="str">
        <x:v>kg</x:v>
      </x:c>
      <x:c r="V247" s="79" t="str">
        <x:v>کیلو</x:v>
      </x:c>
      <x:c r="W247" s="99" t="b">
        <x:v>1</x:v>
      </x:c>
      <x:c r="X247" s="79" t="str"/>
      <x:c r="Y247" s="79"/>
      <x:c r="Z247" s="104"/>
      <x:c r="AA247" s="79" t="str"/>
      <x:c r="AB247" s="79" t="str"/>
      <x:c r="AC247" s="79" t="str"/>
      <x:c r="AD247" s="79" t="str"/>
      <x:c r="AE247" s="79" t="str">
        <x:v>فعال</x:v>
      </x:c>
      <x:c r="AF247" s="79" t="str">
        <x:v>نیازمند بررسی دستی</x:v>
      </x:c>
      <x:c r="AG247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47" s="79" t="str">
        <x:v>[{"name": "کیلو", "sku": "", "price": 120000, "stock": "", "weight": 1, "weightUnit": "kg", "containerSize": "کیلو", "isDefault": true}]</x:v>
      </x:c>
      <x:c r="AI247" s="79"/>
      <x:c r="AJ247" s="79"/>
      <x:c r="AK247" s="79"/>
      <x:c r="AL247" t="str">
        <x:v>صابون 7 گیاه</x:v>
      </x:c>
      <x:c r="AM247" t="str">
        <x:v>single_249</x:v>
      </x:c>
      <x:c r="AN247" t="str">
        <x:v>canonical_group_row</x:v>
      </x:c>
      <x:c r="AO247" t="str">
        <x:v>گیاهان دارویی</x:v>
      </x:c>
      <x:c r="AP247" t="str">
        <x:v>6a3782d7df5573f4e676e243</x:v>
      </x:c>
      <x:c r="AQ247" t="str">
        <x:v>medicinal-plants</x:v>
      </x:c>
      <x:c r="AR247" t="str">
        <x:v>TOPICAL</x:v>
      </x:c>
      <x:c r="AS247" t="str">
        <x:v>خیر</x:v>
      </x:c>
      <x:c r="AT247" t="str">
        <x:v>OK</x:v>
      </x:c>
      <x:c r="AU247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48">
      <x:c r="A248" s="79" t="n">
        <x:v>250</x:v>
      </x:c>
      <x:c r="B248" s="79" t="str">
        <x:v>NS-0247-1</x:v>
      </x:c>
      <x:c r="C248" s="79" t="str">
        <x:v>صابون انار</x:v>
      </x:c>
      <x:c r="D248" s="79" t="str">
        <x:v>soap_pomegranate</x:v>
      </x:c>
      <x:c r="E248" s="79" t="str">
        <x:v>update</x:v>
      </x:c>
      <x:c r="F248" s="79" t="str">
        <x:v>بله</x:v>
      </x:c>
      <x:c r="G248" s="79" t="str">
        <x:v>سایر</x:v>
      </x:c>
      <x:c r="H248" s="79" t="str">
        <x:v>گیاهان دارویی</x:v>
      </x:c>
      <x:c r="I248" s="79" t="str">
        <x:v>6a3782d7df5573f4e676e243</x:v>
      </x:c>
      <x:c r="J248" s="79" t="str">
        <x:v>medicinal-plants</x:v>
      </x:c>
      <x:c r="K248" s="79"/>
      <x:c r="L248" s="79" t="str">
        <x:v>TOPICAL</x:v>
      </x:c>
      <x:c r="M248" s="79" t="str">
        <x:v>خیر</x:v>
      </x:c>
      <x:c r="N248" s="79" t="str">
        <x:v>غیرخوراکی/موضعی</x:v>
      </x:c>
      <x:c r="O248" s="79" t="str">
        <x:v>خیر</x:v>
      </x:c>
      <x:c r="P248" s="79" t="n">
        <x:v>1</x:v>
      </x:c>
      <x:c r="Q248" s="79" t="str">
        <x:v>کیلو</x:v>
      </x:c>
      <x:c r="R248" s="79" t="n">
        <x:v>120</x:v>
      </x:c>
      <x:c r="S248" s="104" t="n">
        <x:v>120000</x:v>
      </x:c>
      <x:c r="T248" s="79" t="n">
        <x:v>1</x:v>
      </x:c>
      <x:c r="U248" s="79" t="str">
        <x:v>kg</x:v>
      </x:c>
      <x:c r="V248" s="79" t="str">
        <x:v>کیلو</x:v>
      </x:c>
      <x:c r="W248" s="99" t="b">
        <x:v>1</x:v>
      </x:c>
      <x:c r="X248" s="79" t="str"/>
      <x:c r="Y248" s="79"/>
      <x:c r="Z248" s="104"/>
      <x:c r="AA248" s="79" t="str"/>
      <x:c r="AB248" s="79" t="str"/>
      <x:c r="AC248" s="79" t="str"/>
      <x:c r="AD248" s="79" t="str"/>
      <x:c r="AE248" s="79" t="str">
        <x:v>فعال</x:v>
      </x:c>
      <x:c r="AF248" s="79" t="str">
        <x:v>نیازمند بررسی دستی</x:v>
      </x:c>
      <x:c r="AG24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48" s="79" t="str">
        <x:v>[{"name": "کیلو", "sku": "", "price": 120000, "stock": "", "weight": 1, "weightUnit": "kg", "containerSize": "کیلو", "isDefault": true}]</x:v>
      </x:c>
      <x:c r="AI248" s="79"/>
      <x:c r="AJ248" s="79"/>
      <x:c r="AK248" s="79"/>
      <x:c r="AL248" t="str">
        <x:v>صابون انار</x:v>
      </x:c>
      <x:c r="AM248" t="str">
        <x:v>single_250</x:v>
      </x:c>
      <x:c r="AN248" t="str">
        <x:v>canonical_group_row</x:v>
      </x:c>
      <x:c r="AO248" t="str">
        <x:v>گیاهان دارویی</x:v>
      </x:c>
      <x:c r="AP248" t="str">
        <x:v>6a3782d7df5573f4e676e243</x:v>
      </x:c>
      <x:c r="AQ248" t="str">
        <x:v>medicinal-plants</x:v>
      </x:c>
      <x:c r="AR248" t="str">
        <x:v>TOPICAL</x:v>
      </x:c>
      <x:c r="AS248" t="str">
        <x:v>خیر</x:v>
      </x:c>
      <x:c r="AT248" t="str">
        <x:v>OK</x:v>
      </x:c>
      <x:c r="AU248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49">
      <x:c r="A249" s="79" t="n">
        <x:v>251</x:v>
      </x:c>
      <x:c r="B249" s="79" t="str">
        <x:v>NS-0248-1</x:v>
      </x:c>
      <x:c r="C249" s="79" t="str">
        <x:v>صابون انگور</x:v>
      </x:c>
      <x:c r="D249" s="79" t="str">
        <x:v>soap_grape</x:v>
      </x:c>
      <x:c r="E249" s="79" t="str">
        <x:v>update</x:v>
      </x:c>
      <x:c r="F249" s="79" t="str">
        <x:v>بله</x:v>
      </x:c>
      <x:c r="G249" s="79" t="str">
        <x:v>سایر</x:v>
      </x:c>
      <x:c r="H249" s="79" t="str">
        <x:v>گیاهان دارویی</x:v>
      </x:c>
      <x:c r="I249" s="79" t="str">
        <x:v>6a3782d7df5573f4e676e243</x:v>
      </x:c>
      <x:c r="J249" s="79" t="str">
        <x:v>medicinal-plants</x:v>
      </x:c>
      <x:c r="K249" s="79"/>
      <x:c r="L249" s="79" t="str">
        <x:v>TOPICAL</x:v>
      </x:c>
      <x:c r="M249" s="79" t="str">
        <x:v>خیر</x:v>
      </x:c>
      <x:c r="N249" s="79" t="str">
        <x:v>غیرخوراکی/موضعی</x:v>
      </x:c>
      <x:c r="O249" s="79" t="str">
        <x:v>خیر</x:v>
      </x:c>
      <x:c r="P249" s="79" t="n">
        <x:v>1</x:v>
      </x:c>
      <x:c r="Q249" s="79" t="str">
        <x:v>کیلو</x:v>
      </x:c>
      <x:c r="R249" s="79" t="n">
        <x:v>120</x:v>
      </x:c>
      <x:c r="S249" s="104" t="n">
        <x:v>120000</x:v>
      </x:c>
      <x:c r="T249" s="79" t="n">
        <x:v>1</x:v>
      </x:c>
      <x:c r="U249" s="79" t="str">
        <x:v>kg</x:v>
      </x:c>
      <x:c r="V249" s="79" t="str">
        <x:v>کیلو</x:v>
      </x:c>
      <x:c r="W249" s="99" t="b">
        <x:v>1</x:v>
      </x:c>
      <x:c r="X249" s="79" t="str"/>
      <x:c r="Y249" s="79"/>
      <x:c r="Z249" s="104"/>
      <x:c r="AA249" s="79" t="str"/>
      <x:c r="AB249" s="79" t="str"/>
      <x:c r="AC249" s="79" t="str"/>
      <x:c r="AD249" s="79" t="str"/>
      <x:c r="AE249" s="79" t="str">
        <x:v>فعال</x:v>
      </x:c>
      <x:c r="AF249" s="79" t="str">
        <x:v>نیازمند بررسی دستی</x:v>
      </x:c>
      <x:c r="AG24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49" s="79" t="str">
        <x:v>[{"name": "کیلو", "sku": "", "price": 120000, "stock": "", "weight": 1, "weightUnit": "kg", "containerSize": "کیلو", "isDefault": true}]</x:v>
      </x:c>
      <x:c r="AI249" s="79"/>
      <x:c r="AJ249" s="79"/>
      <x:c r="AK249" s="79"/>
      <x:c r="AL249" t="str">
        <x:v>صابون انگور</x:v>
      </x:c>
      <x:c r="AM249" t="str">
        <x:v>single_251</x:v>
      </x:c>
      <x:c r="AN249" t="str">
        <x:v>canonical_group_row</x:v>
      </x:c>
      <x:c r="AO249" t="str">
        <x:v>گیاهان دارویی</x:v>
      </x:c>
      <x:c r="AP249" t="str">
        <x:v>6a3782d7df5573f4e676e243</x:v>
      </x:c>
      <x:c r="AQ249" t="str">
        <x:v>medicinal-plants</x:v>
      </x:c>
      <x:c r="AR249" t="str">
        <x:v>TOPICAL</x:v>
      </x:c>
      <x:c r="AS249" t="str">
        <x:v>خیر</x:v>
      </x:c>
      <x:c r="AT249" t="str">
        <x:v>OK</x:v>
      </x:c>
      <x:c r="AU24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0">
      <x:c r="A250" s="79" t="n">
        <x:v>252</x:v>
      </x:c>
      <x:c r="B250" s="79" t="str">
        <x:v>NS-0249-1</x:v>
      </x:c>
      <x:c r="C250" s="79" t="str">
        <x:v>صابون آرگان</x:v>
      </x:c>
      <x:c r="D250" s="79" t="str">
        <x:v>soap_argan</x:v>
      </x:c>
      <x:c r="E250" s="79" t="str">
        <x:v>update</x:v>
      </x:c>
      <x:c r="F250" s="79" t="str">
        <x:v>بله</x:v>
      </x:c>
      <x:c r="G250" s="79" t="str">
        <x:v>سایر</x:v>
      </x:c>
      <x:c r="H250" s="79" t="str">
        <x:v>گیاهان دارویی</x:v>
      </x:c>
      <x:c r="I250" s="79" t="str">
        <x:v>6a3782d7df5573f4e676e243</x:v>
      </x:c>
      <x:c r="J250" s="79" t="str">
        <x:v>medicinal-plants</x:v>
      </x:c>
      <x:c r="K250" s="79"/>
      <x:c r="L250" s="79" t="str">
        <x:v>TOPICAL</x:v>
      </x:c>
      <x:c r="M250" s="79" t="str">
        <x:v>خیر</x:v>
      </x:c>
      <x:c r="N250" s="79" t="str">
        <x:v>غیرخوراکی/موضعی</x:v>
      </x:c>
      <x:c r="O250" s="79" t="str">
        <x:v>خیر</x:v>
      </x:c>
      <x:c r="P250" s="79" t="n">
        <x:v>1</x:v>
      </x:c>
      <x:c r="Q250" s="79" t="str">
        <x:v>کیلو</x:v>
      </x:c>
      <x:c r="R250" s="79" t="n">
        <x:v>180</x:v>
      </x:c>
      <x:c r="S250" s="104" t="n">
        <x:v>180000</x:v>
      </x:c>
      <x:c r="T250" s="79" t="n">
        <x:v>1</x:v>
      </x:c>
      <x:c r="U250" s="79" t="str">
        <x:v>kg</x:v>
      </x:c>
      <x:c r="V250" s="79" t="str">
        <x:v>کیلو</x:v>
      </x:c>
      <x:c r="W250" s="99" t="b">
        <x:v>1</x:v>
      </x:c>
      <x:c r="X250" s="79" t="str"/>
      <x:c r="Y250" s="79"/>
      <x:c r="Z250" s="104"/>
      <x:c r="AA250" s="79" t="str"/>
      <x:c r="AB250" s="79" t="str"/>
      <x:c r="AC250" s="79" t="str"/>
      <x:c r="AD250" s="79" t="str"/>
      <x:c r="AE250" s="79" t="str">
        <x:v>فعال</x:v>
      </x:c>
      <x:c r="AF250" s="79" t="str">
        <x:v>نیازمند بررسی دستی</x:v>
      </x:c>
      <x:c r="AG25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50" s="79" t="str">
        <x:v>[{"name": "کیلو", "sku": "", "price": 180000, "stock": "", "weight": 1, "weightUnit": "kg", "containerSize": "کیلو", "isDefault": true}]</x:v>
      </x:c>
      <x:c r="AI250" s="79"/>
      <x:c r="AJ250" s="79"/>
      <x:c r="AK250" s="79"/>
      <x:c r="AL250" t="str">
        <x:v>صابون آرگان</x:v>
      </x:c>
      <x:c r="AM250" t="str">
        <x:v>single_252</x:v>
      </x:c>
      <x:c r="AN250" t="str">
        <x:v>canonical_group_row</x:v>
      </x:c>
      <x:c r="AO250" t="str">
        <x:v>گیاهان دارویی</x:v>
      </x:c>
      <x:c r="AP250" t="str">
        <x:v>6a3782d7df5573f4e676e243</x:v>
      </x:c>
      <x:c r="AQ250" t="str">
        <x:v>medicinal-plants</x:v>
      </x:c>
      <x:c r="AR250" t="str">
        <x:v>TOPICAL</x:v>
      </x:c>
      <x:c r="AS250" t="str">
        <x:v>خیر</x:v>
      </x:c>
      <x:c r="AT250" t="str">
        <x:v>OK</x:v>
      </x:c>
      <x:c r="AU250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1">
      <x:c r="A251" s="79" t="n">
        <x:v>253</x:v>
      </x:c>
      <x:c r="B251" s="79" t="str">
        <x:v>NS-0250-1</x:v>
      </x:c>
      <x:c r="C251" s="79" t="str">
        <x:v>صابون آلبالو</x:v>
      </x:c>
      <x:c r="D251" s="79" t="str">
        <x:v>soap_sour_cherry</x:v>
      </x:c>
      <x:c r="E251" s="79" t="str">
        <x:v>update</x:v>
      </x:c>
      <x:c r="F251" s="79" t="str">
        <x:v>بله</x:v>
      </x:c>
      <x:c r="G251" s="79" t="str">
        <x:v>سایر</x:v>
      </x:c>
      <x:c r="H251" s="79" t="str">
        <x:v>گیاهان دارویی</x:v>
      </x:c>
      <x:c r="I251" s="79" t="str">
        <x:v>6a3782d7df5573f4e676e243</x:v>
      </x:c>
      <x:c r="J251" s="79" t="str">
        <x:v>medicinal-plants</x:v>
      </x:c>
      <x:c r="K251" s="79"/>
      <x:c r="L251" s="79" t="str">
        <x:v>TOPICAL</x:v>
      </x:c>
      <x:c r="M251" s="79" t="str">
        <x:v>خیر</x:v>
      </x:c>
      <x:c r="N251" s="79" t="str">
        <x:v>غیرخوراکی/موضعی</x:v>
      </x:c>
      <x:c r="O251" s="79" t="str">
        <x:v>خیر</x:v>
      </x:c>
      <x:c r="P251" s="79" t="n">
        <x:v>1</x:v>
      </x:c>
      <x:c r="Q251" s="79" t="str">
        <x:v>کیلو</x:v>
      </x:c>
      <x:c r="R251" s="79" t="n">
        <x:v>120</x:v>
      </x:c>
      <x:c r="S251" s="104" t="n">
        <x:v>120000</x:v>
      </x:c>
      <x:c r="T251" s="79" t="n">
        <x:v>1</x:v>
      </x:c>
      <x:c r="U251" s="79" t="str">
        <x:v>kg</x:v>
      </x:c>
      <x:c r="V251" s="79" t="str">
        <x:v>کیلو</x:v>
      </x:c>
      <x:c r="W251" s="99" t="b">
        <x:v>1</x:v>
      </x:c>
      <x:c r="X251" s="79" t="str"/>
      <x:c r="Y251" s="79"/>
      <x:c r="Z251" s="104"/>
      <x:c r="AA251" s="79" t="str"/>
      <x:c r="AB251" s="79" t="str"/>
      <x:c r="AC251" s="79" t="str"/>
      <x:c r="AD251" s="79" t="str"/>
      <x:c r="AE251" s="79" t="str">
        <x:v>فعال</x:v>
      </x:c>
      <x:c r="AF251" s="79" t="str">
        <x:v>نیازمند بررسی دستی</x:v>
      </x:c>
      <x:c r="AG251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51" s="79" t="str">
        <x:v>[{"name": "کیلو", "sku": "", "price": 120000, "stock": "", "weight": 1, "weightUnit": "kg", "containerSize": "کیلو", "isDefault": true}]</x:v>
      </x:c>
      <x:c r="AI251" s="79"/>
      <x:c r="AJ251" s="79"/>
      <x:c r="AK251" s="79"/>
      <x:c r="AL251" t="str">
        <x:v>صابون آلبالو</x:v>
      </x:c>
      <x:c r="AM251" t="str">
        <x:v>single_253</x:v>
      </x:c>
      <x:c r="AN251" t="str">
        <x:v>canonical_group_row</x:v>
      </x:c>
      <x:c r="AO251" t="str">
        <x:v>گیاهان دارویی</x:v>
      </x:c>
      <x:c r="AP251" t="str">
        <x:v>6a3782d7df5573f4e676e243</x:v>
      </x:c>
      <x:c r="AQ251" t="str">
        <x:v>medicinal-plants</x:v>
      </x:c>
      <x:c r="AR251" t="str">
        <x:v>TOPICAL</x:v>
      </x:c>
      <x:c r="AS251" t="str">
        <x:v>خیر</x:v>
      </x:c>
      <x:c r="AT251" t="str">
        <x:v>OK</x:v>
      </x:c>
      <x:c r="AU251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2">
      <x:c r="A252" s="79" t="n">
        <x:v>254</x:v>
      </x:c>
      <x:c r="B252" s="79" t="str">
        <x:v>NS-0251-1</x:v>
      </x:c>
      <x:c r="C252" s="79" t="str">
        <x:v>صابون تریاک</x:v>
      </x:c>
      <x:c r="D252" s="79" t="str">
        <x:v>soap_tryak</x:v>
      </x:c>
      <x:c r="E252" s="79" t="str">
        <x:v>update</x:v>
      </x:c>
      <x:c r="F252" s="79" t="str">
        <x:v>بله</x:v>
      </x:c>
      <x:c r="G252" s="79" t="str">
        <x:v>سایر</x:v>
      </x:c>
      <x:c r="H252" s="79" t="str">
        <x:v>گیاهان دارویی</x:v>
      </x:c>
      <x:c r="I252" s="79" t="str">
        <x:v>6a3782d7df5573f4e676e243</x:v>
      </x:c>
      <x:c r="J252" s="79" t="str">
        <x:v>medicinal-plants</x:v>
      </x:c>
      <x:c r="K252" s="79"/>
      <x:c r="L252" s="79" t="str">
        <x:v>TOPICAL</x:v>
      </x:c>
      <x:c r="M252" s="79" t="str">
        <x:v>خیر</x:v>
      </x:c>
      <x:c r="N252" s="79" t="str">
        <x:v>غیرخوراکی/موضعی</x:v>
      </x:c>
      <x:c r="O252" s="79" t="str">
        <x:v>خیر</x:v>
      </x:c>
      <x:c r="P252" s="79" t="n">
        <x:v>1</x:v>
      </x:c>
      <x:c r="Q252" s="79" t="str">
        <x:v>کیلو</x:v>
      </x:c>
      <x:c r="R252" s="79" t="n">
        <x:v>250</x:v>
      </x:c>
      <x:c r="S252" s="104" t="n">
        <x:v>250000</x:v>
      </x:c>
      <x:c r="T252" s="79" t="n">
        <x:v>1</x:v>
      </x:c>
      <x:c r="U252" s="79" t="str">
        <x:v>kg</x:v>
      </x:c>
      <x:c r="V252" s="79" t="str">
        <x:v>کیلو</x:v>
      </x:c>
      <x:c r="W252" s="99" t="b">
        <x:v>1</x:v>
      </x:c>
      <x:c r="X252" s="79" t="str"/>
      <x:c r="Y252" s="79"/>
      <x:c r="Z252" s="104"/>
      <x:c r="AA252" s="79" t="str"/>
      <x:c r="AB252" s="79" t="str"/>
      <x:c r="AC252" s="79" t="str"/>
      <x:c r="AD252" s="79" t="str"/>
      <x:c r="AE252" s="79" t="str">
        <x:v>فعال</x:v>
      </x:c>
      <x:c r="AF252" s="79" t="str">
        <x:v>نیازمند بررسی دستی</x:v>
      </x:c>
      <x:c r="AG25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52" s="79" t="str">
        <x:v>[{"name": "کیلو", "sku": "", "price": 250000, "stock": "", "weight": 1, "weightUnit": "kg", "containerSize": "کیلو", "isDefault": true}]</x:v>
      </x:c>
      <x:c r="AI252" s="79"/>
      <x:c r="AJ252" s="79"/>
      <x:c r="AK252" s="79"/>
      <x:c r="AL252" t="str">
        <x:v>صابون تریاک</x:v>
      </x:c>
      <x:c r="AM252" t="str">
        <x:v>single_254</x:v>
      </x:c>
      <x:c r="AN252" t="str">
        <x:v>canonical_group_row</x:v>
      </x:c>
      <x:c r="AO252" t="str">
        <x:v>گیاهان دارویی</x:v>
      </x:c>
      <x:c r="AP252" t="str">
        <x:v>6a3782d7df5573f4e676e243</x:v>
      </x:c>
      <x:c r="AQ252" t="str">
        <x:v>medicinal-plants</x:v>
      </x:c>
      <x:c r="AR252" t="str">
        <x:v>TOPICAL</x:v>
      </x:c>
      <x:c r="AS252" t="str">
        <x:v>خیر</x:v>
      </x:c>
      <x:c r="AT252" t="str">
        <x:v>OK</x:v>
      </x:c>
      <x:c r="AU252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3">
      <x:c r="A253" s="79" t="n">
        <x:v>255</x:v>
      </x:c>
      <x:c r="B253" s="79" t="str"/>
      <x:c r="C253" s="79" t="str">
        <x:v>صابون درخت چای</x:v>
      </x:c>
      <x:c r="D253" s="79" t="str">
        <x:v>sabvn-drkht-chay</x:v>
      </x:c>
      <x:c r="E253" s="79" t="str">
        <x:v>import</x:v>
      </x:c>
      <x:c r="F253" s="79" t="str">
        <x:v>خیر</x:v>
      </x:c>
      <x:c r="G253" s="79" t="str"/>
      <x:c r="H253" s="79" t="str">
        <x:v>گیاهان دارویی</x:v>
      </x:c>
      <x:c r="I253" s="79" t="str">
        <x:v>6a3782d7df5573f4e676e243</x:v>
      </x:c>
      <x:c r="J253" s="79" t="str">
        <x:v>medicinal-plants</x:v>
      </x:c>
      <x:c r="K253" s="79"/>
      <x:c r="L253" s="79" t="str">
        <x:v>TOPICAL</x:v>
      </x:c>
      <x:c r="M253" s="79" t="str">
        <x:v>خیر</x:v>
      </x:c>
      <x:c r="N253" s="79" t="str">
        <x:v>غیرخوراکی/موضعی</x:v>
      </x:c>
      <x:c r="O253" s="79" t="str">
        <x:v>خیر</x:v>
      </x:c>
      <x:c r="P253" s="79" t="n">
        <x:v>1</x:v>
      </x:c>
      <x:c r="Q253" s="79" t="str">
        <x:v>کیلو</x:v>
      </x:c>
      <x:c r="R253" s="79" t="n">
        <x:v>120</x:v>
      </x:c>
      <x:c r="S253" s="104" t="n">
        <x:v>120000</x:v>
      </x:c>
      <x:c r="T253" s="79" t="n">
        <x:v>1</x:v>
      </x:c>
      <x:c r="U253" s="79" t="str">
        <x:v>kg</x:v>
      </x:c>
      <x:c r="V253" s="79" t="str">
        <x:v>کیلو</x:v>
      </x:c>
      <x:c r="W253" s="99" t="b">
        <x:v>1</x:v>
      </x:c>
      <x:c r="X253" s="79" t="str"/>
      <x:c r="Y253" s="79"/>
      <x:c r="Z253" s="104"/>
      <x:c r="AA253" s="79" t="str"/>
      <x:c r="AB253" s="79" t="str"/>
      <x:c r="AC253" s="79" t="str"/>
      <x:c r="AD253" s="79" t="str"/>
      <x:c r="AE253" s="79" t="str">
        <x:v>فعال</x:v>
      </x:c>
      <x:c r="AF253" s="79" t="str">
        <x:v>نیازمند بررسی دستی</x:v>
      </x:c>
      <x:c r="AG25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53" s="79" t="str">
        <x:v>[{"name": "کیلو", "sku": "", "price": 120000, "stock": "", "weight": 1, "weightUnit": "kg", "containerSize": "کیلو", "isDefault": true}]</x:v>
      </x:c>
      <x:c r="AI253" s="79"/>
      <x:c r="AJ253" s="79"/>
      <x:c r="AK253" s="79"/>
      <x:c r="AL253" t="str">
        <x:v>صابون درخت چای</x:v>
      </x:c>
      <x:c r="AM253" t="str">
        <x:v>single_255</x:v>
      </x:c>
      <x:c r="AN253" t="str">
        <x:v>canonical_group_row</x:v>
      </x:c>
      <x:c r="AO253" t="str">
        <x:v>گیاهان دارویی</x:v>
      </x:c>
      <x:c r="AP253" t="str">
        <x:v>6a3782d7df5573f4e676e243</x:v>
      </x:c>
      <x:c r="AQ253" t="str">
        <x:v>medicinal-plants</x:v>
      </x:c>
      <x:c r="AR253" t="str">
        <x:v>TOPICAL</x:v>
      </x:c>
      <x:c r="AS253" t="str">
        <x:v>خیر</x:v>
      </x:c>
      <x:c r="AT253" t="str">
        <x:v>OK</x:v>
      </x:c>
      <x:c r="AU253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4">
      <x:c r="A254" s="79" t="n">
        <x:v>256</x:v>
      </x:c>
      <x:c r="B254" s="79" t="str">
        <x:v>NS-0253-1</x:v>
      </x:c>
      <x:c r="C254" s="79" t="str">
        <x:v>صابون ذغال اکتیو</x:v>
      </x:c>
      <x:c r="D254" s="79" t="str">
        <x:v>soap_charcoal_active</x:v>
      </x:c>
      <x:c r="E254" s="79" t="str">
        <x:v>update</x:v>
      </x:c>
      <x:c r="F254" s="79" t="str">
        <x:v>بله</x:v>
      </x:c>
      <x:c r="G254" s="79" t="str">
        <x:v>سایر</x:v>
      </x:c>
      <x:c r="H254" s="79" t="str">
        <x:v>گیاهان دارویی</x:v>
      </x:c>
      <x:c r="I254" s="79" t="str">
        <x:v>6a3782d7df5573f4e676e243</x:v>
      </x:c>
      <x:c r="J254" s="79" t="str">
        <x:v>medicinal-plants</x:v>
      </x:c>
      <x:c r="K254" s="79"/>
      <x:c r="L254" s="79" t="str">
        <x:v>TOPICAL</x:v>
      </x:c>
      <x:c r="M254" s="79" t="str">
        <x:v>خیر</x:v>
      </x:c>
      <x:c r="N254" s="79" t="str">
        <x:v>غیرخوراکی/موضعی</x:v>
      </x:c>
      <x:c r="O254" s="79" t="str">
        <x:v>خیر</x:v>
      </x:c>
      <x:c r="P254" s="79" t="n">
        <x:v>1</x:v>
      </x:c>
      <x:c r="Q254" s="79" t="str">
        <x:v>کیلو</x:v>
      </x:c>
      <x:c r="R254" s="79" t="n">
        <x:v>120</x:v>
      </x:c>
      <x:c r="S254" s="104" t="n">
        <x:v>120000</x:v>
      </x:c>
      <x:c r="T254" s="79" t="n">
        <x:v>1</x:v>
      </x:c>
      <x:c r="U254" s="79" t="str">
        <x:v>kg</x:v>
      </x:c>
      <x:c r="V254" s="79" t="str">
        <x:v>کیلو</x:v>
      </x:c>
      <x:c r="W254" s="99" t="b">
        <x:v>1</x:v>
      </x:c>
      <x:c r="X254" s="79" t="str"/>
      <x:c r="Y254" s="79"/>
      <x:c r="Z254" s="104"/>
      <x:c r="AA254" s="79" t="str"/>
      <x:c r="AB254" s="79" t="str"/>
      <x:c r="AC254" s="79" t="str"/>
      <x:c r="AD254" s="79" t="str"/>
      <x:c r="AE254" s="79" t="str">
        <x:v>فعال</x:v>
      </x:c>
      <x:c r="AF254" s="79" t="str">
        <x:v>نیازمند بررسی دستی</x:v>
      </x:c>
      <x:c r="AG254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54" s="79" t="str">
        <x:v>[{"name": "کیلو", "sku": "", "price": 120000, "stock": "", "weight": 1, "weightUnit": "kg", "containerSize": "کیلو", "isDefault": true}]</x:v>
      </x:c>
      <x:c r="AI254" s="79"/>
      <x:c r="AJ254" s="79"/>
      <x:c r="AK254" s="79"/>
      <x:c r="AL254" t="str">
        <x:v>صابون ذغال اکتیو</x:v>
      </x:c>
      <x:c r="AM254" t="str">
        <x:v>single_256</x:v>
      </x:c>
      <x:c r="AN254" t="str">
        <x:v>canonical_group_row</x:v>
      </x:c>
      <x:c r="AO254" t="str">
        <x:v>گیاهان دارویی</x:v>
      </x:c>
      <x:c r="AP254" t="str">
        <x:v>6a3782d7df5573f4e676e243</x:v>
      </x:c>
      <x:c r="AQ254" t="str">
        <x:v>medicinal-plants</x:v>
      </x:c>
      <x:c r="AR254" t="str">
        <x:v>TOPICAL</x:v>
      </x:c>
      <x:c r="AS254" t="str">
        <x:v>خیر</x:v>
      </x:c>
      <x:c r="AT254" t="str">
        <x:v>OK</x:v>
      </x:c>
      <x:c r="AU254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5">
      <x:c r="A255" s="79" t="n">
        <x:v>257</x:v>
      </x:c>
      <x:c r="B255" s="79" t="str">
        <x:v>NS-0254-1</x:v>
      </x:c>
      <x:c r="C255" s="79" t="str">
        <x:v>صابون زردآلو</x:v>
      </x:c>
      <x:c r="D255" s="79" t="str">
        <x:v>soap_apricot</x:v>
      </x:c>
      <x:c r="E255" s="79" t="str">
        <x:v>update</x:v>
      </x:c>
      <x:c r="F255" s="79" t="str">
        <x:v>بله</x:v>
      </x:c>
      <x:c r="G255" s="79" t="str">
        <x:v>خشکبار و آجیل</x:v>
      </x:c>
      <x:c r="H255" s="79" t="str">
        <x:v>گیاهان دارویی</x:v>
      </x:c>
      <x:c r="I255" s="79" t="str">
        <x:v>6a3782d7df5573f4e676e243</x:v>
      </x:c>
      <x:c r="J255" s="79" t="str">
        <x:v>medicinal-plants</x:v>
      </x:c>
      <x:c r="K255" s="79"/>
      <x:c r="L255" s="79" t="str">
        <x:v>TOPICAL</x:v>
      </x:c>
      <x:c r="M255" s="79" t="str">
        <x:v>خیر</x:v>
      </x:c>
      <x:c r="N255" s="79" t="str">
        <x:v>غیرخوراکی/موضعی</x:v>
      </x:c>
      <x:c r="O255" s="79" t="str">
        <x:v>خیر</x:v>
      </x:c>
      <x:c r="P255" s="79" t="n">
        <x:v>1</x:v>
      </x:c>
      <x:c r="Q255" s="79" t="str">
        <x:v>کیلو</x:v>
      </x:c>
      <x:c r="R255" s="79" t="n">
        <x:v>120</x:v>
      </x:c>
      <x:c r="S255" s="104" t="n">
        <x:v>120000</x:v>
      </x:c>
      <x:c r="T255" s="79" t="n">
        <x:v>1</x:v>
      </x:c>
      <x:c r="U255" s="79" t="str">
        <x:v>kg</x:v>
      </x:c>
      <x:c r="V255" s="79" t="str">
        <x:v>کیلو</x:v>
      </x:c>
      <x:c r="W255" s="99" t="b">
        <x:v>1</x:v>
      </x:c>
      <x:c r="X255" s="79" t="str"/>
      <x:c r="Y255" s="79"/>
      <x:c r="Z255" s="104"/>
      <x:c r="AA255" s="79" t="str"/>
      <x:c r="AB255" s="79" t="str"/>
      <x:c r="AC255" s="79" t="str"/>
      <x:c r="AD255" s="79" t="str"/>
      <x:c r="AE255" s="79" t="str">
        <x:v>فعال</x:v>
      </x:c>
      <x:c r="AF255" s="79" t="str">
        <x:v>دسته‌بندی نهایی</x:v>
      </x:c>
      <x:c r="AG255" s="79" t="str">
        <x:v>دسته از «خشکبار و آجیل» به «گیاهان دارویی» اصلاح شد | نوع مصرف به موضعی/غیرخوراکی اصلاح شد</x:v>
      </x:c>
      <x:c r="AH255" s="79" t="str">
        <x:v>[{"name": "کیلو", "sku": "", "price": 120000, "stock": "", "weight": 1, "weightUnit": "kg", "containerSize": "کیلو", "isDefault": true}]</x:v>
      </x:c>
      <x:c r="AI255" s="79"/>
      <x:c r="AJ255" s="79"/>
      <x:c r="AK255" s="79"/>
      <x:c r="AL255" t="str">
        <x:v>صابون زردآلو</x:v>
      </x:c>
      <x:c r="AM255" t="str">
        <x:v>single_257</x:v>
      </x:c>
      <x:c r="AN255" t="str">
        <x:v>canonical_group_row</x:v>
      </x:c>
      <x:c r="AO255" t="str">
        <x:v>گیاهان دارویی</x:v>
      </x:c>
      <x:c r="AP255" t="str">
        <x:v>6a3782d7df5573f4e676e243</x:v>
      </x:c>
      <x:c r="AQ255" t="str">
        <x:v>medicinal-plants</x:v>
      </x:c>
      <x:c r="AR255" t="str">
        <x:v>TOPICAL</x:v>
      </x:c>
      <x:c r="AS255" t="str">
        <x:v>خیر</x:v>
      </x:c>
      <x:c r="AT255" t="str">
        <x:v>OK</x:v>
      </x:c>
      <x:c r="AU255" t="str">
        <x:v>دسته از «خشکبار و آجیل» به «گیاهان دارویی» اصلاح شد | نوع مصرف به موضعی/غیرخوراکی اصلاح شد</x:v>
      </x:c>
    </x:row>
    <x:row r="256">
      <x:c r="A256" s="79" t="n">
        <x:v>258</x:v>
      </x:c>
      <x:c r="B256" s="79" t="str">
        <x:v>NS-0255-1</x:v>
      </x:c>
      <x:c r="C256" s="79" t="str">
        <x:v>صابون زردچوبه</x:v>
      </x:c>
      <x:c r="D256" s="79" t="str">
        <x:v>soap_turmeric</x:v>
      </x:c>
      <x:c r="E256" s="79" t="str">
        <x:v>update</x:v>
      </x:c>
      <x:c r="F256" s="79" t="str">
        <x:v>بله</x:v>
      </x:c>
      <x:c r="G256" s="79" t="str">
        <x:v>ادویه و چاشنی</x:v>
      </x:c>
      <x:c r="H256" s="79" t="str">
        <x:v>گیاهان دارویی</x:v>
      </x:c>
      <x:c r="I256" s="79" t="str">
        <x:v>6a3782d7df5573f4e676e243</x:v>
      </x:c>
      <x:c r="J256" s="79" t="str">
        <x:v>medicinal-plants</x:v>
      </x:c>
      <x:c r="K256" s="79"/>
      <x:c r="L256" s="79" t="str">
        <x:v>TOPICAL</x:v>
      </x:c>
      <x:c r="M256" s="79" t="str">
        <x:v>خیر</x:v>
      </x:c>
      <x:c r="N256" s="79" t="str">
        <x:v>غیرخوراکی/موضعی</x:v>
      </x:c>
      <x:c r="O256" s="79" t="str">
        <x:v>خیر</x:v>
      </x:c>
      <x:c r="P256" s="79" t="n">
        <x:v>1</x:v>
      </x:c>
      <x:c r="Q256" s="79" t="str">
        <x:v>کیلو</x:v>
      </x:c>
      <x:c r="R256" s="79" t="n">
        <x:v>120</x:v>
      </x:c>
      <x:c r="S256" s="104" t="n">
        <x:v>120000</x:v>
      </x:c>
      <x:c r="T256" s="79" t="n">
        <x:v>1</x:v>
      </x:c>
      <x:c r="U256" s="79" t="str">
        <x:v>kg</x:v>
      </x:c>
      <x:c r="V256" s="79" t="str">
        <x:v>کیلو</x:v>
      </x:c>
      <x:c r="W256" s="99" t="b">
        <x:v>1</x:v>
      </x:c>
      <x:c r="X256" s="79" t="str"/>
      <x:c r="Y256" s="79"/>
      <x:c r="Z256" s="104"/>
      <x:c r="AA256" s="79" t="str"/>
      <x:c r="AB256" s="79" t="str"/>
      <x:c r="AC256" s="79" t="str"/>
      <x:c r="AD256" s="79" t="str"/>
      <x:c r="AE256" s="79" t="str">
        <x:v>فعال</x:v>
      </x:c>
      <x:c r="AF256" s="79" t="str">
        <x:v>دسته‌بندی نهایی</x:v>
      </x:c>
      <x:c r="AG256" s="79" t="str">
        <x:v>دسته از «ادویه» به «گیاهان دارویی» اصلاح شد | نوع مصرف به موضعی/غیرخوراکی اصلاح شد</x:v>
      </x:c>
      <x:c r="AH256" s="79" t="str">
        <x:v>[{"name": "کیلو", "sku": "", "price": 120000, "stock": "", "weight": 1, "weightUnit": "kg", "containerSize": "کیلو", "isDefault": true}]</x:v>
      </x:c>
      <x:c r="AI256" s="79"/>
      <x:c r="AJ256" s="79"/>
      <x:c r="AK256" s="79"/>
      <x:c r="AL256" t="str">
        <x:v>صابون زردچوبه</x:v>
      </x:c>
      <x:c r="AM256" t="str">
        <x:v>single_258</x:v>
      </x:c>
      <x:c r="AN256" t="str">
        <x:v>canonical_group_row</x:v>
      </x:c>
      <x:c r="AO256" t="str">
        <x:v>گیاهان دارویی</x:v>
      </x:c>
      <x:c r="AP256" t="str">
        <x:v>6a3782d7df5573f4e676e243</x:v>
      </x:c>
      <x:c r="AQ256" t="str">
        <x:v>medicinal-plants</x:v>
      </x:c>
      <x:c r="AR256" t="str">
        <x:v>TOPICAL</x:v>
      </x:c>
      <x:c r="AS256" t="str">
        <x:v>خیر</x:v>
      </x:c>
      <x:c r="AT256" t="str">
        <x:v>OK</x:v>
      </x:c>
      <x:c r="AU256" t="str">
        <x:v>دسته از «ادویه» به «گیاهان دارویی» اصلاح شد | نوع مصرف به موضعی/غیرخوراکی اصلاح شد</x:v>
      </x:c>
    </x:row>
    <x:row r="257">
      <x:c r="A257" s="79" t="n">
        <x:v>259</x:v>
      </x:c>
      <x:c r="B257" s="79" t="str">
        <x:v>NS-0256-1</x:v>
      </x:c>
      <x:c r="C257" s="79" t="str">
        <x:v>صابون زیتون</x:v>
      </x:c>
      <x:c r="D257" s="79" t="str">
        <x:v>soap_olive</x:v>
      </x:c>
      <x:c r="E257" s="79" t="str">
        <x:v>update</x:v>
      </x:c>
      <x:c r="F257" s="79" t="str">
        <x:v>بله</x:v>
      </x:c>
      <x:c r="G257" s="79" t="str">
        <x:v>سایر</x:v>
      </x:c>
      <x:c r="H257" s="79" t="str">
        <x:v>گیاهان دارویی</x:v>
      </x:c>
      <x:c r="I257" s="79" t="str">
        <x:v>6a3782d7df5573f4e676e243</x:v>
      </x:c>
      <x:c r="J257" s="79" t="str">
        <x:v>medicinal-plants</x:v>
      </x:c>
      <x:c r="K257" s="79"/>
      <x:c r="L257" s="79" t="str">
        <x:v>TOPICAL</x:v>
      </x:c>
      <x:c r="M257" s="79" t="str">
        <x:v>خیر</x:v>
      </x:c>
      <x:c r="N257" s="79" t="str">
        <x:v>غیرخوراکی/موضعی</x:v>
      </x:c>
      <x:c r="O257" s="79" t="str">
        <x:v>خیر</x:v>
      </x:c>
      <x:c r="P257" s="79" t="n">
        <x:v>1</x:v>
      </x:c>
      <x:c r="Q257" s="79" t="str">
        <x:v>کیلو</x:v>
      </x:c>
      <x:c r="R257" s="79" t="n">
        <x:v>120</x:v>
      </x:c>
      <x:c r="S257" s="104" t="n">
        <x:v>120000</x:v>
      </x:c>
      <x:c r="T257" s="79" t="n">
        <x:v>1</x:v>
      </x:c>
      <x:c r="U257" s="79" t="str">
        <x:v>kg</x:v>
      </x:c>
      <x:c r="V257" s="79" t="str">
        <x:v>کیلو</x:v>
      </x:c>
      <x:c r="W257" s="99" t="b">
        <x:v>1</x:v>
      </x:c>
      <x:c r="X257" s="79" t="str"/>
      <x:c r="Y257" s="79"/>
      <x:c r="Z257" s="104"/>
      <x:c r="AA257" s="79" t="str"/>
      <x:c r="AB257" s="79" t="str"/>
      <x:c r="AC257" s="79" t="str"/>
      <x:c r="AD257" s="79" t="str"/>
      <x:c r="AE257" s="79" t="str">
        <x:v>فعال</x:v>
      </x:c>
      <x:c r="AF257" s="79" t="str">
        <x:v>نیازمند بررسی دستی</x:v>
      </x:c>
      <x:c r="AG257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57" s="79" t="str">
        <x:v>[{"name": "کیلو", "sku": "", "price": 120000, "stock": "", "weight": 1, "weightUnit": "kg", "containerSize": "کیلو", "isDefault": true}]</x:v>
      </x:c>
      <x:c r="AI257" s="79"/>
      <x:c r="AJ257" s="79"/>
      <x:c r="AK257" s="79"/>
      <x:c r="AL257" t="str">
        <x:v>صابون زیتون</x:v>
      </x:c>
      <x:c r="AM257" t="str">
        <x:v>single_259</x:v>
      </x:c>
      <x:c r="AN257" t="str">
        <x:v>canonical_group_row</x:v>
      </x:c>
      <x:c r="AO257" t="str">
        <x:v>گیاهان دارویی</x:v>
      </x:c>
      <x:c r="AP257" t="str">
        <x:v>6a3782d7df5573f4e676e243</x:v>
      </x:c>
      <x:c r="AQ257" t="str">
        <x:v>medicinal-plants</x:v>
      </x:c>
      <x:c r="AR257" t="str">
        <x:v>TOPICAL</x:v>
      </x:c>
      <x:c r="AS257" t="str">
        <x:v>خیر</x:v>
      </x:c>
      <x:c r="AT257" t="str">
        <x:v>OK</x:v>
      </x:c>
      <x:c r="AU257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8">
      <x:c r="A258" s="79" t="n">
        <x:v>260</x:v>
      </x:c>
      <x:c r="B258" s="79" t="str">
        <x:v>NS-0257-1</x:v>
      </x:c>
      <x:c r="C258" s="79" t="str">
        <x:v>صابون سفیداب</x:v>
      </x:c>
      <x:c r="D258" s="79" t="str">
        <x:v>soap_sefidab</x:v>
      </x:c>
      <x:c r="E258" s="79" t="str">
        <x:v>update</x:v>
      </x:c>
      <x:c r="F258" s="79" t="str">
        <x:v>بله</x:v>
      </x:c>
      <x:c r="G258" s="79" t="str">
        <x:v>سایر</x:v>
      </x:c>
      <x:c r="H258" s="79" t="str">
        <x:v>گیاهان دارویی</x:v>
      </x:c>
      <x:c r="I258" s="79" t="str">
        <x:v>6a3782d7df5573f4e676e243</x:v>
      </x:c>
      <x:c r="J258" s="79" t="str">
        <x:v>medicinal-plants</x:v>
      </x:c>
      <x:c r="K258" s="79"/>
      <x:c r="L258" s="79" t="str">
        <x:v>TOPICAL</x:v>
      </x:c>
      <x:c r="M258" s="79" t="str">
        <x:v>خیر</x:v>
      </x:c>
      <x:c r="N258" s="79" t="str">
        <x:v>غیرخوراکی/موضعی</x:v>
      </x:c>
      <x:c r="O258" s="79" t="str">
        <x:v>خیر</x:v>
      </x:c>
      <x:c r="P258" s="79" t="n">
        <x:v>1</x:v>
      </x:c>
      <x:c r="Q258" s="79" t="str">
        <x:v>کیلو</x:v>
      </x:c>
      <x:c r="R258" s="79" t="n">
        <x:v>90</x:v>
      </x:c>
      <x:c r="S258" s="104" t="n">
        <x:v>90000</x:v>
      </x:c>
      <x:c r="T258" s="79" t="n">
        <x:v>1</x:v>
      </x:c>
      <x:c r="U258" s="79" t="str">
        <x:v>kg</x:v>
      </x:c>
      <x:c r="V258" s="79" t="str">
        <x:v>کیلو</x:v>
      </x:c>
      <x:c r="W258" s="99" t="b">
        <x:v>1</x:v>
      </x:c>
      <x:c r="X258" s="79" t="str"/>
      <x:c r="Y258" s="79"/>
      <x:c r="Z258" s="104"/>
      <x:c r="AA258" s="79" t="str"/>
      <x:c r="AB258" s="79" t="str"/>
      <x:c r="AC258" s="79" t="str"/>
      <x:c r="AD258" s="79" t="str"/>
      <x:c r="AE258" s="79" t="str">
        <x:v>فعال</x:v>
      </x:c>
      <x:c r="AF258" s="79" t="str">
        <x:v>نیازمند بررسی دستی</x:v>
      </x:c>
      <x:c r="AG25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58" s="79" t="str">
        <x:v>[{"name": "کیلو", "sku": "", "price": 90000, "stock": "", "weight": 1, "weightUnit": "kg", "containerSize": "کیلو", "isDefault": true}]</x:v>
      </x:c>
      <x:c r="AI258" s="79"/>
      <x:c r="AJ258" s="79"/>
      <x:c r="AK258" s="79"/>
      <x:c r="AL258" t="str">
        <x:v>صابون سفیداب</x:v>
      </x:c>
      <x:c r="AM258" t="str">
        <x:v>single_260</x:v>
      </x:c>
      <x:c r="AN258" t="str">
        <x:v>canonical_group_row</x:v>
      </x:c>
      <x:c r="AO258" t="str">
        <x:v>گیاهان دارویی</x:v>
      </x:c>
      <x:c r="AP258" t="str">
        <x:v>6a3782d7df5573f4e676e243</x:v>
      </x:c>
      <x:c r="AQ258" t="str">
        <x:v>medicinal-plants</x:v>
      </x:c>
      <x:c r="AR258" t="str">
        <x:v>TOPICAL</x:v>
      </x:c>
      <x:c r="AS258" t="str">
        <x:v>خیر</x:v>
      </x:c>
      <x:c r="AT258" t="str">
        <x:v>OK</x:v>
      </x:c>
      <x:c r="AU258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59">
      <x:c r="A259" s="79" t="n">
        <x:v>261</x:v>
      </x:c>
      <x:c r="B259" s="79" t="str">
        <x:v>NS-0258-1</x:v>
      </x:c>
      <x:c r="C259" s="79" t="str">
        <x:v>صابون سیاهدانه</x:v>
      </x:c>
      <x:c r="D259" s="79" t="str">
        <x:v>soap_syahdanh</x:v>
      </x:c>
      <x:c r="E259" s="79" t="str">
        <x:v>update</x:v>
      </x:c>
      <x:c r="F259" s="79" t="str">
        <x:v>بله</x:v>
      </x:c>
      <x:c r="G259" s="79" t="str">
        <x:v>سایر</x:v>
      </x:c>
      <x:c r="H259" s="79" t="str">
        <x:v>گیاهان دارویی</x:v>
      </x:c>
      <x:c r="I259" s="79" t="str">
        <x:v>6a3782d7df5573f4e676e243</x:v>
      </x:c>
      <x:c r="J259" s="79" t="str">
        <x:v>medicinal-plants</x:v>
      </x:c>
      <x:c r="K259" s="79"/>
      <x:c r="L259" s="79" t="str">
        <x:v>TOPICAL</x:v>
      </x:c>
      <x:c r="M259" s="79" t="str">
        <x:v>خیر</x:v>
      </x:c>
      <x:c r="N259" s="79" t="str">
        <x:v>غیرخوراکی/موضعی</x:v>
      </x:c>
      <x:c r="O259" s="79" t="str">
        <x:v>خیر</x:v>
      </x:c>
      <x:c r="P259" s="79" t="n">
        <x:v>1</x:v>
      </x:c>
      <x:c r="Q259" s="79" t="str">
        <x:v>کیلو</x:v>
      </x:c>
      <x:c r="R259" s="79" t="n">
        <x:v>120</x:v>
      </x:c>
      <x:c r="S259" s="104" t="n">
        <x:v>120000</x:v>
      </x:c>
      <x:c r="T259" s="79" t="n">
        <x:v>1</x:v>
      </x:c>
      <x:c r="U259" s="79" t="str">
        <x:v>kg</x:v>
      </x:c>
      <x:c r="V259" s="79" t="str">
        <x:v>کیلو</x:v>
      </x:c>
      <x:c r="W259" s="99" t="b">
        <x:v>1</x:v>
      </x:c>
      <x:c r="X259" s="79" t="str"/>
      <x:c r="Y259" s="79"/>
      <x:c r="Z259" s="104"/>
      <x:c r="AA259" s="79" t="str"/>
      <x:c r="AB259" s="79" t="str"/>
      <x:c r="AC259" s="79" t="str"/>
      <x:c r="AD259" s="79" t="str"/>
      <x:c r="AE259" s="79" t="str">
        <x:v>فعال</x:v>
      </x:c>
      <x:c r="AF259" s="79" t="str">
        <x:v>نیازمند بررسی دستی</x:v>
      </x:c>
      <x:c r="AG25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59" s="79" t="str">
        <x:v>[{"name": "کیلو", "sku": "", "price": 120000, "stock": "", "weight": 1, "weightUnit": "kg", "containerSize": "کیلو", "isDefault": true}]</x:v>
      </x:c>
      <x:c r="AI259" s="79"/>
      <x:c r="AJ259" s="79"/>
      <x:c r="AK259" s="79"/>
      <x:c r="AL259" t="str">
        <x:v>صابون سیاهدانه</x:v>
      </x:c>
      <x:c r="AM259" t="str">
        <x:v>single_261</x:v>
      </x:c>
      <x:c r="AN259" t="str">
        <x:v>canonical_group_row</x:v>
      </x:c>
      <x:c r="AO259" t="str">
        <x:v>گیاهان دارویی</x:v>
      </x:c>
      <x:c r="AP259" t="str">
        <x:v>6a3782d7df5573f4e676e243</x:v>
      </x:c>
      <x:c r="AQ259" t="str">
        <x:v>medicinal-plants</x:v>
      </x:c>
      <x:c r="AR259" t="str">
        <x:v>TOPICAL</x:v>
      </x:c>
      <x:c r="AS259" t="str">
        <x:v>خیر</x:v>
      </x:c>
      <x:c r="AT259" t="str">
        <x:v>OK</x:v>
      </x:c>
      <x:c r="AU25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60">
      <x:c r="A260" s="79" t="n">
        <x:v>262</x:v>
      </x:c>
      <x:c r="B260" s="79" t="str">
        <x:v>NS-0259-1</x:v>
      </x:c>
      <x:c r="C260" s="79" t="str">
        <x:v>صابون شیرالاغ</x:v>
      </x:c>
      <x:c r="D260" s="79" t="str">
        <x:v>soap_donkey_milk</x:v>
      </x:c>
      <x:c r="E260" s="79" t="str">
        <x:v>update</x:v>
      </x:c>
      <x:c r="F260" s="79" t="str">
        <x:v>بله</x:v>
      </x:c>
      <x:c r="G260" s="79" t="str">
        <x:v>سایر</x:v>
      </x:c>
      <x:c r="H260" s="79" t="str">
        <x:v>گیاهان دارویی</x:v>
      </x:c>
      <x:c r="I260" s="79" t="str">
        <x:v>6a3782d7df5573f4e676e243</x:v>
      </x:c>
      <x:c r="J260" s="79" t="str">
        <x:v>medicinal-plants</x:v>
      </x:c>
      <x:c r="K260" s="79"/>
      <x:c r="L260" s="79" t="str">
        <x:v>TOPICAL</x:v>
      </x:c>
      <x:c r="M260" s="79" t="str">
        <x:v>خیر</x:v>
      </x:c>
      <x:c r="N260" s="79" t="str">
        <x:v>غیرخوراکی/موضعی</x:v>
      </x:c>
      <x:c r="O260" s="79" t="str">
        <x:v>خیر</x:v>
      </x:c>
      <x:c r="P260" s="79" t="n">
        <x:v>1</x:v>
      </x:c>
      <x:c r="Q260" s="79" t="str">
        <x:v>کیلو</x:v>
      </x:c>
      <x:c r="R260" s="79" t="n">
        <x:v>180</x:v>
      </x:c>
      <x:c r="S260" s="104" t="n">
        <x:v>180000</x:v>
      </x:c>
      <x:c r="T260" s="79" t="n">
        <x:v>1</x:v>
      </x:c>
      <x:c r="U260" s="79" t="str">
        <x:v>kg</x:v>
      </x:c>
      <x:c r="V260" s="79" t="str">
        <x:v>کیلو</x:v>
      </x:c>
      <x:c r="W260" s="99" t="b">
        <x:v>1</x:v>
      </x:c>
      <x:c r="X260" s="79" t="str"/>
      <x:c r="Y260" s="79"/>
      <x:c r="Z260" s="104"/>
      <x:c r="AA260" s="79" t="str"/>
      <x:c r="AB260" s="79" t="str"/>
      <x:c r="AC260" s="79" t="str"/>
      <x:c r="AD260" s="79" t="str"/>
      <x:c r="AE260" s="79" t="str">
        <x:v>فعال</x:v>
      </x:c>
      <x:c r="AF260" s="79" t="str">
        <x:v>نیازمند بررسی دستی</x:v>
      </x:c>
      <x:c r="AG26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60" s="79" t="str">
        <x:v>[{"name": "کیلو", "sku": "", "price": 180000, "stock": "", "weight": 1, "weightUnit": "kg", "containerSize": "کیلو", "isDefault": true}]</x:v>
      </x:c>
      <x:c r="AI260" s="79"/>
      <x:c r="AJ260" s="79"/>
      <x:c r="AK260" s="79"/>
      <x:c r="AL260" t="str">
        <x:v>صابون شیرالاغ</x:v>
      </x:c>
      <x:c r="AM260" t="str">
        <x:v>single_262</x:v>
      </x:c>
      <x:c r="AN260" t="str">
        <x:v>canonical_group_row</x:v>
      </x:c>
      <x:c r="AO260" t="str">
        <x:v>گیاهان دارویی</x:v>
      </x:c>
      <x:c r="AP260" t="str">
        <x:v>6a3782d7df5573f4e676e243</x:v>
      </x:c>
      <x:c r="AQ260" t="str">
        <x:v>medicinal-plants</x:v>
      </x:c>
      <x:c r="AR260" t="str">
        <x:v>TOPICAL</x:v>
      </x:c>
      <x:c r="AS260" t="str">
        <x:v>خیر</x:v>
      </x:c>
      <x:c r="AT260" t="str">
        <x:v>OK</x:v>
      </x:c>
      <x:c r="AU260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61">
      <x:c r="A261" s="79" t="n">
        <x:v>263</x:v>
      </x:c>
      <x:c r="B261" s="79" t="str">
        <x:v>NS-0260-1</x:v>
      </x:c>
      <x:c r="C261" s="79" t="str">
        <x:v>صابون فندق</x:v>
      </x:c>
      <x:c r="D261" s="79" t="str">
        <x:v>soap_hazelnut</x:v>
      </x:c>
      <x:c r="E261" s="79" t="str">
        <x:v>update</x:v>
      </x:c>
      <x:c r="F261" s="79" t="str">
        <x:v>بله</x:v>
      </x:c>
      <x:c r="G261" s="79" t="str">
        <x:v>خشکبار و آجیل</x:v>
      </x:c>
      <x:c r="H261" s="79" t="str">
        <x:v>گیاهان دارویی</x:v>
      </x:c>
      <x:c r="I261" s="79" t="str">
        <x:v>6a3782d7df5573f4e676e243</x:v>
      </x:c>
      <x:c r="J261" s="79" t="str">
        <x:v>medicinal-plants</x:v>
      </x:c>
      <x:c r="K261" s="79"/>
      <x:c r="L261" s="79" t="str">
        <x:v>TOPICAL</x:v>
      </x:c>
      <x:c r="M261" s="79" t="str">
        <x:v>خیر</x:v>
      </x:c>
      <x:c r="N261" s="79" t="str">
        <x:v>غیرخوراکی/موضعی</x:v>
      </x:c>
      <x:c r="O261" s="79" t="str">
        <x:v>خیر</x:v>
      </x:c>
      <x:c r="P261" s="79" t="n">
        <x:v>1</x:v>
      </x:c>
      <x:c r="Q261" s="79" t="str">
        <x:v>کیلو</x:v>
      </x:c>
      <x:c r="R261" s="79" t="n">
        <x:v>120</x:v>
      </x:c>
      <x:c r="S261" s="104" t="n">
        <x:v>120000</x:v>
      </x:c>
      <x:c r="T261" s="79" t="n">
        <x:v>1</x:v>
      </x:c>
      <x:c r="U261" s="79" t="str">
        <x:v>kg</x:v>
      </x:c>
      <x:c r="V261" s="79" t="str">
        <x:v>کیلو</x:v>
      </x:c>
      <x:c r="W261" s="99" t="b">
        <x:v>1</x:v>
      </x:c>
      <x:c r="X261" s="79" t="str"/>
      <x:c r="Y261" s="79"/>
      <x:c r="Z261" s="104"/>
      <x:c r="AA261" s="79" t="str"/>
      <x:c r="AB261" s="79" t="str"/>
      <x:c r="AC261" s="79" t="str"/>
      <x:c r="AD261" s="79" t="str"/>
      <x:c r="AE261" s="79" t="str">
        <x:v>فعال</x:v>
      </x:c>
      <x:c r="AF261" s="79" t="str">
        <x:v>دسته‌بندی نهایی</x:v>
      </x:c>
      <x:c r="AG261" s="79" t="str">
        <x:v>دسته از «خشکبار و آجیل» به «گیاهان دارویی» اصلاح شد | نوع مصرف به موضعی/غیرخوراکی اصلاح شد</x:v>
      </x:c>
      <x:c r="AH261" s="79" t="str">
        <x:v>[{"name": "کیلو", "sku": "", "price": 120000, "stock": "", "weight": 1, "weightUnit": "kg", "containerSize": "کیلو", "isDefault": true}]</x:v>
      </x:c>
      <x:c r="AI261" s="79"/>
      <x:c r="AJ261" s="79"/>
      <x:c r="AK261" s="79"/>
      <x:c r="AL261" t="str">
        <x:v>صابون فندق</x:v>
      </x:c>
      <x:c r="AM261" t="str">
        <x:v>single_263</x:v>
      </x:c>
      <x:c r="AN261" t="str">
        <x:v>canonical_group_row</x:v>
      </x:c>
      <x:c r="AO261" t="str">
        <x:v>گیاهان دارویی</x:v>
      </x:c>
      <x:c r="AP261" t="str">
        <x:v>6a3782d7df5573f4e676e243</x:v>
      </x:c>
      <x:c r="AQ261" t="str">
        <x:v>medicinal-plants</x:v>
      </x:c>
      <x:c r="AR261" t="str">
        <x:v>TOPICAL</x:v>
      </x:c>
      <x:c r="AS261" t="str">
        <x:v>خیر</x:v>
      </x:c>
      <x:c r="AT261" t="str">
        <x:v>OK</x:v>
      </x:c>
      <x:c r="AU261" t="str">
        <x:v>دسته از «خشکبار و آجیل» به «گیاهان دارویی» اصلاح شد | نوع مصرف به موضعی/غیرخوراکی اصلاح شد</x:v>
      </x:c>
    </x:row>
    <x:row r="262">
      <x:c r="A262" s="79" t="n">
        <x:v>264</x:v>
      </x:c>
      <x:c r="B262" s="79" t="str">
        <x:v>NS-0261-1</x:v>
      </x:c>
      <x:c r="C262" s="79" t="str">
        <x:v>صابون ماکادمیا</x:v>
      </x:c>
      <x:c r="D262" s="79" t="str">
        <x:v>soap_macadamia</x:v>
      </x:c>
      <x:c r="E262" s="79" t="str">
        <x:v>update</x:v>
      </x:c>
      <x:c r="F262" s="79" t="str">
        <x:v>بله</x:v>
      </x:c>
      <x:c r="G262" s="79" t="str">
        <x:v>سایر</x:v>
      </x:c>
      <x:c r="H262" s="79" t="str">
        <x:v>گیاهان دارویی</x:v>
      </x:c>
      <x:c r="I262" s="79" t="str">
        <x:v>6a3782d7df5573f4e676e243</x:v>
      </x:c>
      <x:c r="J262" s="79" t="str">
        <x:v>medicinal-plants</x:v>
      </x:c>
      <x:c r="K262" s="79"/>
      <x:c r="L262" s="79" t="str">
        <x:v>TOPICAL</x:v>
      </x:c>
      <x:c r="M262" s="79" t="str">
        <x:v>خیر</x:v>
      </x:c>
      <x:c r="N262" s="79" t="str">
        <x:v>غیرخوراکی/موضعی</x:v>
      </x:c>
      <x:c r="O262" s="79" t="str">
        <x:v>خیر</x:v>
      </x:c>
      <x:c r="P262" s="79" t="n">
        <x:v>1</x:v>
      </x:c>
      <x:c r="Q262" s="79" t="str">
        <x:v>کیلو</x:v>
      </x:c>
      <x:c r="R262" s="79" t="n">
        <x:v>180</x:v>
      </x:c>
      <x:c r="S262" s="104" t="n">
        <x:v>180000</x:v>
      </x:c>
      <x:c r="T262" s="79" t="n">
        <x:v>1</x:v>
      </x:c>
      <x:c r="U262" s="79" t="str">
        <x:v>kg</x:v>
      </x:c>
      <x:c r="V262" s="79" t="str">
        <x:v>کیلو</x:v>
      </x:c>
      <x:c r="W262" s="99" t="b">
        <x:v>1</x:v>
      </x:c>
      <x:c r="X262" s="79" t="str"/>
      <x:c r="Y262" s="79"/>
      <x:c r="Z262" s="104"/>
      <x:c r="AA262" s="79" t="str"/>
      <x:c r="AB262" s="79" t="str"/>
      <x:c r="AC262" s="79" t="str"/>
      <x:c r="AD262" s="79" t="str"/>
      <x:c r="AE262" s="79" t="str">
        <x:v>فعال</x:v>
      </x:c>
      <x:c r="AF262" s="79" t="str">
        <x:v>نیازمند بررسی دستی</x:v>
      </x:c>
      <x:c r="AG26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262" s="79" t="str">
        <x:v>[{"name": "کیلو", "sku": "", "price": 180000, "stock": "", "weight": 1, "weightUnit": "kg", "containerSize": "کیلو", "isDefault": true}]</x:v>
      </x:c>
      <x:c r="AI262" s="79"/>
      <x:c r="AJ262" s="79"/>
      <x:c r="AK262" s="79"/>
      <x:c r="AL262" t="str">
        <x:v>صابون ماکادمیا</x:v>
      </x:c>
      <x:c r="AM262" t="str">
        <x:v>single_264</x:v>
      </x:c>
      <x:c r="AN262" t="str">
        <x:v>canonical_group_row</x:v>
      </x:c>
      <x:c r="AO262" t="str">
        <x:v>گیاهان دارویی</x:v>
      </x:c>
      <x:c r="AP262" t="str">
        <x:v>6a3782d7df5573f4e676e243</x:v>
      </x:c>
      <x:c r="AQ262" t="str">
        <x:v>medicinal-plants</x:v>
      </x:c>
      <x:c r="AR262" t="str">
        <x:v>TOPICAL</x:v>
      </x:c>
      <x:c r="AS262" t="str">
        <x:v>خیر</x:v>
      </x:c>
      <x:c r="AT262" t="str">
        <x:v>OK</x:v>
      </x:c>
      <x:c r="AU262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63">
      <x:c r="A263" s="79" t="n">
        <x:v>265</x:v>
      </x:c>
      <x:c r="B263" s="79" t="str">
        <x:v>NS-0262-1</x:v>
      </x:c>
      <x:c r="C263" s="79" t="str">
        <x:v>صمغ</x:v>
      </x:c>
      <x:c r="D263" s="79" t="str">
        <x:v>gum</x:v>
      </x:c>
      <x:c r="E263" s="79" t="str">
        <x:v>update</x:v>
      </x:c>
      <x:c r="F263" s="79" t="str">
        <x:v>بله</x:v>
      </x:c>
      <x:c r="G263" s="79" t="str">
        <x:v>سایر</x:v>
      </x:c>
      <x:c r="H263" s="79" t="str">
        <x:v>گیاهان دارویی</x:v>
      </x:c>
      <x:c r="I263" s="79" t="str">
        <x:v>6a3782d7df5573f4e676e243</x:v>
      </x:c>
      <x:c r="J263" s="79" t="str">
        <x:v>medicinal-plants</x:v>
      </x:c>
      <x:c r="K263" s="79"/>
      <x:c r="L263" s="79" t="str">
        <x:v>EDIBLE</x:v>
      </x:c>
      <x:c r="M263" s="79" t="str">
        <x:v>بله</x:v>
      </x:c>
      <x:c r="N263" s="79" t="str">
        <x:v>خوراکی</x:v>
      </x:c>
      <x:c r="O263" s="79" t="str">
        <x:v>خیر</x:v>
      </x:c>
      <x:c r="P263" s="79" t="n">
        <x:v>1</x:v>
      </x:c>
      <x:c r="Q263" s="79" t="str">
        <x:v>کیلو</x:v>
      </x:c>
      <x:c r="R263" s="79" t="n">
        <x:v>500</x:v>
      </x:c>
      <x:c r="S263" s="104" t="n">
        <x:v>500000</x:v>
      </x:c>
      <x:c r="T263" s="79" t="n">
        <x:v>1</x:v>
      </x:c>
      <x:c r="U263" s="79" t="str">
        <x:v>kg</x:v>
      </x:c>
      <x:c r="V263" s="79" t="str">
        <x:v>کیلو</x:v>
      </x:c>
      <x:c r="W263" s="99" t="b">
        <x:v>1</x:v>
      </x:c>
      <x:c r="X263" s="79" t="str"/>
      <x:c r="Y263" s="79"/>
      <x:c r="Z263" s="104"/>
      <x:c r="AA263" s="79" t="str"/>
      <x:c r="AB263" s="79" t="str"/>
      <x:c r="AC263" s="79" t="str"/>
      <x:c r="AD263" s="79" t="str"/>
      <x:c r="AE263" s="79" t="str">
        <x:v>فعال</x:v>
      </x:c>
      <x:c r="AF263" s="79" t="str">
        <x:v>نیازمند بررسی دستی</x:v>
      </x:c>
      <x:c r="AG263" s="79" t="str">
        <x:v>دسته از «نیاز به بررسی» به «گیاهان دارویی» اصلاح شد</x:v>
      </x:c>
      <x:c r="AH263" s="79" t="str">
        <x:v>[{"name": "کیلو", "sku": "", "price": 500000, "stock": "", "weight": 1, "weightUnit": "kg", "containerSize": "کیلو", "isDefault": true}]</x:v>
      </x:c>
      <x:c r="AI263" s="79"/>
      <x:c r="AJ263" s="79"/>
      <x:c r="AK263" s="79"/>
      <x:c r="AL263" t="str">
        <x:v>صمغ</x:v>
      </x:c>
      <x:c r="AM263" t="str">
        <x:v>single_265</x:v>
      </x:c>
      <x:c r="AN263" t="str">
        <x:v>canonical_group_row</x:v>
      </x:c>
      <x:c r="AO263" t="str">
        <x:v>گیاهان دارویی</x:v>
      </x:c>
      <x:c r="AP263" t="str">
        <x:v>6a3782d7df5573f4e676e243</x:v>
      </x:c>
      <x:c r="AQ263" t="str">
        <x:v>medicinal-plants</x:v>
      </x:c>
      <x:c r="AR263" t="str">
        <x:v>EDIBLE</x:v>
      </x:c>
      <x:c r="AS263" t="str">
        <x:v>بله</x:v>
      </x:c>
      <x:c r="AT263" t="str">
        <x:v>OK</x:v>
      </x:c>
      <x:c r="AU263" t="str">
        <x:v>دسته از «نیاز به بررسی» به «گیاهان دارویی» اصلاح شد</x:v>
      </x:c>
    </x:row>
    <x:row r="264">
      <x:c r="A264" s="79" t="n">
        <x:v>266</x:v>
      </x:c>
      <x:c r="B264" s="79" t="str">
        <x:v>NS-0263-1</x:v>
      </x:c>
      <x:c r="C264" s="79" t="str">
        <x:v>ظرف 300 گرمی</x:v>
      </x:c>
      <x:c r="D264" s="79" t="str">
        <x:v>container_300_gram</x:v>
      </x:c>
      <x:c r="E264" s="79" t="str">
        <x:v>update</x:v>
      </x:c>
      <x:c r="F264" s="79" t="str">
        <x:v>بله</x:v>
      </x:c>
      <x:c r="G264" s="79" t="str">
        <x:v>ملزومات</x:v>
      </x:c>
      <x:c r="H264" s="79" t="str">
        <x:v>عدم ایمپورت</x:v>
      </x:c>
      <x:c r="I264" s="79"/>
      <x:c r="J264" s="79" t="str">
        <x:v>SKIP</x:v>
      </x:c>
      <x:c r="K264" s="79"/>
      <x:c r="L264" s="79" t="str">
        <x:v>NON_PRODUCT</x:v>
      </x:c>
      <x:c r="M264" s="79" t="str">
        <x:v>خیر</x:v>
      </x:c>
      <x:c r="N264" s="79" t="str">
        <x:v>عدم ایمپورت</x:v>
      </x:c>
      <x:c r="O264" s="79" t="str">
        <x:v>خیر</x:v>
      </x:c>
      <x:c r="P264" s="79" t="n">
        <x:v>1</x:v>
      </x:c>
      <x:c r="Q264" s="79" t="str">
        <x:v>کیلو</x:v>
      </x:c>
      <x:c r="R264" s="79" t="n">
        <x:v>30</x:v>
      </x:c>
      <x:c r="S264" s="104" t="n">
        <x:v>30000</x:v>
      </x:c>
      <x:c r="T264" s="79" t="n">
        <x:v>1</x:v>
      </x:c>
      <x:c r="U264" s="79" t="str">
        <x:v>kg</x:v>
      </x:c>
      <x:c r="V264" s="79" t="str">
        <x:v>کیلو</x:v>
      </x:c>
      <x:c r="W264" s="99" t="b">
        <x:v>1</x:v>
      </x:c>
      <x:c r="X264" s="79" t="str"/>
      <x:c r="Y264" s="79"/>
      <x:c r="Z264" s="104"/>
      <x:c r="AA264" s="79" t="str"/>
      <x:c r="AB264" s="79" t="str"/>
      <x:c r="AC264" s="79" t="str"/>
      <x:c r="AD264" s="79" t="str"/>
      <x:c r="AE264" s="79" t="str">
        <x:v>فعال</x:v>
      </x:c>
      <x:c r="AF264" s="79" t="str">
        <x:v>نیازمند بررسی دستی</x:v>
      </x:c>
      <x:c r="AG264" s="79" t="str">
        <x:v>ملزومات/ظرف/ابزار است و چون دسته «ملزومات» حذف شده، برای سایت ایمپورت نشود.</x:v>
      </x:c>
      <x:c r="AH264" s="79" t="str">
        <x:v>[{"name": "کیلو", "sku": "", "price": 30000, "stock": "", "weight": 1, "weightUnit": "kg", "containerSize": "کیلو", "isDefault": true}]</x:v>
      </x:c>
      <x:c r="AI264" s="79"/>
      <x:c r="AJ264" s="79"/>
      <x:c r="AK264" s="79"/>
      <x:c r="AL264" t="str">
        <x:v>ظرف 300 گرمی</x:v>
      </x:c>
      <x:c r="AM264" t="str">
        <x:v>single_266</x:v>
      </x:c>
      <x:c r="AN264" t="str">
        <x:v>skip_do_not_import</x:v>
      </x:c>
      <x:c r="AO264" t="str">
        <x:v>عدم ایمپورت</x:v>
      </x:c>
      <x:c r="AP264"/>
      <x:c r="AQ264" t="str">
        <x:v>SKIP</x:v>
      </x:c>
      <x:c r="AR264" t="str">
        <x:v>NON_PRODUCT</x:v>
      </x:c>
      <x:c r="AS264" t="str">
        <x:v>خیر</x:v>
      </x:c>
      <x:c r="AT264" t="str">
        <x:v>SKIP_NON_PRODUCT</x:v>
      </x:c>
      <x:c r="AU264" t="str">
        <x:v>ملزومات/ظرف/ابزار است و چون دسته «ملزومات» حذف شده، برای سایت ایمپورت نشود.</x:v>
      </x:c>
    </x:row>
    <x:row r="265">
      <x:c r="A265" s="79" t="n">
        <x:v>267</x:v>
      </x:c>
      <x:c r="B265" s="79" t="str">
        <x:v>NS-0264-1</x:v>
      </x:c>
      <x:c r="C265" s="79" t="str">
        <x:v>ظرف اسپری</x:v>
      </x:c>
      <x:c r="D265" s="79" t="str">
        <x:v>container_spray_green</x:v>
      </x:c>
      <x:c r="E265" s="79" t="str">
        <x:v>update</x:v>
      </x:c>
      <x:c r="F265" s="79" t="str">
        <x:v>بله</x:v>
      </x:c>
      <x:c r="G265" s="79" t="str">
        <x:v>ملزومات</x:v>
      </x:c>
      <x:c r="H265" s="79" t="str">
        <x:v>عدم ایمپورت</x:v>
      </x:c>
      <x:c r="I265" s="79"/>
      <x:c r="J265" s="79" t="str">
        <x:v>SKIP</x:v>
      </x:c>
      <x:c r="K265" s="79"/>
      <x:c r="L265" s="79" t="str">
        <x:v>NON_PRODUCT</x:v>
      </x:c>
      <x:c r="M265" s="79" t="str">
        <x:v>خیر</x:v>
      </x:c>
      <x:c r="N265" s="79" t="str">
        <x:v>عدم ایمپورت</x:v>
      </x:c>
      <x:c r="O265" s="79" t="str">
        <x:v>بله</x:v>
      </x:c>
      <x:c r="P265" s="79" t="n">
        <x:v>2</x:v>
      </x:c>
      <x:c r="Q265" s="79" t="str">
        <x:v>سبز</x:v>
      </x:c>
      <x:c r="R265" s="79" t="n">
        <x:v>70</x:v>
      </x:c>
      <x:c r="S265" s="104" t="n">
        <x:v>70000</x:v>
      </x:c>
      <x:c r="T265" s="79" t="str"/>
      <x:c r="U265" s="79" t="str"/>
      <x:c r="V265" s="79" t="str">
        <x:v>سبز</x:v>
      </x:c>
      <x:c r="W265" s="99" t="b">
        <x:v>1</x:v>
      </x:c>
      <x:c r="X265" s="79" t="str">
        <x:v>بزرگ</x:v>
      </x:c>
      <x:c r="Y265" s="79" t="n">
        <x:v>60</x:v>
      </x:c>
      <x:c r="Z265" s="104" t="n">
        <x:v>60000</x:v>
      </x:c>
      <x:c r="AA265" s="79" t="str"/>
      <x:c r="AB265" s="79" t="str"/>
      <x:c r="AC265" s="79" t="str">
        <x:v>بزرگ</x:v>
      </x:c>
      <x:c r="AD265" s="99" t="b">
        <x:v>0</x:v>
      </x:c>
      <x:c r="AE265" s="79" t="str">
        <x:v>فعال</x:v>
      </x:c>
      <x:c r="AF265" s="79" t="str">
        <x:v>نیازمند بررسی دستی</x:v>
      </x:c>
      <x:c r="AG265" s="79" t="str">
        <x:v>ملزومات/ظرف/ابزار است و چون دسته «ملزومات» حذف شده، برای سایت ایمپورت نشود.</x:v>
      </x:c>
      <x:c r="AH265" s="79" t="str">
        <x:v>[{"name": "سبز", "sku": "", "price": 70000, "stock": "", "weight": "", "weightUnit": "", "containerSize": "سبز", "isDefault": true}, {"name": "بزرگ", "sku": "", "price": 60000, "stock": "", "weight": "", "weightUnit": "", "containerSize": "بزرگ", "isDefault": false}]</x:v>
      </x:c>
      <x:c r="AI265" s="79"/>
      <x:c r="AJ265" s="79"/>
      <x:c r="AK265" s="79"/>
      <x:c r="AL265" t="str">
        <x:v>ظرف اسپری</x:v>
      </x:c>
      <x:c r="AM265" t="str">
        <x:v>single_267</x:v>
      </x:c>
      <x:c r="AN265" t="str">
        <x:v>skip_do_not_import</x:v>
      </x:c>
      <x:c r="AO265" t="str">
        <x:v>عدم ایمپورت</x:v>
      </x:c>
      <x:c r="AP265"/>
      <x:c r="AQ265" t="str">
        <x:v>SKIP</x:v>
      </x:c>
      <x:c r="AR265" t="str">
        <x:v>NON_PRODUCT</x:v>
      </x:c>
      <x:c r="AS265" t="str">
        <x:v>خیر</x:v>
      </x:c>
      <x:c r="AT265" t="str">
        <x:v>SKIP_NON_PRODUCT</x:v>
      </x:c>
      <x:c r="AU265" t="str">
        <x:v>ملزومات/ظرف/ابزار است و چون دسته «ملزومات» حذف شده، برای سایت ایمپورت نشود.</x:v>
      </x:c>
    </x:row>
    <x:row r="266">
      <x:c r="A266" s="79" t="n">
        <x:v>268</x:v>
      </x:c>
      <x:c r="B266" s="79" t="str">
        <x:v>NS-0265-1</x:v>
      </x:c>
      <x:c r="C266" s="79" t="str">
        <x:v>ظرف بطری پلاستیکی</x:v>
      </x:c>
      <x:c r="D266" s="79" t="str">
        <x:v>plastic_bottle_container_half_liter</x:v>
      </x:c>
      <x:c r="E266" s="79" t="str">
        <x:v>update</x:v>
      </x:c>
      <x:c r="F266" s="79" t="str">
        <x:v>بله</x:v>
      </x:c>
      <x:c r="G266" s="79" t="str">
        <x:v>ملزومات</x:v>
      </x:c>
      <x:c r="H266" s="79" t="str">
        <x:v>عدم ایمپورت</x:v>
      </x:c>
      <x:c r="I266" s="79"/>
      <x:c r="J266" s="79" t="str">
        <x:v>SKIP</x:v>
      </x:c>
      <x:c r="K266" s="79"/>
      <x:c r="L266" s="79" t="str">
        <x:v>NON_PRODUCT</x:v>
      </x:c>
      <x:c r="M266" s="79" t="str">
        <x:v>خیر</x:v>
      </x:c>
      <x:c r="N266" s="79" t="str">
        <x:v>عدم ایمپورت</x:v>
      </x:c>
      <x:c r="O266" s="79" t="str">
        <x:v>بله</x:v>
      </x:c>
      <x:c r="P266" s="79" t="n">
        <x:v>2</x:v>
      </x:c>
      <x:c r="Q266" s="79" t="str">
        <x:v>نیم لیتر</x:v>
      </x:c>
      <x:c r="R266" s="79" t="n">
        <x:v>18</x:v>
      </x:c>
      <x:c r="S266" s="104" t="n">
        <x:v>18000</x:v>
      </x:c>
      <x:c r="T266" s="79" t="n">
        <x:v>500</x:v>
      </x:c>
      <x:c r="U266" s="79" t="str">
        <x:v>ml</x:v>
      </x:c>
      <x:c r="V266" s="79" t="str">
        <x:v>نیم لیتر</x:v>
      </x:c>
      <x:c r="W266" s="99" t="b">
        <x:v>1</x:v>
      </x:c>
      <x:c r="X266" s="79" t="str">
        <x:v>1 لیتر</x:v>
      </x:c>
      <x:c r="Y266" s="79" t="n">
        <x:v>30</x:v>
      </x:c>
      <x:c r="Z266" s="104" t="n">
        <x:v>30000</x:v>
      </x:c>
      <x:c r="AA266" s="79" t="n">
        <x:v>1000</x:v>
      </x:c>
      <x:c r="AB266" s="79" t="str">
        <x:v>ml</x:v>
      </x:c>
      <x:c r="AC266" s="79" t="str">
        <x:v>1 لیتر</x:v>
      </x:c>
      <x:c r="AD266" s="99" t="b">
        <x:v>0</x:v>
      </x:c>
      <x:c r="AE266" s="79" t="str">
        <x:v>فعال</x:v>
      </x:c>
      <x:c r="AF266" s="79" t="str">
        <x:v>نیازمند بررسی دستی</x:v>
      </x:c>
      <x:c r="AG266" s="79" t="str">
        <x:v>ملزومات/ظرف/ابزار است و چون دسته «ملزومات» حذف شده، برای سایت ایمپورت نشود.</x:v>
      </x:c>
      <x:c r="AH266" s="79" t="str">
        <x:v>[{"name": "نیم لیتر", "sku": "", "price": 18000, "stock": "", "weight": 500, "weightUnit": "ml", "containerSize": "نیم لیتر", "isDefault": true}, {"name": "1 لیتر", "sku": "", "price": 30000, "stock": "", "weight": 1000, "weightUnit": "ml", "containerSize": "1 لیتر", "isDefault": false}]</x:v>
      </x:c>
      <x:c r="AI266" s="79"/>
      <x:c r="AJ266" s="79"/>
      <x:c r="AK266" s="79"/>
      <x:c r="AL266" t="str">
        <x:v>ظرف بطری پلاستیکی</x:v>
      </x:c>
      <x:c r="AM266" t="str">
        <x:v>single_268</x:v>
      </x:c>
      <x:c r="AN266" t="str">
        <x:v>skip_do_not_import</x:v>
      </x:c>
      <x:c r="AO266" t="str">
        <x:v>عدم ایمپورت</x:v>
      </x:c>
      <x:c r="AP266"/>
      <x:c r="AQ266" t="str">
        <x:v>SKIP</x:v>
      </x:c>
      <x:c r="AR266" t="str">
        <x:v>NON_PRODUCT</x:v>
      </x:c>
      <x:c r="AS266" t="str">
        <x:v>خیر</x:v>
      </x:c>
      <x:c r="AT266" t="str">
        <x:v>SKIP_NON_PRODUCT</x:v>
      </x:c>
      <x:c r="AU266" t="str">
        <x:v>ملزومات/ظرف/ابزار است و چون دسته «ملزومات» حذف شده، برای سایت ایمپورت نشود.</x:v>
      </x:c>
    </x:row>
    <x:row r="267">
      <x:c r="A267" s="79" t="n">
        <x:v>269</x:v>
      </x:c>
      <x:c r="B267" s="79" t="str">
        <x:v>NS-0266-1</x:v>
      </x:c>
      <x:c r="C267" s="79" t="str">
        <x:v>ظرف بطری شیشه ای</x:v>
      </x:c>
      <x:c r="D267" s="79" t="str">
        <x:v>glass_bottle_container_half_liter</x:v>
      </x:c>
      <x:c r="E267" s="79" t="str">
        <x:v>update</x:v>
      </x:c>
      <x:c r="F267" s="79" t="str">
        <x:v>بله</x:v>
      </x:c>
      <x:c r="G267" s="79" t="str">
        <x:v>ملزومات</x:v>
      </x:c>
      <x:c r="H267" s="79" t="str">
        <x:v>عدم ایمپورت</x:v>
      </x:c>
      <x:c r="I267" s="79"/>
      <x:c r="J267" s="79" t="str">
        <x:v>SKIP</x:v>
      </x:c>
      <x:c r="K267" s="79"/>
      <x:c r="L267" s="79" t="str">
        <x:v>NON_PRODUCT</x:v>
      </x:c>
      <x:c r="M267" s="79" t="str">
        <x:v>خیر</x:v>
      </x:c>
      <x:c r="N267" s="79" t="str">
        <x:v>عدم ایمپورت</x:v>
      </x:c>
      <x:c r="O267" s="79" t="str">
        <x:v>بله</x:v>
      </x:c>
      <x:c r="P267" s="79" t="n">
        <x:v>2</x:v>
      </x:c>
      <x:c r="Q267" s="79" t="str">
        <x:v>نیم لیتر</x:v>
      </x:c>
      <x:c r="R267" s="79" t="n">
        <x:v>18</x:v>
      </x:c>
      <x:c r="S267" s="104" t="n">
        <x:v>18000</x:v>
      </x:c>
      <x:c r="T267" s="79" t="n">
        <x:v>500</x:v>
      </x:c>
      <x:c r="U267" s="79" t="str">
        <x:v>ml</x:v>
      </x:c>
      <x:c r="V267" s="79" t="str">
        <x:v>نیم لیتر</x:v>
      </x:c>
      <x:c r="W267" s="99" t="b">
        <x:v>1</x:v>
      </x:c>
      <x:c r="X267" s="79" t="str">
        <x:v>1 لیتر</x:v>
      </x:c>
      <x:c r="Y267" s="79" t="n">
        <x:v>23</x:v>
      </x:c>
      <x:c r="Z267" s="104" t="n">
        <x:v>23000</x:v>
      </x:c>
      <x:c r="AA267" s="79" t="n">
        <x:v>1000</x:v>
      </x:c>
      <x:c r="AB267" s="79" t="str">
        <x:v>ml</x:v>
      </x:c>
      <x:c r="AC267" s="79" t="str">
        <x:v>1 لیتر</x:v>
      </x:c>
      <x:c r="AD267" s="99" t="b">
        <x:v>0</x:v>
      </x:c>
      <x:c r="AE267" s="79" t="str">
        <x:v>فعال</x:v>
      </x:c>
      <x:c r="AF267" s="79" t="str">
        <x:v>نیازمند بررسی دستی</x:v>
      </x:c>
      <x:c r="AG267" s="79" t="str">
        <x:v>ملزومات/ظرف/ابزار است و چون دسته «ملزومات» حذف شده، برای سایت ایمپورت نشود.</x:v>
      </x:c>
      <x:c r="AH267" s="79" t="str">
        <x:v>[{"name": "نیم لیتر", "sku": "", "price": 18000, "stock": "", "weight": 500, "weightUnit": "ml", "containerSize": "نیم لیتر", "isDefault": true}, {"name": "1 لیتر", "sku": "", "price": 23000, "stock": "", "weight": 1000, "weightUnit": "ml", "containerSize": "1 لیتر", "isDefault": false}]</x:v>
      </x:c>
      <x:c r="AI267" s="79"/>
      <x:c r="AJ267" s="79"/>
      <x:c r="AK267" s="79"/>
      <x:c r="AL267" t="str">
        <x:v>ظرف بطری شیشه ای</x:v>
      </x:c>
      <x:c r="AM267" t="str">
        <x:v>single_269</x:v>
      </x:c>
      <x:c r="AN267" t="str">
        <x:v>skip_do_not_import</x:v>
      </x:c>
      <x:c r="AO267" t="str">
        <x:v>عدم ایمپورت</x:v>
      </x:c>
      <x:c r="AP267"/>
      <x:c r="AQ267" t="str">
        <x:v>SKIP</x:v>
      </x:c>
      <x:c r="AR267" t="str">
        <x:v>NON_PRODUCT</x:v>
      </x:c>
      <x:c r="AS267" t="str">
        <x:v>خیر</x:v>
      </x:c>
      <x:c r="AT267" t="str">
        <x:v>SKIP_NON_PRODUCT</x:v>
      </x:c>
      <x:c r="AU267" t="str">
        <x:v>ملزومات/ظرف/ابزار است و چون دسته «ملزومات» حذف شده، برای سایت ایمپورت نشود.</x:v>
      </x:c>
    </x:row>
    <x:row r="268">
      <x:c r="A268" s="79" t="n">
        <x:v>270</x:v>
      </x:c>
      <x:c r="B268" s="79" t="str">
        <x:v>NS-0267-1</x:v>
      </x:c>
      <x:c r="C268" s="79" t="str">
        <x:v>ظرف جار</x:v>
      </x:c>
      <x:c r="D268" s="79" t="str">
        <x:v>container_jar_jar_25</x:v>
      </x:c>
      <x:c r="E268" s="79" t="str">
        <x:v>update</x:v>
      </x:c>
      <x:c r="F268" s="79" t="str">
        <x:v>بله</x:v>
      </x:c>
      <x:c r="G268" s="79" t="str">
        <x:v>ملزومات</x:v>
      </x:c>
      <x:c r="H268" s="79" t="str">
        <x:v>عدم ایمپورت</x:v>
      </x:c>
      <x:c r="I268" s="79"/>
      <x:c r="J268" s="79" t="str">
        <x:v>SKIP</x:v>
      </x:c>
      <x:c r="K268" s="79"/>
      <x:c r="L268" s="79" t="str">
        <x:v>NON_PRODUCT</x:v>
      </x:c>
      <x:c r="M268" s="79" t="str">
        <x:v>خیر</x:v>
      </x:c>
      <x:c r="N268" s="79" t="str">
        <x:v>عدم ایمپورت</x:v>
      </x:c>
      <x:c r="O268" s="79" t="str">
        <x:v>بله</x:v>
      </x:c>
      <x:c r="P268" s="79" t="n">
        <x:v>2</x:v>
      </x:c>
      <x:c r="Q268" s="79" t="str">
        <x:v>جار 25</x:v>
      </x:c>
      <x:c r="R268" s="79" t="n">
        <x:v>32</x:v>
      </x:c>
      <x:c r="S268" s="104" t="n">
        <x:v>32000</x:v>
      </x:c>
      <x:c r="T268" s="79" t="str"/>
      <x:c r="U268" s="79" t="str"/>
      <x:c r="V268" s="79" t="str">
        <x:v>جار 25</x:v>
      </x:c>
      <x:c r="W268" s="99" t="b">
        <x:v>1</x:v>
      </x:c>
      <x:c r="X268" s="79" t="str">
        <x:v>جار 50</x:v>
      </x:c>
      <x:c r="Y268" s="79" t="n">
        <x:v>35</x:v>
      </x:c>
      <x:c r="Z268" s="104" t="n">
        <x:v>35000</x:v>
      </x:c>
      <x:c r="AA268" s="79" t="str"/>
      <x:c r="AB268" s="79" t="str"/>
      <x:c r="AC268" s="79" t="str">
        <x:v>جار 50</x:v>
      </x:c>
      <x:c r="AD268" s="99" t="b">
        <x:v>0</x:v>
      </x:c>
      <x:c r="AE268" s="79" t="str">
        <x:v>فعال</x:v>
      </x:c>
      <x:c r="AF268" s="79" t="str">
        <x:v>نیازمند بررسی دستی</x:v>
      </x:c>
      <x:c r="AG268" s="79" t="str">
        <x:v>ملزومات/ظرف/ابزار است و چون دسته «ملزومات» حذف شده، برای سایت ایمپورت نشود.</x:v>
      </x:c>
      <x:c r="AH268" s="79" t="str">
        <x:v>[{"name": "جار 25", "sku": "", "price": 32000, "stock": "", "weight": "", "weightUnit": "", "containerSize": "جار 25", "isDefault": true}, {"name": "جار 50", "sku": "", "price": 35000, "stock": "", "weight": "", "weightUnit": "", "containerSize": "جار 50", "isDefault": false}]</x:v>
      </x:c>
      <x:c r="AI268" s="79"/>
      <x:c r="AJ268" s="79"/>
      <x:c r="AK268" s="79"/>
      <x:c r="AL268" t="str">
        <x:v>ظرف جار</x:v>
      </x:c>
      <x:c r="AM268" t="str">
        <x:v>single_270</x:v>
      </x:c>
      <x:c r="AN268" t="str">
        <x:v>skip_do_not_import</x:v>
      </x:c>
      <x:c r="AO268" t="str">
        <x:v>عدم ایمپورت</x:v>
      </x:c>
      <x:c r="AP268"/>
      <x:c r="AQ268" t="str">
        <x:v>SKIP</x:v>
      </x:c>
      <x:c r="AR268" t="str">
        <x:v>NON_PRODUCT</x:v>
      </x:c>
      <x:c r="AS268" t="str">
        <x:v>خیر</x:v>
      </x:c>
      <x:c r="AT268" t="str">
        <x:v>SKIP_NON_PRODUCT</x:v>
      </x:c>
      <x:c r="AU268" t="str">
        <x:v>ملزومات/ظرف/ابزار است و چون دسته «ملزومات» حذف شده، برای سایت ایمپورت نشود.</x:v>
      </x:c>
    </x:row>
    <x:row r="269">
      <x:c r="A269" s="79" t="n">
        <x:v>271</x:v>
      </x:c>
      <x:c r="B269" s="79" t="str">
        <x:v>NS-0268-1</x:v>
      </x:c>
      <x:c r="C269" s="79" t="str">
        <x:v>ظرف جار سایز 2</x:v>
      </x:c>
      <x:c r="D269" s="79" t="str">
        <x:v>jar_container_size_2_kvchk</x:v>
      </x:c>
      <x:c r="E269" s="79" t="str">
        <x:v>update</x:v>
      </x:c>
      <x:c r="F269" s="79" t="str">
        <x:v>بله</x:v>
      </x:c>
      <x:c r="G269" s="79" t="str">
        <x:v>ملزومات</x:v>
      </x:c>
      <x:c r="H269" s="79" t="str">
        <x:v>عدم ایمپورت</x:v>
      </x:c>
      <x:c r="I269" s="79"/>
      <x:c r="J269" s="79" t="str">
        <x:v>SKIP</x:v>
      </x:c>
      <x:c r="K269" s="79"/>
      <x:c r="L269" s="79" t="str">
        <x:v>NON_PRODUCT</x:v>
      </x:c>
      <x:c r="M269" s="79" t="str">
        <x:v>خیر</x:v>
      </x:c>
      <x:c r="N269" s="79" t="str">
        <x:v>عدم ایمپورت</x:v>
      </x:c>
      <x:c r="O269" s="79" t="str">
        <x:v>بله</x:v>
      </x:c>
      <x:c r="P269" s="79" t="n">
        <x:v>2</x:v>
      </x:c>
      <x:c r="Q269" s="79" t="str">
        <x:v>کوچک</x:v>
      </x:c>
      <x:c r="R269" s="79" t="n">
        <x:v>15</x:v>
      </x:c>
      <x:c r="S269" s="104" t="n">
        <x:v>15000</x:v>
      </x:c>
      <x:c r="T269" s="79" t="str"/>
      <x:c r="U269" s="79" t="str"/>
      <x:c r="V269" s="79" t="str">
        <x:v>کوچک</x:v>
      </x:c>
      <x:c r="W269" s="99" t="b">
        <x:v>1</x:v>
      </x:c>
      <x:c r="X269" s="79" t="str">
        <x:v>متوسط</x:v>
      </x:c>
      <x:c r="Y269" s="79" t="n">
        <x:v>25</x:v>
      </x:c>
      <x:c r="Z269" s="104" t="n">
        <x:v>25000</x:v>
      </x:c>
      <x:c r="AA269" s="79" t="str"/>
      <x:c r="AB269" s="79" t="str"/>
      <x:c r="AC269" s="79" t="str">
        <x:v>متوسط</x:v>
      </x:c>
      <x:c r="AD269" s="99" t="b">
        <x:v>0</x:v>
      </x:c>
      <x:c r="AE269" s="79" t="str">
        <x:v>فعال</x:v>
      </x:c>
      <x:c r="AF269" s="79" t="str">
        <x:v>نیازمند بررسی دستی</x:v>
      </x:c>
      <x:c r="AG269" s="79" t="str">
        <x:v>ملزومات/ظرف/ابزار است و چون دسته «ملزومات» حذف شده، برای سایت ایمپورت نشود.</x:v>
      </x:c>
      <x:c r="AH269" s="79" t="str">
        <x:v>[{"name": "کوچک", "sku": "", "price": 15000, "stock": "", "weight": "", "weightUnit": "", "containerSize": "کوچک", "isDefault": true}, {"name": "متوسط", "sku": "", "price": 25000, "stock": "", "weight": "", "weightUnit": "", "containerSize": "متوسط", "isDefault": false}]</x:v>
      </x:c>
      <x:c r="AI269" s="79"/>
      <x:c r="AJ269" s="79"/>
      <x:c r="AK269" s="79"/>
      <x:c r="AL269" t="str">
        <x:v>ظرف جار سایز 2</x:v>
      </x:c>
      <x:c r="AM269" t="str">
        <x:v>single_271</x:v>
      </x:c>
      <x:c r="AN269" t="str">
        <x:v>skip_do_not_import</x:v>
      </x:c>
      <x:c r="AO269" t="str">
        <x:v>عدم ایمپورت</x:v>
      </x:c>
      <x:c r="AP269"/>
      <x:c r="AQ269" t="str">
        <x:v>SKIP</x:v>
      </x:c>
      <x:c r="AR269" t="str">
        <x:v>NON_PRODUCT</x:v>
      </x:c>
      <x:c r="AS269" t="str">
        <x:v>خیر</x:v>
      </x:c>
      <x:c r="AT269" t="str">
        <x:v>SKIP_NON_PRODUCT</x:v>
      </x:c>
      <x:c r="AU269" t="str">
        <x:v>ملزومات/ظرف/ابزار است و چون دسته «ملزومات» حذف شده، برای سایت ایمپورت نشود.</x:v>
      </x:c>
    </x:row>
    <x:row r="270">
      <x:c r="A270" s="79" t="n">
        <x:v>272</x:v>
      </x:c>
      <x:c r="B270" s="79" t="str">
        <x:v>NS-0269-1</x:v>
      </x:c>
      <x:c r="C270" s="79" t="str">
        <x:v>ظرف روغن موضعی</x:v>
      </x:c>
      <x:c r="D270" s="79" t="str">
        <x:v>topical_oil_container_30ml</x:v>
      </x:c>
      <x:c r="E270" s="79" t="str">
        <x:v>update</x:v>
      </x:c>
      <x:c r="F270" s="79" t="str">
        <x:v>بله</x:v>
      </x:c>
      <x:c r="G270" s="79" t="str">
        <x:v>ملزومات</x:v>
      </x:c>
      <x:c r="H270" s="79" t="str">
        <x:v>عدم ایمپورت</x:v>
      </x:c>
      <x:c r="I270" s="79"/>
      <x:c r="J270" s="79" t="str">
        <x:v>SKIP</x:v>
      </x:c>
      <x:c r="K270" s="79"/>
      <x:c r="L270" s="79" t="str">
        <x:v>NON_PRODUCT</x:v>
      </x:c>
      <x:c r="M270" s="79" t="str">
        <x:v>خیر</x:v>
      </x:c>
      <x:c r="N270" s="79" t="str">
        <x:v>عدم ایمپورت</x:v>
      </x:c>
      <x:c r="O270" s="79" t="str">
        <x:v>بله</x:v>
      </x:c>
      <x:c r="P270" s="79" t="n">
        <x:v>2</x:v>
      </x:c>
      <x:c r="Q270" s="79" t="str">
        <x:v>30 میلی لیتر</x:v>
      </x:c>
      <x:c r="R270" s="79" t="n">
        <x:v>12</x:v>
      </x:c>
      <x:c r="S270" s="104" t="n">
        <x:v>12000</x:v>
      </x:c>
      <x:c r="T270" s="79" t="n">
        <x:v>30</x:v>
      </x:c>
      <x:c r="U270" s="79" t="str">
        <x:v>ml</x:v>
      </x:c>
      <x:c r="V270" s="79" t="str">
        <x:v>30 میل</x:v>
      </x:c>
      <x:c r="W270" s="99" t="b">
        <x:v>1</x:v>
      </x:c>
      <x:c r="X270" s="79" t="str">
        <x:v>60 میلی لیتر</x:v>
      </x:c>
      <x:c r="Y270" s="79" t="n">
        <x:v>20</x:v>
      </x:c>
      <x:c r="Z270" s="104" t="n">
        <x:v>20000</x:v>
      </x:c>
      <x:c r="AA270" s="79" t="n">
        <x:v>60</x:v>
      </x:c>
      <x:c r="AB270" s="79" t="str">
        <x:v>ml</x:v>
      </x:c>
      <x:c r="AC270" s="79" t="str">
        <x:v>60 میل</x:v>
      </x:c>
      <x:c r="AD270" s="99" t="b">
        <x:v>0</x:v>
      </x:c>
      <x:c r="AE270" s="79" t="str">
        <x:v>فعال</x:v>
      </x:c>
      <x:c r="AF270" s="79" t="str">
        <x:v>نیازمند بررسی دستی</x:v>
      </x:c>
      <x:c r="AG270" s="79" t="str">
        <x:v>ملزومات/ظرف/ابزار است و چون دسته «ملزومات» حذف شده، برای سایت ایمپورت نشود.</x:v>
      </x:c>
      <x:c r="AH270" s="79" t="str">
        <x:v>[{"name": "30 میلی لیتر", "sku": "", "price": 12000, "stock": "", "weight": 30, "weightUnit": "ml", "containerSize": "30 میل", "isDefault": true}, {"name": "60 میلی لیتر", "sku": "", "price": 20000, "stock": "", "weight": 60, "weightUnit": "ml", "containerSize": "60 میل", "isDefault": false}]</x:v>
      </x:c>
      <x:c r="AI270" s="79"/>
      <x:c r="AJ270" s="79"/>
      <x:c r="AK270" s="79"/>
      <x:c r="AL270" t="str">
        <x:v>ظرف روغن موضعی</x:v>
      </x:c>
      <x:c r="AM270" t="str">
        <x:v>single_272</x:v>
      </x:c>
      <x:c r="AN270" t="str">
        <x:v>skip_do_not_import</x:v>
      </x:c>
      <x:c r="AO270" t="str">
        <x:v>عدم ایمپورت</x:v>
      </x:c>
      <x:c r="AP270"/>
      <x:c r="AQ270" t="str">
        <x:v>SKIP</x:v>
      </x:c>
      <x:c r="AR270" t="str">
        <x:v>NON_PRODUCT</x:v>
      </x:c>
      <x:c r="AS270" t="str">
        <x:v>خیر</x:v>
      </x:c>
      <x:c r="AT270" t="str">
        <x:v>SKIP_NON_PRODUCT</x:v>
      </x:c>
      <x:c r="AU270" t="str">
        <x:v>ملزومات/ظرف/ابزار است و چون دسته «ملزومات» حذف شده، برای سایت ایمپورت نشود.</x:v>
      </x:c>
    </x:row>
    <x:row r="271">
      <x:c r="A271" s="79" t="n">
        <x:v>273</x:v>
      </x:c>
      <x:c r="B271" s="79" t="str">
        <x:v>NS-0270-1</x:v>
      </x:c>
      <x:c r="C271" s="79" t="str">
        <x:v>ظرف سطلی یک کیلویی</x:v>
      </x:c>
      <x:c r="D271" s="79" t="str">
        <x:v>one_kilo_bucket_container</x:v>
      </x:c>
      <x:c r="E271" s="79" t="str">
        <x:v>update</x:v>
      </x:c>
      <x:c r="F271" s="79" t="str">
        <x:v>بله</x:v>
      </x:c>
      <x:c r="G271" s="79" t="str">
        <x:v>ملزومات</x:v>
      </x:c>
      <x:c r="H271" s="79" t="str">
        <x:v>عدم ایمپورت</x:v>
      </x:c>
      <x:c r="I271" s="79"/>
      <x:c r="J271" s="79" t="str">
        <x:v>SKIP</x:v>
      </x:c>
      <x:c r="K271" s="79"/>
      <x:c r="L271" s="79" t="str">
        <x:v>NON_PRODUCT</x:v>
      </x:c>
      <x:c r="M271" s="79" t="str">
        <x:v>خیر</x:v>
      </x:c>
      <x:c r="N271" s="79" t="str">
        <x:v>عدم ایمپورت</x:v>
      </x:c>
      <x:c r="O271" s="79" t="str">
        <x:v>خیر</x:v>
      </x:c>
      <x:c r="P271" s="79" t="n">
        <x:v>1</x:v>
      </x:c>
      <x:c r="Q271" s="79" t="str">
        <x:v>کیلو</x:v>
      </x:c>
      <x:c r="R271" s="79" t="n">
        <x:v>50</x:v>
      </x:c>
      <x:c r="S271" s="104" t="n">
        <x:v>50000</x:v>
      </x:c>
      <x:c r="T271" s="79" t="n">
        <x:v>1</x:v>
      </x:c>
      <x:c r="U271" s="79" t="str">
        <x:v>kg</x:v>
      </x:c>
      <x:c r="V271" s="79" t="str">
        <x:v>کیلو</x:v>
      </x:c>
      <x:c r="W271" s="99" t="b">
        <x:v>1</x:v>
      </x:c>
      <x:c r="X271" s="79" t="str"/>
      <x:c r="Y271" s="79"/>
      <x:c r="Z271" s="104"/>
      <x:c r="AA271" s="79" t="str"/>
      <x:c r="AB271" s="79" t="str"/>
      <x:c r="AC271" s="79" t="str"/>
      <x:c r="AD271" s="79" t="str"/>
      <x:c r="AE271" s="79" t="str">
        <x:v>فعال</x:v>
      </x:c>
      <x:c r="AF271" s="79" t="str">
        <x:v>نیازمند بررسی دستی</x:v>
      </x:c>
      <x:c r="AG271" s="79" t="str">
        <x:v>ملزومات/ظرف/ابزار است و چون دسته «ملزومات» حذف شده، برای سایت ایمپورت نشود.</x:v>
      </x:c>
      <x:c r="AH271" s="79" t="str">
        <x:v>[{"name": "کیلو", "sku": "", "price": 50000, "stock": "", "weight": 1, "weightUnit": "kg", "containerSize": "کیلو", "isDefault": true}]</x:v>
      </x:c>
      <x:c r="AI271" s="79"/>
      <x:c r="AJ271" s="79"/>
      <x:c r="AK271" s="79"/>
      <x:c r="AL271" t="str">
        <x:v>ظرف سطلی یک کیلویی</x:v>
      </x:c>
      <x:c r="AM271" t="str">
        <x:v>single_273</x:v>
      </x:c>
      <x:c r="AN271" t="str">
        <x:v>skip_do_not_import</x:v>
      </x:c>
      <x:c r="AO271" t="str">
        <x:v>عدم ایمپورت</x:v>
      </x:c>
      <x:c r="AP271"/>
      <x:c r="AQ271" t="str">
        <x:v>SKIP</x:v>
      </x:c>
      <x:c r="AR271" t="str">
        <x:v>NON_PRODUCT</x:v>
      </x:c>
      <x:c r="AS271" t="str">
        <x:v>خیر</x:v>
      </x:c>
      <x:c r="AT271" t="str">
        <x:v>SKIP_NON_PRODUCT</x:v>
      </x:c>
      <x:c r="AU271" t="str">
        <x:v>ملزومات/ظرف/ابزار است و چون دسته «ملزومات» حذف شده، برای سایت ایمپورت نشود.</x:v>
      </x:c>
    </x:row>
    <x:row r="272">
      <x:c r="A272" s="79" t="n">
        <x:v>274</x:v>
      </x:c>
      <x:c r="B272" s="79" t="str">
        <x:v>NS-0271-1</x:v>
      </x:c>
      <x:c r="C272" s="79" t="str">
        <x:v>ظرف کتابی</x:v>
      </x:c>
      <x:c r="D272" s="79" t="str">
        <x:v>book_shape_container_250_gram</x:v>
      </x:c>
      <x:c r="E272" s="79" t="str">
        <x:v>update</x:v>
      </x:c>
      <x:c r="F272" s="79" t="str">
        <x:v>بله</x:v>
      </x:c>
      <x:c r="G272" s="79" t="str">
        <x:v>ملزومات</x:v>
      </x:c>
      <x:c r="H272" s="79" t="str">
        <x:v>عدم ایمپورت</x:v>
      </x:c>
      <x:c r="I272" s="79"/>
      <x:c r="J272" s="79" t="str">
        <x:v>SKIP</x:v>
      </x:c>
      <x:c r="K272" s="79"/>
      <x:c r="L272" s="79" t="str">
        <x:v>NON_PRODUCT</x:v>
      </x:c>
      <x:c r="M272" s="79" t="str">
        <x:v>خیر</x:v>
      </x:c>
      <x:c r="N272" s="79" t="str">
        <x:v>عدم ایمپورت</x:v>
      </x:c>
      <x:c r="O272" s="79" t="str">
        <x:v>بله</x:v>
      </x:c>
      <x:c r="P272" s="79" t="n">
        <x:v>2</x:v>
      </x:c>
      <x:c r="Q272" s="79" t="str">
        <x:v>250 گرمی</x:v>
      </x:c>
      <x:c r="R272" s="79" t="n">
        <x:v>22</x:v>
      </x:c>
      <x:c r="S272" s="104" t="n">
        <x:v>22000</x:v>
      </x:c>
      <x:c r="T272" s="79" t="n">
        <x:v>250</x:v>
      </x:c>
      <x:c r="U272" s="79" t="str">
        <x:v>g</x:v>
      </x:c>
      <x:c r="V272" s="79" t="str">
        <x:v>250 گرمی</x:v>
      </x:c>
      <x:c r="W272" s="99" t="b">
        <x:v>1</x:v>
      </x:c>
      <x:c r="X272" s="79" t="str">
        <x:v>400 گرمی</x:v>
      </x:c>
      <x:c r="Y272" s="79" t="n">
        <x:v>25</x:v>
      </x:c>
      <x:c r="Z272" s="104" t="n">
        <x:v>25000</x:v>
      </x:c>
      <x:c r="AA272" s="79" t="n">
        <x:v>400</x:v>
      </x:c>
      <x:c r="AB272" s="79" t="str">
        <x:v>g</x:v>
      </x:c>
      <x:c r="AC272" s="79" t="str">
        <x:v>400 گرمی</x:v>
      </x:c>
      <x:c r="AD272" s="99" t="b">
        <x:v>0</x:v>
      </x:c>
      <x:c r="AE272" s="79" t="str">
        <x:v>فعال</x:v>
      </x:c>
      <x:c r="AF272" s="79" t="str">
        <x:v>نیازمند بررسی دستی</x:v>
      </x:c>
      <x:c r="AG272" s="79" t="str">
        <x:v>ملزومات/ظرف/ابزار است و چون دسته «ملزومات» حذف شده، برای سایت ایمپورت نشود.</x:v>
      </x:c>
      <x:c r="AH272" s="79" t="str">
        <x:v>[{"name": "250 گرمی", "sku": "", "price": 22000, "stock": "", "weight": 250, "weightUnit": "g", "containerSize": "250 گرمی", "isDefault": true}, {"name": "400 گرمی", "sku": "", "price": 25000, "stock": "", "weight": 400, "weightUnit": "g", "containerSize": "400 گرمی", "isDefault": false}]</x:v>
      </x:c>
      <x:c r="AI272" s="79"/>
      <x:c r="AJ272" s="79"/>
      <x:c r="AK272" s="79"/>
      <x:c r="AL272" t="str">
        <x:v>ظرف کتابی</x:v>
      </x:c>
      <x:c r="AM272" t="str">
        <x:v>single_274</x:v>
      </x:c>
      <x:c r="AN272" t="str">
        <x:v>skip_do_not_import</x:v>
      </x:c>
      <x:c r="AO272" t="str">
        <x:v>عدم ایمپورت</x:v>
      </x:c>
      <x:c r="AP272"/>
      <x:c r="AQ272" t="str">
        <x:v>SKIP</x:v>
      </x:c>
      <x:c r="AR272" t="str">
        <x:v>NON_PRODUCT</x:v>
      </x:c>
      <x:c r="AS272" t="str">
        <x:v>خیر</x:v>
      </x:c>
      <x:c r="AT272" t="str">
        <x:v>SKIP_NON_PRODUCT</x:v>
      </x:c>
      <x:c r="AU272" t="str">
        <x:v>ملزومات/ظرف/ابزار است و چون دسته «ملزومات» حذف شده، برای سایت ایمپورت نشود.</x:v>
      </x:c>
    </x:row>
    <x:row r="273">
      <x:c r="A273" s="79" t="n">
        <x:v>275</x:v>
      </x:c>
      <x:c r="B273" s="79" t="str">
        <x:v>NS-0272-1</x:v>
      </x:c>
      <x:c r="C273" s="79" t="str">
        <x:v>ظرف کوزه ای</x:v>
      </x:c>
      <x:c r="D273" s="79" t="str">
        <x:v>jug_container_kvchk</x:v>
      </x:c>
      <x:c r="E273" s="79" t="str">
        <x:v>update</x:v>
      </x:c>
      <x:c r="F273" s="79" t="str">
        <x:v>بله</x:v>
      </x:c>
      <x:c r="G273" s="79" t="str">
        <x:v>ملزومات</x:v>
      </x:c>
      <x:c r="H273" s="79" t="str">
        <x:v>عدم ایمپورت</x:v>
      </x:c>
      <x:c r="I273" s="79"/>
      <x:c r="J273" s="79" t="str">
        <x:v>SKIP</x:v>
      </x:c>
      <x:c r="K273" s="79"/>
      <x:c r="L273" s="79" t="str">
        <x:v>NON_PRODUCT</x:v>
      </x:c>
      <x:c r="M273" s="79" t="str">
        <x:v>خیر</x:v>
      </x:c>
      <x:c r="N273" s="79" t="str">
        <x:v>عدم ایمپورت</x:v>
      </x:c>
      <x:c r="O273" s="79" t="str">
        <x:v>بله</x:v>
      </x:c>
      <x:c r="P273" s="79" t="n">
        <x:v>2</x:v>
      </x:c>
      <x:c r="Q273" s="79" t="str">
        <x:v>کوچک</x:v>
      </x:c>
      <x:c r="R273" s="79" t="n">
        <x:v>40</x:v>
      </x:c>
      <x:c r="S273" s="104" t="n">
        <x:v>40000</x:v>
      </x:c>
      <x:c r="T273" s="79" t="str"/>
      <x:c r="U273" s="79" t="str"/>
      <x:c r="V273" s="79" t="str">
        <x:v>کوچک</x:v>
      </x:c>
      <x:c r="W273" s="99" t="b">
        <x:v>1</x:v>
      </x:c>
      <x:c r="X273" s="79" t="str">
        <x:v>بزرگ</x:v>
      </x:c>
      <x:c r="Y273" s="79" t="n">
        <x:v>50</x:v>
      </x:c>
      <x:c r="Z273" s="104" t="n">
        <x:v>50000</x:v>
      </x:c>
      <x:c r="AA273" s="79" t="str"/>
      <x:c r="AB273" s="79" t="str"/>
      <x:c r="AC273" s="79" t="str">
        <x:v>بزرگ</x:v>
      </x:c>
      <x:c r="AD273" s="99" t="b">
        <x:v>0</x:v>
      </x:c>
      <x:c r="AE273" s="79" t="str">
        <x:v>فعال</x:v>
      </x:c>
      <x:c r="AF273" s="79" t="str">
        <x:v>نیازمند بررسی دستی</x:v>
      </x:c>
      <x:c r="AG273" s="79" t="str">
        <x:v>ملزومات/ظرف/ابزار است و چون دسته «ملزومات» حذف شده، برای سایت ایمپورت نشود.</x:v>
      </x:c>
      <x:c r="AH273" s="79" t="str">
        <x:v>[{"name": "کوچک", "sku": "", "price": 40000, "stock": "", "weight": "", "weightUnit": "", "containerSize": "کوچک", "isDefault": true}, {"name": "بزرگ", "sku": "", "price": 50000, "stock": "", "weight": "", "weightUnit": "", "containerSize": "بزرگ", "isDefault": false}]</x:v>
      </x:c>
      <x:c r="AI273" s="79"/>
      <x:c r="AJ273" s="79"/>
      <x:c r="AK273" s="79"/>
      <x:c r="AL273" t="str">
        <x:v>ظرف کوزه ای</x:v>
      </x:c>
      <x:c r="AM273" t="str">
        <x:v>single_275</x:v>
      </x:c>
      <x:c r="AN273" t="str">
        <x:v>skip_do_not_import</x:v>
      </x:c>
      <x:c r="AO273" t="str">
        <x:v>عدم ایمپورت</x:v>
      </x:c>
      <x:c r="AP273"/>
      <x:c r="AQ273" t="str">
        <x:v>SKIP</x:v>
      </x:c>
      <x:c r="AR273" t="str">
        <x:v>NON_PRODUCT</x:v>
      </x:c>
      <x:c r="AS273" t="str">
        <x:v>خیر</x:v>
      </x:c>
      <x:c r="AT273" t="str">
        <x:v>SKIP_NON_PRODUCT</x:v>
      </x:c>
      <x:c r="AU273" t="str">
        <x:v>ملزومات/ظرف/ابزار است و چون دسته «ملزومات» حذف شده، برای سایت ایمپورت نشود.</x:v>
      </x:c>
    </x:row>
    <x:row r="274">
      <x:c r="A274" s="79" t="n">
        <x:v>276</x:v>
      </x:c>
      <x:c r="B274" s="79" t="str"/>
      <x:c r="C274" s="79" t="str">
        <x:v>عرق استنشاقی</x:v>
      </x:c>
      <x:c r="D274" s="79" t="str">
        <x:v>argh-astnshaghy</x:v>
      </x:c>
      <x:c r="E274" s="79" t="str">
        <x:v>import</x:v>
      </x:c>
      <x:c r="F274" s="79" t="str">
        <x:v>خیر</x:v>
      </x:c>
      <x:c r="G274" s="79" t="str"/>
      <x:c r="H274" s="79" t="str">
        <x:v>گیاهان دارویی</x:v>
      </x:c>
      <x:c r="I274" s="79" t="str">
        <x:v>6a3782d7df5573f4e676e243</x:v>
      </x:c>
      <x:c r="J274" s="79" t="str">
        <x:v>medicinal-plants</x:v>
      </x:c>
      <x:c r="K274" s="79"/>
      <x:c r="L274" s="79" t="str">
        <x:v>TOPICAL</x:v>
      </x:c>
      <x:c r="M274" s="79" t="str">
        <x:v>خیر</x:v>
      </x:c>
      <x:c r="N274" s="79" t="str">
        <x:v>غیرخوراکی/موضعی</x:v>
      </x:c>
      <x:c r="O274" s="79" t="str">
        <x:v>بله</x:v>
      </x:c>
      <x:c r="P274" s="79" t="n">
        <x:v>2</x:v>
      </x:c>
      <x:c r="Q274" s="79" t="str">
        <x:v>30 میلی لیتر</x:v>
      </x:c>
      <x:c r="R274" s="79" t="n">
        <x:v>65</x:v>
      </x:c>
      <x:c r="S274" s="104" t="n">
        <x:v>65000</x:v>
      </x:c>
      <x:c r="T274" s="79" t="n">
        <x:v>30</x:v>
      </x:c>
      <x:c r="U274" s="79" t="str">
        <x:v>ml</x:v>
      </x:c>
      <x:c r="V274" s="79" t="str">
        <x:v>30 میل</x:v>
      </x:c>
      <x:c r="W274" s="99" t="b">
        <x:v>1</x:v>
      </x:c>
      <x:c r="X274" s="79" t="str">
        <x:v>60 میلی لیتر</x:v>
      </x:c>
      <x:c r="Y274" s="79" t="n">
        <x:v>120</x:v>
      </x:c>
      <x:c r="Z274" s="104" t="n">
        <x:v>120000</x:v>
      </x:c>
      <x:c r="AA274" s="79" t="n">
        <x:v>60</x:v>
      </x:c>
      <x:c r="AB274" s="79" t="str">
        <x:v>ml</x:v>
      </x:c>
      <x:c r="AC274" s="79" t="str">
        <x:v>60 میل</x:v>
      </x:c>
      <x:c r="AD274" s="99" t="b">
        <x:v>0</x:v>
      </x:c>
      <x:c r="AE274" s="79" t="str">
        <x:v>فعال</x:v>
      </x:c>
      <x:c r="AF274" s="79" t="str">
        <x:v>دسته‌بندی نهایی</x:v>
      </x:c>
      <x:c r="AG274" s="79" t="str">
        <x:v>به دلیل مصرف استنشاقی/موضعی از نوشیدنی‌ها به گیاهان دارویی منتقل شد</x:v>
      </x:c>
      <x:c r="AH274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  <x:c r="AI274" s="79"/>
      <x:c r="AJ274" s="79"/>
      <x:c r="AK274" s="79"/>
      <x:c r="AL274" t="str">
        <x:v>عرق استنشاقی</x:v>
      </x:c>
      <x:c r="AM274" t="str">
        <x:v>single_276</x:v>
      </x:c>
      <x:c r="AN274" t="str">
        <x:v>canonical_group_row</x:v>
      </x:c>
      <x:c r="AO274" t="str">
        <x:v>گیاهان دارویی</x:v>
      </x:c>
      <x:c r="AP274" t="str">
        <x:v>6a3782d7df5573f4e676e243</x:v>
      </x:c>
      <x:c r="AQ274" t="str">
        <x:v>medicinal-plants</x:v>
      </x:c>
      <x:c r="AR274" t="str">
        <x:v>TOPICAL</x:v>
      </x:c>
      <x:c r="AS274" t="str">
        <x:v>خیر</x:v>
      </x:c>
      <x:c r="AT274" t="str">
        <x:v>OK</x:v>
      </x:c>
      <x:c r="AU274" t="str">
        <x:v>به دلیل مصرف استنشاقی/موضعی از نوشیدنی‌ها به گیاهان دارویی منتقل شد</x:v>
      </x:c>
    </x:row>
    <x:row r="275">
      <x:c r="A275" s="79" t="n">
        <x:v>277</x:v>
      </x:c>
      <x:c r="B275" s="79" t="str"/>
      <x:c r="C275" s="79" t="str">
        <x:v>عرق اسطوخودوس</x:v>
      </x:c>
      <x:c r="D275" s="79" t="str">
        <x:v>argh-astvkhvdvs</x:v>
      </x:c>
      <x:c r="E275" s="79" t="str">
        <x:v>import</x:v>
      </x:c>
      <x:c r="F275" s="79" t="str">
        <x:v>خیر</x:v>
      </x:c>
      <x:c r="G275" s="79" t="str"/>
      <x:c r="H275" s="79" t="str">
        <x:v>نوشیدنی‌ها</x:v>
      </x:c>
      <x:c r="I275" s="79" t="str">
        <x:v>6a3782ffdf5573f4e676e24b</x:v>
      </x:c>
      <x:c r="J275" s="79" t="str">
        <x:v>syrup</x:v>
      </x:c>
      <x:c r="K275" s="79" t="str">
        <x:v>6a3782d7df5573f4e676e243</x:v>
      </x:c>
      <x:c r="L275" s="79" t="str">
        <x:v>EDIBLE</x:v>
      </x:c>
      <x:c r="M275" s="79" t="str">
        <x:v>بله</x:v>
      </x:c>
      <x:c r="N275" s="79" t="str">
        <x:v>خوراکی</x:v>
      </x:c>
      <x:c r="O275" s="79" t="str">
        <x:v>بله</x:v>
      </x:c>
      <x:c r="P275" s="79" t="n">
        <x:v>2</x:v>
      </x:c>
      <x:c r="Q275" s="79" t="str">
        <x:v>نیم لیتر</x:v>
      </x:c>
      <x:c r="R275" s="79" t="n">
        <x:v>100</x:v>
      </x:c>
      <x:c r="S275" s="104" t="n">
        <x:v>100000</x:v>
      </x:c>
      <x:c r="T275" s="79" t="n">
        <x:v>500</x:v>
      </x:c>
      <x:c r="U275" s="79" t="str">
        <x:v>ml</x:v>
      </x:c>
      <x:c r="V275" s="79" t="str">
        <x:v>نیم لیتر</x:v>
      </x:c>
      <x:c r="W275" s="99" t="b">
        <x:v>1</x:v>
      </x:c>
      <x:c r="X275" s="79" t="str">
        <x:v>1 لیتر</x:v>
      </x:c>
      <x:c r="Y275" s="79" t="n">
        <x:v>190</x:v>
      </x:c>
      <x:c r="Z275" s="104" t="n">
        <x:v>190000</x:v>
      </x:c>
      <x:c r="AA275" s="79" t="n">
        <x:v>1000</x:v>
      </x:c>
      <x:c r="AB275" s="79" t="str">
        <x:v>ml</x:v>
      </x:c>
      <x:c r="AC275" s="79" t="str">
        <x:v>1 لیتر</x:v>
      </x:c>
      <x:c r="AD275" s="99" t="b">
        <x:v>0</x:v>
      </x:c>
      <x:c r="AE275" s="79" t="str">
        <x:v>فعال</x:v>
      </x:c>
      <x:c r="AF275" s="79" t="str">
        <x:v>دسته‌بندی نهایی</x:v>
      </x:c>
      <x:c r="AG275" s="79" t="str">
        <x:v>OK</x:v>
      </x:c>
      <x:c r="AH275" s="79" t="str">
        <x:v>[{"name": "نیم لیتر", "sku": "", "price": 100000, "stock": "", "weight": 500, "weightUnit": "ml", "containerSize": "نیم لیتر", "isDefault": true}, {"name": "1 لیتر", "sku": "", "price": 190000, "stock": "", "weight": 1000, "weightUnit": "ml", "containerSize": "1 لیتر", "isDefault": false}]</x:v>
      </x:c>
      <x:c r="AI275" s="79"/>
      <x:c r="AJ275" s="79"/>
      <x:c r="AK275" s="79"/>
      <x:c r="AL275" t="str">
        <x:v>عرق اسطوخودوس</x:v>
      </x:c>
      <x:c r="AM275" t="str">
        <x:v>single_277</x:v>
      </x:c>
      <x:c r="AN275" t="str">
        <x:v>canonical_group_row</x:v>
      </x:c>
      <x:c r="AO275" t="str">
        <x:v>نوشیدنی‌ها</x:v>
      </x:c>
      <x:c r="AP275" t="str">
        <x:v>6a3782ffdf5573f4e676e24b</x:v>
      </x:c>
      <x:c r="AQ275" t="str">
        <x:v>syrup</x:v>
      </x:c>
      <x:c r="AR275" t="str">
        <x:v>EDIBLE</x:v>
      </x:c>
      <x:c r="AS275" t="str">
        <x:v>بله</x:v>
      </x:c>
      <x:c r="AT275" t="str">
        <x:v>OK</x:v>
      </x:c>
      <x:c r="AU275"/>
    </x:row>
    <x:row r="276">
      <x:c r="A276" s="79" t="n">
        <x:v>278</x:v>
      </x:c>
      <x:c r="B276" s="79" t="str"/>
      <x:c r="C276" s="79" t="str">
        <x:v>عرق اکالیپتوس</x:v>
      </x:c>
      <x:c r="D276" s="79" t="str">
        <x:v>argh-akalyptvs</x:v>
      </x:c>
      <x:c r="E276" s="79" t="str">
        <x:v>import</x:v>
      </x:c>
      <x:c r="F276" s="79" t="str">
        <x:v>خیر</x:v>
      </x:c>
      <x:c r="G276" s="79" t="str"/>
      <x:c r="H276" s="79" t="str">
        <x:v>نوشیدنی‌ها</x:v>
      </x:c>
      <x:c r="I276" s="79" t="str">
        <x:v>6a3782ffdf5573f4e676e24b</x:v>
      </x:c>
      <x:c r="J276" s="79" t="str">
        <x:v>syrup</x:v>
      </x:c>
      <x:c r="K276" s="79" t="str">
        <x:v>6a3782d7df5573f4e676e243</x:v>
      </x:c>
      <x:c r="L276" s="79" t="str">
        <x:v>EDIBLE</x:v>
      </x:c>
      <x:c r="M276" s="79" t="str">
        <x:v>بله</x:v>
      </x:c>
      <x:c r="N276" s="79" t="str">
        <x:v>خوراکی</x:v>
      </x:c>
      <x:c r="O276" s="79" t="str">
        <x:v>بله</x:v>
      </x:c>
      <x:c r="P276" s="79" t="n">
        <x:v>2</x:v>
      </x:c>
      <x:c r="Q276" s="79" t="str">
        <x:v>نیم لیتر</x:v>
      </x:c>
      <x:c r="R276" s="79" t="n">
        <x:v>65</x:v>
      </x:c>
      <x:c r="S276" s="104" t="n">
        <x:v>65000</x:v>
      </x:c>
      <x:c r="T276" s="79" t="n">
        <x:v>500</x:v>
      </x:c>
      <x:c r="U276" s="79" t="str">
        <x:v>ml</x:v>
      </x:c>
      <x:c r="V276" s="79" t="str">
        <x:v>نیم لیتر</x:v>
      </x:c>
      <x:c r="W276" s="99" t="b">
        <x:v>1</x:v>
      </x:c>
      <x:c r="X276" s="79" t="str">
        <x:v>1 لیتر</x:v>
      </x:c>
      <x:c r="Y276" s="79" t="n">
        <x:v>120</x:v>
      </x:c>
      <x:c r="Z276" s="104" t="n">
        <x:v>120000</x:v>
      </x:c>
      <x:c r="AA276" s="79" t="n">
        <x:v>1000</x:v>
      </x:c>
      <x:c r="AB276" s="79" t="str">
        <x:v>ml</x:v>
      </x:c>
      <x:c r="AC276" s="79" t="str">
        <x:v>1 لیتر</x:v>
      </x:c>
      <x:c r="AD276" s="99" t="b">
        <x:v>0</x:v>
      </x:c>
      <x:c r="AE276" s="79" t="str">
        <x:v>فعال</x:v>
      </x:c>
      <x:c r="AF276" s="79" t="str">
        <x:v>دسته‌بندی نهایی</x:v>
      </x:c>
      <x:c r="AG276" s="79" t="str">
        <x:v>OK</x:v>
      </x:c>
      <x:c r="AH276" s="79" t="str">
        <x:v>[{"name": "نیم لیتر", "sku": "", "price": 65000, "stock": "", "weight": 500, "weightUnit": "ml", "containerSize": "نیم لیتر", "isDefault": true}, {"name": "1 لیتر", "sku": "", "price": 120000, "stock": "", "weight": 1000, "weightUnit": "ml", "containerSize": "1 لیتر", "isDefault": false}]</x:v>
      </x:c>
      <x:c r="AI276" s="79"/>
      <x:c r="AJ276" s="79"/>
      <x:c r="AK276" s="79"/>
      <x:c r="AL276" t="str">
        <x:v>عرق اکالیپتوس</x:v>
      </x:c>
      <x:c r="AM276" t="str">
        <x:v>single_278</x:v>
      </x:c>
      <x:c r="AN276" t="str">
        <x:v>canonical_group_row</x:v>
      </x:c>
      <x:c r="AO276" t="str">
        <x:v>نوشیدنی‌ها</x:v>
      </x:c>
      <x:c r="AP276" t="str">
        <x:v>6a3782ffdf5573f4e676e24b</x:v>
      </x:c>
      <x:c r="AQ276" t="str">
        <x:v>syrup</x:v>
      </x:c>
      <x:c r="AR276" t="str">
        <x:v>EDIBLE</x:v>
      </x:c>
      <x:c r="AS276" t="str">
        <x:v>بله</x:v>
      </x:c>
      <x:c r="AT276" t="str">
        <x:v>OK</x:v>
      </x:c>
      <x:c r="AU276"/>
    </x:row>
    <x:row r="277">
      <x:c r="A277" s="79" t="n">
        <x:v>279</x:v>
      </x:c>
      <x:c r="B277" s="79" t="str"/>
      <x:c r="C277" s="79" t="str">
        <x:v>عرق آویشن</x:v>
      </x:c>
      <x:c r="D277" s="79" t="str">
        <x:v>argh-avyshn</x:v>
      </x:c>
      <x:c r="E277" s="79" t="str">
        <x:v>import</x:v>
      </x:c>
      <x:c r="F277" s="79" t="str">
        <x:v>خیر</x:v>
      </x:c>
      <x:c r="G277" s="79" t="str"/>
      <x:c r="H277" s="79" t="str">
        <x:v>نوشیدنی‌ها</x:v>
      </x:c>
      <x:c r="I277" s="79" t="str">
        <x:v>6a3782ffdf5573f4e676e24b</x:v>
      </x:c>
      <x:c r="J277" s="79" t="str">
        <x:v>syrup</x:v>
      </x:c>
      <x:c r="K277" s="79" t="str">
        <x:v>6a3782d7df5573f4e676e243</x:v>
      </x:c>
      <x:c r="L277" s="79" t="str">
        <x:v>EDIBLE</x:v>
      </x:c>
      <x:c r="M277" s="79" t="str">
        <x:v>بله</x:v>
      </x:c>
      <x:c r="N277" s="79" t="str">
        <x:v>خوراکی</x:v>
      </x:c>
      <x:c r="O277" s="79" t="str">
        <x:v>بله</x:v>
      </x:c>
      <x:c r="P277" s="79" t="n">
        <x:v>2</x:v>
      </x:c>
      <x:c r="Q277" s="79" t="str">
        <x:v>نیم لیتر</x:v>
      </x:c>
      <x:c r="R277" s="79" t="n">
        <x:v>140</x:v>
      </x:c>
      <x:c r="S277" s="104" t="n">
        <x:v>140000</x:v>
      </x:c>
      <x:c r="T277" s="79" t="n">
        <x:v>500</x:v>
      </x:c>
      <x:c r="U277" s="79" t="str">
        <x:v>ml</x:v>
      </x:c>
      <x:c r="V277" s="79" t="str">
        <x:v>نیم لیتر</x:v>
      </x:c>
      <x:c r="W277" s="99" t="b">
        <x:v>1</x:v>
      </x:c>
      <x:c r="X277" s="79" t="str">
        <x:v>1 لیتر</x:v>
      </x:c>
      <x:c r="Y277" s="79" t="n">
        <x:v>270</x:v>
      </x:c>
      <x:c r="Z277" s="104" t="n">
        <x:v>270000</x:v>
      </x:c>
      <x:c r="AA277" s="79" t="n">
        <x:v>1000</x:v>
      </x:c>
      <x:c r="AB277" s="79" t="str">
        <x:v>ml</x:v>
      </x:c>
      <x:c r="AC277" s="79" t="str">
        <x:v>1 لیتر</x:v>
      </x:c>
      <x:c r="AD277" s="99" t="b">
        <x:v>0</x:v>
      </x:c>
      <x:c r="AE277" s="79" t="str">
        <x:v>فعال</x:v>
      </x:c>
      <x:c r="AF277" s="79" t="str">
        <x:v>دسته‌بندی نهایی</x:v>
      </x:c>
      <x:c r="AG277" s="79" t="str">
        <x:v>OK</x:v>
      </x:c>
      <x:c r="AH277" s="79" t="str">
        <x:v>[{"name": "نیم لیتر", "sku": "", "price": 140000, "stock": "", "weight": 500, "weightUnit": "ml", "containerSize": "نیم لیتر", "isDefault": true}, {"name": "1 لیتر", "sku": "", "price": 270000, "stock": "", "weight": 1000, "weightUnit": "ml", "containerSize": "1 لیتر", "isDefault": false}]</x:v>
      </x:c>
      <x:c r="AI277" s="79"/>
      <x:c r="AJ277" s="79"/>
      <x:c r="AK277" s="79"/>
      <x:c r="AL277" t="str">
        <x:v>عرق آویشن</x:v>
      </x:c>
      <x:c r="AM277" t="str">
        <x:v>single_279</x:v>
      </x:c>
      <x:c r="AN277" t="str">
        <x:v>canonical_group_row</x:v>
      </x:c>
      <x:c r="AO277" t="str">
        <x:v>نوشیدنی‌ها</x:v>
      </x:c>
      <x:c r="AP277" t="str">
        <x:v>6a3782ffdf5573f4e676e24b</x:v>
      </x:c>
      <x:c r="AQ277" t="str">
        <x:v>syrup</x:v>
      </x:c>
      <x:c r="AR277" t="str">
        <x:v>EDIBLE</x:v>
      </x:c>
      <x:c r="AS277" t="str">
        <x:v>بله</x:v>
      </x:c>
      <x:c r="AT277" t="str">
        <x:v>OK</x:v>
      </x:c>
      <x:c r="AU277"/>
    </x:row>
    <x:row r="278">
      <x:c r="A278" s="79" t="n">
        <x:v>280</x:v>
      </x:c>
      <x:c r="B278" s="79" t="str"/>
      <x:c r="C278" s="79" t="str">
        <x:v>عرق بابونه</x:v>
      </x:c>
      <x:c r="D278" s="79" t="str">
        <x:v>argh-babvnh</x:v>
      </x:c>
      <x:c r="E278" s="79" t="str">
        <x:v>import</x:v>
      </x:c>
      <x:c r="F278" s="79" t="str">
        <x:v>خیر</x:v>
      </x:c>
      <x:c r="G278" s="79" t="str"/>
      <x:c r="H278" s="79" t="str">
        <x:v>نوشیدنی‌ها</x:v>
      </x:c>
      <x:c r="I278" s="79" t="str">
        <x:v>6a3782ffdf5573f4e676e24b</x:v>
      </x:c>
      <x:c r="J278" s="79" t="str">
        <x:v>syrup</x:v>
      </x:c>
      <x:c r="K278" s="79" t="str">
        <x:v>6a3782d7df5573f4e676e243</x:v>
      </x:c>
      <x:c r="L278" s="79" t="str">
        <x:v>EDIBLE</x:v>
      </x:c>
      <x:c r="M278" s="79" t="str">
        <x:v>بله</x:v>
      </x:c>
      <x:c r="N278" s="79" t="str">
        <x:v>خوراکی</x:v>
      </x:c>
      <x:c r="O278" s="79" t="str">
        <x:v>بله</x:v>
      </x:c>
      <x:c r="P278" s="79" t="n">
        <x:v>2</x:v>
      </x:c>
      <x:c r="Q278" s="79" t="str">
        <x:v>نیم لیتر</x:v>
      </x:c>
      <x:c r="R278" s="79" t="n">
        <x:v>95</x:v>
      </x:c>
      <x:c r="S278" s="104" t="n">
        <x:v>95000</x:v>
      </x:c>
      <x:c r="T278" s="79" t="n">
        <x:v>500</x:v>
      </x:c>
      <x:c r="U278" s="79" t="str">
        <x:v>ml</x:v>
      </x:c>
      <x:c r="V278" s="79" t="str">
        <x:v>نیم لیتر</x:v>
      </x:c>
      <x:c r="W278" s="99" t="b">
        <x:v>1</x:v>
      </x:c>
      <x:c r="X278" s="79" t="str">
        <x:v>1 لیتر</x:v>
      </x:c>
      <x:c r="Y278" s="79" t="n">
        <x:v>180</x:v>
      </x:c>
      <x:c r="Z278" s="104" t="n">
        <x:v>180000</x:v>
      </x:c>
      <x:c r="AA278" s="79" t="n">
        <x:v>1000</x:v>
      </x:c>
      <x:c r="AB278" s="79" t="str">
        <x:v>ml</x:v>
      </x:c>
      <x:c r="AC278" s="79" t="str">
        <x:v>1 لیتر</x:v>
      </x:c>
      <x:c r="AD278" s="99" t="b">
        <x:v>0</x:v>
      </x:c>
      <x:c r="AE278" s="79" t="str">
        <x:v>فعال</x:v>
      </x:c>
      <x:c r="AF278" s="79" t="str">
        <x:v>دسته‌بندی نهایی</x:v>
      </x:c>
      <x:c r="AG278" s="79" t="str">
        <x:v>OK</x:v>
      </x:c>
      <x:c r="AH278" s="79" t="str">
        <x:v>[{"name": "نیم لیتر", "sku": "", "price": 95000, "stock": "", "weight": 500, "weightUnit": "ml", "containerSize": "نیم لیتر", "isDefault": true}, {"name": "1 لیتر", "sku": "", "price": 180000, "stock": "", "weight": 1000, "weightUnit": "ml", "containerSize": "1 لیتر", "isDefault": false}]</x:v>
      </x:c>
      <x:c r="AI278" s="79"/>
      <x:c r="AJ278" s="79"/>
      <x:c r="AK278" s="79"/>
      <x:c r="AL278" t="str">
        <x:v>عرق بابونه</x:v>
      </x:c>
      <x:c r="AM278" t="str">
        <x:v>single_280</x:v>
      </x:c>
      <x:c r="AN278" t="str">
        <x:v>canonical_group_row</x:v>
      </x:c>
      <x:c r="AO278" t="str">
        <x:v>نوشیدنی‌ها</x:v>
      </x:c>
      <x:c r="AP278" t="str">
        <x:v>6a3782ffdf5573f4e676e24b</x:v>
      </x:c>
      <x:c r="AQ278" t="str">
        <x:v>syrup</x:v>
      </x:c>
      <x:c r="AR278" t="str">
        <x:v>EDIBLE</x:v>
      </x:c>
      <x:c r="AS278" t="str">
        <x:v>بله</x:v>
      </x:c>
      <x:c r="AT278" t="str">
        <x:v>OK</x:v>
      </x:c>
      <x:c r="AU278"/>
    </x:row>
    <x:row r="279">
      <x:c r="A279" s="79" t="n">
        <x:v>281</x:v>
      </x:c>
      <x:c r="B279" s="79" t="str"/>
      <x:c r="C279" s="79" t="str">
        <x:v>عرق بهار نارنج</x:v>
      </x:c>
      <x:c r="D279" s="79" t="str">
        <x:v>argh-bhar-narnj</x:v>
      </x:c>
      <x:c r="E279" s="79" t="str">
        <x:v>import</x:v>
      </x:c>
      <x:c r="F279" s="79" t="str">
        <x:v>خیر</x:v>
      </x:c>
      <x:c r="G279" s="79" t="str"/>
      <x:c r="H279" s="79" t="str">
        <x:v>نوشیدنی‌ها</x:v>
      </x:c>
      <x:c r="I279" s="79" t="str">
        <x:v>6a3782ffdf5573f4e676e24b</x:v>
      </x:c>
      <x:c r="J279" s="79" t="str">
        <x:v>syrup</x:v>
      </x:c>
      <x:c r="K279" s="79" t="str">
        <x:v>6a3782d7df5573f4e676e243</x:v>
      </x:c>
      <x:c r="L279" s="79" t="str">
        <x:v>EDIBLE</x:v>
      </x:c>
      <x:c r="M279" s="79" t="str">
        <x:v>بله</x:v>
      </x:c>
      <x:c r="N279" s="79" t="str">
        <x:v>خوراکی</x:v>
      </x:c>
      <x:c r="O279" s="79" t="str">
        <x:v>بله</x:v>
      </x:c>
      <x:c r="P279" s="79" t="n">
        <x:v>2</x:v>
      </x:c>
      <x:c r="Q279" s="79" t="str">
        <x:v>نیم لیتر</x:v>
      </x:c>
      <x:c r="R279" s="79" t="n">
        <x:v>140</x:v>
      </x:c>
      <x:c r="S279" s="104" t="n">
        <x:v>140000</x:v>
      </x:c>
      <x:c r="T279" s="79" t="n">
        <x:v>500</x:v>
      </x:c>
      <x:c r="U279" s="79" t="str">
        <x:v>ml</x:v>
      </x:c>
      <x:c r="V279" s="79" t="str">
        <x:v>نیم لیتر</x:v>
      </x:c>
      <x:c r="W279" s="99" t="b">
        <x:v>1</x:v>
      </x:c>
      <x:c r="X279" s="79" t="str">
        <x:v>1 لیتر</x:v>
      </x:c>
      <x:c r="Y279" s="79" t="n">
        <x:v>270</x:v>
      </x:c>
      <x:c r="Z279" s="104" t="n">
        <x:v>270000</x:v>
      </x:c>
      <x:c r="AA279" s="79" t="n">
        <x:v>1000</x:v>
      </x:c>
      <x:c r="AB279" s="79" t="str">
        <x:v>ml</x:v>
      </x:c>
      <x:c r="AC279" s="79" t="str">
        <x:v>1 لیتر</x:v>
      </x:c>
      <x:c r="AD279" s="99" t="b">
        <x:v>0</x:v>
      </x:c>
      <x:c r="AE279" s="79" t="str">
        <x:v>فعال</x:v>
      </x:c>
      <x:c r="AF279" s="79" t="str">
        <x:v>دسته‌بندی نهایی</x:v>
      </x:c>
      <x:c r="AG279" s="79" t="str">
        <x:v>OK</x:v>
      </x:c>
      <x:c r="AH279" s="79" t="str">
        <x:v>[{"name": "نیم لیتر", "sku": "", "price": 140000, "stock": "", "weight": 500, "weightUnit": "ml", "containerSize": "نیم لیتر", "isDefault": true}, {"name": "1 لیتر", "sku": "", "price": 270000, "stock": "", "weight": 1000, "weightUnit": "ml", "containerSize": "1 لیتر", "isDefault": false}]</x:v>
      </x:c>
      <x:c r="AI279" s="79"/>
      <x:c r="AJ279" s="79"/>
      <x:c r="AK279" s="79"/>
      <x:c r="AL279" t="str">
        <x:v>عرق بهار نارنج</x:v>
      </x:c>
      <x:c r="AM279" t="str">
        <x:v>single_281</x:v>
      </x:c>
      <x:c r="AN279" t="str">
        <x:v>canonical_group_row</x:v>
      </x:c>
      <x:c r="AO279" t="str">
        <x:v>نوشیدنی‌ها</x:v>
      </x:c>
      <x:c r="AP279" t="str">
        <x:v>6a3782ffdf5573f4e676e24b</x:v>
      </x:c>
      <x:c r="AQ279" t="str">
        <x:v>syrup</x:v>
      </x:c>
      <x:c r="AR279" t="str">
        <x:v>EDIBLE</x:v>
      </x:c>
      <x:c r="AS279" t="str">
        <x:v>بله</x:v>
      </x:c>
      <x:c r="AT279" t="str">
        <x:v>OK</x:v>
      </x:c>
      <x:c r="AU279"/>
    </x:row>
    <x:row r="280">
      <x:c r="A280" s="79" t="n">
        <x:v>282</x:v>
      </x:c>
      <x:c r="B280" s="79" t="str"/>
      <x:c r="C280" s="79" t="str">
        <x:v>عرق بولاغ اوتی</x:v>
      </x:c>
      <x:c r="D280" s="79" t="str">
        <x:v>argh-bvlagh-avty</x:v>
      </x:c>
      <x:c r="E280" s="79" t="str">
        <x:v>import</x:v>
      </x:c>
      <x:c r="F280" s="79" t="str">
        <x:v>خیر</x:v>
      </x:c>
      <x:c r="G280" s="79" t="str"/>
      <x:c r="H280" s="79" t="str">
        <x:v>نوشیدنی‌ها</x:v>
      </x:c>
      <x:c r="I280" s="79" t="str">
        <x:v>6a3782ffdf5573f4e676e24b</x:v>
      </x:c>
      <x:c r="J280" s="79" t="str">
        <x:v>syrup</x:v>
      </x:c>
      <x:c r="K280" s="79" t="str">
        <x:v>6a3782d7df5573f4e676e243</x:v>
      </x:c>
      <x:c r="L280" s="79" t="str">
        <x:v>EDIBLE</x:v>
      </x:c>
      <x:c r="M280" s="79" t="str">
        <x:v>بله</x:v>
      </x:c>
      <x:c r="N280" s="79" t="str">
        <x:v>خوراکی</x:v>
      </x:c>
      <x:c r="O280" s="79" t="str">
        <x:v>بله</x:v>
      </x:c>
      <x:c r="P280" s="79" t="n">
        <x:v>2</x:v>
      </x:c>
      <x:c r="Q280" s="79" t="str">
        <x:v>نیم لیتر</x:v>
      </x:c>
      <x:c r="R280" s="79" t="n">
        <x:v>70</x:v>
      </x:c>
      <x:c r="S280" s="104" t="n">
        <x:v>70000</x:v>
      </x:c>
      <x:c r="T280" s="79" t="n">
        <x:v>500</x:v>
      </x:c>
      <x:c r="U280" s="79" t="str">
        <x:v>ml</x:v>
      </x:c>
      <x:c r="V280" s="79" t="str">
        <x:v>نیم لیتر</x:v>
      </x:c>
      <x:c r="W280" s="99" t="b">
        <x:v>1</x:v>
      </x:c>
      <x:c r="X280" s="79" t="str">
        <x:v>1 لیتر</x:v>
      </x:c>
      <x:c r="Y280" s="79" t="n">
        <x:v>130</x:v>
      </x:c>
      <x:c r="Z280" s="104" t="n">
        <x:v>130000</x:v>
      </x:c>
      <x:c r="AA280" s="79" t="n">
        <x:v>1000</x:v>
      </x:c>
      <x:c r="AB280" s="79" t="str">
        <x:v>ml</x:v>
      </x:c>
      <x:c r="AC280" s="79" t="str">
        <x:v>1 لیتر</x:v>
      </x:c>
      <x:c r="AD280" s="99" t="b">
        <x:v>0</x:v>
      </x:c>
      <x:c r="AE280" s="79" t="str">
        <x:v>فعال</x:v>
      </x:c>
      <x:c r="AF280" s="79" t="str">
        <x:v>دسته‌بندی نهایی</x:v>
      </x:c>
      <x:c r="AG280" s="79" t="str">
        <x:v>OK</x:v>
      </x:c>
      <x:c r="AH280" s="79" t="str">
        <x:v>[{"name": "نیم لیتر", "sku": "", "price": 70000, "stock": "", "weight": 500, "weightUnit": "ml", "containerSize": "نیم لیتر", "isDefault": true}, {"name": "1 لیتر", "sku": "", "price": 130000, "stock": "", "weight": 1000, "weightUnit": "ml", "containerSize": "1 لیتر", "isDefault": false}]</x:v>
      </x:c>
      <x:c r="AI280" s="79"/>
      <x:c r="AJ280" s="79"/>
      <x:c r="AK280" s="79"/>
      <x:c r="AL280" t="str">
        <x:v>عرق بولاغ اوتی</x:v>
      </x:c>
      <x:c r="AM280" t="str">
        <x:v>single_282</x:v>
      </x:c>
      <x:c r="AN280" t="str">
        <x:v>canonical_group_row</x:v>
      </x:c>
      <x:c r="AO280" t="str">
        <x:v>نوشیدنی‌ها</x:v>
      </x:c>
      <x:c r="AP280" t="str">
        <x:v>6a3782ffdf5573f4e676e24b</x:v>
      </x:c>
      <x:c r="AQ280" t="str">
        <x:v>syrup</x:v>
      </x:c>
      <x:c r="AR280" t="str">
        <x:v>EDIBLE</x:v>
      </x:c>
      <x:c r="AS280" t="str">
        <x:v>بله</x:v>
      </x:c>
      <x:c r="AT280" t="str">
        <x:v>OK</x:v>
      </x:c>
      <x:c r="AU280"/>
    </x:row>
    <x:row r="281">
      <x:c r="A281" s="79" t="n">
        <x:v>283</x:v>
      </x:c>
      <x:c r="B281" s="79" t="str"/>
      <x:c r="C281" s="79" t="str">
        <x:v>عرق بیدمشک</x:v>
      </x:c>
      <x:c r="D281" s="79" t="str">
        <x:v>argh-bydmshk</x:v>
      </x:c>
      <x:c r="E281" s="79" t="str">
        <x:v>import</x:v>
      </x:c>
      <x:c r="F281" s="79" t="str">
        <x:v>خیر</x:v>
      </x:c>
      <x:c r="G281" s="79" t="str"/>
      <x:c r="H281" s="79" t="str">
        <x:v>نوشیدنی‌ها</x:v>
      </x:c>
      <x:c r="I281" s="79" t="str">
        <x:v>6a3782ffdf5573f4e676e24b</x:v>
      </x:c>
      <x:c r="J281" s="79" t="str">
        <x:v>syrup</x:v>
      </x:c>
      <x:c r="K281" s="79" t="str">
        <x:v>6a3782d7df5573f4e676e243</x:v>
      </x:c>
      <x:c r="L281" s="79" t="str">
        <x:v>EDIBLE</x:v>
      </x:c>
      <x:c r="M281" s="79" t="str">
        <x:v>بله</x:v>
      </x:c>
      <x:c r="N281" s="79" t="str">
        <x:v>خوراکی</x:v>
      </x:c>
      <x:c r="O281" s="79" t="str">
        <x:v>بله</x:v>
      </x:c>
      <x:c r="P281" s="79" t="n">
        <x:v>2</x:v>
      </x:c>
      <x:c r="Q281" s="79" t="str">
        <x:v>نیم لیتر</x:v>
      </x:c>
      <x:c r="R281" s="79" t="n">
        <x:v>115</x:v>
      </x:c>
      <x:c r="S281" s="104" t="n">
        <x:v>115000</x:v>
      </x:c>
      <x:c r="T281" s="79" t="n">
        <x:v>500</x:v>
      </x:c>
      <x:c r="U281" s="79" t="str">
        <x:v>ml</x:v>
      </x:c>
      <x:c r="V281" s="79" t="str">
        <x:v>نیم لیتر</x:v>
      </x:c>
      <x:c r="W281" s="99" t="b">
        <x:v>1</x:v>
      </x:c>
      <x:c r="X281" s="79" t="str">
        <x:v>1 لیتر</x:v>
      </x:c>
      <x:c r="Y281" s="79" t="n">
        <x:v>220</x:v>
      </x:c>
      <x:c r="Z281" s="104" t="n">
        <x:v>220000</x:v>
      </x:c>
      <x:c r="AA281" s="79" t="n">
        <x:v>1000</x:v>
      </x:c>
      <x:c r="AB281" s="79" t="str">
        <x:v>ml</x:v>
      </x:c>
      <x:c r="AC281" s="79" t="str">
        <x:v>1 لیتر</x:v>
      </x:c>
      <x:c r="AD281" s="99" t="b">
        <x:v>0</x:v>
      </x:c>
      <x:c r="AE281" s="79" t="str">
        <x:v>فعال</x:v>
      </x:c>
      <x:c r="AF281" s="79" t="str">
        <x:v>دسته‌بندی نهایی</x:v>
      </x:c>
      <x:c r="AG281" s="79" t="str">
        <x:v>OK</x:v>
      </x:c>
      <x:c r="AH281" s="79" t="str">
        <x:v>[{"name": "نیم لیتر", "sku": "", "price": 115000, "stock": "", "weight": 500, "weightUnit": "ml", "containerSize": "نیم لیتر", "isDefault": true}, {"name": "1 لیتر", "sku": "", "price": 220000, "stock": "", "weight": 1000, "weightUnit": "ml", "containerSize": "1 لیتر", "isDefault": false}]</x:v>
      </x:c>
      <x:c r="AI281" s="79"/>
      <x:c r="AJ281" s="79"/>
      <x:c r="AK281" s="79"/>
      <x:c r="AL281" t="str">
        <x:v>عرق بیدمشک</x:v>
      </x:c>
      <x:c r="AM281" t="str">
        <x:v>single_283</x:v>
      </x:c>
      <x:c r="AN281" t="str">
        <x:v>canonical_group_row</x:v>
      </x:c>
      <x:c r="AO281" t="str">
        <x:v>نوشیدنی‌ها</x:v>
      </x:c>
      <x:c r="AP281" t="str">
        <x:v>6a3782ffdf5573f4e676e24b</x:v>
      </x:c>
      <x:c r="AQ281" t="str">
        <x:v>syrup</x:v>
      </x:c>
      <x:c r="AR281" t="str">
        <x:v>EDIBLE</x:v>
      </x:c>
      <x:c r="AS281" t="str">
        <x:v>بله</x:v>
      </x:c>
      <x:c r="AT281" t="str">
        <x:v>OK</x:v>
      </x:c>
      <x:c r="AU281"/>
    </x:row>
    <x:row r="282">
      <x:c r="A282" s="79" t="n">
        <x:v>284</x:v>
      </x:c>
      <x:c r="B282" s="79" t="str"/>
      <x:c r="C282" s="79" t="str">
        <x:v>عرق پونه</x:v>
      </x:c>
      <x:c r="D282" s="79" t="str">
        <x:v>argh-pvnh</x:v>
      </x:c>
      <x:c r="E282" s="79" t="str">
        <x:v>import</x:v>
      </x:c>
      <x:c r="F282" s="79" t="str">
        <x:v>خیر</x:v>
      </x:c>
      <x:c r="G282" s="79" t="str"/>
      <x:c r="H282" s="79" t="str">
        <x:v>نوشیدنی‌ها</x:v>
      </x:c>
      <x:c r="I282" s="79" t="str">
        <x:v>6a3782ffdf5573f4e676e24b</x:v>
      </x:c>
      <x:c r="J282" s="79" t="str">
        <x:v>syrup</x:v>
      </x:c>
      <x:c r="K282" s="79" t="str">
        <x:v>6a3782d7df5573f4e676e243</x:v>
      </x:c>
      <x:c r="L282" s="79" t="str">
        <x:v>EDIBLE</x:v>
      </x:c>
      <x:c r="M282" s="79" t="str">
        <x:v>بله</x:v>
      </x:c>
      <x:c r="N282" s="79" t="str">
        <x:v>خوراکی</x:v>
      </x:c>
      <x:c r="O282" s="79" t="str">
        <x:v>بله</x:v>
      </x:c>
      <x:c r="P282" s="79" t="n">
        <x:v>2</x:v>
      </x:c>
      <x:c r="Q282" s="79" t="str">
        <x:v>نیم لیتر</x:v>
      </x:c>
      <x:c r="R282" s="79" t="n">
        <x:v>80</x:v>
      </x:c>
      <x:c r="S282" s="104" t="n">
        <x:v>80000</x:v>
      </x:c>
      <x:c r="T282" s="79" t="n">
        <x:v>500</x:v>
      </x:c>
      <x:c r="U282" s="79" t="str">
        <x:v>ml</x:v>
      </x:c>
      <x:c r="V282" s="79" t="str">
        <x:v>نیم لیتر</x:v>
      </x:c>
      <x:c r="W282" s="99" t="b">
        <x:v>1</x:v>
      </x:c>
      <x:c r="X282" s="79" t="str">
        <x:v>1 لیتر</x:v>
      </x:c>
      <x:c r="Y282" s="79" t="n">
        <x:v>150</x:v>
      </x:c>
      <x:c r="Z282" s="104" t="n">
        <x:v>150000</x:v>
      </x:c>
      <x:c r="AA282" s="79" t="n">
        <x:v>1000</x:v>
      </x:c>
      <x:c r="AB282" s="79" t="str">
        <x:v>ml</x:v>
      </x:c>
      <x:c r="AC282" s="79" t="str">
        <x:v>1 لیتر</x:v>
      </x:c>
      <x:c r="AD282" s="99" t="b">
        <x:v>0</x:v>
      </x:c>
      <x:c r="AE282" s="79" t="str">
        <x:v>فعال</x:v>
      </x:c>
      <x:c r="AF282" s="79" t="str">
        <x:v>دسته‌بندی نهایی</x:v>
      </x:c>
      <x:c r="AG282" s="79" t="str">
        <x:v>OK</x:v>
      </x:c>
      <x:c r="AH282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  <x:c r="AI282" s="79"/>
      <x:c r="AJ282" s="79"/>
      <x:c r="AK282" s="79"/>
      <x:c r="AL282" t="str">
        <x:v>عرق پونه</x:v>
      </x:c>
      <x:c r="AM282" t="str">
        <x:v>single_284</x:v>
      </x:c>
      <x:c r="AN282" t="str">
        <x:v>canonical_group_row</x:v>
      </x:c>
      <x:c r="AO282" t="str">
        <x:v>نوشیدنی‌ها</x:v>
      </x:c>
      <x:c r="AP282" t="str">
        <x:v>6a3782ffdf5573f4e676e24b</x:v>
      </x:c>
      <x:c r="AQ282" t="str">
        <x:v>syrup</x:v>
      </x:c>
      <x:c r="AR282" t="str">
        <x:v>EDIBLE</x:v>
      </x:c>
      <x:c r="AS282" t="str">
        <x:v>بله</x:v>
      </x:c>
      <x:c r="AT282" t="str">
        <x:v>OK</x:v>
      </x:c>
      <x:c r="AU282"/>
    </x:row>
    <x:row r="283">
      <x:c r="A283" s="79" t="n">
        <x:v>285</x:v>
      </x:c>
      <x:c r="B283" s="79" t="str"/>
      <x:c r="C283" s="79" t="str">
        <x:v>عرق چهل گیاه</x:v>
      </x:c>
      <x:c r="D283" s="79" t="str">
        <x:v>argh-chhl-gyah</x:v>
      </x:c>
      <x:c r="E283" s="79" t="str">
        <x:v>import</x:v>
      </x:c>
      <x:c r="F283" s="79" t="str">
        <x:v>خیر</x:v>
      </x:c>
      <x:c r="G283" s="79" t="str"/>
      <x:c r="H283" s="79" t="str">
        <x:v>نوشیدنی‌ها</x:v>
      </x:c>
      <x:c r="I283" s="79" t="str">
        <x:v>6a3782ffdf5573f4e676e24b</x:v>
      </x:c>
      <x:c r="J283" s="79" t="str">
        <x:v>syrup</x:v>
      </x:c>
      <x:c r="K283" s="79" t="str">
        <x:v>6a3782d7df5573f4e676e243</x:v>
      </x:c>
      <x:c r="L283" s="79" t="str">
        <x:v>EDIBLE</x:v>
      </x:c>
      <x:c r="M283" s="79" t="str">
        <x:v>بله</x:v>
      </x:c>
      <x:c r="N283" s="79" t="str">
        <x:v>خوراکی</x:v>
      </x:c>
      <x:c r="O283" s="79" t="str">
        <x:v>بله</x:v>
      </x:c>
      <x:c r="P283" s="79" t="n">
        <x:v>2</x:v>
      </x:c>
      <x:c r="Q283" s="79" t="str">
        <x:v>نیم لیتر</x:v>
      </x:c>
      <x:c r="R283" s="79" t="n">
        <x:v>70</x:v>
      </x:c>
      <x:c r="S283" s="104" t="n">
        <x:v>70000</x:v>
      </x:c>
      <x:c r="T283" s="79" t="n">
        <x:v>500</x:v>
      </x:c>
      <x:c r="U283" s="79" t="str">
        <x:v>ml</x:v>
      </x:c>
      <x:c r="V283" s="79" t="str">
        <x:v>نیم لیتر</x:v>
      </x:c>
      <x:c r="W283" s="99" t="b">
        <x:v>1</x:v>
      </x:c>
      <x:c r="X283" s="79" t="str">
        <x:v>1 لیتر</x:v>
      </x:c>
      <x:c r="Y283" s="79" t="n">
        <x:v>130</x:v>
      </x:c>
      <x:c r="Z283" s="104" t="n">
        <x:v>130000</x:v>
      </x:c>
      <x:c r="AA283" s="79" t="n">
        <x:v>1000</x:v>
      </x:c>
      <x:c r="AB283" s="79" t="str">
        <x:v>ml</x:v>
      </x:c>
      <x:c r="AC283" s="79" t="str">
        <x:v>1 لیتر</x:v>
      </x:c>
      <x:c r="AD283" s="99" t="b">
        <x:v>0</x:v>
      </x:c>
      <x:c r="AE283" s="79" t="str">
        <x:v>فعال</x:v>
      </x:c>
      <x:c r="AF283" s="79" t="str">
        <x:v>دسته‌بندی نهایی</x:v>
      </x:c>
      <x:c r="AG283" s="79" t="str">
        <x:v>OK</x:v>
      </x:c>
      <x:c r="AH283" s="79" t="str">
        <x:v>[{"name": "نیم لیتر", "sku": "", "price": 70000, "stock": "", "weight": 500, "weightUnit": "ml", "containerSize": "نیم لیتر", "isDefault": true}, {"name": "1 لیتر", "sku": "", "price": 130000, "stock": "", "weight": 1000, "weightUnit": "ml", "containerSize": "1 لیتر", "isDefault": false}]</x:v>
      </x:c>
      <x:c r="AI283" s="79"/>
      <x:c r="AJ283" s="79"/>
      <x:c r="AK283" s="79"/>
      <x:c r="AL283" t="str">
        <x:v>عرق چهل گیاه</x:v>
      </x:c>
      <x:c r="AM283" t="str">
        <x:v>single_285</x:v>
      </x:c>
      <x:c r="AN283" t="str">
        <x:v>canonical_group_row</x:v>
      </x:c>
      <x:c r="AO283" t="str">
        <x:v>نوشیدنی‌ها</x:v>
      </x:c>
      <x:c r="AP283" t="str">
        <x:v>6a3782ffdf5573f4e676e24b</x:v>
      </x:c>
      <x:c r="AQ283" t="str">
        <x:v>syrup</x:v>
      </x:c>
      <x:c r="AR283" t="str">
        <x:v>EDIBLE</x:v>
      </x:c>
      <x:c r="AS283" t="str">
        <x:v>بله</x:v>
      </x:c>
      <x:c r="AT283" t="str">
        <x:v>OK</x:v>
      </x:c>
      <x:c r="AU283"/>
    </x:row>
    <x:row r="284">
      <x:c r="A284" s="79" t="n">
        <x:v>286</x:v>
      </x:c>
      <x:c r="B284" s="79" t="str"/>
      <x:c r="C284" s="79" t="str">
        <x:v>عرق خارشتر</x:v>
      </x:c>
      <x:c r="D284" s="79" t="str">
        <x:v>argh-kharshtr</x:v>
      </x:c>
      <x:c r="E284" s="79" t="str">
        <x:v>import</x:v>
      </x:c>
      <x:c r="F284" s="79" t="str">
        <x:v>خیر</x:v>
      </x:c>
      <x:c r="G284" s="79" t="str"/>
      <x:c r="H284" s="79" t="str">
        <x:v>نوشیدنی‌ها</x:v>
      </x:c>
      <x:c r="I284" s="79" t="str">
        <x:v>6a3782ffdf5573f4e676e24b</x:v>
      </x:c>
      <x:c r="J284" s="79" t="str">
        <x:v>syrup</x:v>
      </x:c>
      <x:c r="K284" s="79" t="str">
        <x:v>6a3782d7df5573f4e676e243</x:v>
      </x:c>
      <x:c r="L284" s="79" t="str">
        <x:v>EDIBLE</x:v>
      </x:c>
      <x:c r="M284" s="79" t="str">
        <x:v>بله</x:v>
      </x:c>
      <x:c r="N284" s="79" t="str">
        <x:v>خوراکی</x:v>
      </x:c>
      <x:c r="O284" s="79" t="str">
        <x:v>بله</x:v>
      </x:c>
      <x:c r="P284" s="79" t="n">
        <x:v>2</x:v>
      </x:c>
      <x:c r="Q284" s="79" t="str">
        <x:v>نیم لیتر</x:v>
      </x:c>
      <x:c r="R284" s="79" t="n">
        <x:v>70</x:v>
      </x:c>
      <x:c r="S284" s="104" t="n">
        <x:v>70000</x:v>
      </x:c>
      <x:c r="T284" s="79" t="n">
        <x:v>500</x:v>
      </x:c>
      <x:c r="U284" s="79" t="str">
        <x:v>ml</x:v>
      </x:c>
      <x:c r="V284" s="79" t="str">
        <x:v>نیم لیتر</x:v>
      </x:c>
      <x:c r="W284" s="99" t="b">
        <x:v>1</x:v>
      </x:c>
      <x:c r="X284" s="79" t="str">
        <x:v>1 لیتر</x:v>
      </x:c>
      <x:c r="Y284" s="79" t="n">
        <x:v>130</x:v>
      </x:c>
      <x:c r="Z284" s="104" t="n">
        <x:v>130000</x:v>
      </x:c>
      <x:c r="AA284" s="79" t="n">
        <x:v>1000</x:v>
      </x:c>
      <x:c r="AB284" s="79" t="str">
        <x:v>ml</x:v>
      </x:c>
      <x:c r="AC284" s="79" t="str">
        <x:v>1 لیتر</x:v>
      </x:c>
      <x:c r="AD284" s="99" t="b">
        <x:v>0</x:v>
      </x:c>
      <x:c r="AE284" s="79" t="str">
        <x:v>فعال</x:v>
      </x:c>
      <x:c r="AF284" s="79" t="str">
        <x:v>دسته‌بندی نهایی</x:v>
      </x:c>
      <x:c r="AG284" s="79" t="str">
        <x:v>OK</x:v>
      </x:c>
      <x:c r="AH284" s="79" t="str">
        <x:v>[{"name": "نیم لیتر", "sku": "", "price": 70000, "stock": "", "weight": 500, "weightUnit": "ml", "containerSize": "نیم لیتر", "isDefault": true}, {"name": "1 لیتر", "sku": "", "price": 130000, "stock": "", "weight": 1000, "weightUnit": "ml", "containerSize": "1 لیتر", "isDefault": false}]</x:v>
      </x:c>
      <x:c r="AI284" s="79"/>
      <x:c r="AJ284" s="79"/>
      <x:c r="AK284" s="79"/>
      <x:c r="AL284" t="str">
        <x:v>عرق خارشتر</x:v>
      </x:c>
      <x:c r="AM284" t="str">
        <x:v>single_286</x:v>
      </x:c>
      <x:c r="AN284" t="str">
        <x:v>canonical_group_row</x:v>
      </x:c>
      <x:c r="AO284" t="str">
        <x:v>نوشیدنی‌ها</x:v>
      </x:c>
      <x:c r="AP284" t="str">
        <x:v>6a3782ffdf5573f4e676e24b</x:v>
      </x:c>
      <x:c r="AQ284" t="str">
        <x:v>syrup</x:v>
      </x:c>
      <x:c r="AR284" t="str">
        <x:v>EDIBLE</x:v>
      </x:c>
      <x:c r="AS284" t="str">
        <x:v>بله</x:v>
      </x:c>
      <x:c r="AT284" t="str">
        <x:v>OK</x:v>
      </x:c>
      <x:c r="AU284"/>
    </x:row>
    <x:row r="285">
      <x:c r="A285" s="79" t="n">
        <x:v>287</x:v>
      </x:c>
      <x:c r="B285" s="79" t="str"/>
      <x:c r="C285" s="79" t="str">
        <x:v>عرق دارچین</x:v>
      </x:c>
      <x:c r="D285" s="79" t="str">
        <x:v>argh-darchyn</x:v>
      </x:c>
      <x:c r="E285" s="79" t="str">
        <x:v>import</x:v>
      </x:c>
      <x:c r="F285" s="79" t="str">
        <x:v>خیر</x:v>
      </x:c>
      <x:c r="G285" s="79" t="str"/>
      <x:c r="H285" s="79" t="str">
        <x:v>نوشیدنی‌ها</x:v>
      </x:c>
      <x:c r="I285" s="79" t="str">
        <x:v>6a3782ffdf5573f4e676e24b</x:v>
      </x:c>
      <x:c r="J285" s="79" t="str">
        <x:v>syrup</x:v>
      </x:c>
      <x:c r="K285" s="79" t="str">
        <x:v>6a3782d7df5573f4e676e243</x:v>
      </x:c>
      <x:c r="L285" s="79" t="str">
        <x:v>EDIBLE</x:v>
      </x:c>
      <x:c r="M285" s="79" t="str">
        <x:v>بله</x:v>
      </x:c>
      <x:c r="N285" s="79" t="str">
        <x:v>خوراکی</x:v>
      </x:c>
      <x:c r="O285" s="79" t="str">
        <x:v>بله</x:v>
      </x:c>
      <x:c r="P285" s="79" t="n">
        <x:v>2</x:v>
      </x:c>
      <x:c r="Q285" s="79" t="str">
        <x:v>نیم لیتر</x:v>
      </x:c>
      <x:c r="R285" s="79" t="n">
        <x:v>80</x:v>
      </x:c>
      <x:c r="S285" s="104" t="n">
        <x:v>80000</x:v>
      </x:c>
      <x:c r="T285" s="79" t="n">
        <x:v>500</x:v>
      </x:c>
      <x:c r="U285" s="79" t="str">
        <x:v>ml</x:v>
      </x:c>
      <x:c r="V285" s="79" t="str">
        <x:v>نیم لیتر</x:v>
      </x:c>
      <x:c r="W285" s="99" t="b">
        <x:v>1</x:v>
      </x:c>
      <x:c r="X285" s="79" t="str">
        <x:v>1 لیتر</x:v>
      </x:c>
      <x:c r="Y285" s="79" t="n">
        <x:v>150</x:v>
      </x:c>
      <x:c r="Z285" s="104" t="n">
        <x:v>150000</x:v>
      </x:c>
      <x:c r="AA285" s="79" t="n">
        <x:v>1000</x:v>
      </x:c>
      <x:c r="AB285" s="79" t="str">
        <x:v>ml</x:v>
      </x:c>
      <x:c r="AC285" s="79" t="str">
        <x:v>1 لیتر</x:v>
      </x:c>
      <x:c r="AD285" s="99" t="b">
        <x:v>0</x:v>
      </x:c>
      <x:c r="AE285" s="79" t="str">
        <x:v>فعال</x:v>
      </x:c>
      <x:c r="AF285" s="79" t="str">
        <x:v>دسته‌بندی نهایی</x:v>
      </x:c>
      <x:c r="AG285" s="79" t="str">
        <x:v>OK</x:v>
      </x:c>
      <x:c r="AH285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  <x:c r="AI285" s="79"/>
      <x:c r="AJ285" s="79"/>
      <x:c r="AK285" s="79"/>
      <x:c r="AL285" t="str">
        <x:v>عرق دارچین</x:v>
      </x:c>
      <x:c r="AM285" t="str">
        <x:v>single_287</x:v>
      </x:c>
      <x:c r="AN285" t="str">
        <x:v>canonical_group_row</x:v>
      </x:c>
      <x:c r="AO285" t="str">
        <x:v>نوشیدنی‌ها</x:v>
      </x:c>
      <x:c r="AP285" t="str">
        <x:v>6a3782ffdf5573f4e676e24b</x:v>
      </x:c>
      <x:c r="AQ285" t="str">
        <x:v>syrup</x:v>
      </x:c>
      <x:c r="AR285" t="str">
        <x:v>EDIBLE</x:v>
      </x:c>
      <x:c r="AS285" t="str">
        <x:v>بله</x:v>
      </x:c>
      <x:c r="AT285" t="str">
        <x:v>OK</x:v>
      </x:c>
      <x:c r="AU285"/>
    </x:row>
    <x:row r="286">
      <x:c r="A286" s="79" t="n">
        <x:v>288</x:v>
      </x:c>
      <x:c r="B286" s="79" t="str"/>
      <x:c r="C286" s="79" t="str">
        <x:v>عرق رازیانه</x:v>
      </x:c>
      <x:c r="D286" s="79" t="str">
        <x:v>argh-razyanh</x:v>
      </x:c>
      <x:c r="E286" s="79" t="str">
        <x:v>import</x:v>
      </x:c>
      <x:c r="F286" s="79" t="str">
        <x:v>خیر</x:v>
      </x:c>
      <x:c r="G286" s="79" t="str"/>
      <x:c r="H286" s="79" t="str">
        <x:v>نوشیدنی‌ها</x:v>
      </x:c>
      <x:c r="I286" s="79" t="str">
        <x:v>6a3782ffdf5573f4e676e24b</x:v>
      </x:c>
      <x:c r="J286" s="79" t="str">
        <x:v>syrup</x:v>
      </x:c>
      <x:c r="K286" s="79" t="str">
        <x:v>6a3782d7df5573f4e676e243</x:v>
      </x:c>
      <x:c r="L286" s="79" t="str">
        <x:v>EDIBLE</x:v>
      </x:c>
      <x:c r="M286" s="79" t="str">
        <x:v>بله</x:v>
      </x:c>
      <x:c r="N286" s="79" t="str">
        <x:v>خوراکی</x:v>
      </x:c>
      <x:c r="O286" s="79" t="str">
        <x:v>بله</x:v>
      </x:c>
      <x:c r="P286" s="79" t="n">
        <x:v>2</x:v>
      </x:c>
      <x:c r="Q286" s="79" t="str">
        <x:v>نیم لیتر</x:v>
      </x:c>
      <x:c r="R286" s="79" t="n">
        <x:v>90</x:v>
      </x:c>
      <x:c r="S286" s="104" t="n">
        <x:v>90000</x:v>
      </x:c>
      <x:c r="T286" s="79" t="n">
        <x:v>500</x:v>
      </x:c>
      <x:c r="U286" s="79" t="str">
        <x:v>ml</x:v>
      </x:c>
      <x:c r="V286" s="79" t="str">
        <x:v>نیم لیتر</x:v>
      </x:c>
      <x:c r="W286" s="99" t="b">
        <x:v>1</x:v>
      </x:c>
      <x:c r="X286" s="79" t="str">
        <x:v>1 لیتر</x:v>
      </x:c>
      <x:c r="Y286" s="79" t="n">
        <x:v>170</x:v>
      </x:c>
      <x:c r="Z286" s="104" t="n">
        <x:v>170000</x:v>
      </x:c>
      <x:c r="AA286" s="79" t="n">
        <x:v>1000</x:v>
      </x:c>
      <x:c r="AB286" s="79" t="str">
        <x:v>ml</x:v>
      </x:c>
      <x:c r="AC286" s="79" t="str">
        <x:v>1 لیتر</x:v>
      </x:c>
      <x:c r="AD286" s="99" t="b">
        <x:v>0</x:v>
      </x:c>
      <x:c r="AE286" s="79" t="str">
        <x:v>فعال</x:v>
      </x:c>
      <x:c r="AF286" s="79" t="str">
        <x:v>دسته‌بندی نهایی</x:v>
      </x:c>
      <x:c r="AG286" s="79" t="str">
        <x:v>OK</x:v>
      </x:c>
      <x:c r="AH286" s="79" t="str">
        <x:v>[{"name": "نیم لیتر", "sku": "", "price": 90000, "stock": "", "weight": 500, "weightUnit": "ml", "containerSize": "نیم لیتر", "isDefault": true}, {"name": "1 لیتر", "sku": "", "price": 170000, "stock": "", "weight": 1000, "weightUnit": "ml", "containerSize": "1 لیتر", "isDefault": false}]</x:v>
      </x:c>
      <x:c r="AI286" s="79"/>
      <x:c r="AJ286" s="79"/>
      <x:c r="AK286" s="79"/>
      <x:c r="AL286" t="str">
        <x:v>عرق رازیانه</x:v>
      </x:c>
      <x:c r="AM286" t="str">
        <x:v>single_288</x:v>
      </x:c>
      <x:c r="AN286" t="str">
        <x:v>canonical_group_row</x:v>
      </x:c>
      <x:c r="AO286" t="str">
        <x:v>نوشیدنی‌ها</x:v>
      </x:c>
      <x:c r="AP286" t="str">
        <x:v>6a3782ffdf5573f4e676e24b</x:v>
      </x:c>
      <x:c r="AQ286" t="str">
        <x:v>syrup</x:v>
      </x:c>
      <x:c r="AR286" t="str">
        <x:v>EDIBLE</x:v>
      </x:c>
      <x:c r="AS286" t="str">
        <x:v>بله</x:v>
      </x:c>
      <x:c r="AT286" t="str">
        <x:v>OK</x:v>
      </x:c>
      <x:c r="AU286"/>
    </x:row>
    <x:row r="287">
      <x:c r="A287" s="79" t="n">
        <x:v>289</x:v>
      </x:c>
      <x:c r="B287" s="79" t="str"/>
      <x:c r="C287" s="79" t="str">
        <x:v>عرق رزماری</x:v>
      </x:c>
      <x:c r="D287" s="79" t="str">
        <x:v>argh-rzmary</x:v>
      </x:c>
      <x:c r="E287" s="79" t="str">
        <x:v>import</x:v>
      </x:c>
      <x:c r="F287" s="79" t="str">
        <x:v>خیر</x:v>
      </x:c>
      <x:c r="G287" s="79" t="str"/>
      <x:c r="H287" s="79" t="str">
        <x:v>نوشیدنی‌ها</x:v>
      </x:c>
      <x:c r="I287" s="79" t="str">
        <x:v>6a3782ffdf5573f4e676e24b</x:v>
      </x:c>
      <x:c r="J287" s="79" t="str">
        <x:v>syrup</x:v>
      </x:c>
      <x:c r="K287" s="79" t="str">
        <x:v>6a3782d7df5573f4e676e243</x:v>
      </x:c>
      <x:c r="L287" s="79" t="str">
        <x:v>EDIBLE</x:v>
      </x:c>
      <x:c r="M287" s="79" t="str">
        <x:v>بله</x:v>
      </x:c>
      <x:c r="N287" s="79" t="str">
        <x:v>خوراکی</x:v>
      </x:c>
      <x:c r="O287" s="79" t="str">
        <x:v>بله</x:v>
      </x:c>
      <x:c r="P287" s="79" t="n">
        <x:v>2</x:v>
      </x:c>
      <x:c r="Q287" s="79" t="str">
        <x:v>نیم لیتر</x:v>
      </x:c>
      <x:c r="R287" s="79" t="n">
        <x:v>95</x:v>
      </x:c>
      <x:c r="S287" s="104" t="n">
        <x:v>95000</x:v>
      </x:c>
      <x:c r="T287" s="79" t="n">
        <x:v>500</x:v>
      </x:c>
      <x:c r="U287" s="79" t="str">
        <x:v>ml</x:v>
      </x:c>
      <x:c r="V287" s="79" t="str">
        <x:v>نیم لیتر</x:v>
      </x:c>
      <x:c r="W287" s="99" t="b">
        <x:v>1</x:v>
      </x:c>
      <x:c r="X287" s="79" t="str">
        <x:v>1 لیتر</x:v>
      </x:c>
      <x:c r="Y287" s="79" t="n">
        <x:v>180</x:v>
      </x:c>
      <x:c r="Z287" s="104" t="n">
        <x:v>180000</x:v>
      </x:c>
      <x:c r="AA287" s="79" t="n">
        <x:v>1000</x:v>
      </x:c>
      <x:c r="AB287" s="79" t="str">
        <x:v>ml</x:v>
      </x:c>
      <x:c r="AC287" s="79" t="str">
        <x:v>1 لیتر</x:v>
      </x:c>
      <x:c r="AD287" s="99" t="b">
        <x:v>0</x:v>
      </x:c>
      <x:c r="AE287" s="79" t="str">
        <x:v>فعال</x:v>
      </x:c>
      <x:c r="AF287" s="79" t="str">
        <x:v>دسته‌بندی نهایی</x:v>
      </x:c>
      <x:c r="AG287" s="79" t="str">
        <x:v>MERGED</x:v>
      </x:c>
      <x:c r="AH287" s="79" t="str">
        <x:v>[{"name": "نیم لیتر", "sku": "", "price": 95000, "stock": "", "weight": 500, "weightUnit": "ml", "containerSize": "نیم لیتر", "isDefault": true}, {"name": "1 لیتر", "sku": "", "price": 180000, "stock": "", "weight": 1000, "weightUnit": "ml", "containerSize": "1 لیتر", "isDefault": false}]</x:v>
      </x:c>
      <x:c r="AI287" s="79"/>
      <x:c r="AJ287" s="79"/>
      <x:c r="AK287" s="79"/>
      <x:c r="AL287" t="str">
        <x:v>عرق رزماری</x:v>
      </x:c>
      <x:c r="AM287" t="str">
        <x:v>grp_rosemary_distillate</x:v>
      </x:c>
      <x:c r="AN287" t="str">
        <x:v>canonical_group_row</x:v>
      </x:c>
      <x:c r="AO287" t="str">
        <x:v>نوشیدنی‌ها</x:v>
      </x:c>
      <x:c r="AP287" t="str">
        <x:v>6a3782ffdf5573f4e676e24b</x:v>
      </x:c>
      <x:c r="AQ287" t="str">
        <x:v>syrup</x:v>
      </x:c>
      <x:c r="AR287" t="str">
        <x:v>EDIBLE</x:v>
      </x:c>
      <x:c r="AS287" t="str">
        <x:v>بله</x:v>
      </x:c>
      <x:c r="AT287" t="str">
        <x:v>MERGED</x:v>
      </x:c>
      <x:c r="AU287"/>
    </x:row>
    <x:row r="288">
      <x:c r="A288" s="79" t="n">
        <x:v>290</x:v>
      </x:c>
      <x:c r="B288" s="79" t="str"/>
      <x:c r="C288" s="79" t="str">
        <x:v>عرق رزماری اسپری</x:v>
      </x:c>
      <x:c r="D288" s="79" t="str">
        <x:v>argh-rzmary-aspry</x:v>
      </x:c>
      <x:c r="E288" s="79" t="str">
        <x:v>import</x:v>
      </x:c>
      <x:c r="F288" s="79" t="str">
        <x:v>خیر</x:v>
      </x:c>
      <x:c r="G288" s="79" t="str"/>
      <x:c r="H288" s="79" t="str">
        <x:v>نوشیدنی‌ها</x:v>
      </x:c>
      <x:c r="I288" s="79" t="str">
        <x:v>6a3782ffdf5573f4e676e24b</x:v>
      </x:c>
      <x:c r="J288" s="79" t="str">
        <x:v>syrup</x:v>
      </x:c>
      <x:c r="K288" s="79" t="str">
        <x:v>6a3782d7df5573f4e676e243</x:v>
      </x:c>
      <x:c r="L288" s="79" t="str">
        <x:v>EDIBLE</x:v>
      </x:c>
      <x:c r="M288" s="79" t="str">
        <x:v>بله</x:v>
      </x:c>
      <x:c r="N288" s="79" t="str">
        <x:v>خوراکی</x:v>
      </x:c>
      <x:c r="O288" s="79" t="str">
        <x:v>خیر</x:v>
      </x:c>
      <x:c r="P288" s="79" t="n">
        <x:v>1</x:v>
      </x:c>
      <x:c r="Q288" s="79" t="str">
        <x:v>300 میلی لیتر</x:v>
      </x:c>
      <x:c r="R288" s="79" t="n">
        <x:v>105</x:v>
      </x:c>
      <x:c r="S288" s="104" t="n">
        <x:v>105000</x:v>
      </x:c>
      <x:c r="T288" s="79" t="n">
        <x:v>300</x:v>
      </x:c>
      <x:c r="U288" s="79" t="str">
        <x:v>ml</x:v>
      </x:c>
      <x:c r="V288" s="79" t="str">
        <x:v>300 میل</x:v>
      </x:c>
      <x:c r="W288" s="99" t="b">
        <x:v>1</x:v>
      </x:c>
      <x:c r="X288" s="79" t="str"/>
      <x:c r="Y288" s="79"/>
      <x:c r="Z288" s="104"/>
      <x:c r="AA288" s="79" t="str"/>
      <x:c r="AB288" s="79" t="str"/>
      <x:c r="AC288" s="79" t="str"/>
      <x:c r="AD288" s="79" t="str"/>
      <x:c r="AE288" s="79" t="str">
        <x:v>فعال</x:v>
      </x:c>
      <x:c r="AF288" s="79" t="str">
        <x:v>دسته‌بندی نهایی</x:v>
      </x:c>
      <x:c r="AG288" s="79" t="str">
        <x:v>MERGED</x:v>
      </x:c>
      <x:c r="AH288" s="79" t="str">
        <x:v>[{"name": "300 میلی لیتر", "sku": "", "price": 105000, "stock": "", "weight": 300, "weightUnit": "ml", "containerSize": "300 میل", "isDefault": true}]</x:v>
      </x:c>
      <x:c r="AI288" s="79"/>
      <x:c r="AJ288" s="79"/>
      <x:c r="AK288" s="79"/>
      <x:c r="AL288" t="str">
        <x:v>عرق رزماری</x:v>
      </x:c>
      <x:c r="AM288" t="str">
        <x:v>grp_rosemary_distillate</x:v>
      </x:c>
      <x:c r="AN288" t="str">
        <x:v>merge_into_canonical_group</x:v>
      </x:c>
      <x:c r="AO288" t="str">
        <x:v>نوشیدنی‌ها</x:v>
      </x:c>
      <x:c r="AP288" t="str">
        <x:v>6a3782ffdf5573f4e676e24b</x:v>
      </x:c>
      <x:c r="AQ288" t="str">
        <x:v>syrup</x:v>
      </x:c>
      <x:c r="AR288" t="str">
        <x:v>EDIBLE</x:v>
      </x:c>
      <x:c r="AS288" t="str">
        <x:v>بله</x:v>
      </x:c>
      <x:c r="AT288" t="str">
        <x:v>MERGED</x:v>
      </x:c>
      <x:c r="AU288"/>
    </x:row>
    <x:row r="289">
      <x:c r="A289" s="79" t="n">
        <x:v>291</x:v>
      </x:c>
      <x:c r="B289" s="79" t="str"/>
      <x:c r="C289" s="79" t="str">
        <x:v>عرق زنجبیل</x:v>
      </x:c>
      <x:c r="D289" s="79" t="str">
        <x:v>argh-znjbyl</x:v>
      </x:c>
      <x:c r="E289" s="79" t="str">
        <x:v>import</x:v>
      </x:c>
      <x:c r="F289" s="79" t="str">
        <x:v>خیر</x:v>
      </x:c>
      <x:c r="G289" s="79" t="str"/>
      <x:c r="H289" s="79" t="str">
        <x:v>نوشیدنی‌ها</x:v>
      </x:c>
      <x:c r="I289" s="79" t="str">
        <x:v>6a3782ffdf5573f4e676e24b</x:v>
      </x:c>
      <x:c r="J289" s="79" t="str">
        <x:v>syrup</x:v>
      </x:c>
      <x:c r="K289" s="79" t="str">
        <x:v>6a3782d7df5573f4e676e243</x:v>
      </x:c>
      <x:c r="L289" s="79" t="str">
        <x:v>EDIBLE</x:v>
      </x:c>
      <x:c r="M289" s="79" t="str">
        <x:v>بله</x:v>
      </x:c>
      <x:c r="N289" s="79" t="str">
        <x:v>خوراکی</x:v>
      </x:c>
      <x:c r="O289" s="79" t="str">
        <x:v>بله</x:v>
      </x:c>
      <x:c r="P289" s="79" t="n">
        <x:v>2</x:v>
      </x:c>
      <x:c r="Q289" s="79" t="str">
        <x:v>نیم لیتر</x:v>
      </x:c>
      <x:c r="R289" s="79" t="n">
        <x:v>80</x:v>
      </x:c>
      <x:c r="S289" s="104" t="n">
        <x:v>80000</x:v>
      </x:c>
      <x:c r="T289" s="79" t="n">
        <x:v>500</x:v>
      </x:c>
      <x:c r="U289" s="79" t="str">
        <x:v>ml</x:v>
      </x:c>
      <x:c r="V289" s="79" t="str">
        <x:v>نیم لیتر</x:v>
      </x:c>
      <x:c r="W289" s="99" t="b">
        <x:v>1</x:v>
      </x:c>
      <x:c r="X289" s="79" t="str">
        <x:v>1 لیتر</x:v>
      </x:c>
      <x:c r="Y289" s="79" t="n">
        <x:v>150</x:v>
      </x:c>
      <x:c r="Z289" s="104" t="n">
        <x:v>150000</x:v>
      </x:c>
      <x:c r="AA289" s="79" t="n">
        <x:v>1000</x:v>
      </x:c>
      <x:c r="AB289" s="79" t="str">
        <x:v>ml</x:v>
      </x:c>
      <x:c r="AC289" s="79" t="str">
        <x:v>1 لیتر</x:v>
      </x:c>
      <x:c r="AD289" s="99" t="b">
        <x:v>0</x:v>
      </x:c>
      <x:c r="AE289" s="79" t="str">
        <x:v>فعال</x:v>
      </x:c>
      <x:c r="AF289" s="79" t="str">
        <x:v>دسته‌بندی نهایی</x:v>
      </x:c>
      <x:c r="AG289" s="79" t="str">
        <x:v>OK</x:v>
      </x:c>
      <x:c r="AH289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  <x:c r="AI289" s="79"/>
      <x:c r="AJ289" s="79"/>
      <x:c r="AK289" s="79"/>
      <x:c r="AL289" t="str">
        <x:v>عرق زنجبیل</x:v>
      </x:c>
      <x:c r="AM289" t="str">
        <x:v>single_291</x:v>
      </x:c>
      <x:c r="AN289" t="str">
        <x:v>canonical_group_row</x:v>
      </x:c>
      <x:c r="AO289" t="str">
        <x:v>نوشیدنی‌ها</x:v>
      </x:c>
      <x:c r="AP289" t="str">
        <x:v>6a3782ffdf5573f4e676e24b</x:v>
      </x:c>
      <x:c r="AQ289" t="str">
        <x:v>syrup</x:v>
      </x:c>
      <x:c r="AR289" t="str">
        <x:v>EDIBLE</x:v>
      </x:c>
      <x:c r="AS289" t="str">
        <x:v>بله</x:v>
      </x:c>
      <x:c r="AT289" t="str">
        <x:v>OK</x:v>
      </x:c>
      <x:c r="AU289"/>
    </x:row>
    <x:row r="290">
      <x:c r="A290" s="79" t="n">
        <x:v>292</x:v>
      </x:c>
      <x:c r="B290" s="79" t="str"/>
      <x:c r="C290" s="79" t="str">
        <x:v>عرق زنیان</x:v>
      </x:c>
      <x:c r="D290" s="79" t="str">
        <x:v>argh-znyan</x:v>
      </x:c>
      <x:c r="E290" s="79" t="str">
        <x:v>import</x:v>
      </x:c>
      <x:c r="F290" s="79" t="str">
        <x:v>خیر</x:v>
      </x:c>
      <x:c r="G290" s="79" t="str"/>
      <x:c r="H290" s="79" t="str">
        <x:v>نوشیدنی‌ها</x:v>
      </x:c>
      <x:c r="I290" s="79" t="str">
        <x:v>6a3782ffdf5573f4e676e24b</x:v>
      </x:c>
      <x:c r="J290" s="79" t="str">
        <x:v>syrup</x:v>
      </x:c>
      <x:c r="K290" s="79" t="str">
        <x:v>6a3782d7df5573f4e676e243</x:v>
      </x:c>
      <x:c r="L290" s="79" t="str">
        <x:v>EDIBLE</x:v>
      </x:c>
      <x:c r="M290" s="79" t="str">
        <x:v>بله</x:v>
      </x:c>
      <x:c r="N290" s="79" t="str">
        <x:v>خوراکی</x:v>
      </x:c>
      <x:c r="O290" s="79" t="str">
        <x:v>بله</x:v>
      </x:c>
      <x:c r="P290" s="79" t="n">
        <x:v>2</x:v>
      </x:c>
      <x:c r="Q290" s="79" t="str">
        <x:v>نیم لیتر</x:v>
      </x:c>
      <x:c r="R290" s="79" t="n">
        <x:v>80</x:v>
      </x:c>
      <x:c r="S290" s="104" t="n">
        <x:v>80000</x:v>
      </x:c>
      <x:c r="T290" s="79" t="n">
        <x:v>500</x:v>
      </x:c>
      <x:c r="U290" s="79" t="str">
        <x:v>ml</x:v>
      </x:c>
      <x:c r="V290" s="79" t="str">
        <x:v>نیم لیتر</x:v>
      </x:c>
      <x:c r="W290" s="99" t="b">
        <x:v>1</x:v>
      </x:c>
      <x:c r="X290" s="79" t="str">
        <x:v>1 لیتر</x:v>
      </x:c>
      <x:c r="Y290" s="79" t="n">
        <x:v>150</x:v>
      </x:c>
      <x:c r="Z290" s="104" t="n">
        <x:v>150000</x:v>
      </x:c>
      <x:c r="AA290" s="79" t="n">
        <x:v>1000</x:v>
      </x:c>
      <x:c r="AB290" s="79" t="str">
        <x:v>ml</x:v>
      </x:c>
      <x:c r="AC290" s="79" t="str">
        <x:v>1 لیتر</x:v>
      </x:c>
      <x:c r="AD290" s="99" t="b">
        <x:v>0</x:v>
      </x:c>
      <x:c r="AE290" s="79" t="str">
        <x:v>فعال</x:v>
      </x:c>
      <x:c r="AF290" s="79" t="str">
        <x:v>دسته‌بندی نهایی</x:v>
      </x:c>
      <x:c r="AG290" s="79" t="str">
        <x:v>OK</x:v>
      </x:c>
      <x:c r="AH290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  <x:c r="AI290" s="79"/>
      <x:c r="AJ290" s="79"/>
      <x:c r="AK290" s="79"/>
      <x:c r="AL290" t="str">
        <x:v>عرق زنیان</x:v>
      </x:c>
      <x:c r="AM290" t="str">
        <x:v>single_292</x:v>
      </x:c>
      <x:c r="AN290" t="str">
        <x:v>canonical_group_row</x:v>
      </x:c>
      <x:c r="AO290" t="str">
        <x:v>نوشیدنی‌ها</x:v>
      </x:c>
      <x:c r="AP290" t="str">
        <x:v>6a3782ffdf5573f4e676e24b</x:v>
      </x:c>
      <x:c r="AQ290" t="str">
        <x:v>syrup</x:v>
      </x:c>
      <x:c r="AR290" t="str">
        <x:v>EDIBLE</x:v>
      </x:c>
      <x:c r="AS290" t="str">
        <x:v>بله</x:v>
      </x:c>
      <x:c r="AT290" t="str">
        <x:v>OK</x:v>
      </x:c>
      <x:c r="AU290"/>
    </x:row>
    <x:row r="291">
      <x:c r="A291" s="79" t="n">
        <x:v>293</x:v>
      </x:c>
      <x:c r="B291" s="79" t="str"/>
      <x:c r="C291" s="79" t="str">
        <x:v>عرق زیره سبز</x:v>
      </x:c>
      <x:c r="D291" s="79" t="str">
        <x:v>argh-zyrh-sbz</x:v>
      </x:c>
      <x:c r="E291" s="79" t="str">
        <x:v>import</x:v>
      </x:c>
      <x:c r="F291" s="79" t="str">
        <x:v>خیر</x:v>
      </x:c>
      <x:c r="G291" s="79" t="str"/>
      <x:c r="H291" s="79" t="str">
        <x:v>نوشیدنی‌ها</x:v>
      </x:c>
      <x:c r="I291" s="79" t="str">
        <x:v>6a3782ffdf5573f4e676e24b</x:v>
      </x:c>
      <x:c r="J291" s="79" t="str">
        <x:v>syrup</x:v>
      </x:c>
      <x:c r="K291" s="79" t="str">
        <x:v>6a3782d7df5573f4e676e243</x:v>
      </x:c>
      <x:c r="L291" s="79" t="str">
        <x:v>EDIBLE</x:v>
      </x:c>
      <x:c r="M291" s="79" t="str">
        <x:v>بله</x:v>
      </x:c>
      <x:c r="N291" s="79" t="str">
        <x:v>خوراکی</x:v>
      </x:c>
      <x:c r="O291" s="79" t="str">
        <x:v>بله</x:v>
      </x:c>
      <x:c r="P291" s="79" t="n">
        <x:v>2</x:v>
      </x:c>
      <x:c r="Q291" s="79" t="str">
        <x:v>نیم لیتر</x:v>
      </x:c>
      <x:c r="R291" s="79" t="n">
        <x:v>105</x:v>
      </x:c>
      <x:c r="S291" s="104" t="n">
        <x:v>105000</x:v>
      </x:c>
      <x:c r="T291" s="79" t="n">
        <x:v>500</x:v>
      </x:c>
      <x:c r="U291" s="79" t="str">
        <x:v>ml</x:v>
      </x:c>
      <x:c r="V291" s="79" t="str">
        <x:v>نیم لیتر</x:v>
      </x:c>
      <x:c r="W291" s="99" t="b">
        <x:v>1</x:v>
      </x:c>
      <x:c r="X291" s="79" t="str">
        <x:v>1 لیتر</x:v>
      </x:c>
      <x:c r="Y291" s="79" t="n">
        <x:v>200</x:v>
      </x:c>
      <x:c r="Z291" s="104" t="n">
        <x:v>200000</x:v>
      </x:c>
      <x:c r="AA291" s="79" t="n">
        <x:v>1000</x:v>
      </x:c>
      <x:c r="AB291" s="79" t="str">
        <x:v>ml</x:v>
      </x:c>
      <x:c r="AC291" s="79" t="str">
        <x:v>1 لیتر</x:v>
      </x:c>
      <x:c r="AD291" s="99" t="b">
        <x:v>0</x:v>
      </x:c>
      <x:c r="AE291" s="79" t="str">
        <x:v>فعال</x:v>
      </x:c>
      <x:c r="AF291" s="79" t="str">
        <x:v>دسته‌بندی نهایی</x:v>
      </x:c>
      <x:c r="AG291" s="79" t="str">
        <x:v>OK</x:v>
      </x:c>
      <x:c r="AH291" s="79" t="str">
        <x:v>[{"name": "نیم لیتر", "sku": "", "price": 105000, "stock": "", "weight": 500, "weightUnit": "ml", "containerSize": "نیم لیتر", "isDefault": true}, {"name": "1 لیتر", "sku": "", "price": 200000, "stock": "", "weight": 1000, "weightUnit": "ml", "containerSize": "1 لیتر", "isDefault": false}]</x:v>
      </x:c>
      <x:c r="AI291" s="79"/>
      <x:c r="AJ291" s="79"/>
      <x:c r="AK291" s="79"/>
      <x:c r="AL291" t="str">
        <x:v>عرق زیره سبز</x:v>
      </x:c>
      <x:c r="AM291" t="str">
        <x:v>single_293</x:v>
      </x:c>
      <x:c r="AN291" t="str">
        <x:v>canonical_group_row</x:v>
      </x:c>
      <x:c r="AO291" t="str">
        <x:v>نوشیدنی‌ها</x:v>
      </x:c>
      <x:c r="AP291" t="str">
        <x:v>6a3782ffdf5573f4e676e24b</x:v>
      </x:c>
      <x:c r="AQ291" t="str">
        <x:v>syrup</x:v>
      </x:c>
      <x:c r="AR291" t="str">
        <x:v>EDIBLE</x:v>
      </x:c>
      <x:c r="AS291" t="str">
        <x:v>بله</x:v>
      </x:c>
      <x:c r="AT291" t="str">
        <x:v>OK</x:v>
      </x:c>
      <x:c r="AU291"/>
    </x:row>
    <x:row r="292">
      <x:c r="A292" s="79" t="n">
        <x:v>294</x:v>
      </x:c>
      <x:c r="B292" s="79" t="str"/>
      <x:c r="C292" s="79" t="str">
        <x:v>عرق شاتره</x:v>
      </x:c>
      <x:c r="D292" s="79" t="str">
        <x:v>argh-shatrh</x:v>
      </x:c>
      <x:c r="E292" s="79" t="str">
        <x:v>import</x:v>
      </x:c>
      <x:c r="F292" s="79" t="str">
        <x:v>خیر</x:v>
      </x:c>
      <x:c r="G292" s="79" t="str"/>
      <x:c r="H292" s="79" t="str">
        <x:v>نوشیدنی‌ها</x:v>
      </x:c>
      <x:c r="I292" s="79" t="str">
        <x:v>6a3782ffdf5573f4e676e24b</x:v>
      </x:c>
      <x:c r="J292" s="79" t="str">
        <x:v>syrup</x:v>
      </x:c>
      <x:c r="K292" s="79" t="str">
        <x:v>6a3782d7df5573f4e676e243</x:v>
      </x:c>
      <x:c r="L292" s="79" t="str">
        <x:v>EDIBLE</x:v>
      </x:c>
      <x:c r="M292" s="79" t="str">
        <x:v>بله</x:v>
      </x:c>
      <x:c r="N292" s="79" t="str">
        <x:v>خوراکی</x:v>
      </x:c>
      <x:c r="O292" s="79" t="str">
        <x:v>بله</x:v>
      </x:c>
      <x:c r="P292" s="79" t="n">
        <x:v>2</x:v>
      </x:c>
      <x:c r="Q292" s="79" t="str">
        <x:v>نیم لیتر</x:v>
      </x:c>
      <x:c r="R292" s="79" t="n">
        <x:v>80</x:v>
      </x:c>
      <x:c r="S292" s="104" t="n">
        <x:v>80000</x:v>
      </x:c>
      <x:c r="T292" s="79" t="n">
        <x:v>500</x:v>
      </x:c>
      <x:c r="U292" s="79" t="str">
        <x:v>ml</x:v>
      </x:c>
      <x:c r="V292" s="79" t="str">
        <x:v>نیم لیتر</x:v>
      </x:c>
      <x:c r="W292" s="99" t="b">
        <x:v>1</x:v>
      </x:c>
      <x:c r="X292" s="79" t="str">
        <x:v>1 لیتر</x:v>
      </x:c>
      <x:c r="Y292" s="79" t="n">
        <x:v>150</x:v>
      </x:c>
      <x:c r="Z292" s="104" t="n">
        <x:v>150000</x:v>
      </x:c>
      <x:c r="AA292" s="79" t="n">
        <x:v>1000</x:v>
      </x:c>
      <x:c r="AB292" s="79" t="str">
        <x:v>ml</x:v>
      </x:c>
      <x:c r="AC292" s="79" t="str">
        <x:v>1 لیتر</x:v>
      </x:c>
      <x:c r="AD292" s="99" t="b">
        <x:v>0</x:v>
      </x:c>
      <x:c r="AE292" s="79" t="str">
        <x:v>فعال</x:v>
      </x:c>
      <x:c r="AF292" s="79" t="str">
        <x:v>دسته‌بندی نهایی</x:v>
      </x:c>
      <x:c r="AG292" s="79" t="str">
        <x:v>OK</x:v>
      </x:c>
      <x:c r="AH292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  <x:c r="AI292" s="79"/>
      <x:c r="AJ292" s="79"/>
      <x:c r="AK292" s="79"/>
      <x:c r="AL292" t="str">
        <x:v>عرق شاتره</x:v>
      </x:c>
      <x:c r="AM292" t="str">
        <x:v>single_294</x:v>
      </x:c>
      <x:c r="AN292" t="str">
        <x:v>canonical_group_row</x:v>
      </x:c>
      <x:c r="AO292" t="str">
        <x:v>نوشیدنی‌ها</x:v>
      </x:c>
      <x:c r="AP292" t="str">
        <x:v>6a3782ffdf5573f4e676e24b</x:v>
      </x:c>
      <x:c r="AQ292" t="str">
        <x:v>syrup</x:v>
      </x:c>
      <x:c r="AR292" t="str">
        <x:v>EDIBLE</x:v>
      </x:c>
      <x:c r="AS292" t="str">
        <x:v>بله</x:v>
      </x:c>
      <x:c r="AT292" t="str">
        <x:v>OK</x:v>
      </x:c>
      <x:c r="AU292"/>
    </x:row>
    <x:row r="293">
      <x:c r="A293" s="79" t="n">
        <x:v>295</x:v>
      </x:c>
      <x:c r="B293" s="79" t="str"/>
      <x:c r="C293" s="79" t="str">
        <x:v>عرق شنبلیله</x:v>
      </x:c>
      <x:c r="D293" s="79" t="str">
        <x:v>argh-shnblylh</x:v>
      </x:c>
      <x:c r="E293" s="79" t="str">
        <x:v>import</x:v>
      </x:c>
      <x:c r="F293" s="79" t="str">
        <x:v>خیر</x:v>
      </x:c>
      <x:c r="G293" s="79" t="str"/>
      <x:c r="H293" s="79" t="str">
        <x:v>نوشیدنی‌ها</x:v>
      </x:c>
      <x:c r="I293" s="79" t="str">
        <x:v>6a3782ffdf5573f4e676e24b</x:v>
      </x:c>
      <x:c r="J293" s="79" t="str">
        <x:v>syrup</x:v>
      </x:c>
      <x:c r="K293" s="79" t="str">
        <x:v>6a3782d7df5573f4e676e243</x:v>
      </x:c>
      <x:c r="L293" s="79" t="str">
        <x:v>EDIBLE</x:v>
      </x:c>
      <x:c r="M293" s="79" t="str">
        <x:v>بله</x:v>
      </x:c>
      <x:c r="N293" s="79" t="str">
        <x:v>خوراکی</x:v>
      </x:c>
      <x:c r="O293" s="79" t="str">
        <x:v>بله</x:v>
      </x:c>
      <x:c r="P293" s="79" t="n">
        <x:v>2</x:v>
      </x:c>
      <x:c r="Q293" s="79" t="str">
        <x:v>نیم لیتر</x:v>
      </x:c>
      <x:c r="R293" s="79" t="n">
        <x:v>70</x:v>
      </x:c>
      <x:c r="S293" s="104" t="n">
        <x:v>70000</x:v>
      </x:c>
      <x:c r="T293" s="79" t="n">
        <x:v>500</x:v>
      </x:c>
      <x:c r="U293" s="79" t="str">
        <x:v>ml</x:v>
      </x:c>
      <x:c r="V293" s="79" t="str">
        <x:v>نیم لیتر</x:v>
      </x:c>
      <x:c r="W293" s="99" t="b">
        <x:v>1</x:v>
      </x:c>
      <x:c r="X293" s="79" t="str">
        <x:v>1 لیتر</x:v>
      </x:c>
      <x:c r="Y293" s="79" t="n">
        <x:v>130</x:v>
      </x:c>
      <x:c r="Z293" s="104" t="n">
        <x:v>130000</x:v>
      </x:c>
      <x:c r="AA293" s="79" t="n">
        <x:v>1000</x:v>
      </x:c>
      <x:c r="AB293" s="79" t="str">
        <x:v>ml</x:v>
      </x:c>
      <x:c r="AC293" s="79" t="str">
        <x:v>1 لیتر</x:v>
      </x:c>
      <x:c r="AD293" s="99" t="b">
        <x:v>0</x:v>
      </x:c>
      <x:c r="AE293" s="79" t="str">
        <x:v>فعال</x:v>
      </x:c>
      <x:c r="AF293" s="79" t="str">
        <x:v>دسته‌بندی نهایی</x:v>
      </x:c>
      <x:c r="AG293" s="79" t="str">
        <x:v>OK</x:v>
      </x:c>
      <x:c r="AH293" s="79" t="str">
        <x:v>[{"name": "نیم لیتر", "sku": "", "price": 70000, "stock": "", "weight": 500, "weightUnit": "ml", "containerSize": "نیم لیتر", "isDefault": true}, {"name": "1 لیتر", "sku": "", "price": 130000, "stock": "", "weight": 1000, "weightUnit": "ml", "containerSize": "1 لیتر", "isDefault": false}]</x:v>
      </x:c>
      <x:c r="AI293" s="79"/>
      <x:c r="AJ293" s="79"/>
      <x:c r="AK293" s="79"/>
      <x:c r="AL293" t="str">
        <x:v>عرق شنبلیله</x:v>
      </x:c>
      <x:c r="AM293" t="str">
        <x:v>single_295</x:v>
      </x:c>
      <x:c r="AN293" t="str">
        <x:v>canonical_group_row</x:v>
      </x:c>
      <x:c r="AO293" t="str">
        <x:v>نوشیدنی‌ها</x:v>
      </x:c>
      <x:c r="AP293" t="str">
        <x:v>6a3782ffdf5573f4e676e24b</x:v>
      </x:c>
      <x:c r="AQ293" t="str">
        <x:v>syrup</x:v>
      </x:c>
      <x:c r="AR293" t="str">
        <x:v>EDIBLE</x:v>
      </x:c>
      <x:c r="AS293" t="str">
        <x:v>بله</x:v>
      </x:c>
      <x:c r="AT293" t="str">
        <x:v>OK</x:v>
      </x:c>
      <x:c r="AU293"/>
    </x:row>
    <x:row r="294">
      <x:c r="A294" s="79" t="n">
        <x:v>296</x:v>
      </x:c>
      <x:c r="B294" s="79" t="str"/>
      <x:c r="C294" s="79" t="str">
        <x:v>عرق شوید</x:v>
      </x:c>
      <x:c r="D294" s="79" t="str">
        <x:v>argh-shvyd</x:v>
      </x:c>
      <x:c r="E294" s="79" t="str">
        <x:v>import</x:v>
      </x:c>
      <x:c r="F294" s="79" t="str">
        <x:v>خیر</x:v>
      </x:c>
      <x:c r="G294" s="79" t="str"/>
      <x:c r="H294" s="79" t="str">
        <x:v>نوشیدنی‌ها</x:v>
      </x:c>
      <x:c r="I294" s="79" t="str">
        <x:v>6a3782ffdf5573f4e676e24b</x:v>
      </x:c>
      <x:c r="J294" s="79" t="str">
        <x:v>syrup</x:v>
      </x:c>
      <x:c r="K294" s="79" t="str">
        <x:v>6a3782d7df5573f4e676e243</x:v>
      </x:c>
      <x:c r="L294" s="79" t="str">
        <x:v>EDIBLE</x:v>
      </x:c>
      <x:c r="M294" s="79" t="str">
        <x:v>بله</x:v>
      </x:c>
      <x:c r="N294" s="79" t="str">
        <x:v>خوراکی</x:v>
      </x:c>
      <x:c r="O294" s="79" t="str">
        <x:v>بله</x:v>
      </x:c>
      <x:c r="P294" s="79" t="n">
        <x:v>2</x:v>
      </x:c>
      <x:c r="Q294" s="79" t="str">
        <x:v>نیم لیتر</x:v>
      </x:c>
      <x:c r="R294" s="79" t="n">
        <x:v>70</x:v>
      </x:c>
      <x:c r="S294" s="104" t="n">
        <x:v>70000</x:v>
      </x:c>
      <x:c r="T294" s="79" t="n">
        <x:v>500</x:v>
      </x:c>
      <x:c r="U294" s="79" t="str">
        <x:v>ml</x:v>
      </x:c>
      <x:c r="V294" s="79" t="str">
        <x:v>نیم لیتر</x:v>
      </x:c>
      <x:c r="W294" s="99" t="b">
        <x:v>1</x:v>
      </x:c>
      <x:c r="X294" s="79" t="str">
        <x:v>1 لیتر</x:v>
      </x:c>
      <x:c r="Y294" s="79" t="n">
        <x:v>130</x:v>
      </x:c>
      <x:c r="Z294" s="104" t="n">
        <x:v>130000</x:v>
      </x:c>
      <x:c r="AA294" s="79" t="n">
        <x:v>1000</x:v>
      </x:c>
      <x:c r="AB294" s="79" t="str">
        <x:v>ml</x:v>
      </x:c>
      <x:c r="AC294" s="79" t="str">
        <x:v>1 لیتر</x:v>
      </x:c>
      <x:c r="AD294" s="99" t="b">
        <x:v>0</x:v>
      </x:c>
      <x:c r="AE294" s="79" t="str">
        <x:v>فعال</x:v>
      </x:c>
      <x:c r="AF294" s="79" t="str">
        <x:v>دسته‌بندی نهایی</x:v>
      </x:c>
      <x:c r="AG294" s="79" t="str">
        <x:v>OK</x:v>
      </x:c>
      <x:c r="AH294" s="79" t="str">
        <x:v>[{"name": "نیم لیتر", "sku": "", "price": 70000, "stock": "", "weight": 500, "weightUnit": "ml", "containerSize": "نیم لیتر", "isDefault": true}, {"name": "1 لیتر", "sku": "", "price": 130000, "stock": "", "weight": 1000, "weightUnit": "ml", "containerSize": "1 لیتر", "isDefault": false}]</x:v>
      </x:c>
      <x:c r="AI294" s="79"/>
      <x:c r="AJ294" s="79"/>
      <x:c r="AK294" s="79"/>
      <x:c r="AL294" t="str">
        <x:v>عرق شوید</x:v>
      </x:c>
      <x:c r="AM294" t="str">
        <x:v>single_296</x:v>
      </x:c>
      <x:c r="AN294" t="str">
        <x:v>canonical_group_row</x:v>
      </x:c>
      <x:c r="AO294" t="str">
        <x:v>نوشیدنی‌ها</x:v>
      </x:c>
      <x:c r="AP294" t="str">
        <x:v>6a3782ffdf5573f4e676e24b</x:v>
      </x:c>
      <x:c r="AQ294" t="str">
        <x:v>syrup</x:v>
      </x:c>
      <x:c r="AR294" t="str">
        <x:v>EDIBLE</x:v>
      </x:c>
      <x:c r="AS294" t="str">
        <x:v>بله</x:v>
      </x:c>
      <x:c r="AT294" t="str">
        <x:v>OK</x:v>
      </x:c>
      <x:c r="AU294"/>
    </x:row>
    <x:row r="295">
      <x:c r="A295" s="79" t="n">
        <x:v>297</x:v>
      </x:c>
      <x:c r="B295" s="79" t="str"/>
      <x:c r="C295" s="79" t="str">
        <x:v>عرق کاسنی</x:v>
      </x:c>
      <x:c r="D295" s="79" t="str">
        <x:v>argh-kasny</x:v>
      </x:c>
      <x:c r="E295" s="79" t="str">
        <x:v>import</x:v>
      </x:c>
      <x:c r="F295" s="79" t="str">
        <x:v>خیر</x:v>
      </x:c>
      <x:c r="G295" s="79" t="str"/>
      <x:c r="H295" s="79" t="str">
        <x:v>نوشیدنی‌ها</x:v>
      </x:c>
      <x:c r="I295" s="79" t="str">
        <x:v>6a3782ffdf5573f4e676e24b</x:v>
      </x:c>
      <x:c r="J295" s="79" t="str">
        <x:v>syrup</x:v>
      </x:c>
      <x:c r="K295" s="79" t="str">
        <x:v>6a3782d7df5573f4e676e243</x:v>
      </x:c>
      <x:c r="L295" s="79" t="str">
        <x:v>EDIBLE</x:v>
      </x:c>
      <x:c r="M295" s="79" t="str">
        <x:v>بله</x:v>
      </x:c>
      <x:c r="N295" s="79" t="str">
        <x:v>خوراکی</x:v>
      </x:c>
      <x:c r="O295" s="79" t="str">
        <x:v>بله</x:v>
      </x:c>
      <x:c r="P295" s="79" t="n">
        <x:v>2</x:v>
      </x:c>
      <x:c r="Q295" s="79" t="str">
        <x:v>نیم لیتر</x:v>
      </x:c>
      <x:c r="R295" s="79" t="n">
        <x:v>80</x:v>
      </x:c>
      <x:c r="S295" s="104" t="n">
        <x:v>80000</x:v>
      </x:c>
      <x:c r="T295" s="79" t="n">
        <x:v>500</x:v>
      </x:c>
      <x:c r="U295" s="79" t="str">
        <x:v>ml</x:v>
      </x:c>
      <x:c r="V295" s="79" t="str">
        <x:v>نیم لیتر</x:v>
      </x:c>
      <x:c r="W295" s="99" t="b">
        <x:v>1</x:v>
      </x:c>
      <x:c r="X295" s="79" t="str">
        <x:v>1 لیتر</x:v>
      </x:c>
      <x:c r="Y295" s="79" t="n">
        <x:v>150</x:v>
      </x:c>
      <x:c r="Z295" s="104" t="n">
        <x:v>150000</x:v>
      </x:c>
      <x:c r="AA295" s="79" t="n">
        <x:v>1000</x:v>
      </x:c>
      <x:c r="AB295" s="79" t="str">
        <x:v>ml</x:v>
      </x:c>
      <x:c r="AC295" s="79" t="str">
        <x:v>1 لیتر</x:v>
      </x:c>
      <x:c r="AD295" s="99" t="b">
        <x:v>0</x:v>
      </x:c>
      <x:c r="AE295" s="79" t="str">
        <x:v>فعال</x:v>
      </x:c>
      <x:c r="AF295" s="79" t="str">
        <x:v>دسته‌بندی نهایی</x:v>
      </x:c>
      <x:c r="AG295" s="79" t="str">
        <x:v>OK</x:v>
      </x:c>
      <x:c r="AH295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  <x:c r="AI295" s="79"/>
      <x:c r="AJ295" s="79"/>
      <x:c r="AK295" s="79"/>
      <x:c r="AL295" t="str">
        <x:v>عرق کاسنی</x:v>
      </x:c>
      <x:c r="AM295" t="str">
        <x:v>single_297</x:v>
      </x:c>
      <x:c r="AN295" t="str">
        <x:v>canonical_group_row</x:v>
      </x:c>
      <x:c r="AO295" t="str">
        <x:v>نوشیدنی‌ها</x:v>
      </x:c>
      <x:c r="AP295" t="str">
        <x:v>6a3782ffdf5573f4e676e24b</x:v>
      </x:c>
      <x:c r="AQ295" t="str">
        <x:v>syrup</x:v>
      </x:c>
      <x:c r="AR295" t="str">
        <x:v>EDIBLE</x:v>
      </x:c>
      <x:c r="AS295" t="str">
        <x:v>بله</x:v>
      </x:c>
      <x:c r="AT295" t="str">
        <x:v>OK</x:v>
      </x:c>
      <x:c r="AU295"/>
    </x:row>
    <x:row r="296">
      <x:c r="A296" s="79" t="n">
        <x:v>298</x:v>
      </x:c>
      <x:c r="B296" s="79" t="str"/>
      <x:c r="C296" s="79" t="str">
        <x:v>عرق کاکوتی</x:v>
      </x:c>
      <x:c r="D296" s="79" t="str">
        <x:v>argh-kakvty</x:v>
      </x:c>
      <x:c r="E296" s="79" t="str">
        <x:v>import</x:v>
      </x:c>
      <x:c r="F296" s="79" t="str">
        <x:v>خیر</x:v>
      </x:c>
      <x:c r="G296" s="79" t="str"/>
      <x:c r="H296" s="79" t="str">
        <x:v>نوشیدنی‌ها</x:v>
      </x:c>
      <x:c r="I296" s="79" t="str">
        <x:v>6a3782ffdf5573f4e676e24b</x:v>
      </x:c>
      <x:c r="J296" s="79" t="str">
        <x:v>syrup</x:v>
      </x:c>
      <x:c r="K296" s="79" t="str">
        <x:v>6a3782d7df5573f4e676e243</x:v>
      </x:c>
      <x:c r="L296" s="79" t="str">
        <x:v>EDIBLE</x:v>
      </x:c>
      <x:c r="M296" s="79" t="str">
        <x:v>بله</x:v>
      </x:c>
      <x:c r="N296" s="79" t="str">
        <x:v>خوراکی</x:v>
      </x:c>
      <x:c r="O296" s="79" t="str">
        <x:v>بله</x:v>
      </x:c>
      <x:c r="P296" s="79" t="n">
        <x:v>2</x:v>
      </x:c>
      <x:c r="Q296" s="79" t="str">
        <x:v>نیم لیتر</x:v>
      </x:c>
      <x:c r="R296" s="79" t="n">
        <x:v>70</x:v>
      </x:c>
      <x:c r="S296" s="104" t="n">
        <x:v>70000</x:v>
      </x:c>
      <x:c r="T296" s="79" t="n">
        <x:v>500</x:v>
      </x:c>
      <x:c r="U296" s="79" t="str">
        <x:v>ml</x:v>
      </x:c>
      <x:c r="V296" s="79" t="str">
        <x:v>نیم لیتر</x:v>
      </x:c>
      <x:c r="W296" s="99" t="b">
        <x:v>1</x:v>
      </x:c>
      <x:c r="X296" s="79" t="str">
        <x:v>1 لیتر</x:v>
      </x:c>
      <x:c r="Y296" s="79" t="n">
        <x:v>130</x:v>
      </x:c>
      <x:c r="Z296" s="104" t="n">
        <x:v>130000</x:v>
      </x:c>
      <x:c r="AA296" s="79" t="n">
        <x:v>1000</x:v>
      </x:c>
      <x:c r="AB296" s="79" t="str">
        <x:v>ml</x:v>
      </x:c>
      <x:c r="AC296" s="79" t="str">
        <x:v>1 لیتر</x:v>
      </x:c>
      <x:c r="AD296" s="99" t="b">
        <x:v>0</x:v>
      </x:c>
      <x:c r="AE296" s="79" t="str">
        <x:v>فعال</x:v>
      </x:c>
      <x:c r="AF296" s="79" t="str">
        <x:v>دسته‌بندی نهایی</x:v>
      </x:c>
      <x:c r="AG296" s="79" t="str">
        <x:v>OK</x:v>
      </x:c>
      <x:c r="AH296" s="79" t="str">
        <x:v>[{"name": "نیم لیتر", "sku": "", "price": 70000, "stock": "", "weight": 500, "weightUnit": "ml", "containerSize": "نیم لیتر", "isDefault": true}, {"name": "1 لیتر", "sku": "", "price": 130000, "stock": "", "weight": 1000, "weightUnit": "ml", "containerSize": "1 لیتر", "isDefault": false}]</x:v>
      </x:c>
      <x:c r="AI296" s="79"/>
      <x:c r="AJ296" s="79"/>
      <x:c r="AK296" s="79"/>
      <x:c r="AL296" t="str">
        <x:v>عرق کاکوتی</x:v>
      </x:c>
      <x:c r="AM296" t="str">
        <x:v>single_298</x:v>
      </x:c>
      <x:c r="AN296" t="str">
        <x:v>canonical_group_row</x:v>
      </x:c>
      <x:c r="AO296" t="str">
        <x:v>نوشیدنی‌ها</x:v>
      </x:c>
      <x:c r="AP296" t="str">
        <x:v>6a3782ffdf5573f4e676e24b</x:v>
      </x:c>
      <x:c r="AQ296" t="str">
        <x:v>syrup</x:v>
      </x:c>
      <x:c r="AR296" t="str">
        <x:v>EDIBLE</x:v>
      </x:c>
      <x:c r="AS296" t="str">
        <x:v>بله</x:v>
      </x:c>
      <x:c r="AT296" t="str">
        <x:v>OK</x:v>
      </x:c>
      <x:c r="AU296"/>
    </x:row>
    <x:row r="297">
      <x:c r="A297" s="79" t="n">
        <x:v>299</x:v>
      </x:c>
      <x:c r="B297" s="79" t="str"/>
      <x:c r="C297" s="79" t="str">
        <x:v>عرق گل گاوزبان</x:v>
      </x:c>
      <x:c r="D297" s="79" t="str">
        <x:v>argh-gl-gavzban</x:v>
      </x:c>
      <x:c r="E297" s="79" t="str">
        <x:v>import</x:v>
      </x:c>
      <x:c r="F297" s="79" t="str">
        <x:v>خیر</x:v>
      </x:c>
      <x:c r="G297" s="79" t="str"/>
      <x:c r="H297" s="79" t="str">
        <x:v>نوشیدنی‌ها</x:v>
      </x:c>
      <x:c r="I297" s="79" t="str">
        <x:v>6a3782ffdf5573f4e676e24b</x:v>
      </x:c>
      <x:c r="J297" s="79" t="str">
        <x:v>syrup</x:v>
      </x:c>
      <x:c r="K297" s="79" t="str">
        <x:v>6a3782d7df5573f4e676e243</x:v>
      </x:c>
      <x:c r="L297" s="79" t="str">
        <x:v>EDIBLE</x:v>
      </x:c>
      <x:c r="M297" s="79" t="str">
        <x:v>بله</x:v>
      </x:c>
      <x:c r="N297" s="79" t="str">
        <x:v>خوراکی</x:v>
      </x:c>
      <x:c r="O297" s="79" t="str">
        <x:v>بله</x:v>
      </x:c>
      <x:c r="P297" s="79" t="n">
        <x:v>2</x:v>
      </x:c>
      <x:c r="Q297" s="79" t="str">
        <x:v>نیم لیتر</x:v>
      </x:c>
      <x:c r="R297" s="79" t="n">
        <x:v>90</x:v>
      </x:c>
      <x:c r="S297" s="104" t="n">
        <x:v>90000</x:v>
      </x:c>
      <x:c r="T297" s="79" t="n">
        <x:v>500</x:v>
      </x:c>
      <x:c r="U297" s="79" t="str">
        <x:v>ml</x:v>
      </x:c>
      <x:c r="V297" s="79" t="str">
        <x:v>نیم لیتر</x:v>
      </x:c>
      <x:c r="W297" s="99" t="b">
        <x:v>1</x:v>
      </x:c>
      <x:c r="X297" s="79" t="str">
        <x:v>1 لیتر</x:v>
      </x:c>
      <x:c r="Y297" s="79" t="n">
        <x:v>170</x:v>
      </x:c>
      <x:c r="Z297" s="104" t="n">
        <x:v>170000</x:v>
      </x:c>
      <x:c r="AA297" s="79" t="n">
        <x:v>1000</x:v>
      </x:c>
      <x:c r="AB297" s="79" t="str">
        <x:v>ml</x:v>
      </x:c>
      <x:c r="AC297" s="79" t="str">
        <x:v>1 لیتر</x:v>
      </x:c>
      <x:c r="AD297" s="99" t="b">
        <x:v>0</x:v>
      </x:c>
      <x:c r="AE297" s="79" t="str">
        <x:v>فعال</x:v>
      </x:c>
      <x:c r="AF297" s="79" t="str">
        <x:v>دسته‌بندی نهایی</x:v>
      </x:c>
      <x:c r="AG297" s="79" t="str">
        <x:v>OK</x:v>
      </x:c>
      <x:c r="AH297" s="79" t="str">
        <x:v>[{"name": "نیم لیتر", "sku": "", "price": 90000, "stock": "", "weight": 500, "weightUnit": "ml", "containerSize": "نیم لیتر", "isDefault": true}, {"name": "1 لیتر", "sku": "", "price": 170000, "stock": "", "weight": 1000, "weightUnit": "ml", "containerSize": "1 لیتر", "isDefault": false}]</x:v>
      </x:c>
      <x:c r="AI297" s="79"/>
      <x:c r="AJ297" s="79"/>
      <x:c r="AK297" s="79"/>
      <x:c r="AL297" t="str">
        <x:v>عرق گل گاوزبان</x:v>
      </x:c>
      <x:c r="AM297" t="str">
        <x:v>single_299</x:v>
      </x:c>
      <x:c r="AN297" t="str">
        <x:v>canonical_group_row</x:v>
      </x:c>
      <x:c r="AO297" t="str">
        <x:v>نوشیدنی‌ها</x:v>
      </x:c>
      <x:c r="AP297" t="str">
        <x:v>6a3782ffdf5573f4e676e24b</x:v>
      </x:c>
      <x:c r="AQ297" t="str">
        <x:v>syrup</x:v>
      </x:c>
      <x:c r="AR297" t="str">
        <x:v>EDIBLE</x:v>
      </x:c>
      <x:c r="AS297" t="str">
        <x:v>بله</x:v>
      </x:c>
      <x:c r="AT297" t="str">
        <x:v>OK</x:v>
      </x:c>
      <x:c r="AU297"/>
    </x:row>
    <x:row r="298">
      <x:c r="A298" s="79" t="n">
        <x:v>300</x:v>
      </x:c>
      <x:c r="B298" s="79" t="str"/>
      <x:c r="C298" s="79" t="str">
        <x:v>عرق گلاب ساده</x:v>
      </x:c>
      <x:c r="D298" s="79" t="str">
        <x:v>argh-glab-sadh</x:v>
      </x:c>
      <x:c r="E298" s="79" t="str">
        <x:v>import</x:v>
      </x:c>
      <x:c r="F298" s="79" t="str">
        <x:v>خیر</x:v>
      </x:c>
      <x:c r="G298" s="79" t="str"/>
      <x:c r="H298" s="79" t="str">
        <x:v>نوشیدنی‌ها</x:v>
      </x:c>
      <x:c r="I298" s="79" t="str">
        <x:v>6a3782ffdf5573f4e676e24b</x:v>
      </x:c>
      <x:c r="J298" s="79" t="str">
        <x:v>syrup</x:v>
      </x:c>
      <x:c r="K298" s="79" t="str">
        <x:v>6a3782d7df5573f4e676e243</x:v>
      </x:c>
      <x:c r="L298" s="79" t="str">
        <x:v>EDIBLE</x:v>
      </x:c>
      <x:c r="M298" s="79" t="str">
        <x:v>بله</x:v>
      </x:c>
      <x:c r="N298" s="79" t="str">
        <x:v>خوراکی</x:v>
      </x:c>
      <x:c r="O298" s="79" t="str">
        <x:v>بله</x:v>
      </x:c>
      <x:c r="P298" s="79" t="n">
        <x:v>2</x:v>
      </x:c>
      <x:c r="Q298" s="79" t="str">
        <x:v>نیم لیتر</x:v>
      </x:c>
      <x:c r="R298" s="79" t="str">
        <x:v>؟</x:v>
      </x:c>
      <x:c r="S298" s="104"/>
      <x:c r="T298" s="79" t="n">
        <x:v>500</x:v>
      </x:c>
      <x:c r="U298" s="79" t="str">
        <x:v>ml</x:v>
      </x:c>
      <x:c r="V298" s="79" t="str">
        <x:v>نیم لیتر</x:v>
      </x:c>
      <x:c r="W298" s="99" t="b">
        <x:v>1</x:v>
      </x:c>
      <x:c r="X298" s="79" t="str">
        <x:v>1 لیتر</x:v>
      </x:c>
      <x:c r="Y298" s="79" t="str">
        <x:v>؟</x:v>
      </x:c>
      <x:c r="Z298" s="104"/>
      <x:c r="AA298" s="79" t="n">
        <x:v>1000</x:v>
      </x:c>
      <x:c r="AB298" s="79" t="str">
        <x:v>ml</x:v>
      </x:c>
      <x:c r="AC298" s="79" t="str">
        <x:v>1 لیتر</x:v>
      </x:c>
      <x:c r="AD298" s="99" t="b">
        <x:v>0</x:v>
      </x:c>
      <x:c r="AE298" s="79" t="str">
        <x:v>نیاز به استعلام</x:v>
      </x:c>
      <x:c r="AF298" s="79" t="str">
        <x:v>دسته‌بندی نهایی</x:v>
      </x:c>
      <x:c r="AG298" s="79" t="str">
        <x:v>یک یا چند قیمت نامشخص است</x:v>
      </x:c>
      <x:c r="AH298" s="79" t="str">
        <x:v>[{"name": "نیم لیتر", "sku": "", "price": null, "stock": "", "weight": 500, "weightUnit": "ml", "containerSize": "نیم لیتر", "isDefault": true}, {"name": "1 لیتر", "sku": "", "price": null, "stock": "", "weight": 1000, "weightUnit": "ml", "containerSize": "1 لیتر", "isDefault": false}]</x:v>
      </x:c>
      <x:c r="AI298" s="79"/>
      <x:c r="AJ298" s="79"/>
      <x:c r="AK298" s="79"/>
      <x:c r="AL298" t="str">
        <x:v>عرق گلاب</x:v>
      </x:c>
      <x:c r="AM298" t="str">
        <x:v>grp_rose_water</x:v>
      </x:c>
      <x:c r="AN298" t="str">
        <x:v>canonical_group_row</x:v>
      </x:c>
      <x:c r="AO298" t="str">
        <x:v>نوشیدنی‌ها</x:v>
      </x:c>
      <x:c r="AP298" t="str">
        <x:v>6a3782ffdf5573f4e676e24b</x:v>
      </x:c>
      <x:c r="AQ298" t="str">
        <x:v>syrup</x:v>
      </x:c>
      <x:c r="AR298" t="str">
        <x:v>EDIBLE</x:v>
      </x:c>
      <x:c r="AS298" t="str">
        <x:v>بله</x:v>
      </x:c>
      <x:c r="AT298" t="str">
        <x:v>MERGED + MISSING_PRICE_REVIEW</x:v>
      </x:c>
      <x:c r="AU298" t="str">
        <x:v>یک یا چند قیمت نامشخص است</x:v>
      </x:c>
    </x:row>
    <x:row r="299">
      <x:c r="A299" s="79" t="n">
        <x:v>301</x:v>
      </x:c>
      <x:c r="B299" s="79" t="str"/>
      <x:c r="C299" s="79" t="str">
        <x:v>عرق گلاب سنگین</x:v>
      </x:c>
      <x:c r="D299" s="79" t="str">
        <x:v>argh-glab-sngyn</x:v>
      </x:c>
      <x:c r="E299" s="79" t="str">
        <x:v>import</x:v>
      </x:c>
      <x:c r="F299" s="79" t="str">
        <x:v>خیر</x:v>
      </x:c>
      <x:c r="G299" s="79" t="str"/>
      <x:c r="H299" s="79" t="str">
        <x:v>نوشیدنی‌ها</x:v>
      </x:c>
      <x:c r="I299" s="79" t="str">
        <x:v>6a3782ffdf5573f4e676e24b</x:v>
      </x:c>
      <x:c r="J299" s="79" t="str">
        <x:v>syrup</x:v>
      </x:c>
      <x:c r="K299" s="79" t="str">
        <x:v>6a3782d7df5573f4e676e243</x:v>
      </x:c>
      <x:c r="L299" s="79" t="str">
        <x:v>EDIBLE</x:v>
      </x:c>
      <x:c r="M299" s="79" t="str">
        <x:v>بله</x:v>
      </x:c>
      <x:c r="N299" s="79" t="str">
        <x:v>خوراکی</x:v>
      </x:c>
      <x:c r="O299" s="79" t="str">
        <x:v>بله</x:v>
      </x:c>
      <x:c r="P299" s="79" t="n">
        <x:v>2</x:v>
      </x:c>
      <x:c r="Q299" s="79" t="str">
        <x:v>نیم لیتر</x:v>
      </x:c>
      <x:c r="R299" s="79" t="n">
        <x:v>195</x:v>
      </x:c>
      <x:c r="S299" s="104" t="n">
        <x:v>195000</x:v>
      </x:c>
      <x:c r="T299" s="79" t="n">
        <x:v>500</x:v>
      </x:c>
      <x:c r="U299" s="79" t="str">
        <x:v>ml</x:v>
      </x:c>
      <x:c r="V299" s="79" t="str">
        <x:v>نیم لیتر</x:v>
      </x:c>
      <x:c r="W299" s="99" t="b">
        <x:v>1</x:v>
      </x:c>
      <x:c r="X299" s="79" t="str">
        <x:v>1 لیتر</x:v>
      </x:c>
      <x:c r="Y299" s="79" t="n">
        <x:v>380</x:v>
      </x:c>
      <x:c r="Z299" s="104" t="n">
        <x:v>380000</x:v>
      </x:c>
      <x:c r="AA299" s="79" t="n">
        <x:v>1000</x:v>
      </x:c>
      <x:c r="AB299" s="79" t="str">
        <x:v>ml</x:v>
      </x:c>
      <x:c r="AC299" s="79" t="str">
        <x:v>1 لیتر</x:v>
      </x:c>
      <x:c r="AD299" s="99" t="b">
        <x:v>0</x:v>
      </x:c>
      <x:c r="AE299" s="79" t="str">
        <x:v>فعال</x:v>
      </x:c>
      <x:c r="AF299" s="79" t="str">
        <x:v>دسته‌بندی نهایی</x:v>
      </x:c>
      <x:c r="AG299" s="79" t="str">
        <x:v>MERGED</x:v>
      </x:c>
      <x:c r="AH299" s="79" t="str">
        <x:v>[{"name": "نیم لیتر", "sku": "", "price": 195000, "stock": "", "weight": 500, "weightUnit": "ml", "containerSize": "نیم لیتر", "isDefault": true}, {"name": "1 لیتر", "sku": "", "price": 380000, "stock": "", "weight": 1000, "weightUnit": "ml", "containerSize": "1 لیتر", "isDefault": false}]</x:v>
      </x:c>
      <x:c r="AI299" s="79"/>
      <x:c r="AJ299" s="79"/>
      <x:c r="AK299" s="79"/>
      <x:c r="AL299" t="str">
        <x:v>عرق گلاب</x:v>
      </x:c>
      <x:c r="AM299" t="str">
        <x:v>grp_rose_water</x:v>
      </x:c>
      <x:c r="AN299" t="str">
        <x:v>merge_into_canonical_group</x:v>
      </x:c>
      <x:c r="AO299" t="str">
        <x:v>نوشیدنی‌ها</x:v>
      </x:c>
      <x:c r="AP299" t="str">
        <x:v>6a3782ffdf5573f4e676e24b</x:v>
      </x:c>
      <x:c r="AQ299" t="str">
        <x:v>syrup</x:v>
      </x:c>
      <x:c r="AR299" t="str">
        <x:v>EDIBLE</x:v>
      </x:c>
      <x:c r="AS299" t="str">
        <x:v>بله</x:v>
      </x:c>
      <x:c r="AT299" t="str">
        <x:v>MERGED</x:v>
      </x:c>
      <x:c r="AU299"/>
    </x:row>
    <x:row r="300">
      <x:c r="A300" s="79" t="n">
        <x:v>302</x:v>
      </x:c>
      <x:c r="B300" s="79" t="str"/>
      <x:c r="C300" s="79" t="str">
        <x:v>عرق گلاب ویژه</x:v>
      </x:c>
      <x:c r="D300" s="79" t="str">
        <x:v>argh-glab-vyzhh</x:v>
      </x:c>
      <x:c r="E300" s="79" t="str">
        <x:v>import</x:v>
      </x:c>
      <x:c r="F300" s="79" t="str">
        <x:v>خیر</x:v>
      </x:c>
      <x:c r="G300" s="79" t="str"/>
      <x:c r="H300" s="79" t="str">
        <x:v>نوشیدنی‌ها</x:v>
      </x:c>
      <x:c r="I300" s="79" t="str">
        <x:v>6a3782ffdf5573f4e676e24b</x:v>
      </x:c>
      <x:c r="J300" s="79" t="str">
        <x:v>syrup</x:v>
      </x:c>
      <x:c r="K300" s="79" t="str">
        <x:v>6a3782d7df5573f4e676e243</x:v>
      </x:c>
      <x:c r="L300" s="79" t="str">
        <x:v>EDIBLE</x:v>
      </x:c>
      <x:c r="M300" s="79" t="str">
        <x:v>بله</x:v>
      </x:c>
      <x:c r="N300" s="79" t="str">
        <x:v>خوراکی</x:v>
      </x:c>
      <x:c r="O300" s="79" t="str">
        <x:v>بله</x:v>
      </x:c>
      <x:c r="P300" s="79" t="n">
        <x:v>2</x:v>
      </x:c>
      <x:c r="Q300" s="79" t="str">
        <x:v>نیم لیتر</x:v>
      </x:c>
      <x:c r="R300" s="79" t="str">
        <x:v>؟</x:v>
      </x:c>
      <x:c r="S300" s="104"/>
      <x:c r="T300" s="79" t="n">
        <x:v>500</x:v>
      </x:c>
      <x:c r="U300" s="79" t="str">
        <x:v>ml</x:v>
      </x:c>
      <x:c r="V300" s="79" t="str">
        <x:v>نیم لیتر</x:v>
      </x:c>
      <x:c r="W300" s="99" t="b">
        <x:v>1</x:v>
      </x:c>
      <x:c r="X300" s="79" t="str">
        <x:v>1 لیتر</x:v>
      </x:c>
      <x:c r="Y300" s="79" t="str">
        <x:v>؟</x:v>
      </x:c>
      <x:c r="Z300" s="104"/>
      <x:c r="AA300" s="79" t="n">
        <x:v>1000</x:v>
      </x:c>
      <x:c r="AB300" s="79" t="str">
        <x:v>ml</x:v>
      </x:c>
      <x:c r="AC300" s="79" t="str">
        <x:v>1 لیتر</x:v>
      </x:c>
      <x:c r="AD300" s="99" t="b">
        <x:v>0</x:v>
      </x:c>
      <x:c r="AE300" s="79" t="str">
        <x:v>نیاز به استعلام</x:v>
      </x:c>
      <x:c r="AF300" s="79" t="str">
        <x:v>دسته‌بندی نهایی</x:v>
      </x:c>
      <x:c r="AG300" s="79" t="str">
        <x:v>یک یا چند قیمت نامشخص است</x:v>
      </x:c>
      <x:c r="AH300" s="79" t="str">
        <x:v>[{"name": "نیم لیتر", "sku": "", "price": null, "stock": "", "weight": 500, "weightUnit": "ml", "containerSize": "نیم لیتر", "isDefault": true}, {"name": "1 لیتر", "sku": "", "price": null, "stock": "", "weight": 1000, "weightUnit": "ml", "containerSize": "1 لیتر", "isDefault": false}]</x:v>
      </x:c>
      <x:c r="AI300" s="79"/>
      <x:c r="AJ300" s="79"/>
      <x:c r="AK300" s="79"/>
      <x:c r="AL300" t="str">
        <x:v>عرق گلاب</x:v>
      </x:c>
      <x:c r="AM300" t="str">
        <x:v>grp_rose_water</x:v>
      </x:c>
      <x:c r="AN300" t="str">
        <x:v>merge_into_canonical_group</x:v>
      </x:c>
      <x:c r="AO300" t="str">
        <x:v>نوشیدنی‌ها</x:v>
      </x:c>
      <x:c r="AP300" t="str">
        <x:v>6a3782ffdf5573f4e676e24b</x:v>
      </x:c>
      <x:c r="AQ300" t="str">
        <x:v>syrup</x:v>
      </x:c>
      <x:c r="AR300" t="str">
        <x:v>EDIBLE</x:v>
      </x:c>
      <x:c r="AS300" t="str">
        <x:v>بله</x:v>
      </x:c>
      <x:c r="AT300" t="str">
        <x:v>MERGED + MISSING_PRICE_REVIEW</x:v>
      </x:c>
      <x:c r="AU300" t="str">
        <x:v>یک یا چند قیمت نامشخص است</x:v>
      </x:c>
    </x:row>
    <x:row r="301">
      <x:c r="A301" s="79" t="n">
        <x:v>303</x:v>
      </x:c>
      <x:c r="B301" s="79" t="str"/>
      <x:c r="C301" s="79" t="str">
        <x:v>عرق محرک پیاز مو</x:v>
      </x:c>
      <x:c r="D301" s="79" t="str">
        <x:v>argh-mhrk-pyaz-mv</x:v>
      </x:c>
      <x:c r="E301" s="79" t="str">
        <x:v>import</x:v>
      </x:c>
      <x:c r="F301" s="79" t="str">
        <x:v>خیر</x:v>
      </x:c>
      <x:c r="G301" s="79" t="str"/>
      <x:c r="H301" s="79" t="str">
        <x:v>گیاهان دارویی</x:v>
      </x:c>
      <x:c r="I301" s="79" t="str">
        <x:v>6a3782d7df5573f4e676e243</x:v>
      </x:c>
      <x:c r="J301" s="79" t="str">
        <x:v>medicinal-plants</x:v>
      </x:c>
      <x:c r="K301" s="79"/>
      <x:c r="L301" s="79" t="str">
        <x:v>TOPICAL</x:v>
      </x:c>
      <x:c r="M301" s="79" t="str">
        <x:v>خیر</x:v>
      </x:c>
      <x:c r="N301" s="79" t="str">
        <x:v>غیرخوراکی/موضعی</x:v>
      </x:c>
      <x:c r="O301" s="79" t="str">
        <x:v>بله</x:v>
      </x:c>
      <x:c r="P301" s="79" t="n">
        <x:v>2</x:v>
      </x:c>
      <x:c r="Q301" s="79" t="str">
        <x:v>نیم لیتر</x:v>
      </x:c>
      <x:c r="R301" s="79" t="n">
        <x:v>120</x:v>
      </x:c>
      <x:c r="S301" s="104" t="n">
        <x:v>120000</x:v>
      </x:c>
      <x:c r="T301" s="79" t="n">
        <x:v>500</x:v>
      </x:c>
      <x:c r="U301" s="79" t="str">
        <x:v>ml</x:v>
      </x:c>
      <x:c r="V301" s="79" t="str">
        <x:v>نیم لیتر</x:v>
      </x:c>
      <x:c r="W301" s="99" t="b">
        <x:v>1</x:v>
      </x:c>
      <x:c r="X301" s="79" t="str">
        <x:v>1 لیتر</x:v>
      </x:c>
      <x:c r="Y301" s="79" t="n">
        <x:v>240</x:v>
      </x:c>
      <x:c r="Z301" s="104" t="n">
        <x:v>240000</x:v>
      </x:c>
      <x:c r="AA301" s="79" t="n">
        <x:v>1000</x:v>
      </x:c>
      <x:c r="AB301" s="79" t="str">
        <x:v>ml</x:v>
      </x:c>
      <x:c r="AC301" s="79" t="str">
        <x:v>1 لیتر</x:v>
      </x:c>
      <x:c r="AD301" s="99" t="b">
        <x:v>0</x:v>
      </x:c>
      <x:c r="AE301" s="79" t="str">
        <x:v>فعال</x:v>
      </x:c>
      <x:c r="AF301" s="79" t="str">
        <x:v>دسته‌بندی نهایی</x:v>
      </x:c>
      <x:c r="AG301" s="79" t="str">
        <x:v>به دلیل مصرف استنشاقی/موضعی از نوشیدنی‌ها به گیاهان دارویی منتقل شد</x:v>
      </x:c>
      <x:c r="AH301" s="79" t="str">
        <x:v>[{"name": "نیم لیتر", "sku": "", "price": 120000, "stock": "", "weight": 500, "weightUnit": "ml", "containerSize": "نیم لیتر", "isDefault": true}, {"name": "1 لیتر", "sku": "", "price": 240000, "stock": "", "weight": 1000, "weightUnit": "ml", "containerSize": "1 لیتر", "isDefault": false}]</x:v>
      </x:c>
      <x:c r="AI301" s="79"/>
      <x:c r="AJ301" s="79"/>
      <x:c r="AK301" s="79"/>
      <x:c r="AL301" t="str">
        <x:v>عرق محرک پیاز مو</x:v>
      </x:c>
      <x:c r="AM301" t="str">
        <x:v>single_303</x:v>
      </x:c>
      <x:c r="AN301" t="str">
        <x:v>canonical_group_row</x:v>
      </x:c>
      <x:c r="AO301" t="str">
        <x:v>گیاهان دارویی</x:v>
      </x:c>
      <x:c r="AP301" t="str">
        <x:v>6a3782d7df5573f4e676e243</x:v>
      </x:c>
      <x:c r="AQ301" t="str">
        <x:v>medicinal-plants</x:v>
      </x:c>
      <x:c r="AR301" t="str">
        <x:v>TOPICAL</x:v>
      </x:c>
      <x:c r="AS301" t="str">
        <x:v>خیر</x:v>
      </x:c>
      <x:c r="AT301" t="str">
        <x:v>OK</x:v>
      </x:c>
      <x:c r="AU301" t="str">
        <x:v>به دلیل مصرف استنشاقی/موضعی از نوشیدنی‌ها به گیاهان دارویی منتقل شد</x:v>
      </x:c>
    </x:row>
    <x:row r="302">
      <x:c r="A302" s="79" t="n">
        <x:v>304</x:v>
      </x:c>
      <x:c r="B302" s="79" t="str"/>
      <x:c r="C302" s="79" t="str">
        <x:v>عرق معجون سنگ کلیه</x:v>
      </x:c>
      <x:c r="D302" s="79" t="str">
        <x:v>argh-majvn-sng-klyh</x:v>
      </x:c>
      <x:c r="E302" s="79" t="str">
        <x:v>import</x:v>
      </x:c>
      <x:c r="F302" s="79" t="str">
        <x:v>خیر</x:v>
      </x:c>
      <x:c r="G302" s="79" t="str"/>
      <x:c r="H302" s="79" t="str">
        <x:v>نوشیدنی‌ها</x:v>
      </x:c>
      <x:c r="I302" s="79" t="str">
        <x:v>6a3782ffdf5573f4e676e24b</x:v>
      </x:c>
      <x:c r="J302" s="79" t="str">
        <x:v>syrup</x:v>
      </x:c>
      <x:c r="K302" s="79" t="str">
        <x:v>6a3782d7df5573f4e676e243</x:v>
      </x:c>
      <x:c r="L302" s="79" t="str">
        <x:v>EDIBLE</x:v>
      </x:c>
      <x:c r="M302" s="79" t="str">
        <x:v>بله</x:v>
      </x:c>
      <x:c r="N302" s="79" t="str">
        <x:v>خوراکی</x:v>
      </x:c>
      <x:c r="O302" s="79" t="str">
        <x:v>بله</x:v>
      </x:c>
      <x:c r="P302" s="79" t="n">
        <x:v>2</x:v>
      </x:c>
      <x:c r="Q302" s="79" t="str">
        <x:v>نیم لیتر</x:v>
      </x:c>
      <x:c r="R302" s="79" t="n">
        <x:v>95</x:v>
      </x:c>
      <x:c r="S302" s="104" t="n">
        <x:v>95000</x:v>
      </x:c>
      <x:c r="T302" s="79" t="n">
        <x:v>500</x:v>
      </x:c>
      <x:c r="U302" s="79" t="str">
        <x:v>ml</x:v>
      </x:c>
      <x:c r="V302" s="79" t="str">
        <x:v>نیم لیتر</x:v>
      </x:c>
      <x:c r="W302" s="99" t="b">
        <x:v>1</x:v>
      </x:c>
      <x:c r="X302" s="79" t="str">
        <x:v>1 لیتر</x:v>
      </x:c>
      <x:c r="Y302" s="79" t="n">
        <x:v>180</x:v>
      </x:c>
      <x:c r="Z302" s="104" t="n">
        <x:v>180000</x:v>
      </x:c>
      <x:c r="AA302" s="79" t="n">
        <x:v>1000</x:v>
      </x:c>
      <x:c r="AB302" s="79" t="str">
        <x:v>ml</x:v>
      </x:c>
      <x:c r="AC302" s="79" t="str">
        <x:v>1 لیتر</x:v>
      </x:c>
      <x:c r="AD302" s="99" t="b">
        <x:v>0</x:v>
      </x:c>
      <x:c r="AE302" s="79" t="str">
        <x:v>فعال</x:v>
      </x:c>
      <x:c r="AF302" s="79" t="str">
        <x:v>دسته‌بندی نهایی</x:v>
      </x:c>
      <x:c r="AG302" s="79" t="str">
        <x:v>OK</x:v>
      </x:c>
      <x:c r="AH302" s="79" t="str">
        <x:v>[{"name": "نیم لیتر", "sku": "", "price": 95000, "stock": "", "weight": 500, "weightUnit": "ml", "containerSize": "نیم لیتر", "isDefault": true}, {"name": "1 لیتر", "sku": "", "price": 180000, "stock": "", "weight": 1000, "weightUnit": "ml", "containerSize": "1 لیتر", "isDefault": false}]</x:v>
      </x:c>
      <x:c r="AI302" s="79"/>
      <x:c r="AJ302" s="79"/>
      <x:c r="AK302" s="79"/>
      <x:c r="AL302" t="str">
        <x:v>عرق معجون سنگ کلیه</x:v>
      </x:c>
      <x:c r="AM302" t="str">
        <x:v>single_304</x:v>
      </x:c>
      <x:c r="AN302" t="str">
        <x:v>canonical_group_row</x:v>
      </x:c>
      <x:c r="AO302" t="str">
        <x:v>نوشیدنی‌ها</x:v>
      </x:c>
      <x:c r="AP302" t="str">
        <x:v>6a3782ffdf5573f4e676e24b</x:v>
      </x:c>
      <x:c r="AQ302" t="str">
        <x:v>syrup</x:v>
      </x:c>
      <x:c r="AR302" t="str">
        <x:v>EDIBLE</x:v>
      </x:c>
      <x:c r="AS302" t="str">
        <x:v>بله</x:v>
      </x:c>
      <x:c r="AT302" t="str">
        <x:v>OK</x:v>
      </x:c>
      <x:c r="AU302"/>
    </x:row>
    <x:row r="303">
      <x:c r="A303" s="79" t="n">
        <x:v>305</x:v>
      </x:c>
      <x:c r="B303" s="79" t="str"/>
      <x:c r="C303" s="79" t="str">
        <x:v>عرق نعناع سنگین</x:v>
      </x:c>
      <x:c r="D303" s="79" t="str">
        <x:v>argh-nanaa-sngyn</x:v>
      </x:c>
      <x:c r="E303" s="79" t="str">
        <x:v>import</x:v>
      </x:c>
      <x:c r="F303" s="79" t="str">
        <x:v>خیر</x:v>
      </x:c>
      <x:c r="G303" s="79" t="str"/>
      <x:c r="H303" s="79" t="str">
        <x:v>نوشیدنی‌ها</x:v>
      </x:c>
      <x:c r="I303" s="79" t="str">
        <x:v>6a3782ffdf5573f4e676e24b</x:v>
      </x:c>
      <x:c r="J303" s="79" t="str">
        <x:v>syrup</x:v>
      </x:c>
      <x:c r="K303" s="79" t="str">
        <x:v>6a3782d7df5573f4e676e243</x:v>
      </x:c>
      <x:c r="L303" s="79" t="str">
        <x:v>EDIBLE</x:v>
      </x:c>
      <x:c r="M303" s="79" t="str">
        <x:v>بله</x:v>
      </x:c>
      <x:c r="N303" s="79" t="str">
        <x:v>خوراکی</x:v>
      </x:c>
      <x:c r="O303" s="79" t="str">
        <x:v>بله</x:v>
      </x:c>
      <x:c r="P303" s="79" t="n">
        <x:v>2</x:v>
      </x:c>
      <x:c r="Q303" s="79" t="str">
        <x:v>نیم لیتر</x:v>
      </x:c>
      <x:c r="R303" s="79" t="n">
        <x:v>80</x:v>
      </x:c>
      <x:c r="S303" s="104" t="n">
        <x:v>80000</x:v>
      </x:c>
      <x:c r="T303" s="79" t="n">
        <x:v>500</x:v>
      </x:c>
      <x:c r="U303" s="79" t="str">
        <x:v>ml</x:v>
      </x:c>
      <x:c r="V303" s="79" t="str">
        <x:v>نیم لیتر</x:v>
      </x:c>
      <x:c r="W303" s="99" t="b">
        <x:v>1</x:v>
      </x:c>
      <x:c r="X303" s="79" t="str">
        <x:v>1 لیتر</x:v>
      </x:c>
      <x:c r="Y303" s="79" t="n">
        <x:v>150</x:v>
      </x:c>
      <x:c r="Z303" s="104" t="n">
        <x:v>150000</x:v>
      </x:c>
      <x:c r="AA303" s="79" t="n">
        <x:v>1000</x:v>
      </x:c>
      <x:c r="AB303" s="79" t="str">
        <x:v>ml</x:v>
      </x:c>
      <x:c r="AC303" s="79" t="str">
        <x:v>1 لیتر</x:v>
      </x:c>
      <x:c r="AD303" s="99" t="b">
        <x:v>0</x:v>
      </x:c>
      <x:c r="AE303" s="79" t="str">
        <x:v>فعال</x:v>
      </x:c>
      <x:c r="AF303" s="79" t="str">
        <x:v>دسته‌بندی نهایی</x:v>
      </x:c>
      <x:c r="AG303" s="79" t="str">
        <x:v>OK</x:v>
      </x:c>
      <x:c r="AH303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  <x:c r="AI303" s="79"/>
      <x:c r="AJ303" s="79"/>
      <x:c r="AK303" s="79"/>
      <x:c r="AL303" t="str">
        <x:v>عرق نعناع سنگین</x:v>
      </x:c>
      <x:c r="AM303" t="str">
        <x:v>single_305</x:v>
      </x:c>
      <x:c r="AN303" t="str">
        <x:v>canonical_group_row</x:v>
      </x:c>
      <x:c r="AO303" t="str">
        <x:v>نوشیدنی‌ها</x:v>
      </x:c>
      <x:c r="AP303" t="str">
        <x:v>6a3782ffdf5573f4e676e24b</x:v>
      </x:c>
      <x:c r="AQ303" t="str">
        <x:v>syrup</x:v>
      </x:c>
      <x:c r="AR303" t="str">
        <x:v>EDIBLE</x:v>
      </x:c>
      <x:c r="AS303" t="str">
        <x:v>بله</x:v>
      </x:c>
      <x:c r="AT303" t="str">
        <x:v>OK</x:v>
      </x:c>
      <x:c r="AU303"/>
    </x:row>
    <x:row r="304">
      <x:c r="A304" s="79" t="n">
        <x:v>306</x:v>
      </x:c>
      <x:c r="B304" s="79" t="str"/>
      <x:c r="C304" s="79" t="str">
        <x:v>عرق نعناع فلفلی</x:v>
      </x:c>
      <x:c r="D304" s="79" t="str">
        <x:v>argh-nanaa-flfly</x:v>
      </x:c>
      <x:c r="E304" s="79" t="str">
        <x:v>import</x:v>
      </x:c>
      <x:c r="F304" s="79" t="str">
        <x:v>خیر</x:v>
      </x:c>
      <x:c r="G304" s="79" t="str"/>
      <x:c r="H304" s="79" t="str">
        <x:v>نوشیدنی‌ها</x:v>
      </x:c>
      <x:c r="I304" s="79" t="str">
        <x:v>6a3782ffdf5573f4e676e24b</x:v>
      </x:c>
      <x:c r="J304" s="79" t="str">
        <x:v>syrup</x:v>
      </x:c>
      <x:c r="K304" s="79" t="str">
        <x:v>6a3782d7df5573f4e676e243</x:v>
      </x:c>
      <x:c r="L304" s="79" t="str">
        <x:v>EDIBLE</x:v>
      </x:c>
      <x:c r="M304" s="79" t="str">
        <x:v>بله</x:v>
      </x:c>
      <x:c r="N304" s="79" t="str">
        <x:v>خوراکی</x:v>
      </x:c>
      <x:c r="O304" s="79" t="str">
        <x:v>بله</x:v>
      </x:c>
      <x:c r="P304" s="79" t="n">
        <x:v>2</x:v>
      </x:c>
      <x:c r="Q304" s="79" t="str">
        <x:v>نیم لیتر</x:v>
      </x:c>
      <x:c r="R304" s="79" t="n">
        <x:v>75</x:v>
      </x:c>
      <x:c r="S304" s="104" t="n">
        <x:v>75000</x:v>
      </x:c>
      <x:c r="T304" s="79" t="n">
        <x:v>500</x:v>
      </x:c>
      <x:c r="U304" s="79" t="str">
        <x:v>ml</x:v>
      </x:c>
      <x:c r="V304" s="79" t="str">
        <x:v>نیم لیتر</x:v>
      </x:c>
      <x:c r="W304" s="99" t="b">
        <x:v>1</x:v>
      </x:c>
      <x:c r="X304" s="79" t="str">
        <x:v>1 لیتر</x:v>
      </x:c>
      <x:c r="Y304" s="79" t="n">
        <x:v>140</x:v>
      </x:c>
      <x:c r="Z304" s="104" t="n">
        <x:v>140000</x:v>
      </x:c>
      <x:c r="AA304" s="79" t="n">
        <x:v>1000</x:v>
      </x:c>
      <x:c r="AB304" s="79" t="str">
        <x:v>ml</x:v>
      </x:c>
      <x:c r="AC304" s="79" t="str">
        <x:v>1 لیتر</x:v>
      </x:c>
      <x:c r="AD304" s="99" t="b">
        <x:v>0</x:v>
      </x:c>
      <x:c r="AE304" s="79" t="str">
        <x:v>فعال</x:v>
      </x:c>
      <x:c r="AF304" s="79" t="str">
        <x:v>دسته‌بندی نهایی</x:v>
      </x:c>
      <x:c r="AG304" s="79" t="str">
        <x:v>دسته از «ادویه» به «نوشیدنی‌ها» اصلاح شد</x:v>
      </x:c>
      <x:c r="AH304" s="79" t="str">
        <x:v>[{"name": "نیم لیتر", "sku": "", "price": 75000, "stock": "", "weight": 500, "weightUnit": "ml", "containerSize": "نیم لیتر", "isDefault": true}, {"name": "1 لیتر", "sku": "", "price": 140000, "stock": "", "weight": 1000, "weightUnit": "ml", "containerSize": "1 لیتر", "isDefault": false}]</x:v>
      </x:c>
      <x:c r="AI304" s="79"/>
      <x:c r="AJ304" s="79"/>
      <x:c r="AK304" s="79"/>
      <x:c r="AL304" t="str">
        <x:v>عرق نعناع فلفلی</x:v>
      </x:c>
      <x:c r="AM304" t="str">
        <x:v>single_306</x:v>
      </x:c>
      <x:c r="AN304" t="str">
        <x:v>canonical_group_row</x:v>
      </x:c>
      <x:c r="AO304" t="str">
        <x:v>نوشیدنی‌ها</x:v>
      </x:c>
      <x:c r="AP304" t="str">
        <x:v>6a3782ffdf5573f4e676e24b</x:v>
      </x:c>
      <x:c r="AQ304" t="str">
        <x:v>syrup</x:v>
      </x:c>
      <x:c r="AR304" t="str">
        <x:v>EDIBLE</x:v>
      </x:c>
      <x:c r="AS304" t="str">
        <x:v>بله</x:v>
      </x:c>
      <x:c r="AT304" t="str">
        <x:v>OK</x:v>
      </x:c>
      <x:c r="AU304" t="str">
        <x:v>دسته از «ادویه» به «نوشیدنی‌ها» اصلاح شد</x:v>
      </x:c>
    </x:row>
    <x:row r="305">
      <x:c r="A305" s="79" t="n">
        <x:v>307</x:v>
      </x:c>
      <x:c r="B305" s="79" t="str"/>
      <x:c r="C305" s="79" t="str">
        <x:v>عرق هل سنگین</x:v>
      </x:c>
      <x:c r="D305" s="79" t="str">
        <x:v>argh-hl-sngyn</x:v>
      </x:c>
      <x:c r="E305" s="79" t="str">
        <x:v>import</x:v>
      </x:c>
      <x:c r="F305" s="79" t="str">
        <x:v>خیر</x:v>
      </x:c>
      <x:c r="G305" s="79" t="str"/>
      <x:c r="H305" s="79" t="str">
        <x:v>نوشیدنی‌ها</x:v>
      </x:c>
      <x:c r="I305" s="79" t="str">
        <x:v>6a3782ffdf5573f4e676e24b</x:v>
      </x:c>
      <x:c r="J305" s="79" t="str">
        <x:v>syrup</x:v>
      </x:c>
      <x:c r="K305" s="79" t="str">
        <x:v>6a3782d7df5573f4e676e243</x:v>
      </x:c>
      <x:c r="L305" s="79" t="str">
        <x:v>EDIBLE</x:v>
      </x:c>
      <x:c r="M305" s="79" t="str">
        <x:v>بله</x:v>
      </x:c>
      <x:c r="N305" s="79" t="str">
        <x:v>خوراکی</x:v>
      </x:c>
      <x:c r="O305" s="79" t="str">
        <x:v>بله</x:v>
      </x:c>
      <x:c r="P305" s="79" t="n">
        <x:v>2</x:v>
      </x:c>
      <x:c r="Q305" s="79" t="str">
        <x:v>نیم لیتر</x:v>
      </x:c>
      <x:c r="R305" s="79" t="n">
        <x:v>230</x:v>
      </x:c>
      <x:c r="S305" s="104" t="n">
        <x:v>230000</x:v>
      </x:c>
      <x:c r="T305" s="79" t="n">
        <x:v>500</x:v>
      </x:c>
      <x:c r="U305" s="79" t="str">
        <x:v>ml</x:v>
      </x:c>
      <x:c r="V305" s="79" t="str">
        <x:v>نیم لیتر</x:v>
      </x:c>
      <x:c r="W305" s="99" t="b">
        <x:v>1</x:v>
      </x:c>
      <x:c r="X305" s="79" t="str">
        <x:v>1 لیتر</x:v>
      </x:c>
      <x:c r="Y305" s="79" t="n">
        <x:v>450</x:v>
      </x:c>
      <x:c r="Z305" s="104" t="n">
        <x:v>450000</x:v>
      </x:c>
      <x:c r="AA305" s="79" t="n">
        <x:v>1000</x:v>
      </x:c>
      <x:c r="AB305" s="79" t="str">
        <x:v>ml</x:v>
      </x:c>
      <x:c r="AC305" s="79" t="str">
        <x:v>1 لیتر</x:v>
      </x:c>
      <x:c r="AD305" s="99" t="b">
        <x:v>0</x:v>
      </x:c>
      <x:c r="AE305" s="79" t="str">
        <x:v>فعال</x:v>
      </x:c>
      <x:c r="AF305" s="79" t="str">
        <x:v>دسته‌بندی نهایی</x:v>
      </x:c>
      <x:c r="AG305" s="79" t="str">
        <x:v>OK</x:v>
      </x:c>
      <x:c r="AH305" s="79" t="str">
        <x:v>[{"name": "نیم لیتر", "sku": "", "price": 230000, "stock": "", "weight": 500, "weightUnit": "ml", "containerSize": "نیم لیتر", "isDefault": true}, {"name": "1 لیتر", "sku": "", "price": 450000, "stock": "", "weight": 1000, "weightUnit": "ml", "containerSize": "1 لیتر", "isDefault": false}]</x:v>
      </x:c>
      <x:c r="AI305" s="79"/>
      <x:c r="AJ305" s="79"/>
      <x:c r="AK305" s="79"/>
      <x:c r="AL305" t="str">
        <x:v>عرق هل سنگین</x:v>
      </x:c>
      <x:c r="AM305" t="str">
        <x:v>single_307</x:v>
      </x:c>
      <x:c r="AN305" t="str">
        <x:v>canonical_group_row</x:v>
      </x:c>
      <x:c r="AO305" t="str">
        <x:v>نوشیدنی‌ها</x:v>
      </x:c>
      <x:c r="AP305" t="str">
        <x:v>6a3782ffdf5573f4e676e24b</x:v>
      </x:c>
      <x:c r="AQ305" t="str">
        <x:v>syrup</x:v>
      </x:c>
      <x:c r="AR305" t="str">
        <x:v>EDIBLE</x:v>
      </x:c>
      <x:c r="AS305" t="str">
        <x:v>بله</x:v>
      </x:c>
      <x:c r="AT305" t="str">
        <x:v>OK</x:v>
      </x:c>
      <x:c r="AU305"/>
    </x:row>
    <x:row r="306">
      <x:c r="A306" s="79" t="n">
        <x:v>308</x:v>
      </x:c>
      <x:c r="B306" s="79" t="str"/>
      <x:c r="C306" s="79" t="str">
        <x:v>عرق یونجه</x:v>
      </x:c>
      <x:c r="D306" s="79" t="str">
        <x:v>argh-yvnjh</x:v>
      </x:c>
      <x:c r="E306" s="79" t="str">
        <x:v>import</x:v>
      </x:c>
      <x:c r="F306" s="79" t="str">
        <x:v>خیر</x:v>
      </x:c>
      <x:c r="G306" s="79" t="str"/>
      <x:c r="H306" s="79" t="str">
        <x:v>نوشیدنی‌ها</x:v>
      </x:c>
      <x:c r="I306" s="79" t="str">
        <x:v>6a3782ffdf5573f4e676e24b</x:v>
      </x:c>
      <x:c r="J306" s="79" t="str">
        <x:v>syrup</x:v>
      </x:c>
      <x:c r="K306" s="79" t="str">
        <x:v>6a3782d7df5573f4e676e243</x:v>
      </x:c>
      <x:c r="L306" s="79" t="str">
        <x:v>EDIBLE</x:v>
      </x:c>
      <x:c r="M306" s="79" t="str">
        <x:v>بله</x:v>
      </x:c>
      <x:c r="N306" s="79" t="str">
        <x:v>خوراکی</x:v>
      </x:c>
      <x:c r="O306" s="79" t="str">
        <x:v>بله</x:v>
      </x:c>
      <x:c r="P306" s="79" t="n">
        <x:v>2</x:v>
      </x:c>
      <x:c r="Q306" s="79" t="str">
        <x:v>نیم لیتر</x:v>
      </x:c>
      <x:c r="R306" s="79" t="n">
        <x:v>80</x:v>
      </x:c>
      <x:c r="S306" s="104" t="n">
        <x:v>80000</x:v>
      </x:c>
      <x:c r="T306" s="79" t="n">
        <x:v>500</x:v>
      </x:c>
      <x:c r="U306" s="79" t="str">
        <x:v>ml</x:v>
      </x:c>
      <x:c r="V306" s="79" t="str">
        <x:v>نیم لیتر</x:v>
      </x:c>
      <x:c r="W306" s="99" t="b">
        <x:v>1</x:v>
      </x:c>
      <x:c r="X306" s="79" t="str">
        <x:v>1 لیتر</x:v>
      </x:c>
      <x:c r="Y306" s="79" t="n">
        <x:v>150</x:v>
      </x:c>
      <x:c r="Z306" s="104" t="n">
        <x:v>150000</x:v>
      </x:c>
      <x:c r="AA306" s="79" t="n">
        <x:v>1000</x:v>
      </x:c>
      <x:c r="AB306" s="79" t="str">
        <x:v>ml</x:v>
      </x:c>
      <x:c r="AC306" s="79" t="str">
        <x:v>1 لیتر</x:v>
      </x:c>
      <x:c r="AD306" s="99" t="b">
        <x:v>0</x:v>
      </x:c>
      <x:c r="AE306" s="79" t="str">
        <x:v>فعال</x:v>
      </x:c>
      <x:c r="AF306" s="79" t="str">
        <x:v>دسته‌بندی نهایی</x:v>
      </x:c>
      <x:c r="AG306" s="79" t="str">
        <x:v>OK</x:v>
      </x:c>
      <x:c r="AH306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  <x:c r="AI306" s="79"/>
      <x:c r="AJ306" s="79"/>
      <x:c r="AK306" s="79"/>
      <x:c r="AL306" t="str">
        <x:v>عرق یونجه</x:v>
      </x:c>
      <x:c r="AM306" t="str">
        <x:v>single_308</x:v>
      </x:c>
      <x:c r="AN306" t="str">
        <x:v>canonical_group_row</x:v>
      </x:c>
      <x:c r="AO306" t="str">
        <x:v>نوشیدنی‌ها</x:v>
      </x:c>
      <x:c r="AP306" t="str">
        <x:v>6a3782ffdf5573f4e676e24b</x:v>
      </x:c>
      <x:c r="AQ306" t="str">
        <x:v>syrup</x:v>
      </x:c>
      <x:c r="AR306" t="str">
        <x:v>EDIBLE</x:v>
      </x:c>
      <x:c r="AS306" t="str">
        <x:v>بله</x:v>
      </x:c>
      <x:c r="AT306" t="str">
        <x:v>OK</x:v>
      </x:c>
      <x:c r="AU306"/>
    </x:row>
    <x:row r="307">
      <x:c r="A307" s="79" t="n">
        <x:v>309</x:v>
      </x:c>
      <x:c r="B307" s="79" t="str">
        <x:v>NS-0306-1</x:v>
      </x:c>
      <x:c r="C307" s="79" t="str">
        <x:v>عسل بهار نارنج</x:v>
      </x:c>
      <x:c r="D307" s="79" t="str">
        <x:v>orange_blossom_honey_bdvn_mvm</x:v>
      </x:c>
      <x:c r="E307" s="79" t="str">
        <x:v>update</x:v>
      </x:c>
      <x:c r="F307" s="79" t="str">
        <x:v>بله</x:v>
      </x:c>
      <x:c r="G307" s="79" t="str">
        <x:v>قنادی و شیرینی</x:v>
      </x:c>
      <x:c r="H307" s="79" t="str">
        <x:v>قنادی و شیرینی</x:v>
      </x:c>
      <x:c r="I307" s="79" t="str">
        <x:v>6a3a00000000000000000003</x:v>
      </x:c>
      <x:c r="J307" s="79" t="str">
        <x:v>confectionery</x:v>
      </x:c>
      <x:c r="K307" s="79"/>
      <x:c r="L307" s="79" t="str">
        <x:v>EDIBLE</x:v>
      </x:c>
      <x:c r="M307" s="79" t="str">
        <x:v>بله</x:v>
      </x:c>
      <x:c r="N307" s="79" t="str">
        <x:v>خوراکی</x:v>
      </x:c>
      <x:c r="O307" s="79" t="str">
        <x:v>بله</x:v>
      </x:c>
      <x:c r="P307" s="79" t="n">
        <x:v>2</x:v>
      </x:c>
      <x:c r="Q307" s="79" t="str">
        <x:v>بدون موم</x:v>
      </x:c>
      <x:c r="R307" s="79" t="str">
        <x:v>1/200</x:v>
      </x:c>
      <x:c r="S307" s="104" t="n">
        <x:v>1200000</x:v>
      </x:c>
      <x:c r="T307" s="79" t="str"/>
      <x:c r="U307" s="79" t="str"/>
      <x:c r="V307" s="79" t="str">
        <x:v>بدون موم</x:v>
      </x:c>
      <x:c r="W307" s="99" t="b">
        <x:v>1</x:v>
      </x:c>
      <x:c r="X307" s="79" t="str">
        <x:v>با موم</x:v>
      </x:c>
      <x:c r="Y307" s="79" t="str">
        <x:v>1/300</x:v>
      </x:c>
      <x:c r="Z307" s="104" t="n">
        <x:v>1300000</x:v>
      </x:c>
      <x:c r="AA307" s="79" t="str"/>
      <x:c r="AB307" s="79" t="str"/>
      <x:c r="AC307" s="79" t="str">
        <x:v>با موم</x:v>
      </x:c>
      <x:c r="AD307" s="99" t="b">
        <x:v>0</x:v>
      </x:c>
      <x:c r="AE307" s="79" t="str">
        <x:v>فعال</x:v>
      </x:c>
      <x:c r="AF307" s="79" t="str">
        <x:v>دسته‌بندی نهایی</x:v>
      </x:c>
      <x:c r="AG307" s="79" t="str">
        <x:v>OK</x:v>
      </x:c>
      <x:c r="AH307" s="79" t="str">
        <x:v>[{"name": "بدون موم", "sku": "", "price": 1200000, "stock": "", "weight": "", "weightUnit": "", "containerSize": "بدون موم", "isDefault": true}, {"name": "با موم", "sku": "", "price": 1300000, "stock": "", "weight": "", "weightUnit": "", "containerSize": "با موم", "isDefault": false}]</x:v>
      </x:c>
      <x:c r="AI307" s="79"/>
      <x:c r="AJ307" s="79"/>
      <x:c r="AK307" s="79"/>
      <x:c r="AL307" t="str">
        <x:v>عسل بهار نارنج</x:v>
      </x:c>
      <x:c r="AM307" t="str">
        <x:v>single_309</x:v>
      </x:c>
      <x:c r="AN307" t="str">
        <x:v>canonical_group_row</x:v>
      </x:c>
      <x:c r="AO307" t="str">
        <x:v>قنادی و شیرینی</x:v>
      </x:c>
      <x:c r="AP307" t="str">
        <x:v>6a3a00000000000000000003</x:v>
      </x:c>
      <x:c r="AQ307" t="str">
        <x:v>confectionery</x:v>
      </x:c>
      <x:c r="AR307" t="str">
        <x:v>EDIBLE</x:v>
      </x:c>
      <x:c r="AS307" t="str">
        <x:v>بله</x:v>
      </x:c>
      <x:c r="AT307" t="str">
        <x:v>OK</x:v>
      </x:c>
      <x:c r="AU307"/>
    </x:row>
    <x:row r="308">
      <x:c r="A308" s="79" t="n">
        <x:v>310</x:v>
      </x:c>
      <x:c r="B308" s="79" t="str">
        <x:v>NS-0307-1</x:v>
      </x:c>
      <x:c r="C308" s="79" t="str">
        <x:v>عسل جنگلی</x:v>
      </x:c>
      <x:c r="D308" s="79" t="str">
        <x:v>forest_honey</x:v>
      </x:c>
      <x:c r="E308" s="79" t="str">
        <x:v>update</x:v>
      </x:c>
      <x:c r="F308" s="79" t="str">
        <x:v>بله</x:v>
      </x:c>
      <x:c r="G308" s="79" t="str">
        <x:v>قنادی و شیرینی</x:v>
      </x:c>
      <x:c r="H308" s="79" t="str">
        <x:v>قنادی و شیرینی</x:v>
      </x:c>
      <x:c r="I308" s="79" t="str">
        <x:v>6a3a00000000000000000003</x:v>
      </x:c>
      <x:c r="J308" s="79" t="str">
        <x:v>confectionery</x:v>
      </x:c>
      <x:c r="K308" s="79"/>
      <x:c r="L308" s="79" t="str">
        <x:v>EDIBLE</x:v>
      </x:c>
      <x:c r="M308" s="79" t="str">
        <x:v>بله</x:v>
      </x:c>
      <x:c r="N308" s="79" t="str">
        <x:v>خوراکی</x:v>
      </x:c>
      <x:c r="O308" s="79" t="str">
        <x:v>خیر</x:v>
      </x:c>
      <x:c r="P308" s="79" t="n">
        <x:v>1</x:v>
      </x:c>
      <x:c r="Q308" s="79" t="str">
        <x:v>کیلو</x:v>
      </x:c>
      <x:c r="R308" s="79" t="str">
        <x:v>؟</x:v>
      </x:c>
      <x:c r="S308" s="104"/>
      <x:c r="T308" s="79" t="n">
        <x:v>1</x:v>
      </x:c>
      <x:c r="U308" s="79" t="str">
        <x:v>kg</x:v>
      </x:c>
      <x:c r="V308" s="79" t="str">
        <x:v>کیلو</x:v>
      </x:c>
      <x:c r="W308" s="99" t="b">
        <x:v>1</x:v>
      </x:c>
      <x:c r="X308" s="79" t="str"/>
      <x:c r="Y308" s="79"/>
      <x:c r="Z308" s="104"/>
      <x:c r="AA308" s="79" t="str"/>
      <x:c r="AB308" s="79" t="str"/>
      <x:c r="AC308" s="79" t="str"/>
      <x:c r="AD308" s="79" t="str"/>
      <x:c r="AE308" s="79" t="str">
        <x:v>نیاز به استعلام</x:v>
      </x:c>
      <x:c r="AF308" s="79" t="str">
        <x:v>دسته‌بندی نهایی</x:v>
      </x:c>
      <x:c r="AG308" s="79" t="str">
        <x:v>یک یا چند قیمت نامشخص است</x:v>
      </x:c>
      <x:c r="AH308" s="79" t="str">
        <x:v>[{"name": "کیلو", "sku": "", "price": null, "stock": "", "weight": 1, "weightUnit": "kg", "containerSize": "کیلو", "isDefault": true}]</x:v>
      </x:c>
      <x:c r="AI308" s="79"/>
      <x:c r="AJ308" s="79"/>
      <x:c r="AK308" s="79"/>
      <x:c r="AL308" t="str">
        <x:v>عسل جنگلی</x:v>
      </x:c>
      <x:c r="AM308" t="str">
        <x:v>single_310</x:v>
      </x:c>
      <x:c r="AN308" t="str">
        <x:v>canonical_group_row</x:v>
      </x:c>
      <x:c r="AO308" t="str">
        <x:v>قنادی و شیرینی</x:v>
      </x:c>
      <x:c r="AP308" t="str">
        <x:v>6a3a00000000000000000003</x:v>
      </x:c>
      <x:c r="AQ308" t="str">
        <x:v>confectionery</x:v>
      </x:c>
      <x:c r="AR308" t="str">
        <x:v>EDIBLE</x:v>
      </x:c>
      <x:c r="AS308" t="str">
        <x:v>بله</x:v>
      </x:c>
      <x:c r="AT308" t="str">
        <x:v>MISSING_PRICE_REVIEW</x:v>
      </x:c>
      <x:c r="AU308" t="str">
        <x:v>یک یا چند قیمت نامشخص است</x:v>
      </x:c>
    </x:row>
    <x:row r="309">
      <x:c r="A309" s="79" t="n">
        <x:v>311</x:v>
      </x:c>
      <x:c r="B309" s="79" t="str">
        <x:v>NS-0308-1</x:v>
      </x:c>
      <x:c r="C309" s="79" t="str">
        <x:v>عسل چند گیاه</x:v>
      </x:c>
      <x:c r="D309" s="79" t="str">
        <x:v>multi_flower_honey</x:v>
      </x:c>
      <x:c r="E309" s="79" t="str">
        <x:v>update</x:v>
      </x:c>
      <x:c r="F309" s="79" t="str">
        <x:v>بله</x:v>
      </x:c>
      <x:c r="G309" s="79" t="str">
        <x:v>قنادی و شیرینی</x:v>
      </x:c>
      <x:c r="H309" s="79" t="str">
        <x:v>قنادی و شیرینی</x:v>
      </x:c>
      <x:c r="I309" s="79" t="str">
        <x:v>6a3a00000000000000000003</x:v>
      </x:c>
      <x:c r="J309" s="79" t="str">
        <x:v>confectionery</x:v>
      </x:c>
      <x:c r="K309" s="79"/>
      <x:c r="L309" s="79" t="str">
        <x:v>EDIBLE</x:v>
      </x:c>
      <x:c r="M309" s="79" t="str">
        <x:v>بله</x:v>
      </x:c>
      <x:c r="N309" s="79" t="str">
        <x:v>خوراکی</x:v>
      </x:c>
      <x:c r="O309" s="79" t="str">
        <x:v>خیر</x:v>
      </x:c>
      <x:c r="P309" s="79" t="n">
        <x:v>1</x:v>
      </x:c>
      <x:c r="Q309" s="79" t="str">
        <x:v>کیلو</x:v>
      </x:c>
      <x:c r="R309" s="79" t="str">
        <x:v>؟</x:v>
      </x:c>
      <x:c r="S309" s="104"/>
      <x:c r="T309" s="79" t="n">
        <x:v>1</x:v>
      </x:c>
      <x:c r="U309" s="79" t="str">
        <x:v>kg</x:v>
      </x:c>
      <x:c r="V309" s="79" t="str">
        <x:v>کیلو</x:v>
      </x:c>
      <x:c r="W309" s="99" t="b">
        <x:v>1</x:v>
      </x:c>
      <x:c r="X309" s="79" t="str"/>
      <x:c r="Y309" s="79"/>
      <x:c r="Z309" s="104"/>
      <x:c r="AA309" s="79" t="str"/>
      <x:c r="AB309" s="79" t="str"/>
      <x:c r="AC309" s="79" t="str"/>
      <x:c r="AD309" s="79" t="str"/>
      <x:c r="AE309" s="79" t="str">
        <x:v>نیاز به استعلام</x:v>
      </x:c>
      <x:c r="AF309" s="79" t="str">
        <x:v>دسته‌بندی نهایی</x:v>
      </x:c>
      <x:c r="AG309" s="79" t="str">
        <x:v>یک یا چند قیمت نامشخص است</x:v>
      </x:c>
      <x:c r="AH309" s="79" t="str">
        <x:v>[{"name": "کیلو", "sku": "", "price": null, "stock": "", "weight": 1, "weightUnit": "kg", "containerSize": "کیلو", "isDefault": true}]</x:v>
      </x:c>
      <x:c r="AI309" s="79"/>
      <x:c r="AJ309" s="79"/>
      <x:c r="AK309" s="79"/>
      <x:c r="AL309" t="str">
        <x:v>عسل چند گیاه</x:v>
      </x:c>
      <x:c r="AM309" t="str">
        <x:v>single_311</x:v>
      </x:c>
      <x:c r="AN309" t="str">
        <x:v>canonical_group_row</x:v>
      </x:c>
      <x:c r="AO309" t="str">
        <x:v>قنادی و شیرینی</x:v>
      </x:c>
      <x:c r="AP309" t="str">
        <x:v>6a3a00000000000000000003</x:v>
      </x:c>
      <x:c r="AQ309" t="str">
        <x:v>confectionery</x:v>
      </x:c>
      <x:c r="AR309" t="str">
        <x:v>EDIBLE</x:v>
      </x:c>
      <x:c r="AS309" t="str">
        <x:v>بله</x:v>
      </x:c>
      <x:c r="AT309" t="str">
        <x:v>MISSING_PRICE_REVIEW</x:v>
      </x:c>
      <x:c r="AU309" t="str">
        <x:v>یک یا چند قیمت نامشخص است</x:v>
      </x:c>
    </x:row>
    <x:row r="310">
      <x:c r="A310" s="79" t="n">
        <x:v>312</x:v>
      </x:c>
      <x:c r="B310" s="79" t="str">
        <x:v>NS-0309-1</x:v>
      </x:c>
      <x:c r="C310" s="79" t="str">
        <x:v>عسل سیاهدانه</x:v>
      </x:c>
      <x:c r="D310" s="79" t="str">
        <x:v>black_seed_honey</x:v>
      </x:c>
      <x:c r="E310" s="79" t="str">
        <x:v>update</x:v>
      </x:c>
      <x:c r="F310" s="79" t="str">
        <x:v>بله</x:v>
      </x:c>
      <x:c r="G310" s="79" t="str">
        <x:v>قنادی و شیرینی</x:v>
      </x:c>
      <x:c r="H310" s="79" t="str">
        <x:v>قنادی و شیرینی</x:v>
      </x:c>
      <x:c r="I310" s="79" t="str">
        <x:v>6a3a00000000000000000003</x:v>
      </x:c>
      <x:c r="J310" s="79" t="str">
        <x:v>confectionery</x:v>
      </x:c>
      <x:c r="K310" s="79"/>
      <x:c r="L310" s="79" t="str">
        <x:v>EDIBLE</x:v>
      </x:c>
      <x:c r="M310" s="79" t="str">
        <x:v>بله</x:v>
      </x:c>
      <x:c r="N310" s="79" t="str">
        <x:v>خوراکی</x:v>
      </x:c>
      <x:c r="O310" s="79" t="str">
        <x:v>خیر</x:v>
      </x:c>
      <x:c r="P310" s="79" t="n">
        <x:v>1</x:v>
      </x:c>
      <x:c r="Q310" s="79" t="str">
        <x:v>کیلو</x:v>
      </x:c>
      <x:c r="R310" s="79" t="str">
        <x:v>؟</x:v>
      </x:c>
      <x:c r="S310" s="104"/>
      <x:c r="T310" s="79" t="n">
        <x:v>1</x:v>
      </x:c>
      <x:c r="U310" s="79" t="str">
        <x:v>kg</x:v>
      </x:c>
      <x:c r="V310" s="79" t="str">
        <x:v>کیلو</x:v>
      </x:c>
      <x:c r="W310" s="99" t="b">
        <x:v>1</x:v>
      </x:c>
      <x:c r="X310" s="79" t="str"/>
      <x:c r="Y310" s="79"/>
      <x:c r="Z310" s="104"/>
      <x:c r="AA310" s="79" t="str"/>
      <x:c r="AB310" s="79" t="str"/>
      <x:c r="AC310" s="79" t="str"/>
      <x:c r="AD310" s="79" t="str"/>
      <x:c r="AE310" s="79" t="str">
        <x:v>نیاز به استعلام</x:v>
      </x:c>
      <x:c r="AF310" s="79" t="str">
        <x:v>دسته‌بندی نهایی</x:v>
      </x:c>
      <x:c r="AG310" s="79" t="str">
        <x:v>یک یا چند قیمت نامشخص است</x:v>
      </x:c>
      <x:c r="AH310" s="79" t="str">
        <x:v>[{"name": "کیلو", "sku": "", "price": null, "stock": "", "weight": 1, "weightUnit": "kg", "containerSize": "کیلو", "isDefault": true}]</x:v>
      </x:c>
      <x:c r="AI310" s="79"/>
      <x:c r="AJ310" s="79"/>
      <x:c r="AK310" s="79"/>
      <x:c r="AL310" t="str">
        <x:v>عسل سیاهدانه</x:v>
      </x:c>
      <x:c r="AM310" t="str">
        <x:v>single_312</x:v>
      </x:c>
      <x:c r="AN310" t="str">
        <x:v>canonical_group_row</x:v>
      </x:c>
      <x:c r="AO310" t="str">
        <x:v>قنادی و شیرینی</x:v>
      </x:c>
      <x:c r="AP310" t="str">
        <x:v>6a3a00000000000000000003</x:v>
      </x:c>
      <x:c r="AQ310" t="str">
        <x:v>confectionery</x:v>
      </x:c>
      <x:c r="AR310" t="str">
        <x:v>EDIBLE</x:v>
      </x:c>
      <x:c r="AS310" t="str">
        <x:v>بله</x:v>
      </x:c>
      <x:c r="AT310" t="str">
        <x:v>MISSING_PRICE_REVIEW</x:v>
      </x:c>
      <x:c r="AU310" t="str">
        <x:v>یک یا چند قیمت نامشخص است</x:v>
      </x:c>
    </x:row>
    <x:row r="311">
      <x:c r="A311" s="79" t="n">
        <x:v>313</x:v>
      </x:c>
      <x:c r="B311" s="79" t="str">
        <x:v>NS-0310-1</x:v>
      </x:c>
      <x:c r="C311" s="79" t="str">
        <x:v>عسل کنار</x:v>
      </x:c>
      <x:c r="D311" s="79" t="str">
        <x:v>sidr_honey</x:v>
      </x:c>
      <x:c r="E311" s="79" t="str">
        <x:v>update</x:v>
      </x:c>
      <x:c r="F311" s="79" t="str">
        <x:v>بله</x:v>
      </x:c>
      <x:c r="G311" s="79" t="str">
        <x:v>قنادی و شیرینی</x:v>
      </x:c>
      <x:c r="H311" s="79" t="str">
        <x:v>قنادی و شیرینی</x:v>
      </x:c>
      <x:c r="I311" s="79" t="str">
        <x:v>6a3a00000000000000000003</x:v>
      </x:c>
      <x:c r="J311" s="79" t="str">
        <x:v>confectionery</x:v>
      </x:c>
      <x:c r="K311" s="79"/>
      <x:c r="L311" s="79" t="str">
        <x:v>EDIBLE</x:v>
      </x:c>
      <x:c r="M311" s="79" t="str">
        <x:v>بله</x:v>
      </x:c>
      <x:c r="N311" s="79" t="str">
        <x:v>خوراکی</x:v>
      </x:c>
      <x:c r="O311" s="79" t="str">
        <x:v>خیر</x:v>
      </x:c>
      <x:c r="P311" s="79" t="n">
        <x:v>1</x:v>
      </x:c>
      <x:c r="Q311" s="79" t="str">
        <x:v>کیلو</x:v>
      </x:c>
      <x:c r="R311" s="79" t="n">
        <x:v>700</x:v>
      </x:c>
      <x:c r="S311" s="104" t="n">
        <x:v>700000</x:v>
      </x:c>
      <x:c r="T311" s="79" t="n">
        <x:v>1</x:v>
      </x:c>
      <x:c r="U311" s="79" t="str">
        <x:v>kg</x:v>
      </x:c>
      <x:c r="V311" s="79" t="str">
        <x:v>کیلو</x:v>
      </x:c>
      <x:c r="W311" s="99" t="b">
        <x:v>1</x:v>
      </x:c>
      <x:c r="X311" s="79" t="str"/>
      <x:c r="Y311" s="79"/>
      <x:c r="Z311" s="104"/>
      <x:c r="AA311" s="79" t="str"/>
      <x:c r="AB311" s="79" t="str"/>
      <x:c r="AC311" s="79" t="str"/>
      <x:c r="AD311" s="79" t="str"/>
      <x:c r="AE311" s="79" t="str">
        <x:v>فعال</x:v>
      </x:c>
      <x:c r="AF311" s="79" t="str">
        <x:v>دسته‌بندی نهایی</x:v>
      </x:c>
      <x:c r="AG311" s="79" t="str">
        <x:v>OK</x:v>
      </x:c>
      <x:c r="AH311" s="79" t="str">
        <x:v>[{"name": "کیلو", "sku": "", "price": 700000, "stock": "", "weight": 1, "weightUnit": "kg", "containerSize": "کیلو", "isDefault": true}]</x:v>
      </x:c>
      <x:c r="AI311" s="79"/>
      <x:c r="AJ311" s="79"/>
      <x:c r="AK311" s="79"/>
      <x:c r="AL311" t="str">
        <x:v>عسل کنار</x:v>
      </x:c>
      <x:c r="AM311" t="str">
        <x:v>single_313</x:v>
      </x:c>
      <x:c r="AN311" t="str">
        <x:v>canonical_group_row</x:v>
      </x:c>
      <x:c r="AO311" t="str">
        <x:v>قنادی و شیرینی</x:v>
      </x:c>
      <x:c r="AP311" t="str">
        <x:v>6a3a00000000000000000003</x:v>
      </x:c>
      <x:c r="AQ311" t="str">
        <x:v>confectionery</x:v>
      </x:c>
      <x:c r="AR311" t="str">
        <x:v>EDIBLE</x:v>
      </x:c>
      <x:c r="AS311" t="str">
        <x:v>بله</x:v>
      </x:c>
      <x:c r="AT311" t="str">
        <x:v>OK</x:v>
      </x:c>
      <x:c r="AU311"/>
    </x:row>
    <x:row r="312">
      <x:c r="A312" s="79" t="n">
        <x:v>314</x:v>
      </x:c>
      <x:c r="B312" s="79" t="str">
        <x:v>NS-0311-1</x:v>
      </x:c>
      <x:c r="C312" s="79" t="str">
        <x:v>عسل یونجه</x:v>
      </x:c>
      <x:c r="D312" s="79" t="str">
        <x:v>alfalfa_honey</x:v>
      </x:c>
      <x:c r="E312" s="79" t="str">
        <x:v>update</x:v>
      </x:c>
      <x:c r="F312" s="79" t="str">
        <x:v>بله</x:v>
      </x:c>
      <x:c r="G312" s="79" t="str">
        <x:v>قنادی و شیرینی</x:v>
      </x:c>
      <x:c r="H312" s="79" t="str">
        <x:v>قنادی و شیرینی</x:v>
      </x:c>
      <x:c r="I312" s="79" t="str">
        <x:v>6a3a00000000000000000003</x:v>
      </x:c>
      <x:c r="J312" s="79" t="str">
        <x:v>confectionery</x:v>
      </x:c>
      <x:c r="K312" s="79"/>
      <x:c r="L312" s="79" t="str">
        <x:v>EDIBLE</x:v>
      </x:c>
      <x:c r="M312" s="79" t="str">
        <x:v>بله</x:v>
      </x:c>
      <x:c r="N312" s="79" t="str">
        <x:v>خوراکی</x:v>
      </x:c>
      <x:c r="O312" s="79" t="str">
        <x:v>خیر</x:v>
      </x:c>
      <x:c r="P312" s="79" t="n">
        <x:v>1</x:v>
      </x:c>
      <x:c r="Q312" s="79" t="str">
        <x:v>کیلو</x:v>
      </x:c>
      <x:c r="R312" s="79" t="str">
        <x:v>؟</x:v>
      </x:c>
      <x:c r="S312" s="104"/>
      <x:c r="T312" s="79" t="n">
        <x:v>1</x:v>
      </x:c>
      <x:c r="U312" s="79" t="str">
        <x:v>kg</x:v>
      </x:c>
      <x:c r="V312" s="79" t="str">
        <x:v>کیلو</x:v>
      </x:c>
      <x:c r="W312" s="99" t="b">
        <x:v>1</x:v>
      </x:c>
      <x:c r="X312" s="79" t="str"/>
      <x:c r="Y312" s="79"/>
      <x:c r="Z312" s="104"/>
      <x:c r="AA312" s="79" t="str"/>
      <x:c r="AB312" s="79" t="str"/>
      <x:c r="AC312" s="79" t="str"/>
      <x:c r="AD312" s="79" t="str"/>
      <x:c r="AE312" s="79" t="str">
        <x:v>نیاز به استعلام</x:v>
      </x:c>
      <x:c r="AF312" s="79" t="str">
        <x:v>دسته‌بندی نهایی</x:v>
      </x:c>
      <x:c r="AG312" s="79" t="str">
        <x:v>یک یا چند قیمت نامشخص است</x:v>
      </x:c>
      <x:c r="AH312" s="79" t="str">
        <x:v>[{"name": "کیلو", "sku": "", "price": null, "stock": "", "weight": 1, "weightUnit": "kg", "containerSize": "کیلو", "isDefault": true}]</x:v>
      </x:c>
      <x:c r="AI312" s="79"/>
      <x:c r="AJ312" s="79"/>
      <x:c r="AK312" s="79"/>
      <x:c r="AL312" t="str">
        <x:v>عسل یونجه</x:v>
      </x:c>
      <x:c r="AM312" t="str">
        <x:v>single_314</x:v>
      </x:c>
      <x:c r="AN312" t="str">
        <x:v>canonical_group_row</x:v>
      </x:c>
      <x:c r="AO312" t="str">
        <x:v>قنادی و شیرینی</x:v>
      </x:c>
      <x:c r="AP312" t="str">
        <x:v>6a3a00000000000000000003</x:v>
      </x:c>
      <x:c r="AQ312" t="str">
        <x:v>confectionery</x:v>
      </x:c>
      <x:c r="AR312" t="str">
        <x:v>EDIBLE</x:v>
      </x:c>
      <x:c r="AS312" t="str">
        <x:v>بله</x:v>
      </x:c>
      <x:c r="AT312" t="str">
        <x:v>MISSING_PRICE_REVIEW</x:v>
      </x:c>
      <x:c r="AU312" t="str">
        <x:v>یک یا چند قیمت نامشخص است</x:v>
      </x:c>
    </x:row>
    <x:row r="313">
      <x:c r="A313" s="79" t="n">
        <x:v>315</x:v>
      </x:c>
      <x:c r="B313" s="79" t="str">
        <x:v>NS-0312-1</x:v>
      </x:c>
      <x:c r="C313" s="79" t="str">
        <x:v>عناب</x:v>
      </x:c>
      <x:c r="D313" s="79" t="str">
        <x:v>jujube_bsth_zrgl</x:v>
      </x:c>
      <x:c r="E313" s="79" t="str">
        <x:v>update</x:v>
      </x:c>
      <x:c r="F313" s="79" t="str">
        <x:v>بله</x:v>
      </x:c>
      <x:c r="G313" s="79" t="str">
        <x:v>خشکبار و آجیل</x:v>
      </x:c>
      <x:c r="H313" s="79" t="str">
        <x:v>خشکبار و آجیل</x:v>
      </x:c>
      <x:c r="I313" s="79" t="str">
        <x:v>6a37810ddf5573f4e676e201</x:v>
      </x:c>
      <x:c r="J313" s="79" t="str">
        <x:v>dried-fruits-nuts</x:v>
      </x:c>
      <x:c r="K313" s="79"/>
      <x:c r="L313" s="79" t="str">
        <x:v>EDIBLE</x:v>
      </x:c>
      <x:c r="M313" s="79" t="str">
        <x:v>بله</x:v>
      </x:c>
      <x:c r="N313" s="79" t="str">
        <x:v>خوراکی</x:v>
      </x:c>
      <x:c r="O313" s="79" t="str">
        <x:v>بله</x:v>
      </x:c>
      <x:c r="P313" s="79" t="n">
        <x:v>2</x:v>
      </x:c>
      <x:c r="Q313" s="79" t="str">
        <x:v>بسته زرگل</x:v>
      </x:c>
      <x:c r="R313" s="79" t="n">
        <x:v>250</x:v>
      </x:c>
      <x:c r="S313" s="104" t="n">
        <x:v>250000</x:v>
      </x:c>
      <x:c r="T313" s="79" t="str"/>
      <x:c r="U313" s="79" t="str"/>
      <x:c r="V313" s="79" t="str">
        <x:v>بسته زرگل</x:v>
      </x:c>
      <x:c r="W313" s="99" t="b">
        <x:v>1</x:v>
      </x:c>
      <x:c r="X313" s="79" t="str">
        <x:v>بسته طلا</x:v>
      </x:c>
      <x:c r="Y313" s="79" t="n">
        <x:v>280</x:v>
      </x:c>
      <x:c r="Z313" s="104" t="n">
        <x:v>280000</x:v>
      </x:c>
      <x:c r="AA313" s="79" t="str"/>
      <x:c r="AB313" s="79" t="str"/>
      <x:c r="AC313" s="79" t="str">
        <x:v>بسته طلا</x:v>
      </x:c>
      <x:c r="AD313" s="99" t="b">
        <x:v>0</x:v>
      </x:c>
      <x:c r="AE313" s="79" t="str">
        <x:v>فعال</x:v>
      </x:c>
      <x:c r="AF313" s="79" t="str">
        <x:v>دسته‌بندی نهایی</x:v>
      </x:c>
      <x:c r="AG313" s="79" t="str">
        <x:v>MERGED</x:v>
      </x:c>
      <x:c r="AH313" s="79" t="str">
        <x:v>[{"name": "بسته زرگل", "sku": "", "price": 250000, "stock": "", "weight": "", "weightUnit": "", "containerSize": "بسته زرگل", "isDefault": true}, {"name": "بسته طلا", "sku": "", "price": 280000, "stock": "", "weight": "", "weightUnit": "", "containerSize": "بسته طلا", "isDefault": false}]</x:v>
      </x:c>
      <x:c r="AI313" s="79"/>
      <x:c r="AJ313" s="79"/>
      <x:c r="AK313" s="79"/>
      <x:c r="AL313" t="str">
        <x:v>عناب خشک</x:v>
      </x:c>
      <x:c r="AM313" t="str">
        <x:v>grp_dried_jujube</x:v>
      </x:c>
      <x:c r="AN313" t="str">
        <x:v>canonical_group_row</x:v>
      </x:c>
      <x:c r="AO313" t="str">
        <x:v>خشکبار و آجیل</x:v>
      </x:c>
      <x:c r="AP313" t="str">
        <x:v>6a37810ddf5573f4e676e201</x:v>
      </x:c>
      <x:c r="AQ313" t="str">
        <x:v>dried-fruits-nuts</x:v>
      </x:c>
      <x:c r="AR313" t="str">
        <x:v>EDIBLE</x:v>
      </x:c>
      <x:c r="AS313" t="str">
        <x:v>بله</x:v>
      </x:c>
      <x:c r="AT313" t="str">
        <x:v>MERGED</x:v>
      </x:c>
      <x:c r="AU313"/>
    </x:row>
    <x:row r="314">
      <x:c r="A314" s="79" t="n">
        <x:v>316</x:v>
      </x:c>
      <x:c r="B314" s="79" t="str">
        <x:v>NS-0313-1</x:v>
      </x:c>
      <x:c r="C314" s="79" t="str">
        <x:v>عناب خشک</x:v>
      </x:c>
      <x:c r="D314" s="79" t="str">
        <x:v>jujube_dried_1</x:v>
      </x:c>
      <x:c r="E314" s="79" t="str">
        <x:v>update</x:v>
      </x:c>
      <x:c r="F314" s="79" t="str">
        <x:v>بله</x:v>
      </x:c>
      <x:c r="G314" s="79" t="str">
        <x:v>خشکبار و آجیل</x:v>
      </x:c>
      <x:c r="H314" s="79" t="str">
        <x:v>خشکبار و آجیل</x:v>
      </x:c>
      <x:c r="I314" s="79" t="str">
        <x:v>6a37810ddf5573f4e676e201</x:v>
      </x:c>
      <x:c r="J314" s="79" t="str">
        <x:v>dried-fruits-nuts</x:v>
      </x:c>
      <x:c r="K314" s="79"/>
      <x:c r="L314" s="79" t="str">
        <x:v>EDIBLE</x:v>
      </x:c>
      <x:c r="M314" s="79" t="str">
        <x:v>بله</x:v>
      </x:c>
      <x:c r="N314" s="79" t="str">
        <x:v>خوراکی</x:v>
      </x:c>
      <x:c r="O314" s="79" t="str">
        <x:v>بله</x:v>
      </x:c>
      <x:c r="P314" s="79" t="n">
        <x:v>2</x:v>
      </x:c>
      <x:c r="Q314" s="79" t="str">
        <x:v>کیلو</x:v>
      </x:c>
      <x:c r="R314" s="79" t="n">
        <x:v>410</x:v>
      </x:c>
      <x:c r="S314" s="104" t="n">
        <x:v>410000</x:v>
      </x:c>
      <x:c r="T314" s="79" t="n">
        <x:v>1</x:v>
      </x:c>
      <x:c r="U314" s="79" t="str">
        <x:v>kg</x:v>
      </x:c>
      <x:c r="V314" s="79" t="str">
        <x:v>کیلو</x:v>
      </x:c>
      <x:c r="W314" s="99" t="b">
        <x:v>1</x:v>
      </x:c>
      <x:c r="X314" s="79" t="str">
        <x:v>بسته</x:v>
      </x:c>
      <x:c r="Y314" s="79" t="n">
        <x:v>150</x:v>
      </x:c>
      <x:c r="Z314" s="104" t="n">
        <x:v>150000</x:v>
      </x:c>
      <x:c r="AA314" s="79" t="str"/>
      <x:c r="AB314" s="79" t="str"/>
      <x:c r="AC314" s="79" t="str">
        <x:v>بسته</x:v>
      </x:c>
      <x:c r="AD314" s="99" t="b">
        <x:v>0</x:v>
      </x:c>
      <x:c r="AE314" s="79" t="str">
        <x:v>فعال</x:v>
      </x:c>
      <x:c r="AF314" s="79" t="str">
        <x:v>دسته‌بندی نهایی</x:v>
      </x:c>
      <x:c r="AG314" s="79" t="str">
        <x:v>MERGED</x:v>
      </x:c>
      <x:c r="AH314" s="79" t="str">
        <x:v>[{"name": "کیلو", "sku": "", "price": 410000, "stock": "", "weight": 1, "weightUnit": "kg", "containerSize": "کیلو", "isDefault": true}, {"name": "بسته", "sku": "", "price": 150000, "stock": "", "weight": "", "weightUnit": "", "containerSize": "بسته", "isDefault": false}]</x:v>
      </x:c>
      <x:c r="AI314" s="79"/>
      <x:c r="AJ314" s="79"/>
      <x:c r="AK314" s="79"/>
      <x:c r="AL314" t="str">
        <x:v>عناب خشک</x:v>
      </x:c>
      <x:c r="AM314" t="str">
        <x:v>grp_dried_jujube</x:v>
      </x:c>
      <x:c r="AN314" t="str">
        <x:v>merge_into_canonical_group</x:v>
      </x:c>
      <x:c r="AO314" t="str">
        <x:v>خشکبار و آجیل</x:v>
      </x:c>
      <x:c r="AP314" t="str">
        <x:v>6a37810ddf5573f4e676e201</x:v>
      </x:c>
      <x:c r="AQ314" t="str">
        <x:v>dried-fruits-nuts</x:v>
      </x:c>
      <x:c r="AR314" t="str">
        <x:v>EDIBLE</x:v>
      </x:c>
      <x:c r="AS314" t="str">
        <x:v>بله</x:v>
      </x:c>
      <x:c r="AT314" t="str">
        <x:v>MERGED</x:v>
      </x:c>
      <x:c r="AU314"/>
    </x:row>
    <x:row r="315">
      <x:c r="A315" s="79" t="n">
        <x:v>317</x:v>
      </x:c>
      <x:c r="B315" s="79" t="str">
        <x:v>NS-0314-1</x:v>
      </x:c>
      <x:c r="C315" s="79" t="str">
        <x:v>عود</x:v>
      </x:c>
      <x:c r="D315" s="79" t="str">
        <x:v>incense</x:v>
      </x:c>
      <x:c r="E315" s="79" t="str">
        <x:v>update</x:v>
      </x:c>
      <x:c r="F315" s="79" t="str">
        <x:v>بله</x:v>
      </x:c>
      <x:c r="G315" s="79" t="str">
        <x:v>سایر</x:v>
      </x:c>
      <x:c r="H315" s="79" t="str">
        <x:v>گیاهان دارویی</x:v>
      </x:c>
      <x:c r="I315" s="79" t="str">
        <x:v>6a3782d7df5573f4e676e243</x:v>
      </x:c>
      <x:c r="J315" s="79" t="str">
        <x:v>medicinal-plants</x:v>
      </x:c>
      <x:c r="K315" s="79"/>
      <x:c r="L315" s="79" t="str">
        <x:v>NON_EDIBLE</x:v>
      </x:c>
      <x:c r="M315" s="79" t="str">
        <x:v>خیر</x:v>
      </x:c>
      <x:c r="N315" s="79" t="str">
        <x:v>غیرخوراکی/موضعی</x:v>
      </x:c>
      <x:c r="O315" s="79" t="str">
        <x:v>خیر</x:v>
      </x:c>
      <x:c r="P315" s="79" t="n">
        <x:v>1</x:v>
      </x:c>
      <x:c r="Q315" s="79" t="str">
        <x:v>شاخه ای</x:v>
      </x:c>
      <x:c r="R315" s="79" t="n">
        <x:v>30</x:v>
      </x:c>
      <x:c r="S315" s="104" t="n">
        <x:v>30000</x:v>
      </x:c>
      <x:c r="T315" s="79" t="str"/>
      <x:c r="U315" s="79" t="str"/>
      <x:c r="V315" s="79" t="str">
        <x:v>شاخه ای</x:v>
      </x:c>
      <x:c r="W315" s="99" t="b">
        <x:v>1</x:v>
      </x:c>
      <x:c r="X315" s="79" t="str"/>
      <x:c r="Y315" s="79"/>
      <x:c r="Z315" s="104"/>
      <x:c r="AA315" s="79" t="str"/>
      <x:c r="AB315" s="79" t="str"/>
      <x:c r="AC315" s="79" t="str"/>
      <x:c r="AD315" s="79" t="str"/>
      <x:c r="AE315" s="79" t="str">
        <x:v>فعال</x:v>
      </x:c>
      <x:c r="AF315" s="79" t="str">
        <x:v>نیازمند بررسی دستی</x:v>
      </x:c>
      <x:c r="AG315" s="79" t="str">
        <x:v>دسته قبلاً خالی/نیازمند بررسی بود؛ بر اساس ماهیت موضعی/غیرخوراکی به گیاهان دارویی منتقل شد | غیرخوراکی</x:v>
      </x:c>
      <x:c r="AH315" s="79" t="str">
        <x:v>[{"name": "شاخه ای", "sku": "", "price": 30000, "stock": "", "weight": "", "weightUnit": "", "containerSize": "شاخه ای", "isDefault": true}]</x:v>
      </x:c>
      <x:c r="AI315" s="79"/>
      <x:c r="AJ315" s="79"/>
      <x:c r="AK315" s="79"/>
      <x:c r="AL315" t="str">
        <x:v>عود</x:v>
      </x:c>
      <x:c r="AM315" t="str">
        <x:v>single_317</x:v>
      </x:c>
      <x:c r="AN315" t="str">
        <x:v>canonical_group_row</x:v>
      </x:c>
      <x:c r="AO315" t="str">
        <x:v>گیاهان دارویی</x:v>
      </x:c>
      <x:c r="AP315" t="str">
        <x:v>6a3782d7df5573f4e676e243</x:v>
      </x:c>
      <x:c r="AQ315" t="str">
        <x:v>medicinal-plants</x:v>
      </x:c>
      <x:c r="AR315" t="str">
        <x:v>NON_EDIBLE</x:v>
      </x:c>
      <x:c r="AS315" t="str">
        <x:v>خیر</x:v>
      </x:c>
      <x:c r="AT315" t="str">
        <x:v>OK</x:v>
      </x:c>
      <x:c r="AU315" t="str">
        <x:v>دسته قبلاً خالی/نیازمند بررسی بود؛ بر اساس ماهیت موضعی/غیرخوراکی به گیاهان دارویی منتقل شد | غیرخوراکی</x:v>
      </x:c>
    </x:row>
    <x:row r="316">
      <x:c r="A316" s="79" t="n">
        <x:v>318</x:v>
      </x:c>
      <x:c r="B316" s="79" t="str">
        <x:v>NS-0315-1</x:v>
      </x:c>
      <x:c r="C316" s="79" t="str">
        <x:v>غوره پودر</x:v>
      </x:c>
      <x:c r="D316" s="79" t="str">
        <x:v>unripe_grape_powder</x:v>
      </x:c>
      <x:c r="E316" s="79" t="str">
        <x:v>update</x:v>
      </x:c>
      <x:c r="F316" s="79" t="str">
        <x:v>بله</x:v>
      </x:c>
      <x:c r="G316" s="79" t="str">
        <x:v>سایر</x:v>
      </x:c>
      <x:c r="H316" s="79" t="str">
        <x:v>ادویه</x:v>
      </x:c>
      <x:c r="I316" s="79" t="str">
        <x:v>6a3781e4df5573f4e676e226</x:v>
      </x:c>
      <x:c r="J316" s="79" t="str">
        <x:v>spice</x:v>
      </x:c>
      <x:c r="K316" s="79"/>
      <x:c r="L316" s="79" t="str">
        <x:v>EDIBLE</x:v>
      </x:c>
      <x:c r="M316" s="79" t="str">
        <x:v>بله</x:v>
      </x:c>
      <x:c r="N316" s="79" t="str">
        <x:v>خوراکی</x:v>
      </x:c>
      <x:c r="O316" s="79" t="str">
        <x:v>خیر</x:v>
      </x:c>
      <x:c r="P316" s="79" t="n">
        <x:v>1</x:v>
      </x:c>
      <x:c r="Q316" s="79" t="str">
        <x:v>کیلو</x:v>
      </x:c>
      <x:c r="R316" s="79" t="str">
        <x:v>؟</x:v>
      </x:c>
      <x:c r="S316" s="104"/>
      <x:c r="T316" s="79" t="n">
        <x:v>1</x:v>
      </x:c>
      <x:c r="U316" s="79" t="str">
        <x:v>kg</x:v>
      </x:c>
      <x:c r="V316" s="79" t="str">
        <x:v>کیلو</x:v>
      </x:c>
      <x:c r="W316" s="99" t="b">
        <x:v>1</x:v>
      </x:c>
      <x:c r="X316" s="79" t="str"/>
      <x:c r="Y316" s="79"/>
      <x:c r="Z316" s="104"/>
      <x:c r="AA316" s="79" t="str"/>
      <x:c r="AB316" s="79" t="str"/>
      <x:c r="AC316" s="79" t="str"/>
      <x:c r="AD316" s="79" t="str"/>
      <x:c r="AE316" s="79" t="str">
        <x:v>نیاز به استعلام</x:v>
      </x:c>
      <x:c r="AF316" s="79" t="str">
        <x:v>دسته‌بندی نهایی</x:v>
      </x:c>
      <x:c r="AG316" s="79" t="str">
        <x:v>یک یا چند قیمت نامشخص است</x:v>
      </x:c>
      <x:c r="AH316" s="79" t="str">
        <x:v>[{"name": "کیلو", "sku": "", "price": null, "stock": "", "weight": 1, "weightUnit": "kg", "containerSize": "کیلو", "isDefault": true}]</x:v>
      </x:c>
      <x:c r="AI316" s="79"/>
      <x:c r="AJ316" s="79"/>
      <x:c r="AK316" s="79"/>
      <x:c r="AL316" t="str">
        <x:v>غوره پودر</x:v>
      </x:c>
      <x:c r="AM316" t="str">
        <x:v>single_318</x:v>
      </x:c>
      <x:c r="AN316" t="str">
        <x:v>canonical_group_row</x:v>
      </x:c>
      <x:c r="AO316" t="str">
        <x:v>ادویه</x:v>
      </x:c>
      <x:c r="AP316" t="str">
        <x:v>6a3781e4df5573f4e676e226</x:v>
      </x:c>
      <x:c r="AQ316" t="str">
        <x:v>spice</x:v>
      </x:c>
      <x:c r="AR316" t="str">
        <x:v>EDIBLE</x:v>
      </x:c>
      <x:c r="AS316" t="str">
        <x:v>بله</x:v>
      </x:c>
      <x:c r="AT316" t="str">
        <x:v>MISSING_PRICE_REVIEW</x:v>
      </x:c>
      <x:c r="AU316" t="str">
        <x:v>یک یا چند قیمت نامشخص است</x:v>
      </x:c>
    </x:row>
    <x:row r="317">
      <x:c r="A317" s="79" t="n">
        <x:v>319</x:v>
      </x:c>
      <x:c r="B317" s="79" t="str">
        <x:v>NS-0316-1</x:v>
      </x:c>
      <x:c r="C317" s="79" t="str">
        <x:v>فلفل ترکی</x:v>
      </x:c>
      <x:c r="D317" s="79" t="str">
        <x:v>flfl_turkish</x:v>
      </x:c>
      <x:c r="E317" s="79" t="str">
        <x:v>update</x:v>
      </x:c>
      <x:c r="F317" s="79" t="str">
        <x:v>بله</x:v>
      </x:c>
      <x:c r="G317" s="79" t="str">
        <x:v>ادویه و چاشنی</x:v>
      </x:c>
      <x:c r="H317" s="79" t="str">
        <x:v>ادویه</x:v>
      </x:c>
      <x:c r="I317" s="79" t="str">
        <x:v>6a3781e4df5573f4e676e226</x:v>
      </x:c>
      <x:c r="J317" s="79" t="str">
        <x:v>spice</x:v>
      </x:c>
      <x:c r="K317" s="79"/>
      <x:c r="L317" s="79" t="str">
        <x:v>EDIBLE</x:v>
      </x:c>
      <x:c r="M317" s="79" t="str">
        <x:v>بله</x:v>
      </x:c>
      <x:c r="N317" s="79" t="str">
        <x:v>خوراکی</x:v>
      </x:c>
      <x:c r="O317" s="79" t="str">
        <x:v>خیر</x:v>
      </x:c>
      <x:c r="P317" s="79" t="n">
        <x:v>1</x:v>
      </x:c>
      <x:c r="Q317" s="79" t="str">
        <x:v>کیلو</x:v>
      </x:c>
      <x:c r="R317" s="79" t="n">
        <x:v>850</x:v>
      </x:c>
      <x:c r="S317" s="104" t="n">
        <x:v>850000</x:v>
      </x:c>
      <x:c r="T317" s="79" t="n">
        <x:v>1</x:v>
      </x:c>
      <x:c r="U317" s="79" t="str">
        <x:v>kg</x:v>
      </x:c>
      <x:c r="V317" s="79" t="str">
        <x:v>کیلو</x:v>
      </x:c>
      <x:c r="W317" s="99" t="b">
        <x:v>1</x:v>
      </x:c>
      <x:c r="X317" s="79" t="str"/>
      <x:c r="Y317" s="79"/>
      <x:c r="Z317" s="104"/>
      <x:c r="AA317" s="79" t="str"/>
      <x:c r="AB317" s="79" t="str"/>
      <x:c r="AC317" s="79" t="str"/>
      <x:c r="AD317" s="79" t="str"/>
      <x:c r="AE317" s="79" t="str">
        <x:v>فعال</x:v>
      </x:c>
      <x:c r="AF317" s="79" t="str">
        <x:v>دسته‌بندی نهایی</x:v>
      </x:c>
      <x:c r="AG317" s="79" t="str">
        <x:v>OK</x:v>
      </x:c>
      <x:c r="AH317" s="79" t="str">
        <x:v>[{"name": "کیلو", "sku": "", "price": 850000, "stock": "", "weight": 1, "weightUnit": "kg", "containerSize": "کیلو", "isDefault": true}]</x:v>
      </x:c>
      <x:c r="AI317" s="79"/>
      <x:c r="AJ317" s="79"/>
      <x:c r="AK317" s="79"/>
      <x:c r="AL317" t="str">
        <x:v>فلفل ترکی</x:v>
      </x:c>
      <x:c r="AM317" t="str">
        <x:v>single_319</x:v>
      </x:c>
      <x:c r="AN317" t="str">
        <x:v>canonical_group_row</x:v>
      </x:c>
      <x:c r="AO317" t="str">
        <x:v>ادویه</x:v>
      </x:c>
      <x:c r="AP317" t="str">
        <x:v>6a3781e4df5573f4e676e226</x:v>
      </x:c>
      <x:c r="AQ317" t="str">
        <x:v>spice</x:v>
      </x:c>
      <x:c r="AR317" t="str">
        <x:v>EDIBLE</x:v>
      </x:c>
      <x:c r="AS317" t="str">
        <x:v>بله</x:v>
      </x:c>
      <x:c r="AT317" t="str">
        <x:v>OK</x:v>
      </x:c>
      <x:c r="AU317"/>
    </x:row>
    <x:row r="318">
      <x:c r="A318" s="79" t="n">
        <x:v>320</x:v>
      </x:c>
      <x:c r="B318" s="79" t="str">
        <x:v>NS-0317-1</x:v>
      </x:c>
      <x:c r="C318" s="79" t="str">
        <x:v>فلفل سیاه</x:v>
      </x:c>
      <x:c r="D318" s="79" t="str">
        <x:v>black_pepper</x:v>
      </x:c>
      <x:c r="E318" s="79" t="str">
        <x:v>update</x:v>
      </x:c>
      <x:c r="F318" s="79" t="str">
        <x:v>بله</x:v>
      </x:c>
      <x:c r="G318" s="79" t="str">
        <x:v>ادویه و چاشنی</x:v>
      </x:c>
      <x:c r="H318" s="79" t="str">
        <x:v>ادویه</x:v>
      </x:c>
      <x:c r="I318" s="79" t="str">
        <x:v>6a3781e4df5573f4e676e226</x:v>
      </x:c>
      <x:c r="J318" s="79" t="str">
        <x:v>spice</x:v>
      </x:c>
      <x:c r="K318" s="79"/>
      <x:c r="L318" s="79" t="str">
        <x:v>EDIBLE</x:v>
      </x:c>
      <x:c r="M318" s="79" t="str">
        <x:v>بله</x:v>
      </x:c>
      <x:c r="N318" s="79" t="str">
        <x:v>خوراکی</x:v>
      </x:c>
      <x:c r="O318" s="79" t="str">
        <x:v>خیر</x:v>
      </x:c>
      <x:c r="P318" s="79" t="n">
        <x:v>1</x:v>
      </x:c>
      <x:c r="Q318" s="79" t="str">
        <x:v>کیلو</x:v>
      </x:c>
      <x:c r="R318" s="79" t="str">
        <x:v>2/300</x:v>
      </x:c>
      <x:c r="S318" s="104" t="n">
        <x:v>2300000</x:v>
      </x:c>
      <x:c r="T318" s="79" t="n">
        <x:v>1</x:v>
      </x:c>
      <x:c r="U318" s="79" t="str">
        <x:v>kg</x:v>
      </x:c>
      <x:c r="V318" s="79" t="str">
        <x:v>کیلو</x:v>
      </x:c>
      <x:c r="W318" s="99" t="b">
        <x:v>1</x:v>
      </x:c>
      <x:c r="X318" s="79" t="str"/>
      <x:c r="Y318" s="79"/>
      <x:c r="Z318" s="104"/>
      <x:c r="AA318" s="79" t="str"/>
      <x:c r="AB318" s="79" t="str"/>
      <x:c r="AC318" s="79" t="str"/>
      <x:c r="AD318" s="79" t="str"/>
      <x:c r="AE318" s="79" t="str">
        <x:v>فعال</x:v>
      </x:c>
      <x:c r="AF318" s="79" t="str">
        <x:v>دسته‌بندی نهایی</x:v>
      </x:c>
      <x:c r="AG318" s="79" t="str">
        <x:v>OK</x:v>
      </x:c>
      <x:c r="AH318" s="79" t="str">
        <x:v>[{"name": "کیلو", "sku": "", "price": 2300000, "stock": "", "weight": 1, "weightUnit": "kg", "containerSize": "کیلو", "isDefault": true}]</x:v>
      </x:c>
      <x:c r="AI318" s="79"/>
      <x:c r="AJ318" s="79"/>
      <x:c r="AK318" s="79"/>
      <x:c r="AL318" t="str">
        <x:v>فلفل سیاه</x:v>
      </x:c>
      <x:c r="AM318" t="str">
        <x:v>single_320</x:v>
      </x:c>
      <x:c r="AN318" t="str">
        <x:v>canonical_group_row</x:v>
      </x:c>
      <x:c r="AO318" t="str">
        <x:v>ادویه</x:v>
      </x:c>
      <x:c r="AP318" t="str">
        <x:v>6a3781e4df5573f4e676e226</x:v>
      </x:c>
      <x:c r="AQ318" t="str">
        <x:v>spice</x:v>
      </x:c>
      <x:c r="AR318" t="str">
        <x:v>EDIBLE</x:v>
      </x:c>
      <x:c r="AS318" t="str">
        <x:v>بله</x:v>
      </x:c>
      <x:c r="AT318" t="str">
        <x:v>OK</x:v>
      </x:c>
      <x:c r="AU318"/>
    </x:row>
    <x:row r="319">
      <x:c r="A319" s="79" t="n">
        <x:v>321</x:v>
      </x:c>
      <x:c r="B319" s="79" t="str">
        <x:v>NS-0318-1</x:v>
      </x:c>
      <x:c r="C319" s="79" t="str">
        <x:v>فلفل قرمز ایرانی</x:v>
      </x:c>
      <x:c r="D319" s="79" t="str">
        <x:v>iranian_red_pepper</x:v>
      </x:c>
      <x:c r="E319" s="79" t="str">
        <x:v>update</x:v>
      </x:c>
      <x:c r="F319" s="79" t="str">
        <x:v>بله</x:v>
      </x:c>
      <x:c r="G319" s="79" t="str">
        <x:v>ادویه و چاشنی</x:v>
      </x:c>
      <x:c r="H319" s="79" t="str">
        <x:v>ادویه</x:v>
      </x:c>
      <x:c r="I319" s="79" t="str">
        <x:v>6a3781e4df5573f4e676e226</x:v>
      </x:c>
      <x:c r="J319" s="79" t="str">
        <x:v>spice</x:v>
      </x:c>
      <x:c r="K319" s="79"/>
      <x:c r="L319" s="79" t="str">
        <x:v>EDIBLE</x:v>
      </x:c>
      <x:c r="M319" s="79" t="str">
        <x:v>بله</x:v>
      </x:c>
      <x:c r="N319" s="79" t="str">
        <x:v>خوراکی</x:v>
      </x:c>
      <x:c r="O319" s="79" t="str">
        <x:v>خیر</x:v>
      </x:c>
      <x:c r="P319" s="79" t="n">
        <x:v>1</x:v>
      </x:c>
      <x:c r="Q319" s="79" t="str">
        <x:v>کیلو</x:v>
      </x:c>
      <x:c r="R319" s="79" t="n">
        <x:v>600</x:v>
      </x:c>
      <x:c r="S319" s="104" t="n">
        <x:v>600000</x:v>
      </x:c>
      <x:c r="T319" s="79" t="n">
        <x:v>1</x:v>
      </x:c>
      <x:c r="U319" s="79" t="str">
        <x:v>kg</x:v>
      </x:c>
      <x:c r="V319" s="79" t="str">
        <x:v>کیلو</x:v>
      </x:c>
      <x:c r="W319" s="99" t="b">
        <x:v>1</x:v>
      </x:c>
      <x:c r="X319" s="79" t="str"/>
      <x:c r="Y319" s="79"/>
      <x:c r="Z319" s="104"/>
      <x:c r="AA319" s="79" t="str"/>
      <x:c r="AB319" s="79" t="str"/>
      <x:c r="AC319" s="79" t="str"/>
      <x:c r="AD319" s="79" t="str"/>
      <x:c r="AE319" s="79" t="str">
        <x:v>فعال</x:v>
      </x:c>
      <x:c r="AF319" s="79" t="str">
        <x:v>دسته‌بندی نهایی</x:v>
      </x:c>
      <x:c r="AG319" s="79" t="str">
        <x:v>OK</x:v>
      </x:c>
      <x:c r="AH319" s="79" t="str">
        <x:v>[{"name": "کیلو", "sku": "", "price": 600000, "stock": "", "weight": 1, "weightUnit": "kg", "containerSize": "کیلو", "isDefault": true}]</x:v>
      </x:c>
      <x:c r="AI319" s="79"/>
      <x:c r="AJ319" s="79"/>
      <x:c r="AK319" s="79"/>
      <x:c r="AL319" t="str">
        <x:v>فلفل قرمز ایرانی</x:v>
      </x:c>
      <x:c r="AM319" t="str">
        <x:v>single_321</x:v>
      </x:c>
      <x:c r="AN319" t="str">
        <x:v>canonical_group_row</x:v>
      </x:c>
      <x:c r="AO319" t="str">
        <x:v>ادویه</x:v>
      </x:c>
      <x:c r="AP319" t="str">
        <x:v>6a3781e4df5573f4e676e226</x:v>
      </x:c>
      <x:c r="AQ319" t="str">
        <x:v>spice</x:v>
      </x:c>
      <x:c r="AR319" t="str">
        <x:v>EDIBLE</x:v>
      </x:c>
      <x:c r="AS319" t="str">
        <x:v>بله</x:v>
      </x:c>
      <x:c r="AT319" t="str">
        <x:v>OK</x:v>
      </x:c>
      <x:c r="AU319"/>
    </x:row>
    <x:row r="320">
      <x:c r="A320" s="79" t="n">
        <x:v>322</x:v>
      </x:c>
      <x:c r="B320" s="79" t="str">
        <x:v>NS-0319-1</x:v>
      </x:c>
      <x:c r="C320" s="79" t="str">
        <x:v>فلفل قرمز هندی (رنگ)</x:v>
      </x:c>
      <x:c r="D320" s="79" t="str">
        <x:v>indian_red_pepper</x:v>
      </x:c>
      <x:c r="E320" s="79" t="str">
        <x:v>update</x:v>
      </x:c>
      <x:c r="F320" s="79" t="str">
        <x:v>بله</x:v>
      </x:c>
      <x:c r="G320" s="79" t="str">
        <x:v>ادویه و چاشنی</x:v>
      </x:c>
      <x:c r="H320" s="79" t="str">
        <x:v>ادویه</x:v>
      </x:c>
      <x:c r="I320" s="79" t="str">
        <x:v>6a3781e4df5573f4e676e226</x:v>
      </x:c>
      <x:c r="J320" s="79" t="str">
        <x:v>spice</x:v>
      </x:c>
      <x:c r="K320" s="79"/>
      <x:c r="L320" s="79" t="str">
        <x:v>EDIBLE</x:v>
      </x:c>
      <x:c r="M320" s="79" t="str">
        <x:v>بله</x:v>
      </x:c>
      <x:c r="N320" s="79" t="str">
        <x:v>خوراکی</x:v>
      </x:c>
      <x:c r="O320" s="79" t="str">
        <x:v>خیر</x:v>
      </x:c>
      <x:c r="P320" s="79" t="n">
        <x:v>1</x:v>
      </x:c>
      <x:c r="Q320" s="79" t="str">
        <x:v>کیلو</x:v>
      </x:c>
      <x:c r="R320" s="79" t="n">
        <x:v>700</x:v>
      </x:c>
      <x:c r="S320" s="104" t="n">
        <x:v>700000</x:v>
      </x:c>
      <x:c r="T320" s="79" t="n">
        <x:v>1</x:v>
      </x:c>
      <x:c r="U320" s="79" t="str">
        <x:v>kg</x:v>
      </x:c>
      <x:c r="V320" s="79" t="str">
        <x:v>کیلو</x:v>
      </x:c>
      <x:c r="W320" s="99" t="b">
        <x:v>1</x:v>
      </x:c>
      <x:c r="X320" s="79" t="str"/>
      <x:c r="Y320" s="79"/>
      <x:c r="Z320" s="104"/>
      <x:c r="AA320" s="79" t="str"/>
      <x:c r="AB320" s="79" t="str"/>
      <x:c r="AC320" s="79" t="str"/>
      <x:c r="AD320" s="79" t="str"/>
      <x:c r="AE320" s="79" t="str">
        <x:v>فعال</x:v>
      </x:c>
      <x:c r="AF320" s="79" t="str">
        <x:v>دسته‌بندی نهایی</x:v>
      </x:c>
      <x:c r="AG320" s="79" t="str">
        <x:v>OK</x:v>
      </x:c>
      <x:c r="AH320" s="79" t="str">
        <x:v>[{"name": "کیلو", "sku": "", "price": 700000, "stock": "", "weight": 1, "weightUnit": "kg", "containerSize": "کیلو", "isDefault": true}]</x:v>
      </x:c>
      <x:c r="AI320" s="79"/>
      <x:c r="AJ320" s="79"/>
      <x:c r="AK320" s="79"/>
      <x:c r="AL320" t="str">
        <x:v>فلفل قرمز هندی (رنگ)</x:v>
      </x:c>
      <x:c r="AM320" t="str">
        <x:v>single_322</x:v>
      </x:c>
      <x:c r="AN320" t="str">
        <x:v>canonical_group_row</x:v>
      </x:c>
      <x:c r="AO320" t="str">
        <x:v>ادویه</x:v>
      </x:c>
      <x:c r="AP320" t="str">
        <x:v>6a3781e4df5573f4e676e226</x:v>
      </x:c>
      <x:c r="AQ320" t="str">
        <x:v>spice</x:v>
      </x:c>
      <x:c r="AR320" t="str">
        <x:v>EDIBLE</x:v>
      </x:c>
      <x:c r="AS320" t="str">
        <x:v>بله</x:v>
      </x:c>
      <x:c r="AT320" t="str">
        <x:v>OK</x:v>
      </x:c>
      <x:c r="AU320"/>
    </x:row>
    <x:row r="321">
      <x:c r="A321" s="79" t="n">
        <x:v>323</x:v>
      </x:c>
      <x:c r="B321" s="79" t="str">
        <x:v>NS-0320-1</x:v>
      </x:c>
      <x:c r="C321" s="79" t="str">
        <x:v>فلفل قرمز هندی تند</x:v>
      </x:c>
      <x:c r="D321" s="79" t="str">
        <x:v>hot_indian_red_pepper</x:v>
      </x:c>
      <x:c r="E321" s="79" t="str">
        <x:v>update</x:v>
      </x:c>
      <x:c r="F321" s="79" t="str">
        <x:v>بله</x:v>
      </x:c>
      <x:c r="G321" s="79" t="str">
        <x:v>ادویه و چاشنی</x:v>
      </x:c>
      <x:c r="H321" s="79" t="str">
        <x:v>ادویه</x:v>
      </x:c>
      <x:c r="I321" s="79" t="str">
        <x:v>6a3781e4df5573f4e676e226</x:v>
      </x:c>
      <x:c r="J321" s="79" t="str">
        <x:v>spice</x:v>
      </x:c>
      <x:c r="K321" s="79"/>
      <x:c r="L321" s="79" t="str">
        <x:v>EDIBLE</x:v>
      </x:c>
      <x:c r="M321" s="79" t="str">
        <x:v>بله</x:v>
      </x:c>
      <x:c r="N321" s="79" t="str">
        <x:v>خوراکی</x:v>
      </x:c>
      <x:c r="O321" s="79" t="str">
        <x:v>خیر</x:v>
      </x:c>
      <x:c r="P321" s="79" t="n">
        <x:v>1</x:v>
      </x:c>
      <x:c r="Q321" s="79" t="str">
        <x:v>کیلو</x:v>
      </x:c>
      <x:c r="R321" s="79" t="n">
        <x:v>900</x:v>
      </x:c>
      <x:c r="S321" s="104" t="n">
        <x:v>900000</x:v>
      </x:c>
      <x:c r="T321" s="79" t="n">
        <x:v>1</x:v>
      </x:c>
      <x:c r="U321" s="79" t="str">
        <x:v>kg</x:v>
      </x:c>
      <x:c r="V321" s="79" t="str">
        <x:v>کیلو</x:v>
      </x:c>
      <x:c r="W321" s="99" t="b">
        <x:v>1</x:v>
      </x:c>
      <x:c r="X321" s="79" t="str"/>
      <x:c r="Y321" s="79"/>
      <x:c r="Z321" s="104"/>
      <x:c r="AA321" s="79" t="str"/>
      <x:c r="AB321" s="79" t="str"/>
      <x:c r="AC321" s="79" t="str"/>
      <x:c r="AD321" s="79" t="str"/>
      <x:c r="AE321" s="79" t="str">
        <x:v>فعال</x:v>
      </x:c>
      <x:c r="AF321" s="79" t="str">
        <x:v>دسته‌بندی نهایی</x:v>
      </x:c>
      <x:c r="AG321" s="79" t="str">
        <x:v>OK</x:v>
      </x:c>
      <x:c r="AH321" s="79" t="str">
        <x:v>[{"name": "کیلو", "sku": "", "price": 900000, "stock": "", "weight": 1, "weightUnit": "kg", "containerSize": "کیلو", "isDefault": true}]</x:v>
      </x:c>
      <x:c r="AI321" s="79"/>
      <x:c r="AJ321" s="79"/>
      <x:c r="AK321" s="79"/>
      <x:c r="AL321" t="str">
        <x:v>فلفل قرمز هندی</x:v>
      </x:c>
      <x:c r="AM321" t="str">
        <x:v>grp_indian_red_pepper</x:v>
      </x:c>
      <x:c r="AN321" t="str">
        <x:v>canonical_group_row</x:v>
      </x:c>
      <x:c r="AO321" t="str">
        <x:v>ادویه</x:v>
      </x:c>
      <x:c r="AP321" t="str">
        <x:v>6a3781e4df5573f4e676e226</x:v>
      </x:c>
      <x:c r="AQ321" t="str">
        <x:v>spice</x:v>
      </x:c>
      <x:c r="AR321" t="str">
        <x:v>EDIBLE</x:v>
      </x:c>
      <x:c r="AS321" t="str">
        <x:v>بله</x:v>
      </x:c>
      <x:c r="AT321" t="str">
        <x:v>OK</x:v>
      </x:c>
      <x:c r="AU321"/>
    </x:row>
    <x:row r="322">
      <x:c r="A322" s="79" t="n">
        <x:v>324</x:v>
      </x:c>
      <x:c r="B322" s="79" t="str">
        <x:v>NS-0321-1</x:v>
      </x:c>
      <x:c r="C322" s="79" t="str">
        <x:v>قرص کمر</x:v>
      </x:c>
      <x:c r="D322" s="79" t="str">
        <x:v>tablet_back</x:v>
      </x:c>
      <x:c r="E322" s="79" t="str">
        <x:v>update</x:v>
      </x:c>
      <x:c r="F322" s="79" t="str">
        <x:v>بله</x:v>
      </x:c>
      <x:c r="G322" s="79" t="str">
        <x:v>سایر</x:v>
      </x:c>
      <x:c r="H322" s="79" t="str">
        <x:v>گیاهان دارویی</x:v>
      </x:c>
      <x:c r="I322" s="79" t="str">
        <x:v>6a3782d7df5573f4e676e243</x:v>
      </x:c>
      <x:c r="J322" s="79" t="str">
        <x:v>medicinal-plants</x:v>
      </x:c>
      <x:c r="K322" s="79"/>
      <x:c r="L322" s="79" t="str">
        <x:v>REVIEW</x:v>
      </x:c>
      <x:c r="M322" s="79" t="str">
        <x:v>نیاز به بررسی</x:v>
      </x:c>
      <x:c r="N322" s="79" t="str">
        <x:v>نیاز به بررسی</x:v>
      </x:c>
      <x:c r="O322" s="79" t="str">
        <x:v>خیر</x:v>
      </x:c>
      <x:c r="P322" s="79" t="n">
        <x:v>1</x:v>
      </x:c>
      <x:c r="Q322" s="79" t="str">
        <x:v>کیلو</x:v>
      </x:c>
      <x:c r="R322" s="79" t="n">
        <x:v>500</x:v>
      </x:c>
      <x:c r="S322" s="104" t="n">
        <x:v>500000</x:v>
      </x:c>
      <x:c r="T322" s="79" t="n">
        <x:v>1</x:v>
      </x:c>
      <x:c r="U322" s="79" t="str">
        <x:v>kg</x:v>
      </x:c>
      <x:c r="V322" s="79" t="str">
        <x:v>کیلو</x:v>
      </x:c>
      <x:c r="W322" s="99" t="b">
        <x:v>1</x:v>
      </x:c>
      <x:c r="X322" s="79" t="str"/>
      <x:c r="Y322" s="79"/>
      <x:c r="Z322" s="104"/>
      <x:c r="AA322" s="79" t="str"/>
      <x:c r="AB322" s="79" t="str"/>
      <x:c r="AC322" s="79" t="str"/>
      <x:c r="AD322" s="79" t="str"/>
      <x:c r="AE322" s="79" t="str">
        <x:v>فعال</x:v>
      </x:c>
      <x:c r="AF322" s="79" t="str">
        <x:v>نیازمند بررسی دستی</x:v>
      </x:c>
      <x:c r="AG322" s="79" t="str">
        <x:v>دسته با اطمینان متوسط اصلاح شد؛ در صورت حساسیت دستی بازبینی شود | نوع مصرف نیازمند بررسی دستی</x:v>
      </x:c>
      <x:c r="AH322" s="79" t="str">
        <x:v>[{"name": "کیلو", "sku": "", "price": 500000, "stock": "", "weight": 1, "weightUnit": "kg", "containerSize": "کیلو", "isDefault": true}]</x:v>
      </x:c>
      <x:c r="AI322" s="79"/>
      <x:c r="AJ322" s="79"/>
      <x:c r="AK322" s="79"/>
      <x:c r="AL322" t="str">
        <x:v>قرص کمر</x:v>
      </x:c>
      <x:c r="AM322" t="str">
        <x:v>single_324</x:v>
      </x:c>
      <x:c r="AN322" t="str">
        <x:v>canonical_group_row</x:v>
      </x:c>
      <x:c r="AO322" t="str">
        <x:v>گیاهان دارویی</x:v>
      </x:c>
      <x:c r="AP322" t="str">
        <x:v>6a3782d7df5573f4e676e243</x:v>
      </x:c>
      <x:c r="AQ322" t="str">
        <x:v>medicinal-plants</x:v>
      </x:c>
      <x:c r="AR322" t="str">
        <x:v>REVIEW</x:v>
      </x:c>
      <x:c r="AS322" t="str">
        <x:v>نیاز به بررسی</x:v>
      </x:c>
      <x:c r="AT322" t="str">
        <x:v>OK</x:v>
      </x:c>
      <x:c r="AU322" t="str">
        <x:v>دسته با اطمینان متوسط اصلاح شد؛ در صورت حساسیت دستی بازبینی شود | نوع مصرف نیازمند بررسی دستی</x:v>
      </x:c>
    </x:row>
    <x:row r="323">
      <x:c r="A323" s="79" t="n">
        <x:v>325</x:v>
      </x:c>
      <x:c r="B323" s="79" t="str">
        <x:v>NS-0322-1</x:v>
      </x:c>
      <x:c r="C323" s="79" t="str">
        <x:v>قره قروت</x:v>
      </x:c>
      <x:c r="D323" s="79" t="str">
        <x:v>qarehqurut</x:v>
      </x:c>
      <x:c r="E323" s="79" t="str">
        <x:v>update</x:v>
      </x:c>
      <x:c r="F323" s="79" t="str">
        <x:v>بله</x:v>
      </x:c>
      <x:c r="G323" s="79" t="str">
        <x:v>سایر</x:v>
      </x:c>
      <x:c r="H323" s="79" t="str">
        <x:v>قنادی و شیرینی</x:v>
      </x:c>
      <x:c r="I323" s="79" t="str">
        <x:v>6a3a00000000000000000003</x:v>
      </x:c>
      <x:c r="J323" s="79" t="str">
        <x:v>confectionery</x:v>
      </x:c>
      <x:c r="K323" s="79"/>
      <x:c r="L323" s="79" t="str">
        <x:v>EDIBLE</x:v>
      </x:c>
      <x:c r="M323" s="79" t="str">
        <x:v>بله</x:v>
      </x:c>
      <x:c r="N323" s="79" t="str">
        <x:v>خوراکی</x:v>
      </x:c>
      <x:c r="O323" s="79" t="str">
        <x:v>خیر</x:v>
      </x:c>
      <x:c r="P323" s="79" t="n">
        <x:v>1</x:v>
      </x:c>
      <x:c r="Q323" s="79" t="str">
        <x:v>کیلو</x:v>
      </x:c>
      <x:c r="R323" s="79" t="n">
        <x:v>250</x:v>
      </x:c>
      <x:c r="S323" s="104" t="n">
        <x:v>250000</x:v>
      </x:c>
      <x:c r="T323" s="79" t="n">
        <x:v>1</x:v>
      </x:c>
      <x:c r="U323" s="79" t="str">
        <x:v>kg</x:v>
      </x:c>
      <x:c r="V323" s="79" t="str">
        <x:v>کیلو</x:v>
      </x:c>
      <x:c r="W323" s="99" t="b">
        <x:v>1</x:v>
      </x:c>
      <x:c r="X323" s="79" t="str"/>
      <x:c r="Y323" s="79"/>
      <x:c r="Z323" s="104"/>
      <x:c r="AA323" s="79" t="str"/>
      <x:c r="AB323" s="79" t="str"/>
      <x:c r="AC323" s="79" t="str"/>
      <x:c r="AD323" s="79" t="str"/>
      <x:c r="AE323" s="79" t="str">
        <x:v>فعال</x:v>
      </x:c>
      <x:c r="AF323" s="79" t="str">
        <x:v>نیازمند بررسی دستی</x:v>
      </x:c>
      <x:c r="AG323" s="79" t="str">
        <x:v>دسته از «نیاز به بررسی» به «قنادی و شیرینی» اصلاح شد</x:v>
      </x:c>
      <x:c r="AH323" s="79" t="str">
        <x:v>[{"name": "کیلو", "sku": "", "price": 250000, "stock": "", "weight": 1, "weightUnit": "kg", "containerSize": "کیلو", "isDefault": true}]</x:v>
      </x:c>
      <x:c r="AI323" s="79"/>
      <x:c r="AJ323" s="79"/>
      <x:c r="AK323" s="79"/>
      <x:c r="AL323" t="str">
        <x:v>قره قروت</x:v>
      </x:c>
      <x:c r="AM323" t="str">
        <x:v>single_325</x:v>
      </x:c>
      <x:c r="AN323" t="str">
        <x:v>canonical_group_row</x:v>
      </x:c>
      <x:c r="AO323" t="str">
        <x:v>قنادی و شیرینی</x:v>
      </x:c>
      <x:c r="AP323" t="str">
        <x:v>6a3a00000000000000000003</x:v>
      </x:c>
      <x:c r="AQ323" t="str">
        <x:v>confectionery</x:v>
      </x:c>
      <x:c r="AR323" t="str">
        <x:v>EDIBLE</x:v>
      </x:c>
      <x:c r="AS323" t="str">
        <x:v>بله</x:v>
      </x:c>
      <x:c r="AT323" t="str">
        <x:v>OK</x:v>
      </x:c>
      <x:c r="AU323" t="str">
        <x:v>دسته از «نیاز به بررسی» به «قنادی و شیرینی» اصلاح شد</x:v>
      </x:c>
    </x:row>
    <x:row r="324">
      <x:c r="A324" s="79" t="n">
        <x:v>326</x:v>
      </x:c>
      <x:c r="B324" s="79" t="str">
        <x:v>NS-0323-1</x:v>
      </x:c>
      <x:c r="C324" s="79" t="str">
        <x:v>قهوه اسپرسو</x:v>
      </x:c>
      <x:c r="D324" s="79" t="str">
        <x:v>espresso_coffee_1</x:v>
      </x:c>
      <x:c r="E324" s="79" t="str">
        <x:v>update</x:v>
      </x:c>
      <x:c r="F324" s="79" t="str">
        <x:v>بله</x:v>
      </x:c>
      <x:c r="G324" s="79" t="str">
        <x:v>سایر</x:v>
      </x:c>
      <x:c r="H324" s="79" t="str">
        <x:v>نوشیدنی‌ها</x:v>
      </x:c>
      <x:c r="I324" s="79" t="str">
        <x:v>6a3782ffdf5573f4e676e24b</x:v>
      </x:c>
      <x:c r="J324" s="79" t="str">
        <x:v>syrup</x:v>
      </x:c>
      <x:c r="K324" s="79" t="str">
        <x:v>6a3782d7df5573f4e676e243</x:v>
      </x:c>
      <x:c r="L324" s="79" t="str">
        <x:v>EDIBLE</x:v>
      </x:c>
      <x:c r="M324" s="79" t="str">
        <x:v>بله</x:v>
      </x:c>
      <x:c r="N324" s="79" t="str">
        <x:v>خوراکی</x:v>
      </x:c>
      <x:c r="O324" s="79" t="str">
        <x:v>بله</x:v>
      </x:c>
      <x:c r="P324" s="79" t="n">
        <x:v>2</x:v>
      </x:c>
      <x:c r="Q324" s="79" t="str">
        <x:v>کیلو</x:v>
      </x:c>
      <x:c r="R324" s="79" t="str">
        <x:v>1/850</x:v>
      </x:c>
      <x:c r="S324" s="104" t="n">
        <x:v>1850000</x:v>
      </x:c>
      <x:c r="T324" s="79" t="n">
        <x:v>1</x:v>
      </x:c>
      <x:c r="U324" s="79" t="str">
        <x:v>kg</x:v>
      </x:c>
      <x:c r="V324" s="79" t="str">
        <x:v>کیلو</x:v>
      </x:c>
      <x:c r="W324" s="99" t="b">
        <x:v>1</x:v>
      </x:c>
      <x:c r="X324" s="79" t="str">
        <x:v>بسته ای</x:v>
      </x:c>
      <x:c r="Y324" s="79" t="n">
        <x:v>220</x:v>
      </x:c>
      <x:c r="Z324" s="104" t="n">
        <x:v>220000</x:v>
      </x:c>
      <x:c r="AA324" s="79" t="str"/>
      <x:c r="AB324" s="79" t="str"/>
      <x:c r="AC324" s="79" t="str">
        <x:v>بسته ای</x:v>
      </x:c>
      <x:c r="AD324" s="99" t="b">
        <x:v>0</x:v>
      </x:c>
      <x:c r="AE324" s="79" t="str">
        <x:v>فعال</x:v>
      </x:c>
      <x:c r="AF324" s="79" t="str">
        <x:v>نیازمند بررسی دستی</x:v>
      </x:c>
      <x:c r="AG324" s="79" t="str">
        <x:v>دسته از «نیاز به بررسی» به «نوشیدنی‌ها» اصلاح شد</x:v>
      </x:c>
      <x:c r="AH324" s="79" t="str">
        <x:v>[{"name": "کیلو", "sku": "", "price": 1850000, "stock": "", "weight": 1, "weightUnit": "kg", "containerSize": "کیلو", "isDefault": true}, {"name": "بسته ای", "sku": "", "price": 220000, "stock": "", "weight": "", "weightUnit": "", "containerSize": "بسته ای", "isDefault": false}]</x:v>
      </x:c>
      <x:c r="AI324" s="79"/>
      <x:c r="AJ324" s="79"/>
      <x:c r="AK324" s="79"/>
      <x:c r="AL324" t="str">
        <x:v>قهوه اسپرسو</x:v>
      </x:c>
      <x:c r="AM324" t="str">
        <x:v>single_326</x:v>
      </x:c>
      <x:c r="AN324" t="str">
        <x:v>canonical_group_row</x:v>
      </x:c>
      <x:c r="AO324" t="str">
        <x:v>نوشیدنی‌ها</x:v>
      </x:c>
      <x:c r="AP324" t="str">
        <x:v>6a3782ffdf5573f4e676e24b</x:v>
      </x:c>
      <x:c r="AQ324" t="str">
        <x:v>syrup</x:v>
      </x:c>
      <x:c r="AR324" t="str">
        <x:v>EDIBLE</x:v>
      </x:c>
      <x:c r="AS324" t="str">
        <x:v>بله</x:v>
      </x:c>
      <x:c r="AT324" t="str">
        <x:v>OK</x:v>
      </x:c>
      <x:c r="AU324" t="str">
        <x:v>دسته از «نیاز به بررسی» به «نوشیدنی‌ها» اصلاح شد</x:v>
      </x:c>
    </x:row>
    <x:row r="325">
      <x:c r="A325" s="79" t="n">
        <x:v>327</x:v>
      </x:c>
      <x:c r="B325" s="79" t="str">
        <x:v>NS-0324-1</x:v>
      </x:c>
      <x:c r="C325" s="79" t="str">
        <x:v>قهوه ترک</x:v>
      </x:c>
      <x:c r="D325" s="79" t="str">
        <x:v>turkish_coffee_1</x:v>
      </x:c>
      <x:c r="E325" s="79" t="str">
        <x:v>update</x:v>
      </x:c>
      <x:c r="F325" s="79" t="str">
        <x:v>بله</x:v>
      </x:c>
      <x:c r="G325" s="79" t="str">
        <x:v>سایر</x:v>
      </x:c>
      <x:c r="H325" s="79" t="str">
        <x:v>نوشیدنی‌ها</x:v>
      </x:c>
      <x:c r="I325" s="79" t="str">
        <x:v>6a3782ffdf5573f4e676e24b</x:v>
      </x:c>
      <x:c r="J325" s="79" t="str">
        <x:v>syrup</x:v>
      </x:c>
      <x:c r="K325" s="79" t="str">
        <x:v>6a3782d7df5573f4e676e243</x:v>
      </x:c>
      <x:c r="L325" s="79" t="str">
        <x:v>EDIBLE</x:v>
      </x:c>
      <x:c r="M325" s="79" t="str">
        <x:v>بله</x:v>
      </x:c>
      <x:c r="N325" s="79" t="str">
        <x:v>خوراکی</x:v>
      </x:c>
      <x:c r="O325" s="79" t="str">
        <x:v>بله</x:v>
      </x:c>
      <x:c r="P325" s="79" t="n">
        <x:v>2</x:v>
      </x:c>
      <x:c r="Q325" s="79" t="str">
        <x:v>کیلو</x:v>
      </x:c>
      <x:c r="R325" s="79" t="str">
        <x:v>1/850</x:v>
      </x:c>
      <x:c r="S325" s="104" t="n">
        <x:v>1850000</x:v>
      </x:c>
      <x:c r="T325" s="79" t="n">
        <x:v>1</x:v>
      </x:c>
      <x:c r="U325" s="79" t="str">
        <x:v>kg</x:v>
      </x:c>
      <x:c r="V325" s="79" t="str">
        <x:v>کیلو</x:v>
      </x:c>
      <x:c r="W325" s="99" t="b">
        <x:v>1</x:v>
      </x:c>
      <x:c r="X325" s="79" t="str">
        <x:v>بسته ای</x:v>
      </x:c>
      <x:c r="Y325" s="79" t="n">
        <x:v>220</x:v>
      </x:c>
      <x:c r="Z325" s="104" t="n">
        <x:v>220000</x:v>
      </x:c>
      <x:c r="AA325" s="79" t="str"/>
      <x:c r="AB325" s="79" t="str"/>
      <x:c r="AC325" s="79" t="str">
        <x:v>بسته ای</x:v>
      </x:c>
      <x:c r="AD325" s="99" t="b">
        <x:v>0</x:v>
      </x:c>
      <x:c r="AE325" s="79" t="str">
        <x:v>فعال</x:v>
      </x:c>
      <x:c r="AF325" s="79" t="str">
        <x:v>نیازمند بررسی دستی</x:v>
      </x:c>
      <x:c r="AG325" s="79" t="str">
        <x:v>دسته از «نیاز به بررسی» به «نوشیدنی‌ها» اصلاح شد</x:v>
      </x:c>
      <x:c r="AH325" s="79" t="str">
        <x:v>[{"name": "کیلو", "sku": "", "price": 1850000, "stock": "", "weight": 1, "weightUnit": "kg", "containerSize": "کیلو", "isDefault": true}, {"name": "بسته ای", "sku": "", "price": 220000, "stock": "", "weight": "", "weightUnit": "", "containerSize": "بسته ای", "isDefault": false}]</x:v>
      </x:c>
      <x:c r="AI325" s="79"/>
      <x:c r="AJ325" s="79"/>
      <x:c r="AK325" s="79"/>
      <x:c r="AL325" t="str">
        <x:v>قهوه ترک</x:v>
      </x:c>
      <x:c r="AM325" t="str">
        <x:v>single_327</x:v>
      </x:c>
      <x:c r="AN325" t="str">
        <x:v>canonical_group_row</x:v>
      </x:c>
      <x:c r="AO325" t="str">
        <x:v>نوشیدنی‌ها</x:v>
      </x:c>
      <x:c r="AP325" t="str">
        <x:v>6a3782ffdf5573f4e676e24b</x:v>
      </x:c>
      <x:c r="AQ325" t="str">
        <x:v>syrup</x:v>
      </x:c>
      <x:c r="AR325" t="str">
        <x:v>EDIBLE</x:v>
      </x:c>
      <x:c r="AS325" t="str">
        <x:v>بله</x:v>
      </x:c>
      <x:c r="AT325" t="str">
        <x:v>OK</x:v>
      </x:c>
      <x:c r="AU325" t="str">
        <x:v>دسته از «نیاز به بررسی» به «نوشیدنی‌ها» اصلاح شد</x:v>
      </x:c>
    </x:row>
    <x:row r="326">
      <x:c r="A326" s="79" t="n">
        <x:v>328</x:v>
      </x:c>
      <x:c r="B326" s="79" t="str">
        <x:v>NS-0325-1</x:v>
      </x:c>
      <x:c r="C326" s="79" t="str">
        <x:v>قهوه فوری</x:v>
      </x:c>
      <x:c r="D326" s="79" t="str">
        <x:v>instant_coffee</x:v>
      </x:c>
      <x:c r="E326" s="79" t="str">
        <x:v>update</x:v>
      </x:c>
      <x:c r="F326" s="79" t="str">
        <x:v>بله</x:v>
      </x:c>
      <x:c r="G326" s="79" t="str">
        <x:v>سایر</x:v>
      </x:c>
      <x:c r="H326" s="79" t="str">
        <x:v>نوشیدنی‌ها</x:v>
      </x:c>
      <x:c r="I326" s="79" t="str">
        <x:v>6a3782ffdf5573f4e676e24b</x:v>
      </x:c>
      <x:c r="J326" s="79" t="str">
        <x:v>syrup</x:v>
      </x:c>
      <x:c r="K326" s="79" t="str">
        <x:v>6a3782d7df5573f4e676e243</x:v>
      </x:c>
      <x:c r="L326" s="79" t="str">
        <x:v>EDIBLE</x:v>
      </x:c>
      <x:c r="M326" s="79" t="str">
        <x:v>بله</x:v>
      </x:c>
      <x:c r="N326" s="79" t="str">
        <x:v>خوراکی</x:v>
      </x:c>
      <x:c r="O326" s="79" t="str">
        <x:v>خیر</x:v>
      </x:c>
      <x:c r="P326" s="79" t="n">
        <x:v>1</x:v>
      </x:c>
      <x:c r="Q326" s="79" t="str">
        <x:v>کیلو</x:v>
      </x:c>
      <x:c r="R326" s="79" t="str">
        <x:v>4/900</x:v>
      </x:c>
      <x:c r="S326" s="104" t="n">
        <x:v>4900000</x:v>
      </x:c>
      <x:c r="T326" s="79" t="n">
        <x:v>1</x:v>
      </x:c>
      <x:c r="U326" s="79" t="str">
        <x:v>kg</x:v>
      </x:c>
      <x:c r="V326" s="79" t="str">
        <x:v>کیلو</x:v>
      </x:c>
      <x:c r="W326" s="99" t="b">
        <x:v>1</x:v>
      </x:c>
      <x:c r="X326" s="79" t="str"/>
      <x:c r="Y326" s="79"/>
      <x:c r="Z326" s="104"/>
      <x:c r="AA326" s="79" t="str"/>
      <x:c r="AB326" s="79" t="str"/>
      <x:c r="AC326" s="79" t="str"/>
      <x:c r="AD326" s="79" t="str"/>
      <x:c r="AE326" s="79" t="str">
        <x:v>فعال</x:v>
      </x:c>
      <x:c r="AF326" s="79" t="str">
        <x:v>نیازمند بررسی دستی</x:v>
      </x:c>
      <x:c r="AG326" s="79" t="str">
        <x:v>دسته از «نیاز به بررسی» به «نوشیدنی‌ها» اصلاح شد</x:v>
      </x:c>
      <x:c r="AH326" s="79" t="str">
        <x:v>[{"name": "کیلو", "sku": "", "price": 4900000, "stock": "", "weight": 1, "weightUnit": "kg", "containerSize": "کیلو", "isDefault": true}]</x:v>
      </x:c>
      <x:c r="AI326" s="79"/>
      <x:c r="AJ326" s="79"/>
      <x:c r="AK326" s="79"/>
      <x:c r="AL326" t="str">
        <x:v>قهوه فوری</x:v>
      </x:c>
      <x:c r="AM326" t="str">
        <x:v>single_328</x:v>
      </x:c>
      <x:c r="AN326" t="str">
        <x:v>canonical_group_row</x:v>
      </x:c>
      <x:c r="AO326" t="str">
        <x:v>نوشیدنی‌ها</x:v>
      </x:c>
      <x:c r="AP326" t="str">
        <x:v>6a3782ffdf5573f4e676e24b</x:v>
      </x:c>
      <x:c r="AQ326" t="str">
        <x:v>syrup</x:v>
      </x:c>
      <x:c r="AR326" t="str">
        <x:v>EDIBLE</x:v>
      </x:c>
      <x:c r="AS326" t="str">
        <x:v>بله</x:v>
      </x:c>
      <x:c r="AT326" t="str">
        <x:v>OK</x:v>
      </x:c>
      <x:c r="AU326" t="str">
        <x:v>دسته از «نیاز به بررسی» به «نوشیدنی‌ها» اصلاح شد</x:v>
      </x:c>
    </x:row>
    <x:row r="327">
      <x:c r="A327" s="79" t="n">
        <x:v>329</x:v>
      </x:c>
      <x:c r="B327" s="79" t="str">
        <x:v>NS-0326-1</x:v>
      </x:c>
      <x:c r="C327" s="79" t="str">
        <x:v>کاکائو</x:v>
      </x:c>
      <x:c r="D327" s="79" t="str">
        <x:v>kakayv</x:v>
      </x:c>
      <x:c r="E327" s="79" t="str">
        <x:v>update</x:v>
      </x:c>
      <x:c r="F327" s="79" t="str">
        <x:v>بله</x:v>
      </x:c>
      <x:c r="G327" s="79" t="str">
        <x:v>قنادی و شیرینی</x:v>
      </x:c>
      <x:c r="H327" s="79" t="str">
        <x:v>قنادی و شیرینی</x:v>
      </x:c>
      <x:c r="I327" s="79" t="str">
        <x:v>6a3a00000000000000000003</x:v>
      </x:c>
      <x:c r="J327" s="79" t="str">
        <x:v>confectionery</x:v>
      </x:c>
      <x:c r="K327" s="79"/>
      <x:c r="L327" s="79" t="str">
        <x:v>EDIBLE</x:v>
      </x:c>
      <x:c r="M327" s="79" t="str">
        <x:v>بله</x:v>
      </x:c>
      <x:c r="N327" s="79" t="str">
        <x:v>خوراکی</x:v>
      </x:c>
      <x:c r="O327" s="79" t="str">
        <x:v>خیر</x:v>
      </x:c>
      <x:c r="P327" s="79" t="n">
        <x:v>1</x:v>
      </x:c>
      <x:c r="Q327" s="79" t="str">
        <x:v>کیلو</x:v>
      </x:c>
      <x:c r="R327" s="79" t="str">
        <x:v>3/000</x:v>
      </x:c>
      <x:c r="S327" s="104" t="n">
        <x:v>3000000</x:v>
      </x:c>
      <x:c r="T327" s="79" t="n">
        <x:v>1</x:v>
      </x:c>
      <x:c r="U327" s="79" t="str">
        <x:v>kg</x:v>
      </x:c>
      <x:c r="V327" s="79" t="str">
        <x:v>کیلو</x:v>
      </x:c>
      <x:c r="W327" s="99" t="b">
        <x:v>1</x:v>
      </x:c>
      <x:c r="X327" s="79" t="str"/>
      <x:c r="Y327" s="79"/>
      <x:c r="Z327" s="104"/>
      <x:c r="AA327" s="79" t="str"/>
      <x:c r="AB327" s="79" t="str"/>
      <x:c r="AC327" s="79" t="str"/>
      <x:c r="AD327" s="79" t="str"/>
      <x:c r="AE327" s="79" t="str">
        <x:v>فعال</x:v>
      </x:c>
      <x:c r="AF327" s="79" t="str">
        <x:v>دسته‌بندی نهایی</x:v>
      </x:c>
      <x:c r="AG327" s="79" t="str">
        <x:v>OK</x:v>
      </x:c>
      <x:c r="AH327" s="79" t="str">
        <x:v>[{"name": "کیلو", "sku": "", "price": 3000000, "stock": "", "weight": 1, "weightUnit": "kg", "containerSize": "کیلو", "isDefault": true}]</x:v>
      </x:c>
      <x:c r="AI327" s="79"/>
      <x:c r="AJ327" s="79"/>
      <x:c r="AK327" s="79"/>
      <x:c r="AL327" t="str">
        <x:v>کاکائو</x:v>
      </x:c>
      <x:c r="AM327" t="str">
        <x:v>single_329</x:v>
      </x:c>
      <x:c r="AN327" t="str">
        <x:v>canonical_group_row</x:v>
      </x:c>
      <x:c r="AO327" t="str">
        <x:v>قنادی و شیرینی</x:v>
      </x:c>
      <x:c r="AP327" t="str">
        <x:v>6a3a00000000000000000003</x:v>
      </x:c>
      <x:c r="AQ327" t="str">
        <x:v>confectionery</x:v>
      </x:c>
      <x:c r="AR327" t="str">
        <x:v>EDIBLE</x:v>
      </x:c>
      <x:c r="AS327" t="str">
        <x:v>بله</x:v>
      </x:c>
      <x:c r="AT327" t="str">
        <x:v>OK</x:v>
      </x:c>
      <x:c r="AU327"/>
    </x:row>
    <x:row r="328">
      <x:c r="A328" s="79" t="n">
        <x:v>330</x:v>
      </x:c>
      <x:c r="B328" s="79" t="str">
        <x:v>NS-0327-1</x:v>
      </x:c>
      <x:c r="C328" s="79" t="str">
        <x:v>کپسول خالی</x:v>
      </x:c>
      <x:c r="D328" s="79" t="str">
        <x:v>empty_capsule</x:v>
      </x:c>
      <x:c r="E328" s="79" t="str">
        <x:v>update</x:v>
      </x:c>
      <x:c r="F328" s="79" t="str">
        <x:v>بله</x:v>
      </x:c>
      <x:c r="G328" s="79" t="str">
        <x:v>سایر</x:v>
      </x:c>
      <x:c r="H328" s="79" t="str">
        <x:v>عدم ایمپورت</x:v>
      </x:c>
      <x:c r="I328" s="79"/>
      <x:c r="J328" s="79" t="str">
        <x:v>SKIP</x:v>
      </x:c>
      <x:c r="K328" s="79"/>
      <x:c r="L328" s="79" t="str">
        <x:v>NON_PRODUCT</x:v>
      </x:c>
      <x:c r="M328" s="79" t="str">
        <x:v>خیر</x:v>
      </x:c>
      <x:c r="N328" s="79" t="str">
        <x:v>عدم ایمپورت</x:v>
      </x:c>
      <x:c r="O328" s="79" t="str">
        <x:v>خیر</x:v>
      </x:c>
      <x:c r="P328" s="79" t="n">
        <x:v>1</x:v>
      </x:c>
      <x:c r="Q328" s="79" t="str">
        <x:v>25 عددی</x:v>
      </x:c>
      <x:c r="R328" s="79" t="n">
        <x:v>50</x:v>
      </x:c>
      <x:c r="S328" s="104" t="n">
        <x:v>50000</x:v>
      </x:c>
      <x:c r="T328" s="79" t="str"/>
      <x:c r="U328" s="79" t="str"/>
      <x:c r="V328" s="79" t="str">
        <x:v>25 عددی</x:v>
      </x:c>
      <x:c r="W328" s="99" t="b">
        <x:v>1</x:v>
      </x:c>
      <x:c r="X328" s="79" t="str"/>
      <x:c r="Y328" s="79"/>
      <x:c r="Z328" s="104"/>
      <x:c r="AA328" s="79" t="str"/>
      <x:c r="AB328" s="79" t="str"/>
      <x:c r="AC328" s="79" t="str"/>
      <x:c r="AD328" s="79" t="str"/>
      <x:c r="AE328" s="79" t="str">
        <x:v>فعال</x:v>
      </x:c>
      <x:c r="AF328" s="79" t="str">
        <x:v>نیازمند بررسی دستی</x:v>
      </x:c>
      <x:c r="AG328" s="79" t="str">
        <x:v>ملزومات/ظرف/ابزار است و چون دسته «ملزومات» حذف شده، برای سایت ایمپورت نشود.</x:v>
      </x:c>
      <x:c r="AH328" s="79" t="str">
        <x:v>[{"name": "25 عددی", "sku": "", "price": 50000, "stock": "", "weight": "", "weightUnit": "", "containerSize": "25 عددی", "isDefault": true}]</x:v>
      </x:c>
      <x:c r="AI328" s="79"/>
      <x:c r="AJ328" s="79"/>
      <x:c r="AK328" s="79"/>
      <x:c r="AL328" t="str">
        <x:v>کپسول خالی</x:v>
      </x:c>
      <x:c r="AM328" t="str">
        <x:v>single_330</x:v>
      </x:c>
      <x:c r="AN328" t="str">
        <x:v>skip_do_not_import</x:v>
      </x:c>
      <x:c r="AO328" t="str">
        <x:v>عدم ایمپورت</x:v>
      </x:c>
      <x:c r="AP328"/>
      <x:c r="AQ328" t="str">
        <x:v>SKIP</x:v>
      </x:c>
      <x:c r="AR328" t="str">
        <x:v>NON_PRODUCT</x:v>
      </x:c>
      <x:c r="AS328" t="str">
        <x:v>خیر</x:v>
      </x:c>
      <x:c r="AT328" t="str">
        <x:v>SKIP_NON_PRODUCT</x:v>
      </x:c>
      <x:c r="AU328" t="str">
        <x:v>ملزومات/ظرف/ابزار است و چون دسته «ملزومات» حذف شده، برای سایت ایمپورت نشود.</x:v>
      </x:c>
    </x:row>
    <x:row r="329">
      <x:c r="A329" s="79" t="n">
        <x:v>331</x:v>
      </x:c>
      <x:c r="B329" s="79" t="str">
        <x:v>NS-0328-1</x:v>
      </x:c>
      <x:c r="C329" s="79" t="str">
        <x:v>کرم ارده</x:v>
      </x:c>
      <x:c r="D329" s="79" t="str">
        <x:v>tahini_cream</x:v>
      </x:c>
      <x:c r="E329" s="79" t="str">
        <x:v>update</x:v>
      </x:c>
      <x:c r="F329" s="79" t="str">
        <x:v>بله</x:v>
      </x:c>
      <x:c r="G329" s="79" t="str">
        <x:v>قنادی و شیرینی</x:v>
      </x:c>
      <x:c r="H329" s="79" t="str">
        <x:v>قنادی و شیرینی</x:v>
      </x:c>
      <x:c r="I329" s="79" t="str">
        <x:v>6a3a00000000000000000003</x:v>
      </x:c>
      <x:c r="J329" s="79" t="str">
        <x:v>confectionery</x:v>
      </x:c>
      <x:c r="K329" s="79"/>
      <x:c r="L329" s="79" t="str">
        <x:v>EDIBLE</x:v>
      </x:c>
      <x:c r="M329" s="79" t="str">
        <x:v>بله</x:v>
      </x:c>
      <x:c r="N329" s="79" t="str">
        <x:v>خوراکی</x:v>
      </x:c>
      <x:c r="O329" s="79" t="str">
        <x:v>خیر</x:v>
      </x:c>
      <x:c r="P329" s="79" t="n">
        <x:v>1</x:v>
      </x:c>
      <x:c r="Q329" s="79" t="str">
        <x:v>کیلو</x:v>
      </x:c>
      <x:c r="R329" s="79" t="n">
        <x:v>900</x:v>
      </x:c>
      <x:c r="S329" s="104" t="n">
        <x:v>900000</x:v>
      </x:c>
      <x:c r="T329" s="79" t="n">
        <x:v>1</x:v>
      </x:c>
      <x:c r="U329" s="79" t="str">
        <x:v>kg</x:v>
      </x:c>
      <x:c r="V329" s="79" t="str">
        <x:v>کیلو</x:v>
      </x:c>
      <x:c r="W329" s="99" t="b">
        <x:v>1</x:v>
      </x:c>
      <x:c r="X329" s="79" t="str"/>
      <x:c r="Y329" s="79"/>
      <x:c r="Z329" s="104"/>
      <x:c r="AA329" s="79" t="str"/>
      <x:c r="AB329" s="79" t="str"/>
      <x:c r="AC329" s="79" t="str"/>
      <x:c r="AD329" s="79" t="str"/>
      <x:c r="AE329" s="79" t="str">
        <x:v>فعال</x:v>
      </x:c>
      <x:c r="AF329" s="79" t="str">
        <x:v>دسته‌بندی نهایی</x:v>
      </x:c>
      <x:c r="AG329" s="79" t="str">
        <x:v>OK</x:v>
      </x:c>
      <x:c r="AH329" s="79" t="str">
        <x:v>[{"name": "کیلو", "sku": "", "price": 900000, "stock": "", "weight": 1, "weightUnit": "kg", "containerSize": "کیلو", "isDefault": true}]</x:v>
      </x:c>
      <x:c r="AI329" s="79"/>
      <x:c r="AJ329" s="79"/>
      <x:c r="AK329" s="79"/>
      <x:c r="AL329" t="str">
        <x:v>کرم ارده</x:v>
      </x:c>
      <x:c r="AM329" t="str">
        <x:v>single_331</x:v>
      </x:c>
      <x:c r="AN329" t="str">
        <x:v>canonical_group_row</x:v>
      </x:c>
      <x:c r="AO329" t="str">
        <x:v>قنادی و شیرینی</x:v>
      </x:c>
      <x:c r="AP329" t="str">
        <x:v>6a3a00000000000000000003</x:v>
      </x:c>
      <x:c r="AQ329" t="str">
        <x:v>confectionery</x:v>
      </x:c>
      <x:c r="AR329" t="str">
        <x:v>EDIBLE</x:v>
      </x:c>
      <x:c r="AS329" t="str">
        <x:v>بله</x:v>
      </x:c>
      <x:c r="AT329" t="str">
        <x:v>OK</x:v>
      </x:c>
      <x:c r="AU329"/>
    </x:row>
    <x:row r="330">
      <x:c r="A330" s="79" t="n">
        <x:v>332</x:v>
      </x:c>
      <x:c r="B330" s="79" t="str">
        <x:v>NS-0329-1</x:v>
      </x:c>
      <x:c r="C330" s="79" t="str">
        <x:v>کرم بادام زمینی</x:v>
      </x:c>
      <x:c r="D330" s="79" t="str">
        <x:v>peanut_cream</x:v>
      </x:c>
      <x:c r="E330" s="79" t="str">
        <x:v>update</x:v>
      </x:c>
      <x:c r="F330" s="79" t="str">
        <x:v>بله</x:v>
      </x:c>
      <x:c r="G330" s="79" t="str">
        <x:v>خشکبار و آجیل</x:v>
      </x:c>
      <x:c r="H330" s="79" t="str">
        <x:v>خشکبار و آجیل</x:v>
      </x:c>
      <x:c r="I330" s="79" t="str">
        <x:v>6a37810ddf5573f4e676e201</x:v>
      </x:c>
      <x:c r="J330" s="79" t="str">
        <x:v>dried-fruits-nuts</x:v>
      </x:c>
      <x:c r="K330" s="79"/>
      <x:c r="L330" s="79" t="str">
        <x:v>EDIBLE</x:v>
      </x:c>
      <x:c r="M330" s="79" t="str">
        <x:v>بله</x:v>
      </x:c>
      <x:c r="N330" s="79" t="str">
        <x:v>خوراکی</x:v>
      </x:c>
      <x:c r="O330" s="79" t="str">
        <x:v>خیر</x:v>
      </x:c>
      <x:c r="P330" s="79" t="n">
        <x:v>1</x:v>
      </x:c>
      <x:c r="Q330" s="79" t="str">
        <x:v>کیلو</x:v>
      </x:c>
      <x:c r="R330" s="79" t="str">
        <x:v>1/100</x:v>
      </x:c>
      <x:c r="S330" s="104" t="n">
        <x:v>1100000</x:v>
      </x:c>
      <x:c r="T330" s="79" t="n">
        <x:v>1</x:v>
      </x:c>
      <x:c r="U330" s="79" t="str">
        <x:v>kg</x:v>
      </x:c>
      <x:c r="V330" s="79" t="str">
        <x:v>کیلو</x:v>
      </x:c>
      <x:c r="W330" s="99" t="b">
        <x:v>1</x:v>
      </x:c>
      <x:c r="X330" s="79" t="str"/>
      <x:c r="Y330" s="79"/>
      <x:c r="Z330" s="104"/>
      <x:c r="AA330" s="79" t="str"/>
      <x:c r="AB330" s="79" t="str"/>
      <x:c r="AC330" s="79" t="str"/>
      <x:c r="AD330" s="79" t="str"/>
      <x:c r="AE330" s="79" t="str">
        <x:v>فعال</x:v>
      </x:c>
      <x:c r="AF330" s="79" t="str">
        <x:v>دسته‌بندی نهایی</x:v>
      </x:c>
      <x:c r="AG330" s="79" t="str">
        <x:v>OK</x:v>
      </x:c>
      <x:c r="AH330" s="79" t="str">
        <x:v>[{"name": "کیلو", "sku": "", "price": 1100000, "stock": "", "weight": 1, "weightUnit": "kg", "containerSize": "کیلو", "isDefault": true}]</x:v>
      </x:c>
      <x:c r="AI330" s="79"/>
      <x:c r="AJ330" s="79"/>
      <x:c r="AK330" s="79"/>
      <x:c r="AL330" t="str">
        <x:v>کرم بادام زمینی</x:v>
      </x:c>
      <x:c r="AM330" t="str">
        <x:v>single_332</x:v>
      </x:c>
      <x:c r="AN330" t="str">
        <x:v>canonical_group_row</x:v>
      </x:c>
      <x:c r="AO330" t="str">
        <x:v>خشکبار و آجیل</x:v>
      </x:c>
      <x:c r="AP330" t="str">
        <x:v>6a37810ddf5573f4e676e201</x:v>
      </x:c>
      <x:c r="AQ330" t="str">
        <x:v>dried-fruits-nuts</x:v>
      </x:c>
      <x:c r="AR330" t="str">
        <x:v>EDIBLE</x:v>
      </x:c>
      <x:c r="AS330" t="str">
        <x:v>بله</x:v>
      </x:c>
      <x:c r="AT330" t="str">
        <x:v>OK</x:v>
      </x:c>
      <x:c r="AU330"/>
    </x:row>
    <x:row r="331">
      <x:c r="A331" s="79" t="n">
        <x:v>333</x:v>
      </x:c>
      <x:c r="B331" s="79" t="str">
        <x:v>NS-0330-1</x:v>
      </x:c>
      <x:c r="C331" s="79" t="str">
        <x:v>کرم کنجد</x:v>
      </x:c>
      <x:c r="D331" s="79" t="str">
        <x:v>sesame_cream</x:v>
      </x:c>
      <x:c r="E331" s="79" t="str">
        <x:v>update</x:v>
      </x:c>
      <x:c r="F331" s="79" t="str">
        <x:v>بله</x:v>
      </x:c>
      <x:c r="G331" s="79" t="str">
        <x:v>خشکبار و آجیل</x:v>
      </x:c>
      <x:c r="H331" s="79" t="str">
        <x:v>خشکبار و آجیل</x:v>
      </x:c>
      <x:c r="I331" s="79" t="str">
        <x:v>6a37810ddf5573f4e676e201</x:v>
      </x:c>
      <x:c r="J331" s="79" t="str">
        <x:v>dried-fruits-nuts</x:v>
      </x:c>
      <x:c r="K331" s="79"/>
      <x:c r="L331" s="79" t="str">
        <x:v>EDIBLE</x:v>
      </x:c>
      <x:c r="M331" s="79" t="str">
        <x:v>بله</x:v>
      </x:c>
      <x:c r="N331" s="79" t="str">
        <x:v>خوراکی</x:v>
      </x:c>
      <x:c r="O331" s="79" t="str">
        <x:v>خیر</x:v>
      </x:c>
      <x:c r="P331" s="79" t="n">
        <x:v>1</x:v>
      </x:c>
      <x:c r="Q331" s="79" t="str">
        <x:v>کیلو</x:v>
      </x:c>
      <x:c r="R331" s="79" t="n">
        <x:v>900</x:v>
      </x:c>
      <x:c r="S331" s="104" t="n">
        <x:v>900000</x:v>
      </x:c>
      <x:c r="T331" s="79" t="n">
        <x:v>1</x:v>
      </x:c>
      <x:c r="U331" s="79" t="str">
        <x:v>kg</x:v>
      </x:c>
      <x:c r="V331" s="79" t="str">
        <x:v>کیلو</x:v>
      </x:c>
      <x:c r="W331" s="99" t="b">
        <x:v>1</x:v>
      </x:c>
      <x:c r="X331" s="79" t="str"/>
      <x:c r="Y331" s="79"/>
      <x:c r="Z331" s="104"/>
      <x:c r="AA331" s="79" t="str"/>
      <x:c r="AB331" s="79" t="str"/>
      <x:c r="AC331" s="79" t="str"/>
      <x:c r="AD331" s="79" t="str"/>
      <x:c r="AE331" s="79" t="str">
        <x:v>فعال</x:v>
      </x:c>
      <x:c r="AF331" s="79" t="str">
        <x:v>دسته‌بندی نهایی</x:v>
      </x:c>
      <x:c r="AG331" s="79" t="str">
        <x:v>OK</x:v>
      </x:c>
      <x:c r="AH331" s="79" t="str">
        <x:v>[{"name": "کیلو", "sku": "", "price": 900000, "stock": "", "weight": 1, "weightUnit": "kg", "containerSize": "کیلو", "isDefault": true}]</x:v>
      </x:c>
      <x:c r="AI331" s="79"/>
      <x:c r="AJ331" s="79"/>
      <x:c r="AK331" s="79"/>
      <x:c r="AL331" t="str">
        <x:v>کرم کنجد</x:v>
      </x:c>
      <x:c r="AM331" t="str">
        <x:v>single_333</x:v>
      </x:c>
      <x:c r="AN331" t="str">
        <x:v>canonical_group_row</x:v>
      </x:c>
      <x:c r="AO331" t="str">
        <x:v>خشکبار و آجیل</x:v>
      </x:c>
      <x:c r="AP331" t="str">
        <x:v>6a37810ddf5573f4e676e201</x:v>
      </x:c>
      <x:c r="AQ331" t="str">
        <x:v>dried-fruits-nuts</x:v>
      </x:c>
      <x:c r="AR331" t="str">
        <x:v>EDIBLE</x:v>
      </x:c>
      <x:c r="AS331" t="str">
        <x:v>بله</x:v>
      </x:c>
      <x:c r="AT331" t="str">
        <x:v>OK</x:v>
      </x:c>
      <x:c r="AU331"/>
    </x:row>
    <x:row r="332">
      <x:c r="A332" s="79" t="n">
        <x:v>334</x:v>
      </x:c>
      <x:c r="B332" s="79" t="str">
        <x:v>NS-0331-1</x:v>
      </x:c>
      <x:c r="C332" s="79" t="str">
        <x:v>کره بادام درختی</x:v>
      </x:c>
      <x:c r="D332" s="79" t="str">
        <x:v>almond_butter_180_warm</x:v>
      </x:c>
      <x:c r="E332" s="79" t="str">
        <x:v>update</x:v>
      </x:c>
      <x:c r="F332" s="79" t="str">
        <x:v>بله</x:v>
      </x:c>
      <x:c r="G332" s="79" t="str">
        <x:v>خشکبار و آجیل</x:v>
      </x:c>
      <x:c r="H332" s="79" t="str">
        <x:v>خشکبار و آجیل</x:v>
      </x:c>
      <x:c r="I332" s="79" t="str">
        <x:v>6a37810ddf5573f4e676e201</x:v>
      </x:c>
      <x:c r="J332" s="79" t="str">
        <x:v>dried-fruits-nuts</x:v>
      </x:c>
      <x:c r="K332" s="79"/>
      <x:c r="L332" s="79" t="str">
        <x:v>EDIBLE</x:v>
      </x:c>
      <x:c r="M332" s="79" t="str">
        <x:v>بله</x:v>
      </x:c>
      <x:c r="N332" s="79" t="str">
        <x:v>خوراکی</x:v>
      </x:c>
      <x:c r="O332" s="79" t="str">
        <x:v>بله</x:v>
      </x:c>
      <x:c r="P332" s="79" t="n">
        <x:v>2</x:v>
      </x:c>
      <x:c r="Q332" s="79" t="str">
        <x:v>180 گرمی</x:v>
      </x:c>
      <x:c r="R332" s="79" t="n">
        <x:v>400</x:v>
      </x:c>
      <x:c r="S332" s="104" t="n">
        <x:v>400000</x:v>
      </x:c>
      <x:c r="T332" s="79" t="n">
        <x:v>180</x:v>
      </x:c>
      <x:c r="U332" s="79" t="str">
        <x:v>g</x:v>
      </x:c>
      <x:c r="V332" s="79" t="str">
        <x:v>180 گرم</x:v>
      </x:c>
      <x:c r="W332" s="99" t="b">
        <x:v>1</x:v>
      </x:c>
      <x:c r="X332" s="79" t="str">
        <x:v>کیلو</x:v>
      </x:c>
      <x:c r="Y332" s="79" t="str">
        <x:v>2/250</x:v>
      </x:c>
      <x:c r="Z332" s="104" t="n">
        <x:v>2250000</x:v>
      </x:c>
      <x:c r="AA332" s="79" t="n">
        <x:v>1</x:v>
      </x:c>
      <x:c r="AB332" s="79" t="str">
        <x:v>kg</x:v>
      </x:c>
      <x:c r="AC332" s="79" t="str">
        <x:v>کیلو</x:v>
      </x:c>
      <x:c r="AD332" s="99" t="b">
        <x:v>0</x:v>
      </x:c>
      <x:c r="AE332" s="79" t="str">
        <x:v>فعال</x:v>
      </x:c>
      <x:c r="AF332" s="79" t="str">
        <x:v>دسته‌بندی نهایی</x:v>
      </x:c>
      <x:c r="AG332" s="79" t="str">
        <x:v>OK</x:v>
      </x:c>
      <x:c r="AH332" s="79" t="str">
        <x:v>[{"name": "180 گرمی", "sku": "", "price": 400000, "stock": "", "weight": 180, "weightUnit": "g", "containerSize": "180 گرم", "isDefault": true}, {"name": "کیلو", "sku": "", "price": 2250000, "stock": "", "weight": 1, "weightUnit": "kg", "containerSize": "کیلو", "isDefault": false}]</x:v>
      </x:c>
      <x:c r="AI332" s="79"/>
      <x:c r="AJ332" s="79"/>
      <x:c r="AK332" s="79"/>
      <x:c r="AL332" t="str">
        <x:v>کره بادام درختی</x:v>
      </x:c>
      <x:c r="AM332" t="str">
        <x:v>single_334</x:v>
      </x:c>
      <x:c r="AN332" t="str">
        <x:v>canonical_group_row</x:v>
      </x:c>
      <x:c r="AO332" t="str">
        <x:v>خشکبار و آجیل</x:v>
      </x:c>
      <x:c r="AP332" t="str">
        <x:v>6a37810ddf5573f4e676e201</x:v>
      </x:c>
      <x:c r="AQ332" t="str">
        <x:v>dried-fruits-nuts</x:v>
      </x:c>
      <x:c r="AR332" t="str">
        <x:v>EDIBLE</x:v>
      </x:c>
      <x:c r="AS332" t="str">
        <x:v>بله</x:v>
      </x:c>
      <x:c r="AT332" t="str">
        <x:v>OK</x:v>
      </x:c>
      <x:c r="AU332"/>
    </x:row>
    <x:row r="333">
      <x:c r="A333" s="79" t="n">
        <x:v>335</x:v>
      </x:c>
      <x:c r="B333" s="79" t="str">
        <x:v>NS-0332-1</x:v>
      </x:c>
      <x:c r="C333" s="79" t="str">
        <x:v>کره بادام زمینی</x:v>
      </x:c>
      <x:c r="D333" s="79" t="str">
        <x:v>peanut_butter</x:v>
      </x:c>
      <x:c r="E333" s="79" t="str">
        <x:v>update</x:v>
      </x:c>
      <x:c r="F333" s="79" t="str">
        <x:v>بله</x:v>
      </x:c>
      <x:c r="G333" s="79" t="str">
        <x:v>خشکبار و آجیل</x:v>
      </x:c>
      <x:c r="H333" s="79" t="str">
        <x:v>خشکبار و آجیل</x:v>
      </x:c>
      <x:c r="I333" s="79" t="str">
        <x:v>6a37810ddf5573f4e676e201</x:v>
      </x:c>
      <x:c r="J333" s="79" t="str">
        <x:v>dried-fruits-nuts</x:v>
      </x:c>
      <x:c r="K333" s="79"/>
      <x:c r="L333" s="79" t="str">
        <x:v>EDIBLE</x:v>
      </x:c>
      <x:c r="M333" s="79" t="str">
        <x:v>بله</x:v>
      </x:c>
      <x:c r="N333" s="79" t="str">
        <x:v>خوراکی</x:v>
      </x:c>
      <x:c r="O333" s="79" t="str">
        <x:v>خیر</x:v>
      </x:c>
      <x:c r="P333" s="79" t="n">
        <x:v>1</x:v>
      </x:c>
      <x:c r="Q333" s="79" t="str">
        <x:v>کیلو</x:v>
      </x:c>
      <x:c r="R333" s="79" t="n">
        <x:v>690</x:v>
      </x:c>
      <x:c r="S333" s="104" t="n">
        <x:v>690000</x:v>
      </x:c>
      <x:c r="T333" s="79" t="n">
        <x:v>1</x:v>
      </x:c>
      <x:c r="U333" s="79" t="str">
        <x:v>kg</x:v>
      </x:c>
      <x:c r="V333" s="79" t="str">
        <x:v>کیلو</x:v>
      </x:c>
      <x:c r="W333" s="99" t="b">
        <x:v>1</x:v>
      </x:c>
      <x:c r="X333" s="79" t="str"/>
      <x:c r="Y333" s="79"/>
      <x:c r="Z333" s="104"/>
      <x:c r="AA333" s="79" t="str"/>
      <x:c r="AB333" s="79" t="str"/>
      <x:c r="AC333" s="79" t="str"/>
      <x:c r="AD333" s="79" t="str"/>
      <x:c r="AE333" s="79" t="str">
        <x:v>فعال</x:v>
      </x:c>
      <x:c r="AF333" s="79" t="str">
        <x:v>دسته‌بندی نهایی</x:v>
      </x:c>
      <x:c r="AG333" s="79" t="str">
        <x:v>MERGED</x:v>
      </x:c>
      <x:c r="AH333" s="79" t="str">
        <x:v>[{"name": "کیلو", "sku": "", "price": 690000, "stock": "", "weight": 1, "weightUnit": "kg", "containerSize": "کیلو", "isDefault": true}]</x:v>
      </x:c>
      <x:c r="AI333" s="79"/>
      <x:c r="AJ333" s="79"/>
      <x:c r="AK333" s="79"/>
      <x:c r="AL333" t="str">
        <x:v>کره بادام زمینی</x:v>
      </x:c>
      <x:c r="AM333" t="str">
        <x:v>grp_peanut_butter</x:v>
      </x:c>
      <x:c r="AN333" t="str">
        <x:v>canonical_group_row</x:v>
      </x:c>
      <x:c r="AO333" t="str">
        <x:v>خشکبار و آجیل</x:v>
      </x:c>
      <x:c r="AP333" t="str">
        <x:v>6a37810ddf5573f4e676e201</x:v>
      </x:c>
      <x:c r="AQ333" t="str">
        <x:v>dried-fruits-nuts</x:v>
      </x:c>
      <x:c r="AR333" t="str">
        <x:v>EDIBLE</x:v>
      </x:c>
      <x:c r="AS333" t="str">
        <x:v>بله</x:v>
      </x:c>
      <x:c r="AT333" t="str">
        <x:v>MERGED</x:v>
      </x:c>
      <x:c r="AU333"/>
    </x:row>
    <x:row r="334">
      <x:c r="A334" s="79" t="n">
        <x:v>336</x:v>
      </x:c>
      <x:c r="B334" s="79" t="str">
        <x:v>NS-0333-1</x:v>
      </x:c>
      <x:c r="C334" s="79" t="str">
        <x:v>کره بادام زمینی عسلی</x:v>
      </x:c>
      <x:c r="D334" s="79" t="str">
        <x:v>honey_peanut_butter</x:v>
      </x:c>
      <x:c r="E334" s="79" t="str">
        <x:v>update</x:v>
      </x:c>
      <x:c r="F334" s="79" t="str">
        <x:v>بله</x:v>
      </x:c>
      <x:c r="G334" s="79" t="str">
        <x:v>قنادی و شیرینی</x:v>
      </x:c>
      <x:c r="H334" s="79" t="str">
        <x:v>خشکبار و آجیل</x:v>
      </x:c>
      <x:c r="I334" s="79" t="str">
        <x:v>6a37810ddf5573f4e676e201</x:v>
      </x:c>
      <x:c r="J334" s="79" t="str">
        <x:v>dried-fruits-nuts</x:v>
      </x:c>
      <x:c r="K334" s="79"/>
      <x:c r="L334" s="79" t="str">
        <x:v>EDIBLE</x:v>
      </x:c>
      <x:c r="M334" s="79" t="str">
        <x:v>بله</x:v>
      </x:c>
      <x:c r="N334" s="79" t="str">
        <x:v>خوراکی</x:v>
      </x:c>
      <x:c r="O334" s="79" t="str">
        <x:v>خیر</x:v>
      </x:c>
      <x:c r="P334" s="79" t="n">
        <x:v>1</x:v>
      </x:c>
      <x:c r="Q334" s="79" t="str">
        <x:v>کیلو</x:v>
      </x:c>
      <x:c r="R334" s="79" t="n">
        <x:v>900</x:v>
      </x:c>
      <x:c r="S334" s="104" t="n">
        <x:v>900000</x:v>
      </x:c>
      <x:c r="T334" s="79" t="n">
        <x:v>1</x:v>
      </x:c>
      <x:c r="U334" s="79" t="str">
        <x:v>kg</x:v>
      </x:c>
      <x:c r="V334" s="79" t="str">
        <x:v>کیلو</x:v>
      </x:c>
      <x:c r="W334" s="99" t="b">
        <x:v>1</x:v>
      </x:c>
      <x:c r="X334" s="79" t="str"/>
      <x:c r="Y334" s="79"/>
      <x:c r="Z334" s="104"/>
      <x:c r="AA334" s="79" t="str"/>
      <x:c r="AB334" s="79" t="str"/>
      <x:c r="AC334" s="79" t="str"/>
      <x:c r="AD334" s="79" t="str"/>
      <x:c r="AE334" s="79" t="str">
        <x:v>فعال</x:v>
      </x:c>
      <x:c r="AF334" s="79" t="str">
        <x:v>دسته‌بندی نهایی</x:v>
      </x:c>
      <x:c r="AG334" s="79" t="str">
        <x:v>دسته از «قنادی و شیرینی» به «خشکبار و آجیل» اصلاح شد</x:v>
      </x:c>
      <x:c r="AH334" s="79" t="str">
        <x:v>[{"name": "کیلو", "sku": "", "price": 900000, "stock": "", "weight": 1, "weightUnit": "kg", "containerSize": "کیلو", "isDefault": true}]</x:v>
      </x:c>
      <x:c r="AI334" s="79"/>
      <x:c r="AJ334" s="79"/>
      <x:c r="AK334" s="79"/>
      <x:c r="AL334" t="str">
        <x:v>کره بادام زمینی</x:v>
      </x:c>
      <x:c r="AM334" t="str">
        <x:v>grp_peanut_butter</x:v>
      </x:c>
      <x:c r="AN334" t="str">
        <x:v>merge_into_canonical_group</x:v>
      </x:c>
      <x:c r="AO334" t="str">
        <x:v>خشکبار و آجیل</x:v>
      </x:c>
      <x:c r="AP334" t="str">
        <x:v>6a37810ddf5573f4e676e201</x:v>
      </x:c>
      <x:c r="AQ334" t="str">
        <x:v>dried-fruits-nuts</x:v>
      </x:c>
      <x:c r="AR334" t="str">
        <x:v>EDIBLE</x:v>
      </x:c>
      <x:c r="AS334" t="str">
        <x:v>بله</x:v>
      </x:c>
      <x:c r="AT334" t="str">
        <x:v>MERGED</x:v>
      </x:c>
      <x:c r="AU334" t="str">
        <x:v>دسته از «قنادی و شیرینی» به «خشکبار و آجیل» اصلاح شد</x:v>
      </x:c>
    </x:row>
    <x:row r="335">
      <x:c r="A335" s="79" t="n">
        <x:v>337</x:v>
      </x:c>
      <x:c r="B335" s="79" t="str">
        <x:v>NS-0334-1</x:v>
      </x:c>
      <x:c r="C335" s="79" t="str">
        <x:v>کره بادام هندی</x:v>
      </x:c>
      <x:c r="D335" s="79" t="str">
        <x:v>cashew_butter</x:v>
      </x:c>
      <x:c r="E335" s="79" t="str">
        <x:v>update</x:v>
      </x:c>
      <x:c r="F335" s="79" t="str">
        <x:v>بله</x:v>
      </x:c>
      <x:c r="G335" s="79" t="str">
        <x:v>خشکبار و آجیل</x:v>
      </x:c>
      <x:c r="H335" s="79" t="str">
        <x:v>خشکبار و آجیل</x:v>
      </x:c>
      <x:c r="I335" s="79" t="str">
        <x:v>6a37810ddf5573f4e676e201</x:v>
      </x:c>
      <x:c r="J335" s="79" t="str">
        <x:v>dried-fruits-nuts</x:v>
      </x:c>
      <x:c r="K335" s="79"/>
      <x:c r="L335" s="79" t="str">
        <x:v>EDIBLE</x:v>
      </x:c>
      <x:c r="M335" s="79" t="str">
        <x:v>بله</x:v>
      </x:c>
      <x:c r="N335" s="79" t="str">
        <x:v>خوراکی</x:v>
      </x:c>
      <x:c r="O335" s="79" t="str">
        <x:v>خیر</x:v>
      </x:c>
      <x:c r="P335" s="79" t="n">
        <x:v>1</x:v>
      </x:c>
      <x:c r="Q335" s="79" t="str">
        <x:v>کیلو</x:v>
      </x:c>
      <x:c r="R335" s="79" t="str">
        <x:v>؟</x:v>
      </x:c>
      <x:c r="S335" s="104"/>
      <x:c r="T335" s="79" t="n">
        <x:v>1</x:v>
      </x:c>
      <x:c r="U335" s="79" t="str">
        <x:v>kg</x:v>
      </x:c>
      <x:c r="V335" s="79" t="str">
        <x:v>کیلو</x:v>
      </x:c>
      <x:c r="W335" s="99" t="b">
        <x:v>1</x:v>
      </x:c>
      <x:c r="X335" s="79" t="str"/>
      <x:c r="Y335" s="79"/>
      <x:c r="Z335" s="104"/>
      <x:c r="AA335" s="79" t="str"/>
      <x:c r="AB335" s="79" t="str"/>
      <x:c r="AC335" s="79" t="str"/>
      <x:c r="AD335" s="79" t="str"/>
      <x:c r="AE335" s="79" t="str">
        <x:v>نیاز به استعلام</x:v>
      </x:c>
      <x:c r="AF335" s="79" t="str">
        <x:v>دسته‌بندی نهایی</x:v>
      </x:c>
      <x:c r="AG335" s="79" t="str">
        <x:v>یک یا چند قیمت نامشخص است</x:v>
      </x:c>
      <x:c r="AH335" s="79" t="str">
        <x:v>[{"name": "کیلو", "sku": "", "price": null, "stock": "", "weight": 1, "weightUnit": "kg", "containerSize": "کیلو", "isDefault": true}]</x:v>
      </x:c>
      <x:c r="AI335" s="79"/>
      <x:c r="AJ335" s="79"/>
      <x:c r="AK335" s="79"/>
      <x:c r="AL335" t="str">
        <x:v>کره بادام هندی</x:v>
      </x:c>
      <x:c r="AM335" t="str">
        <x:v>single_337</x:v>
      </x:c>
      <x:c r="AN335" t="str">
        <x:v>canonical_group_row</x:v>
      </x:c>
      <x:c r="AO335" t="str">
        <x:v>خشکبار و آجیل</x:v>
      </x:c>
      <x:c r="AP335" t="str">
        <x:v>6a37810ddf5573f4e676e201</x:v>
      </x:c>
      <x:c r="AQ335" t="str">
        <x:v>dried-fruits-nuts</x:v>
      </x:c>
      <x:c r="AR335" t="str">
        <x:v>EDIBLE</x:v>
      </x:c>
      <x:c r="AS335" t="str">
        <x:v>بله</x:v>
      </x:c>
      <x:c r="AT335" t="str">
        <x:v>MISSING_PRICE_REVIEW</x:v>
      </x:c>
      <x:c r="AU335" t="str">
        <x:v>یک یا چند قیمت نامشخص است</x:v>
      </x:c>
    </x:row>
    <x:row r="336">
      <x:c r="A336" s="79" t="n">
        <x:v>338</x:v>
      </x:c>
      <x:c r="B336" s="79" t="str">
        <x:v>NS-0335-1</x:v>
      </x:c>
      <x:c r="C336" s="79" t="str">
        <x:v>کره پسته</x:v>
      </x:c>
      <x:c r="D336" s="79" t="str">
        <x:v>pistachio_butter_180_warm</x:v>
      </x:c>
      <x:c r="E336" s="79" t="str">
        <x:v>update</x:v>
      </x:c>
      <x:c r="F336" s="79" t="str">
        <x:v>بله</x:v>
      </x:c>
      <x:c r="G336" s="79" t="str">
        <x:v>خشکبار و آجیل</x:v>
      </x:c>
      <x:c r="H336" s="79" t="str">
        <x:v>خشکبار و آجیل</x:v>
      </x:c>
      <x:c r="I336" s="79" t="str">
        <x:v>6a37810ddf5573f4e676e201</x:v>
      </x:c>
      <x:c r="J336" s="79" t="str">
        <x:v>dried-fruits-nuts</x:v>
      </x:c>
      <x:c r="K336" s="79"/>
      <x:c r="L336" s="79" t="str">
        <x:v>EDIBLE</x:v>
      </x:c>
      <x:c r="M336" s="79" t="str">
        <x:v>بله</x:v>
      </x:c>
      <x:c r="N336" s="79" t="str">
        <x:v>خوراکی</x:v>
      </x:c>
      <x:c r="O336" s="79" t="str">
        <x:v>بله</x:v>
      </x:c>
      <x:c r="P336" s="79" t="n">
        <x:v>2</x:v>
      </x:c>
      <x:c r="Q336" s="79" t="str">
        <x:v>180 گرمی</x:v>
      </x:c>
      <x:c r="R336" s="79" t="n">
        <x:v>810</x:v>
      </x:c>
      <x:c r="S336" s="104" t="n">
        <x:v>810000</x:v>
      </x:c>
      <x:c r="T336" s="79" t="n">
        <x:v>180</x:v>
      </x:c>
      <x:c r="U336" s="79" t="str">
        <x:v>g</x:v>
      </x:c>
      <x:c r="V336" s="79" t="str">
        <x:v>180 گرم</x:v>
      </x:c>
      <x:c r="W336" s="99" t="b">
        <x:v>1</x:v>
      </x:c>
      <x:c r="X336" s="79" t="str">
        <x:v>کیلو</x:v>
      </x:c>
      <x:c r="Y336" s="79" t="n">
        <x:v>4500</x:v>
      </x:c>
      <x:c r="Z336" s="104" t="n">
        <x:v>4500000</x:v>
      </x:c>
      <x:c r="AA336" s="79" t="n">
        <x:v>1</x:v>
      </x:c>
      <x:c r="AB336" s="79" t="str">
        <x:v>kg</x:v>
      </x:c>
      <x:c r="AC336" s="79" t="str">
        <x:v>کیلو</x:v>
      </x:c>
      <x:c r="AD336" s="99" t="b">
        <x:v>0</x:v>
      </x:c>
      <x:c r="AE336" s="79" t="str">
        <x:v>فعال</x:v>
      </x:c>
      <x:c r="AF336" s="79" t="str">
        <x:v>دسته‌بندی نهایی</x:v>
      </x:c>
      <x:c r="AG336" s="79" t="str">
        <x:v>OK</x:v>
      </x:c>
      <x:c r="AH336" s="79" t="str">
        <x:v>[{"name": "180 گرمی", "sku": "", "price": 810000, "stock": "", "weight": 180, "weightUnit": "g", "containerSize": "180 گرم", "isDefault": true}, {"name": "کیلو", "sku": "", "price": 4500000, "stock": "", "weight": 1, "weightUnit": "kg", "containerSize": "کیلو", "isDefault": false}]</x:v>
      </x:c>
      <x:c r="AI336" s="79"/>
      <x:c r="AJ336" s="79"/>
      <x:c r="AK336" s="79"/>
      <x:c r="AL336" t="str">
        <x:v>کره پسته</x:v>
      </x:c>
      <x:c r="AM336" t="str">
        <x:v>single_338</x:v>
      </x:c>
      <x:c r="AN336" t="str">
        <x:v>canonical_group_row</x:v>
      </x:c>
      <x:c r="AO336" t="str">
        <x:v>خشکبار و آجیل</x:v>
      </x:c>
      <x:c r="AP336" t="str">
        <x:v>6a37810ddf5573f4e676e201</x:v>
      </x:c>
      <x:c r="AQ336" t="str">
        <x:v>dried-fruits-nuts</x:v>
      </x:c>
      <x:c r="AR336" t="str">
        <x:v>EDIBLE</x:v>
      </x:c>
      <x:c r="AS336" t="str">
        <x:v>بله</x:v>
      </x:c>
      <x:c r="AT336" t="str">
        <x:v>OK</x:v>
      </x:c>
      <x:c r="AU336"/>
    </x:row>
    <x:row r="337">
      <x:c r="A337" s="79" t="n">
        <x:v>339</x:v>
      </x:c>
      <x:c r="B337" s="79" t="str">
        <x:v>NS-0336-1</x:v>
      </x:c>
      <x:c r="C337" s="79" t="str">
        <x:v>کره پنج مغز</x:v>
      </x:c>
      <x:c r="D337" s="79" t="str">
        <x:v>five_nut_butter</x:v>
      </x:c>
      <x:c r="E337" s="79" t="str">
        <x:v>update</x:v>
      </x:c>
      <x:c r="F337" s="79" t="str">
        <x:v>بله</x:v>
      </x:c>
      <x:c r="G337" s="79" t="str">
        <x:v>سایر</x:v>
      </x:c>
      <x:c r="H337" s="79" t="str">
        <x:v>خشکبار و آجیل</x:v>
      </x:c>
      <x:c r="I337" s="79" t="str">
        <x:v>6a37810ddf5573f4e676e201</x:v>
      </x:c>
      <x:c r="J337" s="79" t="str">
        <x:v>dried-fruits-nuts</x:v>
      </x:c>
      <x:c r="K337" s="79"/>
      <x:c r="L337" s="79" t="str">
        <x:v>EDIBLE</x:v>
      </x:c>
      <x:c r="M337" s="79" t="str">
        <x:v>بله</x:v>
      </x:c>
      <x:c r="N337" s="79" t="str">
        <x:v>خوراکی</x:v>
      </x:c>
      <x:c r="O337" s="79" t="str">
        <x:v>خیر</x:v>
      </x:c>
      <x:c r="P337" s="79" t="n">
        <x:v>1</x:v>
      </x:c>
      <x:c r="Q337" s="79" t="str">
        <x:v>195 گرمی</x:v>
      </x:c>
      <x:c r="R337" s="79" t="n">
        <x:v>500</x:v>
      </x:c>
      <x:c r="S337" s="104" t="n">
        <x:v>500000</x:v>
      </x:c>
      <x:c r="T337" s="79" t="n">
        <x:v>195</x:v>
      </x:c>
      <x:c r="U337" s="79" t="str">
        <x:v>g</x:v>
      </x:c>
      <x:c r="V337" s="79" t="str">
        <x:v>195 گرم</x:v>
      </x:c>
      <x:c r="W337" s="99" t="b">
        <x:v>1</x:v>
      </x:c>
      <x:c r="X337" s="79" t="str"/>
      <x:c r="Y337" s="79"/>
      <x:c r="Z337" s="104"/>
      <x:c r="AA337" s="79" t="str"/>
      <x:c r="AB337" s="79" t="str"/>
      <x:c r="AC337" s="79" t="str"/>
      <x:c r="AD337" s="79" t="str"/>
      <x:c r="AE337" s="79" t="str">
        <x:v>فعال</x:v>
      </x:c>
      <x:c r="AF337" s="79" t="str">
        <x:v>نیازمند بررسی دستی</x:v>
      </x:c>
      <x:c r="AG337" s="79" t="str">
        <x:v>دسته از «نیاز به بررسی» به «خشکبار و آجیل» اصلاح شد</x:v>
      </x:c>
      <x:c r="AH337" s="79" t="str">
        <x:v>[{"name": "195 گرمی", "sku": "", "price": 500000, "stock": "", "weight": 195, "weightUnit": "g", "containerSize": "195 گرم", "isDefault": true}]</x:v>
      </x:c>
      <x:c r="AI337" s="79"/>
      <x:c r="AJ337" s="79"/>
      <x:c r="AK337" s="79"/>
      <x:c r="AL337" t="str">
        <x:v>کره پنج مغز</x:v>
      </x:c>
      <x:c r="AM337" t="str">
        <x:v>single_339</x:v>
      </x:c>
      <x:c r="AN337" t="str">
        <x:v>canonical_group_row</x:v>
      </x:c>
      <x:c r="AO337" t="str">
        <x:v>خشکبار و آجیل</x:v>
      </x:c>
      <x:c r="AP337" t="str">
        <x:v>6a37810ddf5573f4e676e201</x:v>
      </x:c>
      <x:c r="AQ337" t="str">
        <x:v>dried-fruits-nuts</x:v>
      </x:c>
      <x:c r="AR337" t="str">
        <x:v>EDIBLE</x:v>
      </x:c>
      <x:c r="AS337" t="str">
        <x:v>بله</x:v>
      </x:c>
      <x:c r="AT337" t="str">
        <x:v>OK</x:v>
      </x:c>
      <x:c r="AU337" t="str">
        <x:v>دسته از «نیاز به بررسی» به «خشکبار و آجیل» اصلاح شد</x:v>
      </x:c>
    </x:row>
    <x:row r="338">
      <x:c r="A338" s="79" t="n">
        <x:v>340</x:v>
      </x:c>
      <x:c r="B338" s="79" t="str">
        <x:v>NS-0337-1</x:v>
      </x:c>
      <x:c r="C338" s="79" t="str">
        <x:v>کره فندق</x:v>
      </x:c>
      <x:c r="D338" s="79" t="str">
        <x:v>hazelnut_butter</x:v>
      </x:c>
      <x:c r="E338" s="79" t="str">
        <x:v>update</x:v>
      </x:c>
      <x:c r="F338" s="79" t="str">
        <x:v>بله</x:v>
      </x:c>
      <x:c r="G338" s="79" t="str">
        <x:v>خشکبار و آجیل</x:v>
      </x:c>
      <x:c r="H338" s="79" t="str">
        <x:v>خشکبار و آجیل</x:v>
      </x:c>
      <x:c r="I338" s="79" t="str">
        <x:v>6a37810ddf5573f4e676e201</x:v>
      </x:c>
      <x:c r="J338" s="79" t="str">
        <x:v>dried-fruits-nuts</x:v>
      </x:c>
      <x:c r="K338" s="79"/>
      <x:c r="L338" s="79" t="str">
        <x:v>EDIBLE</x:v>
      </x:c>
      <x:c r="M338" s="79" t="str">
        <x:v>بله</x:v>
      </x:c>
      <x:c r="N338" s="79" t="str">
        <x:v>خوراکی</x:v>
      </x:c>
      <x:c r="O338" s="79" t="str">
        <x:v>خیر</x:v>
      </x:c>
      <x:c r="P338" s="79" t="n">
        <x:v>1</x:v>
      </x:c>
      <x:c r="Q338" s="79" t="str">
        <x:v>195 گرمی</x:v>
      </x:c>
      <x:c r="R338" s="79" t="n">
        <x:v>500</x:v>
      </x:c>
      <x:c r="S338" s="104" t="n">
        <x:v>500000</x:v>
      </x:c>
      <x:c r="T338" s="79" t="n">
        <x:v>195</x:v>
      </x:c>
      <x:c r="U338" s="79" t="str">
        <x:v>g</x:v>
      </x:c>
      <x:c r="V338" s="79" t="str">
        <x:v>195 گرم</x:v>
      </x:c>
      <x:c r="W338" s="99" t="b">
        <x:v>1</x:v>
      </x:c>
      <x:c r="X338" s="79" t="str"/>
      <x:c r="Y338" s="79"/>
      <x:c r="Z338" s="104"/>
      <x:c r="AA338" s="79" t="str"/>
      <x:c r="AB338" s="79" t="str"/>
      <x:c r="AC338" s="79" t="str"/>
      <x:c r="AD338" s="79" t="str"/>
      <x:c r="AE338" s="79" t="str">
        <x:v>فعال</x:v>
      </x:c>
      <x:c r="AF338" s="79" t="str">
        <x:v>دسته‌بندی نهایی</x:v>
      </x:c>
      <x:c r="AG338" s="79" t="str">
        <x:v>OK</x:v>
      </x:c>
      <x:c r="AH338" s="79" t="str">
        <x:v>[{"name": "195 گرمی", "sku": "", "price": 500000, "stock": "", "weight": 195, "weightUnit": "g", "containerSize": "195 گرم", "isDefault": true}]</x:v>
      </x:c>
      <x:c r="AI338" s="79"/>
      <x:c r="AJ338" s="79"/>
      <x:c r="AK338" s="79"/>
      <x:c r="AL338" t="str">
        <x:v>کره فندق</x:v>
      </x:c>
      <x:c r="AM338" t="str">
        <x:v>single_340</x:v>
      </x:c>
      <x:c r="AN338" t="str">
        <x:v>canonical_group_row</x:v>
      </x:c>
      <x:c r="AO338" t="str">
        <x:v>خشکبار و آجیل</x:v>
      </x:c>
      <x:c r="AP338" t="str">
        <x:v>6a37810ddf5573f4e676e201</x:v>
      </x:c>
      <x:c r="AQ338" t="str">
        <x:v>dried-fruits-nuts</x:v>
      </x:c>
      <x:c r="AR338" t="str">
        <x:v>EDIBLE</x:v>
      </x:c>
      <x:c r="AS338" t="str">
        <x:v>بله</x:v>
      </x:c>
      <x:c r="AT338" t="str">
        <x:v>OK</x:v>
      </x:c>
      <x:c r="AU338"/>
    </x:row>
    <x:row r="339">
      <x:c r="A339" s="79" t="n">
        <x:v>341</x:v>
      </x:c>
      <x:c r="B339" s="79" t="str">
        <x:v>NS-0338-1</x:v>
      </x:c>
      <x:c r="C339" s="79" t="str">
        <x:v>کره کدو</x:v>
      </x:c>
      <x:c r="D339" s="79" t="str">
        <x:v>butter_pumpkin</x:v>
      </x:c>
      <x:c r="E339" s="79" t="str">
        <x:v>update</x:v>
      </x:c>
      <x:c r="F339" s="79" t="str">
        <x:v>بله</x:v>
      </x:c>
      <x:c r="G339" s="79" t="str">
        <x:v>سایر</x:v>
      </x:c>
      <x:c r="H339" s="79" t="str">
        <x:v>خشکبار و آجیل</x:v>
      </x:c>
      <x:c r="I339" s="79" t="str">
        <x:v>6a37810ddf5573f4e676e201</x:v>
      </x:c>
      <x:c r="J339" s="79" t="str">
        <x:v>dried-fruits-nuts</x:v>
      </x:c>
      <x:c r="K339" s="79"/>
      <x:c r="L339" s="79" t="str">
        <x:v>EDIBLE</x:v>
      </x:c>
      <x:c r="M339" s="79" t="str">
        <x:v>بله</x:v>
      </x:c>
      <x:c r="N339" s="79" t="str">
        <x:v>خوراکی</x:v>
      </x:c>
      <x:c r="O339" s="79" t="str">
        <x:v>خیر</x:v>
      </x:c>
      <x:c r="P339" s="79" t="n">
        <x:v>1</x:v>
      </x:c>
      <x:c r="Q339" s="79" t="str">
        <x:v>کیلو</x:v>
      </x:c>
      <x:c r="R339" s="79" t="str">
        <x:v>؟</x:v>
      </x:c>
      <x:c r="S339" s="104"/>
      <x:c r="T339" s="79" t="n">
        <x:v>1</x:v>
      </x:c>
      <x:c r="U339" s="79" t="str">
        <x:v>kg</x:v>
      </x:c>
      <x:c r="V339" s="79" t="str">
        <x:v>کیلو</x:v>
      </x:c>
      <x:c r="W339" s="99" t="b">
        <x:v>1</x:v>
      </x:c>
      <x:c r="X339" s="79" t="str"/>
      <x:c r="Y339" s="79"/>
      <x:c r="Z339" s="104"/>
      <x:c r="AA339" s="79" t="str"/>
      <x:c r="AB339" s="79" t="str"/>
      <x:c r="AC339" s="79" t="str"/>
      <x:c r="AD339" s="79" t="str"/>
      <x:c r="AE339" s="79" t="str">
        <x:v>نیاز به استعلام</x:v>
      </x:c>
      <x:c r="AF339" s="79" t="str">
        <x:v>نیازمند بررسی دستی</x:v>
      </x:c>
      <x:c r="AG339" s="79" t="str">
        <x:v>دسته از «نیاز به بررسی» به «خشکبار و آجیل» اصلاح شد | یک یا چند قیمت نامشخص است</x:v>
      </x:c>
      <x:c r="AH339" s="79" t="str">
        <x:v>[{"name": "کیلو", "sku": "", "price": null, "stock": "", "weight": 1, "weightUnit": "kg", "containerSize": "کیلو", "isDefault": true}]</x:v>
      </x:c>
      <x:c r="AI339" s="79"/>
      <x:c r="AJ339" s="79"/>
      <x:c r="AK339" s="79"/>
      <x:c r="AL339" t="str">
        <x:v>کره کدو</x:v>
      </x:c>
      <x:c r="AM339" t="str">
        <x:v>single_341</x:v>
      </x:c>
      <x:c r="AN339" t="str">
        <x:v>canonical_group_row</x:v>
      </x:c>
      <x:c r="AO339" t="str">
        <x:v>خشکبار و آجیل</x:v>
      </x:c>
      <x:c r="AP339" t="str">
        <x:v>6a37810ddf5573f4e676e201</x:v>
      </x:c>
      <x:c r="AQ339" t="str">
        <x:v>dried-fruits-nuts</x:v>
      </x:c>
      <x:c r="AR339" t="str">
        <x:v>EDIBLE</x:v>
      </x:c>
      <x:c r="AS339" t="str">
        <x:v>بله</x:v>
      </x:c>
      <x:c r="AT339" t="str">
        <x:v>MISSING_PRICE_REVIEW</x:v>
      </x:c>
      <x:c r="AU339" t="str">
        <x:v>دسته از «نیاز به بررسی» به «خشکبار و آجیل» اصلاح شد | یک یا چند قیمت نامشخص است</x:v>
      </x:c>
    </x:row>
    <x:row r="340">
      <x:c r="A340" s="79" t="n">
        <x:v>342</x:v>
      </x:c>
      <x:c r="B340" s="79" t="str">
        <x:v>NS-0339-1</x:v>
      </x:c>
      <x:c r="C340" s="79" t="str">
        <x:v>کره نارگیل</x:v>
      </x:c>
      <x:c r="D340" s="79" t="str">
        <x:v>coconut_butter_195_warm</x:v>
      </x:c>
      <x:c r="E340" s="79" t="str">
        <x:v>update</x:v>
      </x:c>
      <x:c r="F340" s="79" t="str">
        <x:v>بله</x:v>
      </x:c>
      <x:c r="G340" s="79" t="str">
        <x:v>سایر</x:v>
      </x:c>
      <x:c r="H340" s="79" t="str">
        <x:v>خشکبار و آجیل</x:v>
      </x:c>
      <x:c r="I340" s="79" t="str">
        <x:v>6a37810ddf5573f4e676e201</x:v>
      </x:c>
      <x:c r="J340" s="79" t="str">
        <x:v>dried-fruits-nuts</x:v>
      </x:c>
      <x:c r="K340" s="79"/>
      <x:c r="L340" s="79" t="str">
        <x:v>EDIBLE</x:v>
      </x:c>
      <x:c r="M340" s="79" t="str">
        <x:v>بله</x:v>
      </x:c>
      <x:c r="N340" s="79" t="str">
        <x:v>خوراکی</x:v>
      </x:c>
      <x:c r="O340" s="79" t="str">
        <x:v>بله</x:v>
      </x:c>
      <x:c r="P340" s="79" t="n">
        <x:v>2</x:v>
      </x:c>
      <x:c r="Q340" s="79" t="str">
        <x:v>195 گرمی</x:v>
      </x:c>
      <x:c r="R340" s="79" t="n">
        <x:v>350</x:v>
      </x:c>
      <x:c r="S340" s="104" t="n">
        <x:v>350000</x:v>
      </x:c>
      <x:c r="T340" s="79" t="n">
        <x:v>195</x:v>
      </x:c>
      <x:c r="U340" s="79" t="str">
        <x:v>g</x:v>
      </x:c>
      <x:c r="V340" s="79" t="str">
        <x:v>195 گرم</x:v>
      </x:c>
      <x:c r="W340" s="99" t="b">
        <x:v>1</x:v>
      </x:c>
      <x:c r="X340" s="79" t="str">
        <x:v>255 گرمی</x:v>
      </x:c>
      <x:c r="Y340" s="79" t="n">
        <x:v>460</x:v>
      </x:c>
      <x:c r="Z340" s="104" t="n">
        <x:v>460000</x:v>
      </x:c>
      <x:c r="AA340" s="79" t="n">
        <x:v>255</x:v>
      </x:c>
      <x:c r="AB340" s="79" t="str">
        <x:v>g</x:v>
      </x:c>
      <x:c r="AC340" s="79" t="str">
        <x:v>255 گرم</x:v>
      </x:c>
      <x:c r="AD340" s="99" t="b">
        <x:v>0</x:v>
      </x:c>
      <x:c r="AE340" s="79" t="str">
        <x:v>فعال</x:v>
      </x:c>
      <x:c r="AF340" s="79" t="str">
        <x:v>نیازمند بررسی دستی</x:v>
      </x:c>
      <x:c r="AG340" s="79" t="str">
        <x:v>دسته از «نیاز به بررسی» به «خشکبار و آجیل» اصلاح شد</x:v>
      </x:c>
      <x:c r="AH340" s="79" t="str">
        <x:v>[{"name": "195 گرمی", "sku": "", "price": 350000, "stock": "", "weight": 195, "weightUnit": "g", "containerSize": "195 گرم", "isDefault": true}, {"name": "255 گرمی", "sku": "", "price": 460000, "stock": "", "weight": 255, "weightUnit": "g", "containerSize": "255 گرم", "isDefault": false}]</x:v>
      </x:c>
      <x:c r="AI340" s="79"/>
      <x:c r="AJ340" s="79"/>
      <x:c r="AK340" s="79"/>
      <x:c r="AL340" t="str">
        <x:v>کره نارگیل</x:v>
      </x:c>
      <x:c r="AM340" t="str">
        <x:v>single_342</x:v>
      </x:c>
      <x:c r="AN340" t="str">
        <x:v>canonical_group_row</x:v>
      </x:c>
      <x:c r="AO340" t="str">
        <x:v>خشکبار و آجیل</x:v>
      </x:c>
      <x:c r="AP340" t="str">
        <x:v>6a37810ddf5573f4e676e201</x:v>
      </x:c>
      <x:c r="AQ340" t="str">
        <x:v>dried-fruits-nuts</x:v>
      </x:c>
      <x:c r="AR340" t="str">
        <x:v>EDIBLE</x:v>
      </x:c>
      <x:c r="AS340" t="str">
        <x:v>بله</x:v>
      </x:c>
      <x:c r="AT340" t="str">
        <x:v>OK</x:v>
      </x:c>
      <x:c r="AU340" t="str">
        <x:v>دسته از «نیاز به بررسی» به «خشکبار و آجیل» اصلاح شد</x:v>
      </x:c>
    </x:row>
    <x:row r="341">
      <x:c r="A341" s="79" t="n">
        <x:v>343</x:v>
      </x:c>
      <x:c r="B341" s="79" t="str">
        <x:v>NS-0340-1</x:v>
      </x:c>
      <x:c r="C341" s="79" t="str">
        <x:v>کشمش با هسته (مویز)</x:v>
      </x:c>
      <x:c r="D341" s="79" t="str">
        <x:v>raisin_with_seed</x:v>
      </x:c>
      <x:c r="E341" s="79" t="str">
        <x:v>update</x:v>
      </x:c>
      <x:c r="F341" s="79" t="str">
        <x:v>بله</x:v>
      </x:c>
      <x:c r="G341" s="79" t="str">
        <x:v>خشکبار و آجیل</x:v>
      </x:c>
      <x:c r="H341" s="79" t="str">
        <x:v>خشکبار و آجیل</x:v>
      </x:c>
      <x:c r="I341" s="79" t="str">
        <x:v>6a37810ddf5573f4e676e201</x:v>
      </x:c>
      <x:c r="J341" s="79" t="str">
        <x:v>dried-fruits-nuts</x:v>
      </x:c>
      <x:c r="K341" s="79"/>
      <x:c r="L341" s="79" t="str">
        <x:v>EDIBLE</x:v>
      </x:c>
      <x:c r="M341" s="79" t="str">
        <x:v>بله</x:v>
      </x:c>
      <x:c r="N341" s="79" t="str">
        <x:v>خوراکی</x:v>
      </x:c>
      <x:c r="O341" s="79" t="str">
        <x:v>خیر</x:v>
      </x:c>
      <x:c r="P341" s="79" t="n">
        <x:v>1</x:v>
      </x:c>
      <x:c r="Q341" s="79" t="str">
        <x:v>کیلو</x:v>
      </x:c>
      <x:c r="R341" s="79" t="n">
        <x:v>800</x:v>
      </x:c>
      <x:c r="S341" s="104" t="n">
        <x:v>800000</x:v>
      </x:c>
      <x:c r="T341" s="79" t="n">
        <x:v>1</x:v>
      </x:c>
      <x:c r="U341" s="79" t="str">
        <x:v>kg</x:v>
      </x:c>
      <x:c r="V341" s="79" t="str">
        <x:v>کیلو</x:v>
      </x:c>
      <x:c r="W341" s="99" t="b">
        <x:v>1</x:v>
      </x:c>
      <x:c r="X341" s="79" t="str"/>
      <x:c r="Y341" s="79"/>
      <x:c r="Z341" s="104"/>
      <x:c r="AA341" s="79" t="str"/>
      <x:c r="AB341" s="79" t="str"/>
      <x:c r="AC341" s="79" t="str"/>
      <x:c r="AD341" s="79" t="str"/>
      <x:c r="AE341" s="79" t="str">
        <x:v>فعال</x:v>
      </x:c>
      <x:c r="AF341" s="79" t="str">
        <x:v>دسته‌بندی نهایی</x:v>
      </x:c>
      <x:c r="AG341" s="79" t="str">
        <x:v>OK</x:v>
      </x:c>
      <x:c r="AH341" s="79" t="str">
        <x:v>[{"name": "کیلو", "sku": "", "price": 800000, "stock": "", "weight": 1, "weightUnit": "kg", "containerSize": "کیلو", "isDefault": true}]</x:v>
      </x:c>
      <x:c r="AI341" s="79"/>
      <x:c r="AJ341" s="79"/>
      <x:c r="AK341" s="79"/>
      <x:c r="AL341" t="str">
        <x:v>کشمش با هسته (مویز)</x:v>
      </x:c>
      <x:c r="AM341" t="str">
        <x:v>single_343</x:v>
      </x:c>
      <x:c r="AN341" t="str">
        <x:v>canonical_group_row</x:v>
      </x:c>
      <x:c r="AO341" t="str">
        <x:v>خشکبار و آجیل</x:v>
      </x:c>
      <x:c r="AP341" t="str">
        <x:v>6a37810ddf5573f4e676e201</x:v>
      </x:c>
      <x:c r="AQ341" t="str">
        <x:v>dried-fruits-nuts</x:v>
      </x:c>
      <x:c r="AR341" t="str">
        <x:v>EDIBLE</x:v>
      </x:c>
      <x:c r="AS341" t="str">
        <x:v>بله</x:v>
      </x:c>
      <x:c r="AT341" t="str">
        <x:v>OK</x:v>
      </x:c>
      <x:c r="AU341"/>
    </x:row>
    <x:row r="342">
      <x:c r="A342" s="79" t="n">
        <x:v>344</x:v>
      </x:c>
      <x:c r="B342" s="79" t="str">
        <x:v>NS-0341-1</x:v>
      </x:c>
      <x:c r="C342" s="79" t="str">
        <x:v>کشمش سبز</x:v>
      </x:c>
      <x:c r="D342" s="79" t="str">
        <x:v>green_raisin</x:v>
      </x:c>
      <x:c r="E342" s="79" t="str">
        <x:v>update</x:v>
      </x:c>
      <x:c r="F342" s="79" t="str">
        <x:v>بله</x:v>
      </x:c>
      <x:c r="G342" s="79" t="str">
        <x:v>خشکبار و آجیل</x:v>
      </x:c>
      <x:c r="H342" s="79" t="str">
        <x:v>خشکبار و آجیل</x:v>
      </x:c>
      <x:c r="I342" s="79" t="str">
        <x:v>6a37810ddf5573f4e676e201</x:v>
      </x:c>
      <x:c r="J342" s="79" t="str">
        <x:v>dried-fruits-nuts</x:v>
      </x:c>
      <x:c r="K342" s="79"/>
      <x:c r="L342" s="79" t="str">
        <x:v>EDIBLE</x:v>
      </x:c>
      <x:c r="M342" s="79" t="str">
        <x:v>بله</x:v>
      </x:c>
      <x:c r="N342" s="79" t="str">
        <x:v>خوراکی</x:v>
      </x:c>
      <x:c r="O342" s="79" t="str">
        <x:v>خیر</x:v>
      </x:c>
      <x:c r="P342" s="79" t="n">
        <x:v>1</x:v>
      </x:c>
      <x:c r="Q342" s="79" t="str">
        <x:v>کیلو</x:v>
      </x:c>
      <x:c r="R342" s="79" t="n">
        <x:v>700</x:v>
      </x:c>
      <x:c r="S342" s="104" t="n">
        <x:v>700000</x:v>
      </x:c>
      <x:c r="T342" s="79" t="n">
        <x:v>1</x:v>
      </x:c>
      <x:c r="U342" s="79" t="str">
        <x:v>kg</x:v>
      </x:c>
      <x:c r="V342" s="79" t="str">
        <x:v>کیلو</x:v>
      </x:c>
      <x:c r="W342" s="99" t="b">
        <x:v>1</x:v>
      </x:c>
      <x:c r="X342" s="79" t="str"/>
      <x:c r="Y342" s="79"/>
      <x:c r="Z342" s="104"/>
      <x:c r="AA342" s="79" t="str"/>
      <x:c r="AB342" s="79" t="str"/>
      <x:c r="AC342" s="79" t="str"/>
      <x:c r="AD342" s="79" t="str"/>
      <x:c r="AE342" s="79" t="str">
        <x:v>فعال</x:v>
      </x:c>
      <x:c r="AF342" s="79" t="str">
        <x:v>دسته‌بندی نهایی</x:v>
      </x:c>
      <x:c r="AG342" s="79" t="str">
        <x:v>OK</x:v>
      </x:c>
      <x:c r="AH342" s="79" t="str">
        <x:v>[{"name": "کیلو", "sku": "", "price": 700000, "stock": "", "weight": 1, "weightUnit": "kg", "containerSize": "کیلو", "isDefault": true}]</x:v>
      </x:c>
      <x:c r="AI342" s="79"/>
      <x:c r="AJ342" s="79"/>
      <x:c r="AK342" s="79"/>
      <x:c r="AL342" t="str">
        <x:v>کشمش سبز</x:v>
      </x:c>
      <x:c r="AM342" t="str">
        <x:v>single_344</x:v>
      </x:c>
      <x:c r="AN342" t="str">
        <x:v>canonical_group_row</x:v>
      </x:c>
      <x:c r="AO342" t="str">
        <x:v>خشکبار و آجیل</x:v>
      </x:c>
      <x:c r="AP342" t="str">
        <x:v>6a37810ddf5573f4e676e201</x:v>
      </x:c>
      <x:c r="AQ342" t="str">
        <x:v>dried-fruits-nuts</x:v>
      </x:c>
      <x:c r="AR342" t="str">
        <x:v>EDIBLE</x:v>
      </x:c>
      <x:c r="AS342" t="str">
        <x:v>بله</x:v>
      </x:c>
      <x:c r="AT342" t="str">
        <x:v>OK</x:v>
      </x:c>
      <x:c r="AU342"/>
    </x:row>
    <x:row r="343">
      <x:c r="A343" s="79" t="n">
        <x:v>345</x:v>
      </x:c>
      <x:c r="B343" s="79" t="str">
        <x:v>NS-0342-1</x:v>
      </x:c>
      <x:c r="C343" s="79" t="str">
        <x:v>کلوچه زنجبیلی با شکر قهوه ای</x:v>
      </x:c>
      <x:c r="D343" s="79" t="str">
        <x:v>ginger_cookie_with_brown_sugar</x:v>
      </x:c>
      <x:c r="E343" s="79" t="str">
        <x:v>update</x:v>
      </x:c>
      <x:c r="F343" s="79" t="str">
        <x:v>بله</x:v>
      </x:c>
      <x:c r="G343" s="79" t="str">
        <x:v>قنادی و شیرینی</x:v>
      </x:c>
      <x:c r="H343" s="79" t="str">
        <x:v>قنادی و شیرینی</x:v>
      </x:c>
      <x:c r="I343" s="79" t="str">
        <x:v>6a3a00000000000000000003</x:v>
      </x:c>
      <x:c r="J343" s="79" t="str">
        <x:v>confectionery</x:v>
      </x:c>
      <x:c r="K343" s="79"/>
      <x:c r="L343" s="79" t="str">
        <x:v>EDIBLE</x:v>
      </x:c>
      <x:c r="M343" s="79" t="str">
        <x:v>بله</x:v>
      </x:c>
      <x:c r="N343" s="79" t="str">
        <x:v>خوراکی</x:v>
      </x:c>
      <x:c r="O343" s="79" t="str">
        <x:v>خیر</x:v>
      </x:c>
      <x:c r="P343" s="79" t="n">
        <x:v>1</x:v>
      </x:c>
      <x:c r="Q343" s="79" t="str">
        <x:v>کیلو</x:v>
      </x:c>
      <x:c r="R343" s="79" t="n">
        <x:v>350</x:v>
      </x:c>
      <x:c r="S343" s="104" t="n">
        <x:v>350000</x:v>
      </x:c>
      <x:c r="T343" s="79" t="n">
        <x:v>1</x:v>
      </x:c>
      <x:c r="U343" s="79" t="str">
        <x:v>kg</x:v>
      </x:c>
      <x:c r="V343" s="79" t="str">
        <x:v>کیلو</x:v>
      </x:c>
      <x:c r="W343" s="99" t="b">
        <x:v>1</x:v>
      </x:c>
      <x:c r="X343" s="79" t="str"/>
      <x:c r="Y343" s="79"/>
      <x:c r="Z343" s="104"/>
      <x:c r="AA343" s="79" t="str"/>
      <x:c r="AB343" s="79" t="str"/>
      <x:c r="AC343" s="79" t="str"/>
      <x:c r="AD343" s="79" t="str"/>
      <x:c r="AE343" s="79" t="str">
        <x:v>فعال</x:v>
      </x:c>
      <x:c r="AF343" s="79" t="str">
        <x:v>دسته‌بندی نهایی</x:v>
      </x:c>
      <x:c r="AG343" s="79" t="str">
        <x:v>OK</x:v>
      </x:c>
      <x:c r="AH343" s="79" t="str">
        <x:v>[{"name": "کیلو", "sku": "", "price": 350000, "stock": "", "weight": 1, "weightUnit": "kg", "containerSize": "کیلو", "isDefault": true}]</x:v>
      </x:c>
      <x:c r="AI343" s="79"/>
      <x:c r="AJ343" s="79"/>
      <x:c r="AK343" s="79"/>
      <x:c r="AL343" t="str">
        <x:v>کلوچه زنجبیلی با شکر قهوه ای</x:v>
      </x:c>
      <x:c r="AM343" t="str">
        <x:v>single_345</x:v>
      </x:c>
      <x:c r="AN343" t="str">
        <x:v>canonical_group_row</x:v>
      </x:c>
      <x:c r="AO343" t="str">
        <x:v>قنادی و شیرینی</x:v>
      </x:c>
      <x:c r="AP343" t="str">
        <x:v>6a3a00000000000000000003</x:v>
      </x:c>
      <x:c r="AQ343" t="str">
        <x:v>confectionery</x:v>
      </x:c>
      <x:c r="AR343" t="str">
        <x:v>EDIBLE</x:v>
      </x:c>
      <x:c r="AS343" t="str">
        <x:v>بله</x:v>
      </x:c>
      <x:c r="AT343" t="str">
        <x:v>OK</x:v>
      </x:c>
      <x:c r="AU343"/>
    </x:row>
    <x:row r="344">
      <x:c r="A344" s="79" t="n">
        <x:v>346</x:v>
      </x:c>
      <x:c r="B344" s="79" t="str">
        <x:v>NS-0343-1</x:v>
      </x:c>
      <x:c r="C344" s="79" t="str">
        <x:v>کلوچه زنجبیلی با مغز خرما</x:v>
      </x:c>
      <x:c r="D344" s="79" t="str">
        <x:v>ginger_cookie_with_date_filling</x:v>
      </x:c>
      <x:c r="E344" s="79" t="str">
        <x:v>update</x:v>
      </x:c>
      <x:c r="F344" s="79" t="str">
        <x:v>بله</x:v>
      </x:c>
      <x:c r="G344" s="79" t="str">
        <x:v>قنادی و شیرینی</x:v>
      </x:c>
      <x:c r="H344" s="79" t="str">
        <x:v>قنادی و شیرینی</x:v>
      </x:c>
      <x:c r="I344" s="79" t="str">
        <x:v>6a3a00000000000000000003</x:v>
      </x:c>
      <x:c r="J344" s="79" t="str">
        <x:v>confectionery</x:v>
      </x:c>
      <x:c r="K344" s="79"/>
      <x:c r="L344" s="79" t="str">
        <x:v>EDIBLE</x:v>
      </x:c>
      <x:c r="M344" s="79" t="str">
        <x:v>بله</x:v>
      </x:c>
      <x:c r="N344" s="79" t="str">
        <x:v>خوراکی</x:v>
      </x:c>
      <x:c r="O344" s="79" t="str">
        <x:v>خیر</x:v>
      </x:c>
      <x:c r="P344" s="79" t="n">
        <x:v>1</x:v>
      </x:c>
      <x:c r="Q344" s="79" t="str">
        <x:v>کیلو</x:v>
      </x:c>
      <x:c r="R344" s="79" t="n">
        <x:v>500</x:v>
      </x:c>
      <x:c r="S344" s="104" t="n">
        <x:v>500000</x:v>
      </x:c>
      <x:c r="T344" s="79" t="n">
        <x:v>1</x:v>
      </x:c>
      <x:c r="U344" s="79" t="str">
        <x:v>kg</x:v>
      </x:c>
      <x:c r="V344" s="79" t="str">
        <x:v>کیلو</x:v>
      </x:c>
      <x:c r="W344" s="99" t="b">
        <x:v>1</x:v>
      </x:c>
      <x:c r="X344" s="79" t="str"/>
      <x:c r="Y344" s="79"/>
      <x:c r="Z344" s="104"/>
      <x:c r="AA344" s="79" t="str"/>
      <x:c r="AB344" s="79" t="str"/>
      <x:c r="AC344" s="79" t="str"/>
      <x:c r="AD344" s="79" t="str"/>
      <x:c r="AE344" s="79" t="str">
        <x:v>فعال</x:v>
      </x:c>
      <x:c r="AF344" s="79" t="str">
        <x:v>دسته‌بندی نهایی</x:v>
      </x:c>
      <x:c r="AG344" s="79" t="str">
        <x:v>OK</x:v>
      </x:c>
      <x:c r="AH344" s="79" t="str">
        <x:v>[{"name": "کیلو", "sku": "", "price": 500000, "stock": "", "weight": 1, "weightUnit": "kg", "containerSize": "کیلو", "isDefault": true}]</x:v>
      </x:c>
      <x:c r="AI344" s="79"/>
      <x:c r="AJ344" s="79"/>
      <x:c r="AK344" s="79"/>
      <x:c r="AL344" t="str">
        <x:v>کلوچه زنجبیلی با مغز خرما</x:v>
      </x:c>
      <x:c r="AM344" t="str">
        <x:v>single_346</x:v>
      </x:c>
      <x:c r="AN344" t="str">
        <x:v>canonical_group_row</x:v>
      </x:c>
      <x:c r="AO344" t="str">
        <x:v>قنادی و شیرینی</x:v>
      </x:c>
      <x:c r="AP344" t="str">
        <x:v>6a3a00000000000000000003</x:v>
      </x:c>
      <x:c r="AQ344" t="str">
        <x:v>confectionery</x:v>
      </x:c>
      <x:c r="AR344" t="str">
        <x:v>EDIBLE</x:v>
      </x:c>
      <x:c r="AS344" t="str">
        <x:v>بله</x:v>
      </x:c>
      <x:c r="AT344" t="str">
        <x:v>OK</x:v>
      </x:c>
      <x:c r="AU344"/>
    </x:row>
    <x:row r="345">
      <x:c r="A345" s="79" t="n">
        <x:v>347</x:v>
      </x:c>
      <x:c r="B345" s="79" t="str">
        <x:v>NS-0344-1</x:v>
      </x:c>
      <x:c r="C345" s="79" t="str">
        <x:v>کلوچه کلمپه</x:v>
      </x:c>
      <x:c r="D345" s="79" t="str">
        <x:v>cookie_kolompeh</x:v>
      </x:c>
      <x:c r="E345" s="79" t="str">
        <x:v>update</x:v>
      </x:c>
      <x:c r="F345" s="79" t="str">
        <x:v>بله</x:v>
      </x:c>
      <x:c r="G345" s="79" t="str">
        <x:v>سایر</x:v>
      </x:c>
      <x:c r="H345" s="79" t="str">
        <x:v>قنادی و شیرینی</x:v>
      </x:c>
      <x:c r="I345" s="79" t="str">
        <x:v>6a3a00000000000000000003</x:v>
      </x:c>
      <x:c r="J345" s="79" t="str">
        <x:v>confectionery</x:v>
      </x:c>
      <x:c r="K345" s="79"/>
      <x:c r="L345" s="79" t="str">
        <x:v>EDIBLE</x:v>
      </x:c>
      <x:c r="M345" s="79" t="str">
        <x:v>بله</x:v>
      </x:c>
      <x:c r="N345" s="79" t="str">
        <x:v>خوراکی</x:v>
      </x:c>
      <x:c r="O345" s="79" t="str">
        <x:v>خیر</x:v>
      </x:c>
      <x:c r="P345" s="79" t="n">
        <x:v>1</x:v>
      </x:c>
      <x:c r="Q345" s="79" t="str">
        <x:v>عددی</x:v>
      </x:c>
      <x:c r="R345" s="79" t="n">
        <x:v>25</x:v>
      </x:c>
      <x:c r="S345" s="104" t="n">
        <x:v>25000</x:v>
      </x:c>
      <x:c r="T345" s="79" t="str"/>
      <x:c r="U345" s="79" t="str"/>
      <x:c r="V345" s="79" t="str">
        <x:v>عددی</x:v>
      </x:c>
      <x:c r="W345" s="99" t="b">
        <x:v>1</x:v>
      </x:c>
      <x:c r="X345" s="79" t="str"/>
      <x:c r="Y345" s="79"/>
      <x:c r="Z345" s="104"/>
      <x:c r="AA345" s="79" t="str"/>
      <x:c r="AB345" s="79" t="str"/>
      <x:c r="AC345" s="79" t="str"/>
      <x:c r="AD345" s="79" t="str"/>
      <x:c r="AE345" s="79" t="str">
        <x:v>فعال</x:v>
      </x:c>
      <x:c r="AF345" s="79" t="str">
        <x:v>نیازمند بررسی دستی</x:v>
      </x:c>
      <x:c r="AG345" s="79" t="str">
        <x:v>دسته از «نیاز به بررسی» به «قنادی و شیرینی» اصلاح شد</x:v>
      </x:c>
      <x:c r="AH345" s="79" t="str">
        <x:v>[{"name": "عددی", "sku": "", "price": 25000, "stock": "", "weight": "", "weightUnit": "", "containerSize": "عددی", "isDefault": true}]</x:v>
      </x:c>
      <x:c r="AI345" s="79"/>
      <x:c r="AJ345" s="79"/>
      <x:c r="AK345" s="79"/>
      <x:c r="AL345" t="str">
        <x:v>کلوچه کلمپه</x:v>
      </x:c>
      <x:c r="AM345" t="str">
        <x:v>single_347</x:v>
      </x:c>
      <x:c r="AN345" t="str">
        <x:v>canonical_group_row</x:v>
      </x:c>
      <x:c r="AO345" t="str">
        <x:v>قنادی و شیرینی</x:v>
      </x:c>
      <x:c r="AP345" t="str">
        <x:v>6a3a00000000000000000003</x:v>
      </x:c>
      <x:c r="AQ345" t="str">
        <x:v>confectionery</x:v>
      </x:c>
      <x:c r="AR345" t="str">
        <x:v>EDIBLE</x:v>
      </x:c>
      <x:c r="AS345" t="str">
        <x:v>بله</x:v>
      </x:c>
      <x:c r="AT345" t="str">
        <x:v>OK</x:v>
      </x:c>
      <x:c r="AU345" t="str">
        <x:v>دسته از «نیاز به بررسی» به «قنادی و شیرینی» اصلاح شد</x:v>
      </x:c>
    </x:row>
    <x:row r="346">
      <x:c r="A346" s="79" t="n">
        <x:v>348</x:v>
      </x:c>
      <x:c r="B346" s="79" t="str">
        <x:v>NS-0345-1</x:v>
      </x:c>
      <x:c r="C346" s="79" t="str">
        <x:v>کنجد خام ایرانی</x:v>
      </x:c>
      <x:c r="D346" s="79" t="str">
        <x:v>sesame_raw_iranian</x:v>
      </x:c>
      <x:c r="E346" s="79" t="str">
        <x:v>update</x:v>
      </x:c>
      <x:c r="F346" s="79" t="str">
        <x:v>بله</x:v>
      </x:c>
      <x:c r="G346" s="79" t="str">
        <x:v>خشکبار و آجیل</x:v>
      </x:c>
      <x:c r="H346" s="79" t="str">
        <x:v>خشکبار و آجیل</x:v>
      </x:c>
      <x:c r="I346" s="79" t="str">
        <x:v>6a37810ddf5573f4e676e201</x:v>
      </x:c>
      <x:c r="J346" s="79" t="str">
        <x:v>dried-fruits-nuts</x:v>
      </x:c>
      <x:c r="K346" s="79"/>
      <x:c r="L346" s="79" t="str">
        <x:v>EDIBLE</x:v>
      </x:c>
      <x:c r="M346" s="79" t="str">
        <x:v>بله</x:v>
      </x:c>
      <x:c r="N346" s="79" t="str">
        <x:v>خوراکی</x:v>
      </x:c>
      <x:c r="O346" s="79" t="str">
        <x:v>خیر</x:v>
      </x:c>
      <x:c r="P346" s="79" t="n">
        <x:v>1</x:v>
      </x:c>
      <x:c r="Q346" s="79" t="str">
        <x:v>کیلو</x:v>
      </x:c>
      <x:c r="R346" s="79" t="str">
        <x:v>؟</x:v>
      </x:c>
      <x:c r="S346" s="104"/>
      <x:c r="T346" s="79" t="n">
        <x:v>1</x:v>
      </x:c>
      <x:c r="U346" s="79" t="str">
        <x:v>kg</x:v>
      </x:c>
      <x:c r="V346" s="79" t="str">
        <x:v>کیلو</x:v>
      </x:c>
      <x:c r="W346" s="99" t="b">
        <x:v>1</x:v>
      </x:c>
      <x:c r="X346" s="79" t="str"/>
      <x:c r="Y346" s="79"/>
      <x:c r="Z346" s="104"/>
      <x:c r="AA346" s="79" t="str"/>
      <x:c r="AB346" s="79" t="str"/>
      <x:c r="AC346" s="79" t="str"/>
      <x:c r="AD346" s="79" t="str"/>
      <x:c r="AE346" s="79" t="str">
        <x:v>نیاز به استعلام</x:v>
      </x:c>
      <x:c r="AF346" s="79" t="str">
        <x:v>دسته‌بندی نهایی</x:v>
      </x:c>
      <x:c r="AG346" s="79" t="str">
        <x:v>یک یا چند قیمت نامشخص است</x:v>
      </x:c>
      <x:c r="AH346" s="79" t="str">
        <x:v>[{"name": "کیلو", "sku": "", "price": null, "stock": "", "weight": 1, "weightUnit": "kg", "containerSize": "کیلو", "isDefault": true}]</x:v>
      </x:c>
      <x:c r="AI346" s="79"/>
      <x:c r="AJ346" s="79"/>
      <x:c r="AK346" s="79"/>
      <x:c r="AL346" t="str">
        <x:v>کنجد</x:v>
      </x:c>
      <x:c r="AM346" t="str">
        <x:v>grp_sesame</x:v>
      </x:c>
      <x:c r="AN346" t="str">
        <x:v>canonical_group_row</x:v>
      </x:c>
      <x:c r="AO346" t="str">
        <x:v>خشکبار و آجیل</x:v>
      </x:c>
      <x:c r="AP346" t="str">
        <x:v>6a37810ddf5573f4e676e201</x:v>
      </x:c>
      <x:c r="AQ346" t="str">
        <x:v>dried-fruits-nuts</x:v>
      </x:c>
      <x:c r="AR346" t="str">
        <x:v>EDIBLE</x:v>
      </x:c>
      <x:c r="AS346" t="str">
        <x:v>بله</x:v>
      </x:c>
      <x:c r="AT346" t="str">
        <x:v>MERGED + MISSING_PRICE_REVIEW</x:v>
      </x:c>
      <x:c r="AU346" t="str">
        <x:v>یک یا چند قیمت نامشخص است</x:v>
      </x:c>
    </x:row>
    <x:row r="347">
      <x:c r="A347" s="79" t="n">
        <x:v>349</x:v>
      </x:c>
      <x:c r="B347" s="79" t="str">
        <x:v>NS-0346-1</x:v>
      </x:c>
      <x:c r="C347" s="79" t="str">
        <x:v>کنجد دزفول</x:v>
      </x:c>
      <x:c r="D347" s="79" t="str">
        <x:v>sesame_dezful</x:v>
      </x:c>
      <x:c r="E347" s="79" t="str">
        <x:v>update</x:v>
      </x:c>
      <x:c r="F347" s="79" t="str">
        <x:v>بله</x:v>
      </x:c>
      <x:c r="G347" s="79" t="str">
        <x:v>خشکبار و آجیل</x:v>
      </x:c>
      <x:c r="H347" s="79" t="str">
        <x:v>خشکبار و آجیل</x:v>
      </x:c>
      <x:c r="I347" s="79" t="str">
        <x:v>6a37810ddf5573f4e676e201</x:v>
      </x:c>
      <x:c r="J347" s="79" t="str">
        <x:v>dried-fruits-nuts</x:v>
      </x:c>
      <x:c r="K347" s="79"/>
      <x:c r="L347" s="79" t="str">
        <x:v>EDIBLE</x:v>
      </x:c>
      <x:c r="M347" s="79" t="str">
        <x:v>بله</x:v>
      </x:c>
      <x:c r="N347" s="79" t="str">
        <x:v>خوراکی</x:v>
      </x:c>
      <x:c r="O347" s="79" t="str">
        <x:v>خیر</x:v>
      </x:c>
      <x:c r="P347" s="79" t="n">
        <x:v>1</x:v>
      </x:c>
      <x:c r="Q347" s="79" t="str">
        <x:v>کیلو</x:v>
      </x:c>
      <x:c r="R347" s="79" t="str">
        <x:v>؟</x:v>
      </x:c>
      <x:c r="S347" s="104"/>
      <x:c r="T347" s="79" t="n">
        <x:v>1</x:v>
      </x:c>
      <x:c r="U347" s="79" t="str">
        <x:v>kg</x:v>
      </x:c>
      <x:c r="V347" s="79" t="str">
        <x:v>کیلو</x:v>
      </x:c>
      <x:c r="W347" s="99" t="b">
        <x:v>1</x:v>
      </x:c>
      <x:c r="X347" s="79" t="str"/>
      <x:c r="Y347" s="79"/>
      <x:c r="Z347" s="104"/>
      <x:c r="AA347" s="79" t="str"/>
      <x:c r="AB347" s="79" t="str"/>
      <x:c r="AC347" s="79" t="str"/>
      <x:c r="AD347" s="79" t="str"/>
      <x:c r="AE347" s="79" t="str">
        <x:v>نیاز به استعلام</x:v>
      </x:c>
      <x:c r="AF347" s="79" t="str">
        <x:v>دسته‌بندی نهایی</x:v>
      </x:c>
      <x:c r="AG347" s="79" t="str">
        <x:v>یک یا چند قیمت نامشخص است</x:v>
      </x:c>
      <x:c r="AH347" s="79" t="str">
        <x:v>[{"name": "کیلو", "sku": "", "price": null, "stock": "", "weight": 1, "weightUnit": "kg", "containerSize": "کیلو", "isDefault": true}]</x:v>
      </x:c>
      <x:c r="AI347" s="79"/>
      <x:c r="AJ347" s="79"/>
      <x:c r="AK347" s="79"/>
      <x:c r="AL347" t="str">
        <x:v>کنجد</x:v>
      </x:c>
      <x:c r="AM347" t="str">
        <x:v>grp_sesame</x:v>
      </x:c>
      <x:c r="AN347" t="str">
        <x:v>merge_into_canonical_group</x:v>
      </x:c>
      <x:c r="AO347" t="str">
        <x:v>خشکبار و آجیل</x:v>
      </x:c>
      <x:c r="AP347" t="str">
        <x:v>6a37810ddf5573f4e676e201</x:v>
      </x:c>
      <x:c r="AQ347" t="str">
        <x:v>dried-fruits-nuts</x:v>
      </x:c>
      <x:c r="AR347" t="str">
        <x:v>EDIBLE</x:v>
      </x:c>
      <x:c r="AS347" t="str">
        <x:v>بله</x:v>
      </x:c>
      <x:c r="AT347" t="str">
        <x:v>MERGED + MISSING_PRICE_REVIEW</x:v>
      </x:c>
      <x:c r="AU347" t="str">
        <x:v>یک یا چند قیمت نامشخص است</x:v>
      </x:c>
    </x:row>
    <x:row r="348">
      <x:c r="A348" s="79" t="n">
        <x:v>350</x:v>
      </x:c>
      <x:c r="B348" s="79" t="str">
        <x:v>NS-0347-1</x:v>
      </x:c>
      <x:c r="C348" s="79" t="str">
        <x:v>کنجد سفید</x:v>
      </x:c>
      <x:c r="D348" s="79" t="str">
        <x:v>white_sesame</x:v>
      </x:c>
      <x:c r="E348" s="79" t="str">
        <x:v>update</x:v>
      </x:c>
      <x:c r="F348" s="79" t="str">
        <x:v>بله</x:v>
      </x:c>
      <x:c r="G348" s="79" t="str">
        <x:v>خشکبار و آجیل</x:v>
      </x:c>
      <x:c r="H348" s="79" t="str">
        <x:v>خشکبار و آجیل</x:v>
      </x:c>
      <x:c r="I348" s="79" t="str">
        <x:v>6a37810ddf5573f4e676e201</x:v>
      </x:c>
      <x:c r="J348" s="79" t="str">
        <x:v>dried-fruits-nuts</x:v>
      </x:c>
      <x:c r="K348" s="79"/>
      <x:c r="L348" s="79" t="str">
        <x:v>EDIBLE</x:v>
      </x:c>
      <x:c r="M348" s="79" t="str">
        <x:v>بله</x:v>
      </x:c>
      <x:c r="N348" s="79" t="str">
        <x:v>خوراکی</x:v>
      </x:c>
      <x:c r="O348" s="79" t="str">
        <x:v>خیر</x:v>
      </x:c>
      <x:c r="P348" s="79" t="n">
        <x:v>1</x:v>
      </x:c>
      <x:c r="Q348" s="79" t="str">
        <x:v>کیلو</x:v>
      </x:c>
      <x:c r="R348" s="79" t="n">
        <x:v>700</x:v>
      </x:c>
      <x:c r="S348" s="104" t="n">
        <x:v>700000</x:v>
      </x:c>
      <x:c r="T348" s="79" t="n">
        <x:v>1</x:v>
      </x:c>
      <x:c r="U348" s="79" t="str">
        <x:v>kg</x:v>
      </x:c>
      <x:c r="V348" s="79" t="str">
        <x:v>کیلو</x:v>
      </x:c>
      <x:c r="W348" s="99" t="b">
        <x:v>1</x:v>
      </x:c>
      <x:c r="X348" s="79" t="str"/>
      <x:c r="Y348" s="79"/>
      <x:c r="Z348" s="104"/>
      <x:c r="AA348" s="79" t="str"/>
      <x:c r="AB348" s="79" t="str"/>
      <x:c r="AC348" s="79" t="str"/>
      <x:c r="AD348" s="79" t="str"/>
      <x:c r="AE348" s="79" t="str">
        <x:v>فعال</x:v>
      </x:c>
      <x:c r="AF348" s="79" t="str">
        <x:v>دسته‌بندی نهایی</x:v>
      </x:c>
      <x:c r="AG348" s="79" t="str">
        <x:v>MERGED</x:v>
      </x:c>
      <x:c r="AH348" s="79" t="str">
        <x:v>[{"name": "کیلو", "sku": "", "price": 700000, "stock": "", "weight": 1, "weightUnit": "kg", "containerSize": "کیلو", "isDefault": true}]</x:v>
      </x:c>
      <x:c r="AI348" s="79"/>
      <x:c r="AJ348" s="79"/>
      <x:c r="AK348" s="79"/>
      <x:c r="AL348" t="str">
        <x:v>کنجد</x:v>
      </x:c>
      <x:c r="AM348" t="str">
        <x:v>grp_sesame</x:v>
      </x:c>
      <x:c r="AN348" t="str">
        <x:v>merge_into_canonical_group</x:v>
      </x:c>
      <x:c r="AO348" t="str">
        <x:v>خشکبار و آجیل</x:v>
      </x:c>
      <x:c r="AP348" t="str">
        <x:v>6a37810ddf5573f4e676e201</x:v>
      </x:c>
      <x:c r="AQ348" t="str">
        <x:v>dried-fruits-nuts</x:v>
      </x:c>
      <x:c r="AR348" t="str">
        <x:v>EDIBLE</x:v>
      </x:c>
      <x:c r="AS348" t="str">
        <x:v>بله</x:v>
      </x:c>
      <x:c r="AT348" t="str">
        <x:v>MERGED</x:v>
      </x:c>
      <x:c r="AU348"/>
    </x:row>
    <x:row r="349">
      <x:c r="A349" s="79" t="n">
        <x:v>351</x:v>
      </x:c>
      <x:c r="B349" s="79" t="str">
        <x:v>NS-0348-1</x:v>
      </x:c>
      <x:c r="C349" s="79" t="str">
        <x:v>کنجد قهوه ای</x:v>
      </x:c>
      <x:c r="D349" s="79" t="str">
        <x:v>brown_sesame</x:v>
      </x:c>
      <x:c r="E349" s="79" t="str">
        <x:v>update</x:v>
      </x:c>
      <x:c r="F349" s="79" t="str">
        <x:v>بله</x:v>
      </x:c>
      <x:c r="G349" s="79" t="str">
        <x:v>خشکبار و آجیل</x:v>
      </x:c>
      <x:c r="H349" s="79" t="str">
        <x:v>خشکبار و آجیل</x:v>
      </x:c>
      <x:c r="I349" s="79" t="str">
        <x:v>6a37810ddf5573f4e676e201</x:v>
      </x:c>
      <x:c r="J349" s="79" t="str">
        <x:v>dried-fruits-nuts</x:v>
      </x:c>
      <x:c r="K349" s="79"/>
      <x:c r="L349" s="79" t="str">
        <x:v>EDIBLE</x:v>
      </x:c>
      <x:c r="M349" s="79" t="str">
        <x:v>بله</x:v>
      </x:c>
      <x:c r="N349" s="79" t="str">
        <x:v>خوراکی</x:v>
      </x:c>
      <x:c r="O349" s="79" t="str">
        <x:v>خیر</x:v>
      </x:c>
      <x:c r="P349" s="79" t="n">
        <x:v>1</x:v>
      </x:c>
      <x:c r="Q349" s="79" t="str">
        <x:v>کیلو</x:v>
      </x:c>
      <x:c r="R349" s="79" t="n">
        <x:v>600</x:v>
      </x:c>
      <x:c r="S349" s="104" t="n">
        <x:v>600000</x:v>
      </x:c>
      <x:c r="T349" s="79" t="n">
        <x:v>1</x:v>
      </x:c>
      <x:c r="U349" s="79" t="str">
        <x:v>kg</x:v>
      </x:c>
      <x:c r="V349" s="79" t="str">
        <x:v>کیلو</x:v>
      </x:c>
      <x:c r="W349" s="99" t="b">
        <x:v>1</x:v>
      </x:c>
      <x:c r="X349" s="79" t="str"/>
      <x:c r="Y349" s="79"/>
      <x:c r="Z349" s="104"/>
      <x:c r="AA349" s="79" t="str"/>
      <x:c r="AB349" s="79" t="str"/>
      <x:c r="AC349" s="79" t="str"/>
      <x:c r="AD349" s="79" t="str"/>
      <x:c r="AE349" s="79" t="str">
        <x:v>فعال</x:v>
      </x:c>
      <x:c r="AF349" s="79" t="str">
        <x:v>دسته‌بندی نهایی</x:v>
      </x:c>
      <x:c r="AG349" s="79" t="str">
        <x:v>MERGED</x:v>
      </x:c>
      <x:c r="AH349" s="79" t="str">
        <x:v>[{"name": "کیلو", "sku": "", "price": 600000, "stock": "", "weight": 1, "weightUnit": "kg", "containerSize": "کیلو", "isDefault": true}]</x:v>
      </x:c>
      <x:c r="AI349" s="79"/>
      <x:c r="AJ349" s="79"/>
      <x:c r="AK349" s="79"/>
      <x:c r="AL349" t="str">
        <x:v>کنجد</x:v>
      </x:c>
      <x:c r="AM349" t="str">
        <x:v>grp_sesame</x:v>
      </x:c>
      <x:c r="AN349" t="str">
        <x:v>merge_into_canonical_group</x:v>
      </x:c>
      <x:c r="AO349" t="str">
        <x:v>خشکبار و آجیل</x:v>
      </x:c>
      <x:c r="AP349" t="str">
        <x:v>6a37810ddf5573f4e676e201</x:v>
      </x:c>
      <x:c r="AQ349" t="str">
        <x:v>dried-fruits-nuts</x:v>
      </x:c>
      <x:c r="AR349" t="str">
        <x:v>EDIBLE</x:v>
      </x:c>
      <x:c r="AS349" t="str">
        <x:v>بله</x:v>
      </x:c>
      <x:c r="AT349" t="str">
        <x:v>MERGED</x:v>
      </x:c>
      <x:c r="AU349"/>
    </x:row>
    <x:row r="350">
      <x:c r="A350" s="79" t="n">
        <x:v>352</x:v>
      </x:c>
      <x:c r="B350" s="79" t="str">
        <x:v>NS-0349-1</x:v>
      </x:c>
      <x:c r="C350" s="79" t="str">
        <x:v>کنجد لار ارده</x:v>
      </x:c>
      <x:c r="D350" s="79" t="str">
        <x:v>lar_sesame_for_tahini</x:v>
      </x:c>
      <x:c r="E350" s="79" t="str">
        <x:v>update</x:v>
      </x:c>
      <x:c r="F350" s="79" t="str">
        <x:v>بله</x:v>
      </x:c>
      <x:c r="G350" s="79" t="str">
        <x:v>قنادی و شیرینی</x:v>
      </x:c>
      <x:c r="H350" s="79" t="str">
        <x:v>خشکبار و آجیل</x:v>
      </x:c>
      <x:c r="I350" s="79" t="str">
        <x:v>6a37810ddf5573f4e676e201</x:v>
      </x:c>
      <x:c r="J350" s="79" t="str">
        <x:v>dried-fruits-nuts</x:v>
      </x:c>
      <x:c r="K350" s="79"/>
      <x:c r="L350" s="79" t="str">
        <x:v>EDIBLE</x:v>
      </x:c>
      <x:c r="M350" s="79" t="str">
        <x:v>بله</x:v>
      </x:c>
      <x:c r="N350" s="79" t="str">
        <x:v>خوراکی</x:v>
      </x:c>
      <x:c r="O350" s="79" t="str">
        <x:v>خیر</x:v>
      </x:c>
      <x:c r="P350" s="79" t="n">
        <x:v>1</x:v>
      </x:c>
      <x:c r="Q350" s="79" t="str">
        <x:v>کیلو</x:v>
      </x:c>
      <x:c r="R350" s="79" t="n">
        <x:v>680</x:v>
      </x:c>
      <x:c r="S350" s="104" t="n">
        <x:v>680000</x:v>
      </x:c>
      <x:c r="T350" s="79" t="n">
        <x:v>1</x:v>
      </x:c>
      <x:c r="U350" s="79" t="str">
        <x:v>kg</x:v>
      </x:c>
      <x:c r="V350" s="79" t="str">
        <x:v>کیلو</x:v>
      </x:c>
      <x:c r="W350" s="99" t="b">
        <x:v>1</x:v>
      </x:c>
      <x:c r="X350" s="79" t="str"/>
      <x:c r="Y350" s="79"/>
      <x:c r="Z350" s="104"/>
      <x:c r="AA350" s="79" t="str"/>
      <x:c r="AB350" s="79" t="str"/>
      <x:c r="AC350" s="79" t="str"/>
      <x:c r="AD350" s="79" t="str"/>
      <x:c r="AE350" s="79" t="str">
        <x:v>فعال</x:v>
      </x:c>
      <x:c r="AF350" s="79" t="str">
        <x:v>دسته‌بندی نهایی</x:v>
      </x:c>
      <x:c r="AG350" s="79" t="str">
        <x:v>دسته از «قنادی و شیرینی» به «خشکبار و آجیل» اصلاح شد</x:v>
      </x:c>
      <x:c r="AH350" s="79" t="str">
        <x:v>[{"name": "کیلو", "sku": "", "price": 680000, "stock": "", "weight": 1, "weightUnit": "kg", "containerSize": "کیلو", "isDefault": true}]</x:v>
      </x:c>
      <x:c r="AI350" s="79"/>
      <x:c r="AJ350" s="79"/>
      <x:c r="AK350" s="79"/>
      <x:c r="AL350" t="str">
        <x:v>کنجد</x:v>
      </x:c>
      <x:c r="AM350" t="str">
        <x:v>grp_sesame</x:v>
      </x:c>
      <x:c r="AN350" t="str">
        <x:v>merge_into_canonical_group</x:v>
      </x:c>
      <x:c r="AO350" t="str">
        <x:v>خشکبار و آجیل</x:v>
      </x:c>
      <x:c r="AP350" t="str">
        <x:v>6a37810ddf5573f4e676e201</x:v>
      </x:c>
      <x:c r="AQ350" t="str">
        <x:v>dried-fruits-nuts</x:v>
      </x:c>
      <x:c r="AR350" t="str">
        <x:v>EDIBLE</x:v>
      </x:c>
      <x:c r="AS350" t="str">
        <x:v>بله</x:v>
      </x:c>
      <x:c r="AT350" t="str">
        <x:v>MERGED</x:v>
      </x:c>
      <x:c r="AU350" t="str">
        <x:v>دسته از «قنادی و شیرینی» به «خشکبار و آجیل» اصلاح شد</x:v>
      </x:c>
    </x:row>
    <x:row r="351">
      <x:c r="A351" s="79" t="n">
        <x:v>353</x:v>
      </x:c>
      <x:c r="B351" s="79" t="str">
        <x:v>NS-0350-1</x:v>
      </x:c>
      <x:c r="C351" s="79" t="str">
        <x:v>کندر خوراکی</x:v>
      </x:c>
      <x:c r="D351" s="79" t="str">
        <x:v>edible_frankincense</x:v>
      </x:c>
      <x:c r="E351" s="79" t="str">
        <x:v>update</x:v>
      </x:c>
      <x:c r="F351" s="79" t="str">
        <x:v>بله</x:v>
      </x:c>
      <x:c r="G351" s="79" t="str">
        <x:v>سایر</x:v>
      </x:c>
      <x:c r="H351" s="79" t="str">
        <x:v>گیاهان دارویی</x:v>
      </x:c>
      <x:c r="I351" s="79" t="str">
        <x:v>6a3782d7df5573f4e676e243</x:v>
      </x:c>
      <x:c r="J351" s="79" t="str">
        <x:v>medicinal-plants</x:v>
      </x:c>
      <x:c r="K351" s="79"/>
      <x:c r="L351" s="79" t="str">
        <x:v>EDIBLE</x:v>
      </x:c>
      <x:c r="M351" s="79" t="str">
        <x:v>بله</x:v>
      </x:c>
      <x:c r="N351" s="79" t="str">
        <x:v>خوراکی</x:v>
      </x:c>
      <x:c r="O351" s="79" t="str">
        <x:v>خیر</x:v>
      </x:c>
      <x:c r="P351" s="79" t="n">
        <x:v>1</x:v>
      </x:c>
      <x:c r="Q351" s="79" t="str">
        <x:v>کیلو</x:v>
      </x:c>
      <x:c r="R351" s="79" t="str">
        <x:v>4/400</x:v>
      </x:c>
      <x:c r="S351" s="104" t="n">
        <x:v>4400000</x:v>
      </x:c>
      <x:c r="T351" s="79" t="n">
        <x:v>1</x:v>
      </x:c>
      <x:c r="U351" s="79" t="str">
        <x:v>kg</x:v>
      </x:c>
      <x:c r="V351" s="79" t="str">
        <x:v>کیلو</x:v>
      </x:c>
      <x:c r="W351" s="99" t="b">
        <x:v>1</x:v>
      </x:c>
      <x:c r="X351" s="79" t="str"/>
      <x:c r="Y351" s="79"/>
      <x:c r="Z351" s="104"/>
      <x:c r="AA351" s="79" t="str"/>
      <x:c r="AB351" s="79" t="str"/>
      <x:c r="AC351" s="79" t="str"/>
      <x:c r="AD351" s="79" t="str"/>
      <x:c r="AE351" s="79" t="str">
        <x:v>فعال</x:v>
      </x:c>
      <x:c r="AF351" s="79" t="str">
        <x:v>نیازمند بررسی دستی</x:v>
      </x:c>
      <x:c r="AG351" s="79" t="str">
        <x:v>دسته از «نیاز به بررسی» به «گیاهان دارویی» اصلاح شد</x:v>
      </x:c>
      <x:c r="AH351" s="79" t="str">
        <x:v>[{"name": "کیلو", "sku": "", "price": 4400000, "stock": "", "weight": 1, "weightUnit": "kg", "containerSize": "کیلو", "isDefault": true}]</x:v>
      </x:c>
      <x:c r="AI351" s="79"/>
      <x:c r="AJ351" s="79"/>
      <x:c r="AK351" s="79"/>
      <x:c r="AL351" t="str">
        <x:v>کندر خوراکی</x:v>
      </x:c>
      <x:c r="AM351" t="str">
        <x:v>single_353</x:v>
      </x:c>
      <x:c r="AN351" t="str">
        <x:v>canonical_group_row</x:v>
      </x:c>
      <x:c r="AO351" t="str">
        <x:v>گیاهان دارویی</x:v>
      </x:c>
      <x:c r="AP351" t="str">
        <x:v>6a3782d7df5573f4e676e243</x:v>
      </x:c>
      <x:c r="AQ351" t="str">
        <x:v>medicinal-plants</x:v>
      </x:c>
      <x:c r="AR351" t="str">
        <x:v>EDIBLE</x:v>
      </x:c>
      <x:c r="AS351" t="str">
        <x:v>بله</x:v>
      </x:c>
      <x:c r="AT351" t="str">
        <x:v>OK</x:v>
      </x:c>
      <x:c r="AU351" t="str">
        <x:v>دسته از «نیاز به بررسی» به «گیاهان دارویی» اصلاح شد</x:v>
      </x:c>
    </x:row>
    <x:row r="352">
      <x:c r="A352" s="79" t="n">
        <x:v>354</x:v>
      </x:c>
      <x:c r="B352" s="79" t="str">
        <x:v>NS-0351-1</x:v>
      </x:c>
      <x:c r="C352" s="79" t="str">
        <x:v>کینوا سفید</x:v>
      </x:c>
      <x:c r="D352" s="79" t="str">
        <x:v>white_quinoa</x:v>
      </x:c>
      <x:c r="E352" s="79" t="str">
        <x:v>update</x:v>
      </x:c>
      <x:c r="F352" s="79" t="str">
        <x:v>بله</x:v>
      </x:c>
      <x:c r="G352" s="79" t="str">
        <x:v>حبوبات و غلات</x:v>
      </x:c>
      <x:c r="H352" s="79" t="str">
        <x:v>حبوبات و غلات</x:v>
      </x:c>
      <x:c r="I352" s="79" t="str">
        <x:v>6a3a00000000000000000002</x:v>
      </x:c>
      <x:c r="J352" s="79" t="str">
        <x:v>legumes-grains</x:v>
      </x:c>
      <x:c r="K352" s="79"/>
      <x:c r="L352" s="79" t="str">
        <x:v>EDIBLE</x:v>
      </x:c>
      <x:c r="M352" s="79" t="str">
        <x:v>بله</x:v>
      </x:c>
      <x:c r="N352" s="79" t="str">
        <x:v>خوراکی</x:v>
      </x:c>
      <x:c r="O352" s="79" t="str">
        <x:v>خیر</x:v>
      </x:c>
      <x:c r="P352" s="79" t="n">
        <x:v>1</x:v>
      </x:c>
      <x:c r="Q352" s="79" t="str">
        <x:v>کیلو</x:v>
      </x:c>
      <x:c r="R352" s="79" t="n">
        <x:v>600</x:v>
      </x:c>
      <x:c r="S352" s="104" t="n">
        <x:v>600000</x:v>
      </x:c>
      <x:c r="T352" s="79" t="n">
        <x:v>1</x:v>
      </x:c>
      <x:c r="U352" s="79" t="str">
        <x:v>kg</x:v>
      </x:c>
      <x:c r="V352" s="79" t="str">
        <x:v>کیلو</x:v>
      </x:c>
      <x:c r="W352" s="99" t="b">
        <x:v>1</x:v>
      </x:c>
      <x:c r="X352" s="79" t="str"/>
      <x:c r="Y352" s="79"/>
      <x:c r="Z352" s="104"/>
      <x:c r="AA352" s="79" t="str"/>
      <x:c r="AB352" s="79" t="str"/>
      <x:c r="AC352" s="79" t="str"/>
      <x:c r="AD352" s="79" t="str"/>
      <x:c r="AE352" s="79" t="str">
        <x:v>فعال</x:v>
      </x:c>
      <x:c r="AF352" s="79" t="str">
        <x:v>دسته‌بندی نهایی</x:v>
      </x:c>
      <x:c r="AG352" s="79" t="str">
        <x:v>OK</x:v>
      </x:c>
      <x:c r="AH352" s="79" t="str">
        <x:v>[{"name": "کیلو", "sku": "", "price": 600000, "stock": "", "weight": 1, "weightUnit": "kg", "containerSize": "کیلو", "isDefault": true}]</x:v>
      </x:c>
      <x:c r="AI352" s="79"/>
      <x:c r="AJ352" s="79"/>
      <x:c r="AK352" s="79"/>
      <x:c r="AL352" t="str">
        <x:v>کینوا سفید</x:v>
      </x:c>
      <x:c r="AM352" t="str">
        <x:v>single_354</x:v>
      </x:c>
      <x:c r="AN352" t="str">
        <x:v>canonical_group_row</x:v>
      </x:c>
      <x:c r="AO352" t="str">
        <x:v>حبوبات و غلات</x:v>
      </x:c>
      <x:c r="AP352" t="str">
        <x:v>6a3a00000000000000000002</x:v>
      </x:c>
      <x:c r="AQ352" t="str">
        <x:v>legumes-grains</x:v>
      </x:c>
      <x:c r="AR352" t="str">
        <x:v>EDIBLE</x:v>
      </x:c>
      <x:c r="AS352" t="str">
        <x:v>بله</x:v>
      </x:c>
      <x:c r="AT352" t="str">
        <x:v>OK</x:v>
      </x:c>
      <x:c r="AU352"/>
    </x:row>
    <x:row r="353">
      <x:c r="A353" s="79" t="n">
        <x:v>355</x:v>
      </x:c>
      <x:c r="B353" s="79" t="str">
        <x:v>NS-0352-1</x:v>
      </x:c>
      <x:c r="C353" s="79" t="str">
        <x:v>گرده گل</x:v>
      </x:c>
      <x:c r="D353" s="79" t="str">
        <x:v>bee_pollen</x:v>
      </x:c>
      <x:c r="E353" s="79" t="str">
        <x:v>update</x:v>
      </x:c>
      <x:c r="F353" s="79" t="str">
        <x:v>بله</x:v>
      </x:c>
      <x:c r="G353" s="79" t="str">
        <x:v>سایر</x:v>
      </x:c>
      <x:c r="H353" s="79" t="str">
        <x:v>گیاهان دارویی</x:v>
      </x:c>
      <x:c r="I353" s="79" t="str">
        <x:v>6a3782d7df5573f4e676e243</x:v>
      </x:c>
      <x:c r="J353" s="79" t="str">
        <x:v>medicinal-plants</x:v>
      </x:c>
      <x:c r="K353" s="79"/>
      <x:c r="L353" s="79" t="str">
        <x:v>EDIBLE</x:v>
      </x:c>
      <x:c r="M353" s="79" t="str">
        <x:v>بله</x:v>
      </x:c>
      <x:c r="N353" s="79" t="str">
        <x:v>خوراکی</x:v>
      </x:c>
      <x:c r="O353" s="79" t="str">
        <x:v>خیر</x:v>
      </x:c>
      <x:c r="P353" s="79" t="n">
        <x:v>1</x:v>
      </x:c>
      <x:c r="Q353" s="79" t="str">
        <x:v>کیلو</x:v>
      </x:c>
      <x:c r="R353" s="79" t="str">
        <x:v>1/200</x:v>
      </x:c>
      <x:c r="S353" s="104" t="n">
        <x:v>1200000</x:v>
      </x:c>
      <x:c r="T353" s="79" t="n">
        <x:v>1</x:v>
      </x:c>
      <x:c r="U353" s="79" t="str">
        <x:v>kg</x:v>
      </x:c>
      <x:c r="V353" s="79" t="str">
        <x:v>کیلو</x:v>
      </x:c>
      <x:c r="W353" s="99" t="b">
        <x:v>1</x:v>
      </x:c>
      <x:c r="X353" s="79" t="str"/>
      <x:c r="Y353" s="79"/>
      <x:c r="Z353" s="104"/>
      <x:c r="AA353" s="79" t="str"/>
      <x:c r="AB353" s="79" t="str"/>
      <x:c r="AC353" s="79" t="str"/>
      <x:c r="AD353" s="79" t="str"/>
      <x:c r="AE353" s="79" t="str">
        <x:v>فعال</x:v>
      </x:c>
      <x:c r="AF353" s="79" t="str">
        <x:v>نیازمند بررسی دستی</x:v>
      </x:c>
      <x:c r="AG353" s="79" t="str">
        <x:v>دسته از «نیاز به بررسی» به «گیاهان دارویی» اصلاح شد</x:v>
      </x:c>
      <x:c r="AH353" s="79" t="str">
        <x:v>[{"name": "کیلو", "sku": "", "price": 1200000, "stock": "", "weight": 1, "weightUnit": "kg", "containerSize": "کیلو", "isDefault": true}]</x:v>
      </x:c>
      <x:c r="AI353" s="79"/>
      <x:c r="AJ353" s="79"/>
      <x:c r="AK353" s="79"/>
      <x:c r="AL353" t="str">
        <x:v>گرده گل</x:v>
      </x:c>
      <x:c r="AM353" t="str">
        <x:v>single_355</x:v>
      </x:c>
      <x:c r="AN353" t="str">
        <x:v>canonical_group_row</x:v>
      </x:c>
      <x:c r="AO353" t="str">
        <x:v>گیاهان دارویی</x:v>
      </x:c>
      <x:c r="AP353" t="str">
        <x:v>6a3782d7df5573f4e676e243</x:v>
      </x:c>
      <x:c r="AQ353" t="str">
        <x:v>medicinal-plants</x:v>
      </x:c>
      <x:c r="AR353" t="str">
        <x:v>EDIBLE</x:v>
      </x:c>
      <x:c r="AS353" t="str">
        <x:v>بله</x:v>
      </x:c>
      <x:c r="AT353" t="str">
        <x:v>OK</x:v>
      </x:c>
      <x:c r="AU353" t="str">
        <x:v>دسته از «نیاز به بررسی» به «گیاهان دارویی» اصلاح شد</x:v>
      </x:c>
    </x:row>
    <x:row r="354">
      <x:c r="A354" s="79" t="n">
        <x:v>356</x:v>
      </x:c>
      <x:c r="B354" s="79" t="str">
        <x:v>NS-0353-1</x:v>
      </x:c>
      <x:c r="C354" s="79" t="str">
        <x:v>گشنیز</x:v>
      </x:c>
      <x:c r="D354" s="79" t="str">
        <x:v>coriander</x:v>
      </x:c>
      <x:c r="E354" s="79" t="str">
        <x:v>update</x:v>
      </x:c>
      <x:c r="F354" s="79" t="str">
        <x:v>بله</x:v>
      </x:c>
      <x:c r="G354" s="79" t="str">
        <x:v>سایر</x:v>
      </x:c>
      <x:c r="H354" s="79" t="str">
        <x:v>ادویه</x:v>
      </x:c>
      <x:c r="I354" s="79" t="str">
        <x:v>6a3781e4df5573f4e676e226</x:v>
      </x:c>
      <x:c r="J354" s="79" t="str">
        <x:v>spice</x:v>
      </x:c>
      <x:c r="K354" s="79"/>
      <x:c r="L354" s="79" t="str">
        <x:v>EDIBLE</x:v>
      </x:c>
      <x:c r="M354" s="79" t="str">
        <x:v>بله</x:v>
      </x:c>
      <x:c r="N354" s="79" t="str">
        <x:v>خوراکی</x:v>
      </x:c>
      <x:c r="O354" s="79" t="str">
        <x:v>خیر</x:v>
      </x:c>
      <x:c r="P354" s="79" t="n">
        <x:v>1</x:v>
      </x:c>
      <x:c r="Q354" s="79" t="str">
        <x:v>کیلو</x:v>
      </x:c>
      <x:c r="R354" s="79" t="n">
        <x:v>450</x:v>
      </x:c>
      <x:c r="S354" s="104" t="n">
        <x:v>450000</x:v>
      </x:c>
      <x:c r="T354" s="79" t="n">
        <x:v>1</x:v>
      </x:c>
      <x:c r="U354" s="79" t="str">
        <x:v>kg</x:v>
      </x:c>
      <x:c r="V354" s="79" t="str">
        <x:v>کیلو</x:v>
      </x:c>
      <x:c r="W354" s="99" t="b">
        <x:v>1</x:v>
      </x:c>
      <x:c r="X354" s="79" t="str"/>
      <x:c r="Y354" s="79"/>
      <x:c r="Z354" s="104"/>
      <x:c r="AA354" s="79" t="str"/>
      <x:c r="AB354" s="79" t="str"/>
      <x:c r="AC354" s="79" t="str"/>
      <x:c r="AD354" s="79" t="str"/>
      <x:c r="AE354" s="79" t="str">
        <x:v>فعال</x:v>
      </x:c>
      <x:c r="AF354" s="79" t="str">
        <x:v>نیازمند بررسی دستی</x:v>
      </x:c>
      <x:c r="AG354" s="79" t="str">
        <x:v>دسته از «نیاز به بررسی» به «ادویه» اصلاح شد</x:v>
      </x:c>
      <x:c r="AH354" s="79" t="str">
        <x:v>[{"name": "کیلو", "sku": "", "price": 450000, "stock": "", "weight": 1, "weightUnit": "kg", "containerSize": "کیلو", "isDefault": true}]</x:v>
      </x:c>
      <x:c r="AI354" s="79"/>
      <x:c r="AJ354" s="79"/>
      <x:c r="AK354" s="79"/>
      <x:c r="AL354" t="str">
        <x:v>گشنیز</x:v>
      </x:c>
      <x:c r="AM354" t="str">
        <x:v>single_356</x:v>
      </x:c>
      <x:c r="AN354" t="str">
        <x:v>canonical_group_row</x:v>
      </x:c>
      <x:c r="AO354" t="str">
        <x:v>ادویه</x:v>
      </x:c>
      <x:c r="AP354" t="str">
        <x:v>6a3781e4df5573f4e676e226</x:v>
      </x:c>
      <x:c r="AQ354" t="str">
        <x:v>spice</x:v>
      </x:c>
      <x:c r="AR354" t="str">
        <x:v>EDIBLE</x:v>
      </x:c>
      <x:c r="AS354" t="str">
        <x:v>بله</x:v>
      </x:c>
      <x:c r="AT354" t="str">
        <x:v>OK</x:v>
      </x:c>
      <x:c r="AU354" t="str">
        <x:v>دسته از «نیاز به بررسی» به «ادویه» اصلاح شد</x:v>
      </x:c>
    </x:row>
    <x:row r="355">
      <x:c r="A355" s="79" t="n">
        <x:v>357</x:v>
      </x:c>
      <x:c r="B355" s="79" t="str">
        <x:v>NS-0354-1</x:v>
      </x:c>
      <x:c r="C355" s="79" t="str">
        <x:v>گل ختمی</x:v>
      </x:c>
      <x:c r="D355" s="79" t="str">
        <x:v>marshmallow_flower</x:v>
      </x:c>
      <x:c r="E355" s="79" t="str">
        <x:v>update</x:v>
      </x:c>
      <x:c r="F355" s="79" t="str">
        <x:v>بله</x:v>
      </x:c>
      <x:c r="G355" s="79" t="str">
        <x:v>گیاهان دارویی</x:v>
      </x:c>
      <x:c r="H355" s="79" t="str">
        <x:v>گیاهان دارویی</x:v>
      </x:c>
      <x:c r="I355" s="79" t="str">
        <x:v>6a3782d7df5573f4e676e243</x:v>
      </x:c>
      <x:c r="J355" s="79" t="str">
        <x:v>medicinal-plants</x:v>
      </x:c>
      <x:c r="K355" s="79"/>
      <x:c r="L355" s="79" t="str">
        <x:v>EDIBLE</x:v>
      </x:c>
      <x:c r="M355" s="79" t="str">
        <x:v>بله</x:v>
      </x:c>
      <x:c r="N355" s="79" t="str">
        <x:v>خوراکی</x:v>
      </x:c>
      <x:c r="O355" s="79" t="str">
        <x:v>خیر</x:v>
      </x:c>
      <x:c r="P355" s="79" t="n">
        <x:v>1</x:v>
      </x:c>
      <x:c r="Q355" s="79" t="str">
        <x:v>کیلو</x:v>
      </x:c>
      <x:c r="R355" s="79" t="str">
        <x:v>1/100</x:v>
      </x:c>
      <x:c r="S355" s="104" t="n">
        <x:v>1100000</x:v>
      </x:c>
      <x:c r="T355" s="79" t="n">
        <x:v>1</x:v>
      </x:c>
      <x:c r="U355" s="79" t="str">
        <x:v>kg</x:v>
      </x:c>
      <x:c r="V355" s="79" t="str">
        <x:v>کیلو</x:v>
      </x:c>
      <x:c r="W355" s="99" t="b">
        <x:v>1</x:v>
      </x:c>
      <x:c r="X355" s="79" t="str"/>
      <x:c r="Y355" s="79"/>
      <x:c r="Z355" s="104"/>
      <x:c r="AA355" s="79" t="str"/>
      <x:c r="AB355" s="79" t="str"/>
      <x:c r="AC355" s="79" t="str"/>
      <x:c r="AD355" s="79" t="str"/>
      <x:c r="AE355" s="79" t="str">
        <x:v>فعال</x:v>
      </x:c>
      <x:c r="AF355" s="79" t="str">
        <x:v>دسته‌بندی نهایی</x:v>
      </x:c>
      <x:c r="AG355" s="79" t="str">
        <x:v>OK</x:v>
      </x:c>
      <x:c r="AH355" s="79" t="str">
        <x:v>[{"name": "کیلو", "sku": "", "price": 1100000, "stock": "", "weight": 1, "weightUnit": "kg", "containerSize": "کیلو", "isDefault": true}]</x:v>
      </x:c>
      <x:c r="AI355" s="79"/>
      <x:c r="AJ355" s="79"/>
      <x:c r="AK355" s="79"/>
      <x:c r="AL355" t="str">
        <x:v>گل ختمی</x:v>
      </x:c>
      <x:c r="AM355" t="str">
        <x:v>single_357</x:v>
      </x:c>
      <x:c r="AN355" t="str">
        <x:v>canonical_group_row</x:v>
      </x:c>
      <x:c r="AO355" t="str">
        <x:v>گیاهان دارویی</x:v>
      </x:c>
      <x:c r="AP355" t="str">
        <x:v>6a3782d7df5573f4e676e243</x:v>
      </x:c>
      <x:c r="AQ355" t="str">
        <x:v>medicinal-plants</x:v>
      </x:c>
      <x:c r="AR355" t="str">
        <x:v>EDIBLE</x:v>
      </x:c>
      <x:c r="AS355" t="str">
        <x:v>بله</x:v>
      </x:c>
      <x:c r="AT355" t="str">
        <x:v>OK</x:v>
      </x:c>
      <x:c r="AU355"/>
    </x:row>
    <x:row r="356">
      <x:c r="A356" s="79" t="n">
        <x:v>358</x:v>
      </x:c>
      <x:c r="B356" s="79" t="str">
        <x:v>NS-0355-1</x:v>
      </x:c>
      <x:c r="C356" s="79" t="str">
        <x:v>گل سرخ پرک</x:v>
      </x:c>
      <x:c r="D356" s="79" t="str">
        <x:v>rose_petals</x:v>
      </x:c>
      <x:c r="E356" s="79" t="str">
        <x:v>update</x:v>
      </x:c>
      <x:c r="F356" s="79" t="str">
        <x:v>بله</x:v>
      </x:c>
      <x:c r="G356" s="79" t="str">
        <x:v>سایر</x:v>
      </x:c>
      <x:c r="H356" s="79" t="str">
        <x:v>گیاهان دارویی</x:v>
      </x:c>
      <x:c r="I356" s="79" t="str">
        <x:v>6a3782d7df5573f4e676e243</x:v>
      </x:c>
      <x:c r="J356" s="79" t="str">
        <x:v>medicinal-plants</x:v>
      </x:c>
      <x:c r="K356" s="79"/>
      <x:c r="L356" s="79" t="str">
        <x:v>EDIBLE</x:v>
      </x:c>
      <x:c r="M356" s="79" t="str">
        <x:v>بله</x:v>
      </x:c>
      <x:c r="N356" s="79" t="str">
        <x:v>خوراکی</x:v>
      </x:c>
      <x:c r="O356" s="79" t="str">
        <x:v>خیر</x:v>
      </x:c>
      <x:c r="P356" s="79" t="n">
        <x:v>1</x:v>
      </x:c>
      <x:c r="Q356" s="79" t="str">
        <x:v>کیلو</x:v>
      </x:c>
      <x:c r="R356" s="79" t="str">
        <x:v>4/500</x:v>
      </x:c>
      <x:c r="S356" s="104" t="n">
        <x:v>4500000</x:v>
      </x:c>
      <x:c r="T356" s="79" t="n">
        <x:v>1</x:v>
      </x:c>
      <x:c r="U356" s="79" t="str">
        <x:v>kg</x:v>
      </x:c>
      <x:c r="V356" s="79" t="str">
        <x:v>کیلو</x:v>
      </x:c>
      <x:c r="W356" s="99" t="b">
        <x:v>1</x:v>
      </x:c>
      <x:c r="X356" s="79" t="str"/>
      <x:c r="Y356" s="79"/>
      <x:c r="Z356" s="104"/>
      <x:c r="AA356" s="79" t="str"/>
      <x:c r="AB356" s="79" t="str"/>
      <x:c r="AC356" s="79" t="str"/>
      <x:c r="AD356" s="79" t="str"/>
      <x:c r="AE356" s="79" t="str">
        <x:v>فعال</x:v>
      </x:c>
      <x:c r="AF356" s="79" t="str">
        <x:v>نیازمند بررسی دستی</x:v>
      </x:c>
      <x:c r="AG356" s="79" t="str">
        <x:v>دسته از «نیاز به بررسی» به «گیاهان دارویی» اصلاح شد</x:v>
      </x:c>
      <x:c r="AH356" s="79" t="str">
        <x:v>[{"name": "کیلو", "sku": "", "price": 4500000, "stock": "", "weight": 1, "weightUnit": "kg", "containerSize": "کیلو", "isDefault": true}]</x:v>
      </x:c>
      <x:c r="AI356" s="79"/>
      <x:c r="AJ356" s="79"/>
      <x:c r="AK356" s="79"/>
      <x:c r="AL356" t="str">
        <x:v>گل سرخ</x:v>
      </x:c>
      <x:c r="AM356" t="str">
        <x:v>grp_rose_flower</x:v>
      </x:c>
      <x:c r="AN356" t="str">
        <x:v>canonical_group_row</x:v>
      </x:c>
      <x:c r="AO356" t="str">
        <x:v>گیاهان دارویی</x:v>
      </x:c>
      <x:c r="AP356" t="str">
        <x:v>6a3782d7df5573f4e676e243</x:v>
      </x:c>
      <x:c r="AQ356" t="str">
        <x:v>medicinal-plants</x:v>
      </x:c>
      <x:c r="AR356" t="str">
        <x:v>EDIBLE</x:v>
      </x:c>
      <x:c r="AS356" t="str">
        <x:v>بله</x:v>
      </x:c>
      <x:c r="AT356" t="str">
        <x:v>MERGED</x:v>
      </x:c>
      <x:c r="AU356" t="str">
        <x:v>دسته از «نیاز به بررسی» به «گیاهان دارویی» اصلاح شد</x:v>
      </x:c>
    </x:row>
    <x:row r="357">
      <x:c r="A357" s="79" t="n">
        <x:v>359</x:v>
      </x:c>
      <x:c r="B357" s="79" t="str">
        <x:v>NS-0356-1</x:v>
      </x:c>
      <x:c r="C357" s="79" t="str">
        <x:v>گل سرخ غنچه</x:v>
      </x:c>
      <x:c r="D357" s="79" t="str">
        <x:v>rose_bud</x:v>
      </x:c>
      <x:c r="E357" s="79" t="str">
        <x:v>update</x:v>
      </x:c>
      <x:c r="F357" s="79" t="str">
        <x:v>بله</x:v>
      </x:c>
      <x:c r="G357" s="79" t="str">
        <x:v>سایر</x:v>
      </x:c>
      <x:c r="H357" s="79" t="str">
        <x:v>گیاهان دارویی</x:v>
      </x:c>
      <x:c r="I357" s="79" t="str">
        <x:v>6a3782d7df5573f4e676e243</x:v>
      </x:c>
      <x:c r="J357" s="79" t="str">
        <x:v>medicinal-plants</x:v>
      </x:c>
      <x:c r="K357" s="79"/>
      <x:c r="L357" s="79" t="str">
        <x:v>EDIBLE</x:v>
      </x:c>
      <x:c r="M357" s="79" t="str">
        <x:v>بله</x:v>
      </x:c>
      <x:c r="N357" s="79" t="str">
        <x:v>خوراکی</x:v>
      </x:c>
      <x:c r="O357" s="79" t="str">
        <x:v>خیر</x:v>
      </x:c>
      <x:c r="P357" s="79" t="n">
        <x:v>1</x:v>
      </x:c>
      <x:c r="Q357" s="79" t="str">
        <x:v>کیلو</x:v>
      </x:c>
      <x:c r="R357" s="79" t="str">
        <x:v>4/900</x:v>
      </x:c>
      <x:c r="S357" s="104" t="n">
        <x:v>4900000</x:v>
      </x:c>
      <x:c r="T357" s="79" t="n">
        <x:v>1</x:v>
      </x:c>
      <x:c r="U357" s="79" t="str">
        <x:v>kg</x:v>
      </x:c>
      <x:c r="V357" s="79" t="str">
        <x:v>کیلو</x:v>
      </x:c>
      <x:c r="W357" s="99" t="b">
        <x:v>1</x:v>
      </x:c>
      <x:c r="X357" s="79" t="str"/>
      <x:c r="Y357" s="79"/>
      <x:c r="Z357" s="104"/>
      <x:c r="AA357" s="79" t="str"/>
      <x:c r="AB357" s="79" t="str"/>
      <x:c r="AC357" s="79" t="str"/>
      <x:c r="AD357" s="79" t="str"/>
      <x:c r="AE357" s="79" t="str">
        <x:v>فعال</x:v>
      </x:c>
      <x:c r="AF357" s="79" t="str">
        <x:v>نیازمند بررسی دستی</x:v>
      </x:c>
      <x:c r="AG357" s="79" t="str">
        <x:v>دسته از «نیاز به بررسی» به «گیاهان دارویی» اصلاح شد</x:v>
      </x:c>
      <x:c r="AH357" s="79" t="str">
        <x:v>[{"name": "کیلو", "sku": "", "price": 4900000, "stock": "", "weight": 1, "weightUnit": "kg", "containerSize": "کیلو", "isDefault": true}]</x:v>
      </x:c>
      <x:c r="AI357" s="79"/>
      <x:c r="AJ357" s="79"/>
      <x:c r="AK357" s="79"/>
      <x:c r="AL357" t="str">
        <x:v>گل سرخ</x:v>
      </x:c>
      <x:c r="AM357" t="str">
        <x:v>grp_rose_flower</x:v>
      </x:c>
      <x:c r="AN357" t="str">
        <x:v>merge_into_canonical_group</x:v>
      </x:c>
      <x:c r="AO357" t="str">
        <x:v>گیاهان دارویی</x:v>
      </x:c>
      <x:c r="AP357" t="str">
        <x:v>6a3782d7df5573f4e676e243</x:v>
      </x:c>
      <x:c r="AQ357" t="str">
        <x:v>medicinal-plants</x:v>
      </x:c>
      <x:c r="AR357" t="str">
        <x:v>EDIBLE</x:v>
      </x:c>
      <x:c r="AS357" t="str">
        <x:v>بله</x:v>
      </x:c>
      <x:c r="AT357" t="str">
        <x:v>MERGED</x:v>
      </x:c>
      <x:c r="AU357" t="str">
        <x:v>دسته از «نیاز به بررسی» به «گیاهان دارویی» اصلاح شد</x:v>
      </x:c>
    </x:row>
    <x:row r="358">
      <x:c r="A358" s="79" t="n">
        <x:v>360</x:v>
      </x:c>
      <x:c r="B358" s="79" t="str">
        <x:v>NS-0357-1</x:v>
      </x:c>
      <x:c r="C358" s="79" t="str">
        <x:v>گل گاوزبان</x:v>
      </x:c>
      <x:c r="D358" s="79" t="str">
        <x:v>borage_flower</x:v>
      </x:c>
      <x:c r="E358" s="79" t="str">
        <x:v>update</x:v>
      </x:c>
      <x:c r="F358" s="79" t="str">
        <x:v>بله</x:v>
      </x:c>
      <x:c r="G358" s="79" t="str">
        <x:v>گیاهان دارویی</x:v>
      </x:c>
      <x:c r="H358" s="79" t="str">
        <x:v>گیاهان دارویی</x:v>
      </x:c>
      <x:c r="I358" s="79" t="str">
        <x:v>6a3782d7df5573f4e676e243</x:v>
      </x:c>
      <x:c r="J358" s="79" t="str">
        <x:v>medicinal-plants</x:v>
      </x:c>
      <x:c r="K358" s="79"/>
      <x:c r="L358" s="79" t="str">
        <x:v>EDIBLE</x:v>
      </x:c>
      <x:c r="M358" s="79" t="str">
        <x:v>بله</x:v>
      </x:c>
      <x:c r="N358" s="79" t="str">
        <x:v>خوراکی</x:v>
      </x:c>
      <x:c r="O358" s="79" t="str">
        <x:v>خیر</x:v>
      </x:c>
      <x:c r="P358" s="79" t="n">
        <x:v>1</x:v>
      </x:c>
      <x:c r="Q358" s="79" t="str">
        <x:v>کیلو</x:v>
      </x:c>
      <x:c r="R358" s="79" t="n">
        <x:v>4100</x:v>
      </x:c>
      <x:c r="S358" s="104" t="n">
        <x:v>4100000</x:v>
      </x:c>
      <x:c r="T358" s="79" t="n">
        <x:v>1</x:v>
      </x:c>
      <x:c r="U358" s="79" t="str">
        <x:v>kg</x:v>
      </x:c>
      <x:c r="V358" s="79" t="str">
        <x:v>کیلو</x:v>
      </x:c>
      <x:c r="W358" s="99" t="b">
        <x:v>1</x:v>
      </x:c>
      <x:c r="X358" s="79" t="str"/>
      <x:c r="Y358" s="79"/>
      <x:c r="Z358" s="104"/>
      <x:c r="AA358" s="79" t="str"/>
      <x:c r="AB358" s="79" t="str"/>
      <x:c r="AC358" s="79" t="str"/>
      <x:c r="AD358" s="79" t="str"/>
      <x:c r="AE358" s="79" t="str">
        <x:v>فعال</x:v>
      </x:c>
      <x:c r="AF358" s="79" t="str">
        <x:v>دسته‌بندی نهایی</x:v>
      </x:c>
      <x:c r="AG358" s="79" t="str">
        <x:v>OK</x:v>
      </x:c>
      <x:c r="AH358" s="79" t="str">
        <x:v>[{"name": "کیلو", "sku": "", "price": 4100000, "stock": "", "weight": 1, "weightUnit": "kg", "containerSize": "کیلو", "isDefault": true}]</x:v>
      </x:c>
      <x:c r="AI358" s="79"/>
      <x:c r="AJ358" s="79"/>
      <x:c r="AK358" s="79"/>
      <x:c r="AL358" t="str">
        <x:v>گل گاوزبان</x:v>
      </x:c>
      <x:c r="AM358" t="str">
        <x:v>single_360</x:v>
      </x:c>
      <x:c r="AN358" t="str">
        <x:v>canonical_group_row</x:v>
      </x:c>
      <x:c r="AO358" t="str">
        <x:v>گیاهان دارویی</x:v>
      </x:c>
      <x:c r="AP358" t="str">
        <x:v>6a3782d7df5573f4e676e243</x:v>
      </x:c>
      <x:c r="AQ358" t="str">
        <x:v>medicinal-plants</x:v>
      </x:c>
      <x:c r="AR358" t="str">
        <x:v>EDIBLE</x:v>
      </x:c>
      <x:c r="AS358" t="str">
        <x:v>بله</x:v>
      </x:c>
      <x:c r="AT358" t="str">
        <x:v>OK</x:v>
      </x:c>
      <x:c r="AU358"/>
    </x:row>
    <x:row r="359">
      <x:c r="A359" s="79" t="n">
        <x:v>361</x:v>
      </x:c>
      <x:c r="B359" s="79" t="str">
        <x:v>NS-0358-1</x:v>
      </x:c>
      <x:c r="C359" s="79" t="str">
        <x:v>گلپر</x:v>
      </x:c>
      <x:c r="D359" s="79" t="str">
        <x:v>golpar</x:v>
      </x:c>
      <x:c r="E359" s="79" t="str">
        <x:v>update</x:v>
      </x:c>
      <x:c r="F359" s="79" t="str">
        <x:v>بله</x:v>
      </x:c>
      <x:c r="G359" s="79" t="str">
        <x:v>ادویه و چاشنی</x:v>
      </x:c>
      <x:c r="H359" s="79" t="str">
        <x:v>ادویه</x:v>
      </x:c>
      <x:c r="I359" s="79" t="str">
        <x:v>6a3781e4df5573f4e676e226</x:v>
      </x:c>
      <x:c r="J359" s="79" t="str">
        <x:v>spice</x:v>
      </x:c>
      <x:c r="K359" s="79"/>
      <x:c r="L359" s="79" t="str">
        <x:v>EDIBLE</x:v>
      </x:c>
      <x:c r="M359" s="79" t="str">
        <x:v>بله</x:v>
      </x:c>
      <x:c r="N359" s="79" t="str">
        <x:v>خوراکی</x:v>
      </x:c>
      <x:c r="O359" s="79" t="str">
        <x:v>خیر</x:v>
      </x:c>
      <x:c r="P359" s="79" t="n">
        <x:v>1</x:v>
      </x:c>
      <x:c r="Q359" s="79" t="str">
        <x:v>کیلو</x:v>
      </x:c>
      <x:c r="R359" s="79" t="n">
        <x:v>450</x:v>
      </x:c>
      <x:c r="S359" s="104" t="n">
        <x:v>450000</x:v>
      </x:c>
      <x:c r="T359" s="79" t="n">
        <x:v>1</x:v>
      </x:c>
      <x:c r="U359" s="79" t="str">
        <x:v>kg</x:v>
      </x:c>
      <x:c r="V359" s="79" t="str">
        <x:v>کیلو</x:v>
      </x:c>
      <x:c r="W359" s="99" t="b">
        <x:v>1</x:v>
      </x:c>
      <x:c r="X359" s="79" t="str"/>
      <x:c r="Y359" s="79"/>
      <x:c r="Z359" s="104"/>
      <x:c r="AA359" s="79" t="str"/>
      <x:c r="AB359" s="79" t="str"/>
      <x:c r="AC359" s="79" t="str"/>
      <x:c r="AD359" s="79" t="str"/>
      <x:c r="AE359" s="79" t="str">
        <x:v>فعال</x:v>
      </x:c>
      <x:c r="AF359" s="79" t="str">
        <x:v>دسته‌بندی نهایی</x:v>
      </x:c>
      <x:c r="AG359" s="79" t="str">
        <x:v>OK</x:v>
      </x:c>
      <x:c r="AH359" s="79" t="str">
        <x:v>[{"name": "کیلو", "sku": "", "price": 450000, "stock": "", "weight": 1, "weightUnit": "kg", "containerSize": "کیلو", "isDefault": true}]</x:v>
      </x:c>
      <x:c r="AI359" s="79"/>
      <x:c r="AJ359" s="79"/>
      <x:c r="AK359" s="79"/>
      <x:c r="AL359" t="str">
        <x:v>گلپر</x:v>
      </x:c>
      <x:c r="AM359" t="str">
        <x:v>single_361</x:v>
      </x:c>
      <x:c r="AN359" t="str">
        <x:v>canonical_group_row</x:v>
      </x:c>
      <x:c r="AO359" t="str">
        <x:v>ادویه</x:v>
      </x:c>
      <x:c r="AP359" t="str">
        <x:v>6a3781e4df5573f4e676e226</x:v>
      </x:c>
      <x:c r="AQ359" t="str">
        <x:v>spice</x:v>
      </x:c>
      <x:c r="AR359" t="str">
        <x:v>EDIBLE</x:v>
      </x:c>
      <x:c r="AS359" t="str">
        <x:v>بله</x:v>
      </x:c>
      <x:c r="AT359" t="str">
        <x:v>OK</x:v>
      </x:c>
      <x:c r="AU359"/>
    </x:row>
    <x:row r="360">
      <x:c r="A360" s="79" t="n">
        <x:v>362</x:v>
      </x:c>
      <x:c r="B360" s="79" t="str">
        <x:v>NS-0359-1</x:v>
      </x:c>
      <x:c r="C360" s="79" t="str">
        <x:v>گلرنگ</x:v>
      </x:c>
      <x:c r="D360" s="79" t="str">
        <x:v>safflower</x:v>
      </x:c>
      <x:c r="E360" s="79" t="str">
        <x:v>update</x:v>
      </x:c>
      <x:c r="F360" s="79" t="str">
        <x:v>بله</x:v>
      </x:c>
      <x:c r="G360" s="79" t="str">
        <x:v>سایر</x:v>
      </x:c>
      <x:c r="H360" s="79" t="str">
        <x:v>گیاهان دارویی</x:v>
      </x:c>
      <x:c r="I360" s="79" t="str">
        <x:v>6a3782d7df5573f4e676e243</x:v>
      </x:c>
      <x:c r="J360" s="79" t="str">
        <x:v>medicinal-plants</x:v>
      </x:c>
      <x:c r="K360" s="79"/>
      <x:c r="L360" s="79" t="str">
        <x:v>EDIBLE</x:v>
      </x:c>
      <x:c r="M360" s="79" t="str">
        <x:v>بله</x:v>
      </x:c>
      <x:c r="N360" s="79" t="str">
        <x:v>خوراکی</x:v>
      </x:c>
      <x:c r="O360" s="79" t="str">
        <x:v>خیر</x:v>
      </x:c>
      <x:c r="P360" s="79" t="n">
        <x:v>1</x:v>
      </x:c>
      <x:c r="Q360" s="79" t="str">
        <x:v>کیلو</x:v>
      </x:c>
      <x:c r="R360" s="79" t="str">
        <x:v>3/200</x:v>
      </x:c>
      <x:c r="S360" s="104" t="n">
        <x:v>3200000</x:v>
      </x:c>
      <x:c r="T360" s="79" t="n">
        <x:v>1</x:v>
      </x:c>
      <x:c r="U360" s="79" t="str">
        <x:v>kg</x:v>
      </x:c>
      <x:c r="V360" s="79" t="str">
        <x:v>کیلو</x:v>
      </x:c>
      <x:c r="W360" s="99" t="b">
        <x:v>1</x:v>
      </x:c>
      <x:c r="X360" s="79" t="str"/>
      <x:c r="Y360" s="79"/>
      <x:c r="Z360" s="104"/>
      <x:c r="AA360" s="79" t="str"/>
      <x:c r="AB360" s="79" t="str"/>
      <x:c r="AC360" s="79" t="str"/>
      <x:c r="AD360" s="79" t="str"/>
      <x:c r="AE360" s="79" t="str">
        <x:v>فعال</x:v>
      </x:c>
      <x:c r="AF360" s="79" t="str">
        <x:v>نیازمند بررسی دستی</x:v>
      </x:c>
      <x:c r="AG360" s="79" t="str">
        <x:v>دسته از «نیاز به بررسی» به «گیاهان دارویی» اصلاح شد</x:v>
      </x:c>
      <x:c r="AH360" s="79" t="str">
        <x:v>[{"name": "کیلو", "sku": "", "price": 3200000, "stock": "", "weight": 1, "weightUnit": "kg", "containerSize": "کیلو", "isDefault": true}]</x:v>
      </x:c>
      <x:c r="AI360" s="79"/>
      <x:c r="AJ360" s="79"/>
      <x:c r="AK360" s="79"/>
      <x:c r="AL360" t="str">
        <x:v>گلرنگ</x:v>
      </x:c>
      <x:c r="AM360" t="str">
        <x:v>single_362</x:v>
      </x:c>
      <x:c r="AN360" t="str">
        <x:v>canonical_group_row</x:v>
      </x:c>
      <x:c r="AO360" t="str">
        <x:v>گیاهان دارویی</x:v>
      </x:c>
      <x:c r="AP360" t="str">
        <x:v>6a3782d7df5573f4e676e243</x:v>
      </x:c>
      <x:c r="AQ360" t="str">
        <x:v>medicinal-plants</x:v>
      </x:c>
      <x:c r="AR360" t="str">
        <x:v>EDIBLE</x:v>
      </x:c>
      <x:c r="AS360" t="str">
        <x:v>بله</x:v>
      </x:c>
      <x:c r="AT360" t="str">
        <x:v>OK</x:v>
      </x:c>
      <x:c r="AU360" t="str">
        <x:v>دسته از «نیاز به بررسی» به «گیاهان دارویی» اصلاح شد</x:v>
      </x:c>
    </x:row>
    <x:row r="361">
      <x:c r="A361" s="79" t="n">
        <x:v>363</x:v>
      </x:c>
      <x:c r="B361" s="79" t="str">
        <x:v>NS-0360-1</x:v>
      </x:c>
      <x:c r="C361" s="79" t="str">
        <x:v>گندم</x:v>
      </x:c>
      <x:c r="D361" s="79" t="str">
        <x:v>wheat</x:v>
      </x:c>
      <x:c r="E361" s="79" t="str">
        <x:v>update</x:v>
      </x:c>
      <x:c r="F361" s="79" t="str">
        <x:v>بله</x:v>
      </x:c>
      <x:c r="G361" s="79" t="str">
        <x:v>حبوبات و غلات</x:v>
      </x:c>
      <x:c r="H361" s="79" t="str">
        <x:v>حبوبات و غلات</x:v>
      </x:c>
      <x:c r="I361" s="79" t="str">
        <x:v>6a3a00000000000000000002</x:v>
      </x:c>
      <x:c r="J361" s="79" t="str">
        <x:v>legumes-grains</x:v>
      </x:c>
      <x:c r="K361" s="79"/>
      <x:c r="L361" s="79" t="str">
        <x:v>EDIBLE</x:v>
      </x:c>
      <x:c r="M361" s="79" t="str">
        <x:v>بله</x:v>
      </x:c>
      <x:c r="N361" s="79" t="str">
        <x:v>خوراکی</x:v>
      </x:c>
      <x:c r="O361" s="79" t="str">
        <x:v>خیر</x:v>
      </x:c>
      <x:c r="P361" s="79" t="n">
        <x:v>1</x:v>
      </x:c>
      <x:c r="Q361" s="79" t="str">
        <x:v>کیلو</x:v>
      </x:c>
      <x:c r="R361" s="79" t="n">
        <x:v>120</x:v>
      </x:c>
      <x:c r="S361" s="104" t="n">
        <x:v>120000</x:v>
      </x:c>
      <x:c r="T361" s="79" t="n">
        <x:v>1</x:v>
      </x:c>
      <x:c r="U361" s="79" t="str">
        <x:v>kg</x:v>
      </x:c>
      <x:c r="V361" s="79" t="str">
        <x:v>کیلو</x:v>
      </x:c>
      <x:c r="W361" s="99" t="b">
        <x:v>1</x:v>
      </x:c>
      <x:c r="X361" s="79" t="str"/>
      <x:c r="Y361" s="79"/>
      <x:c r="Z361" s="104"/>
      <x:c r="AA361" s="79" t="str"/>
      <x:c r="AB361" s="79" t="str"/>
      <x:c r="AC361" s="79" t="str"/>
      <x:c r="AD361" s="79" t="str"/>
      <x:c r="AE361" s="79" t="str">
        <x:v>فعال</x:v>
      </x:c>
      <x:c r="AF361" s="79" t="str">
        <x:v>دسته‌بندی نهایی</x:v>
      </x:c>
      <x:c r="AG361" s="79" t="str">
        <x:v>OK</x:v>
      </x:c>
      <x:c r="AH361" s="79" t="str">
        <x:v>[{"name": "کیلو", "sku": "", "price": 120000, "stock": "", "weight": 1, "weightUnit": "kg", "containerSize": "کیلو", "isDefault": true}]</x:v>
      </x:c>
      <x:c r="AI361" s="79"/>
      <x:c r="AJ361" s="79"/>
      <x:c r="AK361" s="79"/>
      <x:c r="AL361" t="str">
        <x:v>گندم</x:v>
      </x:c>
      <x:c r="AM361" t="str">
        <x:v>single_363</x:v>
      </x:c>
      <x:c r="AN361" t="str">
        <x:v>canonical_group_row</x:v>
      </x:c>
      <x:c r="AO361" t="str">
        <x:v>حبوبات و غلات</x:v>
      </x:c>
      <x:c r="AP361" t="str">
        <x:v>6a3a00000000000000000002</x:v>
      </x:c>
      <x:c r="AQ361" t="str">
        <x:v>legumes-grains</x:v>
      </x:c>
      <x:c r="AR361" t="str">
        <x:v>EDIBLE</x:v>
      </x:c>
      <x:c r="AS361" t="str">
        <x:v>بله</x:v>
      </x:c>
      <x:c r="AT361" t="str">
        <x:v>OK</x:v>
      </x:c>
      <x:c r="AU361"/>
    </x:row>
    <x:row r="362">
      <x:c r="A362" s="79" t="n">
        <x:v>364</x:v>
      </x:c>
      <x:c r="B362" s="79" t="str">
        <x:v>NS-0361-1</x:v>
      </x:c>
      <x:c r="C362" s="79" t="str">
        <x:v>گوجه پودر</x:v>
      </x:c>
      <x:c r="D362" s="79" t="str">
        <x:v>tomato_powder</x:v>
      </x:c>
      <x:c r="E362" s="79" t="str">
        <x:v>update</x:v>
      </x:c>
      <x:c r="F362" s="79" t="str">
        <x:v>بله</x:v>
      </x:c>
      <x:c r="G362" s="79" t="str">
        <x:v>سایر</x:v>
      </x:c>
      <x:c r="H362" s="79" t="str">
        <x:v>ادویه</x:v>
      </x:c>
      <x:c r="I362" s="79" t="str">
        <x:v>6a3781e4df5573f4e676e226</x:v>
      </x:c>
      <x:c r="J362" s="79" t="str">
        <x:v>spice</x:v>
      </x:c>
      <x:c r="K362" s="79"/>
      <x:c r="L362" s="79" t="str">
        <x:v>EDIBLE</x:v>
      </x:c>
      <x:c r="M362" s="79" t="str">
        <x:v>بله</x:v>
      </x:c>
      <x:c r="N362" s="79" t="str">
        <x:v>خوراکی</x:v>
      </x:c>
      <x:c r="O362" s="79" t="str">
        <x:v>خیر</x:v>
      </x:c>
      <x:c r="P362" s="79" t="n">
        <x:v>1</x:v>
      </x:c>
      <x:c r="Q362" s="79" t="str">
        <x:v>کیلو</x:v>
      </x:c>
      <x:c r="R362" s="79" t="n">
        <x:v>790</x:v>
      </x:c>
      <x:c r="S362" s="104" t="n">
        <x:v>790000</x:v>
      </x:c>
      <x:c r="T362" s="79" t="n">
        <x:v>1</x:v>
      </x:c>
      <x:c r="U362" s="79" t="str">
        <x:v>kg</x:v>
      </x:c>
      <x:c r="V362" s="79" t="str">
        <x:v>کیلو</x:v>
      </x:c>
      <x:c r="W362" s="99" t="b">
        <x:v>1</x:v>
      </x:c>
      <x:c r="X362" s="79" t="str"/>
      <x:c r="Y362" s="79"/>
      <x:c r="Z362" s="104"/>
      <x:c r="AA362" s="79" t="str"/>
      <x:c r="AB362" s="79" t="str"/>
      <x:c r="AC362" s="79" t="str"/>
      <x:c r="AD362" s="79" t="str"/>
      <x:c r="AE362" s="79" t="str">
        <x:v>فعال</x:v>
      </x:c>
      <x:c r="AF362" s="79" t="str">
        <x:v>دسته‌بندی نهایی</x:v>
      </x:c>
      <x:c r="AG362" s="79" t="str">
        <x:v>OK</x:v>
      </x:c>
      <x:c r="AH362" s="79" t="str">
        <x:v>[{"name": "کیلو", "sku": "", "price": 790000, "stock": "", "weight": 1, "weightUnit": "kg", "containerSize": "کیلو", "isDefault": true}]</x:v>
      </x:c>
      <x:c r="AI362" s="79"/>
      <x:c r="AJ362" s="79"/>
      <x:c r="AK362" s="79"/>
      <x:c r="AL362" t="str">
        <x:v>گوجه پودر</x:v>
      </x:c>
      <x:c r="AM362" t="str">
        <x:v>single_364</x:v>
      </x:c>
      <x:c r="AN362" t="str">
        <x:v>canonical_group_row</x:v>
      </x:c>
      <x:c r="AO362" t="str">
        <x:v>ادویه</x:v>
      </x:c>
      <x:c r="AP362" t="str">
        <x:v>6a3781e4df5573f4e676e226</x:v>
      </x:c>
      <x:c r="AQ362" t="str">
        <x:v>spice</x:v>
      </x:c>
      <x:c r="AR362" t="str">
        <x:v>EDIBLE</x:v>
      </x:c>
      <x:c r="AS362" t="str">
        <x:v>بله</x:v>
      </x:c>
      <x:c r="AT362" t="str">
        <x:v>OK</x:v>
      </x:c>
      <x:c r="AU362"/>
    </x:row>
    <x:row r="363">
      <x:c r="A363" s="79" t="n">
        <x:v>365</x:v>
      </x:c>
      <x:c r="B363" s="79" t="str">
        <x:v>NS-0362-1</x:v>
      </x:c>
      <x:c r="C363" s="79" t="str">
        <x:v>لبو</x:v>
      </x:c>
      <x:c r="D363" s="79" t="str">
        <x:v>beetroot</x:v>
      </x:c>
      <x:c r="E363" s="79" t="str">
        <x:v>update</x:v>
      </x:c>
      <x:c r="F363" s="79" t="str">
        <x:v>بله</x:v>
      </x:c>
      <x:c r="G363" s="79" t="str">
        <x:v>سایر</x:v>
      </x:c>
      <x:c r="H363" s="79" t="str">
        <x:v>نوشیدنی‌ها</x:v>
      </x:c>
      <x:c r="I363" s="79" t="str">
        <x:v>6a3782ffdf5573f4e676e24b</x:v>
      </x:c>
      <x:c r="J363" s="79" t="str">
        <x:v>syrup</x:v>
      </x:c>
      <x:c r="K363" s="79" t="str">
        <x:v>6a3782d7df5573f4e676e243</x:v>
      </x:c>
      <x:c r="L363" s="79" t="str">
        <x:v>EDIBLE</x:v>
      </x:c>
      <x:c r="M363" s="79" t="str">
        <x:v>بله</x:v>
      </x:c>
      <x:c r="N363" s="79" t="str">
        <x:v>خوراکی</x:v>
      </x:c>
      <x:c r="O363" s="79" t="str">
        <x:v>خیر</x:v>
      </x:c>
      <x:c r="P363" s="79" t="n">
        <x:v>1</x:v>
      </x:c>
      <x:c r="Q363" s="79" t="str">
        <x:v>کیلو</x:v>
      </x:c>
      <x:c r="R363" s="79" t="str">
        <x:v>؟</x:v>
      </x:c>
      <x:c r="S363" s="104"/>
      <x:c r="T363" s="79" t="n">
        <x:v>1</x:v>
      </x:c>
      <x:c r="U363" s="79" t="str">
        <x:v>kg</x:v>
      </x:c>
      <x:c r="V363" s="79" t="str">
        <x:v>کیلو</x:v>
      </x:c>
      <x:c r="W363" s="99" t="b">
        <x:v>1</x:v>
      </x:c>
      <x:c r="X363" s="79" t="str"/>
      <x:c r="Y363" s="79"/>
      <x:c r="Z363" s="104"/>
      <x:c r="AA363" s="79" t="str"/>
      <x:c r="AB363" s="79" t="str"/>
      <x:c r="AC363" s="79" t="str"/>
      <x:c r="AD363" s="79" t="str"/>
      <x:c r="AE363" s="79" t="str">
        <x:v>نیاز به استعلام</x:v>
      </x:c>
      <x:c r="AF363" s="79" t="str">
        <x:v>نیازمند بررسی دستی</x:v>
      </x:c>
      <x:c r="AG363" s="79" t="str">
        <x:v>دسته از «نیاز به بررسی» به «نوشیدنی‌ها» اصلاح شد | یک یا چند قیمت نامشخص است</x:v>
      </x:c>
      <x:c r="AH363" s="79" t="str">
        <x:v>[{"name": "کیلو", "sku": "", "price": null, "stock": "", "weight": 1, "weightUnit": "kg", "containerSize": "کیلو", "isDefault": true}]</x:v>
      </x:c>
      <x:c r="AI363" s="79"/>
      <x:c r="AJ363" s="79"/>
      <x:c r="AK363" s="79"/>
      <x:c r="AL363" t="str">
        <x:v>لبو</x:v>
      </x:c>
      <x:c r="AM363" t="str">
        <x:v>single_365</x:v>
      </x:c>
      <x:c r="AN363" t="str">
        <x:v>canonical_group_row</x:v>
      </x:c>
      <x:c r="AO363" t="str">
        <x:v>نوشیدنی‌ها</x:v>
      </x:c>
      <x:c r="AP363" t="str">
        <x:v>6a3782ffdf5573f4e676e24b</x:v>
      </x:c>
      <x:c r="AQ363" t="str">
        <x:v>syrup</x:v>
      </x:c>
      <x:c r="AR363" t="str">
        <x:v>EDIBLE</x:v>
      </x:c>
      <x:c r="AS363" t="str">
        <x:v>بله</x:v>
      </x:c>
      <x:c r="AT363" t="str">
        <x:v>MISSING_PRICE_REVIEW</x:v>
      </x:c>
      <x:c r="AU363" t="str">
        <x:v>دسته از «نیاز به بررسی» به «نوشیدنی‌ها» اصلاح شد | یک یا چند قیمت نامشخص است</x:v>
      </x:c>
    </x:row>
    <x:row r="364">
      <x:c r="A364" s="79" t="n">
        <x:v>366</x:v>
      </x:c>
      <x:c r="B364" s="79" t="str">
        <x:v>NS-0363-1</x:v>
      </x:c>
      <x:c r="C364" s="79" t="str">
        <x:v>لواشک</x:v>
      </x:c>
      <x:c r="D364" s="79" t="str">
        <x:v>fruit_leather</x:v>
      </x:c>
      <x:c r="E364" s="79" t="str">
        <x:v>update</x:v>
      </x:c>
      <x:c r="F364" s="79" t="str">
        <x:v>بله</x:v>
      </x:c>
      <x:c r="G364" s="79" t="str">
        <x:v>سایر</x:v>
      </x:c>
      <x:c r="H364" s="79" t="str">
        <x:v>خشکبار و آجیل</x:v>
      </x:c>
      <x:c r="I364" s="79" t="str">
        <x:v>6a37810ddf5573f4e676e201</x:v>
      </x:c>
      <x:c r="J364" s="79" t="str">
        <x:v>dried-fruits-nuts</x:v>
      </x:c>
      <x:c r="K364" s="79"/>
      <x:c r="L364" s="79" t="str">
        <x:v>EDIBLE</x:v>
      </x:c>
      <x:c r="M364" s="79" t="str">
        <x:v>بله</x:v>
      </x:c>
      <x:c r="N364" s="79" t="str">
        <x:v>خوراکی</x:v>
      </x:c>
      <x:c r="O364" s="79" t="str">
        <x:v>خیر</x:v>
      </x:c>
      <x:c r="P364" s="79" t="n">
        <x:v>1</x:v>
      </x:c>
      <x:c r="Q364" s="79" t="str">
        <x:v>کیلو</x:v>
      </x:c>
      <x:c r="R364" s="79" t="str">
        <x:v>؟</x:v>
      </x:c>
      <x:c r="S364" s="104"/>
      <x:c r="T364" s="79" t="n">
        <x:v>1</x:v>
      </x:c>
      <x:c r="U364" s="79" t="str">
        <x:v>kg</x:v>
      </x:c>
      <x:c r="V364" s="79" t="str">
        <x:v>کیلو</x:v>
      </x:c>
      <x:c r="W364" s="99" t="b">
        <x:v>1</x:v>
      </x:c>
      <x:c r="X364" s="79" t="str"/>
      <x:c r="Y364" s="79"/>
      <x:c r="Z364" s="104"/>
      <x:c r="AA364" s="79" t="str"/>
      <x:c r="AB364" s="79" t="str"/>
      <x:c r="AC364" s="79" t="str"/>
      <x:c r="AD364" s="79" t="str"/>
      <x:c r="AE364" s="79" t="str">
        <x:v>نیاز به استعلام</x:v>
      </x:c>
      <x:c r="AF364" s="79" t="str">
        <x:v>نیازمند بررسی دستی</x:v>
      </x:c>
      <x:c r="AG364" s="79" t="str">
        <x:v>دسته از «نیاز به بررسی» به «خشکبار و آجیل» اصلاح شد | یک یا چند قیمت نامشخص است</x:v>
      </x:c>
      <x:c r="AH364" s="79" t="str">
        <x:v>[{"name": "کیلو", "sku": "", "price": null, "stock": "", "weight": 1, "weightUnit": "kg", "containerSize": "کیلو", "isDefault": true}]</x:v>
      </x:c>
      <x:c r="AI364" s="79"/>
      <x:c r="AJ364" s="79"/>
      <x:c r="AK364" s="79"/>
      <x:c r="AL364" t="str">
        <x:v>لواشک</x:v>
      </x:c>
      <x:c r="AM364" t="str">
        <x:v>single_366</x:v>
      </x:c>
      <x:c r="AN364" t="str">
        <x:v>canonical_group_row</x:v>
      </x:c>
      <x:c r="AO364" t="str">
        <x:v>خشکبار و آجیل</x:v>
      </x:c>
      <x:c r="AP364" t="str">
        <x:v>6a37810ddf5573f4e676e201</x:v>
      </x:c>
      <x:c r="AQ364" t="str">
        <x:v>dried-fruits-nuts</x:v>
      </x:c>
      <x:c r="AR364" t="str">
        <x:v>EDIBLE</x:v>
      </x:c>
      <x:c r="AS364" t="str">
        <x:v>بله</x:v>
      </x:c>
      <x:c r="AT364" t="str">
        <x:v>MISSING_PRICE_REVIEW</x:v>
      </x:c>
      <x:c r="AU364" t="str">
        <x:v>دسته از «نیاز به بررسی» به «خشکبار و آجیل» اصلاح شد | یک یا چند قیمت نامشخص است</x:v>
      </x:c>
    </x:row>
    <x:row r="365">
      <x:c r="A365" s="79" t="n">
        <x:v>367</x:v>
      </x:c>
      <x:c r="B365" s="79" t="str">
        <x:v>NS-0364-1</x:v>
      </x:c>
      <x:c r="C365" s="79" t="str">
        <x:v>لیمو اسلایس</x:v>
      </x:c>
      <x:c r="D365" s="79" t="str">
        <x:v>sliced_lemon</x:v>
      </x:c>
      <x:c r="E365" s="79" t="str">
        <x:v>update</x:v>
      </x:c>
      <x:c r="F365" s="79" t="str">
        <x:v>بله</x:v>
      </x:c>
      <x:c r="G365" s="79" t="str">
        <x:v>سایر</x:v>
      </x:c>
      <x:c r="H365" s="79" t="str">
        <x:v>ادویه</x:v>
      </x:c>
      <x:c r="I365" s="79" t="str">
        <x:v>6a3781e4df5573f4e676e226</x:v>
      </x:c>
      <x:c r="J365" s="79" t="str">
        <x:v>spice</x:v>
      </x:c>
      <x:c r="K365" s="79"/>
      <x:c r="L365" s="79" t="str">
        <x:v>EDIBLE</x:v>
      </x:c>
      <x:c r="M365" s="79" t="str">
        <x:v>بله</x:v>
      </x:c>
      <x:c r="N365" s="79" t="str">
        <x:v>خوراکی</x:v>
      </x:c>
      <x:c r="O365" s="79" t="str">
        <x:v>خیر</x:v>
      </x:c>
      <x:c r="P365" s="79" t="n">
        <x:v>1</x:v>
      </x:c>
      <x:c r="Q365" s="79" t="str">
        <x:v>کیلو</x:v>
      </x:c>
      <x:c r="R365" s="79" t="n">
        <x:v>900</x:v>
      </x:c>
      <x:c r="S365" s="104" t="n">
        <x:v>900000</x:v>
      </x:c>
      <x:c r="T365" s="79" t="n">
        <x:v>1</x:v>
      </x:c>
      <x:c r="U365" s="79" t="str">
        <x:v>kg</x:v>
      </x:c>
      <x:c r="V365" s="79" t="str">
        <x:v>کیلو</x:v>
      </x:c>
      <x:c r="W365" s="99" t="b">
        <x:v>1</x:v>
      </x:c>
      <x:c r="X365" s="79" t="str"/>
      <x:c r="Y365" s="79"/>
      <x:c r="Z365" s="104"/>
      <x:c r="AA365" s="79" t="str"/>
      <x:c r="AB365" s="79" t="str"/>
      <x:c r="AC365" s="79" t="str"/>
      <x:c r="AD365" s="79" t="str"/>
      <x:c r="AE365" s="79" t="str">
        <x:v>فعال</x:v>
      </x:c>
      <x:c r="AF365" s="79" t="str">
        <x:v>نیازمند بررسی دستی</x:v>
      </x:c>
      <x:c r="AG365" s="79" t="str">
        <x:v>دسته از «نیاز به بررسی» به «ادویه» اصلاح شد</x:v>
      </x:c>
      <x:c r="AH365" s="79" t="str">
        <x:v>[{"name": "کیلو", "sku": "", "price": 900000, "stock": "", "weight": 1, "weightUnit": "kg", "containerSize": "کیلو", "isDefault": true}]</x:v>
      </x:c>
      <x:c r="AI365" s="79"/>
      <x:c r="AJ365" s="79"/>
      <x:c r="AK365" s="79"/>
      <x:c r="AL365" t="str">
        <x:v>لیمو اسلایس</x:v>
      </x:c>
      <x:c r="AM365" t="str">
        <x:v>single_367</x:v>
      </x:c>
      <x:c r="AN365" t="str">
        <x:v>canonical_group_row</x:v>
      </x:c>
      <x:c r="AO365" t="str">
        <x:v>ادویه</x:v>
      </x:c>
      <x:c r="AP365" t="str">
        <x:v>6a3781e4df5573f4e676e226</x:v>
      </x:c>
      <x:c r="AQ365" t="str">
        <x:v>spice</x:v>
      </x:c>
      <x:c r="AR365" t="str">
        <x:v>EDIBLE</x:v>
      </x:c>
      <x:c r="AS365" t="str">
        <x:v>بله</x:v>
      </x:c>
      <x:c r="AT365" t="str">
        <x:v>OK</x:v>
      </x:c>
      <x:c r="AU365" t="str">
        <x:v>دسته از «نیاز به بررسی» به «ادویه» اصلاح شد</x:v>
      </x:c>
    </x:row>
    <x:row r="366">
      <x:c r="A366" s="79" t="n">
        <x:v>368</x:v>
      </x:c>
      <x:c r="B366" s="79" t="str">
        <x:v>NS-0365-1</x:v>
      </x:c>
      <x:c r="C366" s="79" t="str">
        <x:v>لیمو ببری</x:v>
      </x:c>
      <x:c r="D366" s="79" t="str">
        <x:v>lemon_tiger</x:v>
      </x:c>
      <x:c r="E366" s="79" t="str">
        <x:v>update</x:v>
      </x:c>
      <x:c r="F366" s="79" t="str">
        <x:v>بله</x:v>
      </x:c>
      <x:c r="G366" s="79" t="str">
        <x:v>سایر</x:v>
      </x:c>
      <x:c r="H366" s="79" t="str">
        <x:v>ادویه</x:v>
      </x:c>
      <x:c r="I366" s="79" t="str">
        <x:v>6a3781e4df5573f4e676e226</x:v>
      </x:c>
      <x:c r="J366" s="79" t="str">
        <x:v>spice</x:v>
      </x:c>
      <x:c r="K366" s="79"/>
      <x:c r="L366" s="79" t="str">
        <x:v>EDIBLE</x:v>
      </x:c>
      <x:c r="M366" s="79" t="str">
        <x:v>بله</x:v>
      </x:c>
      <x:c r="N366" s="79" t="str">
        <x:v>خوراکی</x:v>
      </x:c>
      <x:c r="O366" s="79" t="str">
        <x:v>خیر</x:v>
      </x:c>
      <x:c r="P366" s="79" t="n">
        <x:v>1</x:v>
      </x:c>
      <x:c r="Q366" s="79" t="str">
        <x:v>کیلو</x:v>
      </x:c>
      <x:c r="R366" s="79" t="str">
        <x:v>2/200</x:v>
      </x:c>
      <x:c r="S366" s="104" t="n">
        <x:v>2200000</x:v>
      </x:c>
      <x:c r="T366" s="79" t="n">
        <x:v>1</x:v>
      </x:c>
      <x:c r="U366" s="79" t="str">
        <x:v>kg</x:v>
      </x:c>
      <x:c r="V366" s="79" t="str">
        <x:v>کیلو</x:v>
      </x:c>
      <x:c r="W366" s="99" t="b">
        <x:v>1</x:v>
      </x:c>
      <x:c r="X366" s="79" t="str"/>
      <x:c r="Y366" s="79"/>
      <x:c r="Z366" s="104"/>
      <x:c r="AA366" s="79" t="str"/>
      <x:c r="AB366" s="79" t="str"/>
      <x:c r="AC366" s="79" t="str"/>
      <x:c r="AD366" s="79" t="str"/>
      <x:c r="AE366" s="79" t="str">
        <x:v>فعال</x:v>
      </x:c>
      <x:c r="AF366" s="79" t="str">
        <x:v>نیازمند بررسی دستی</x:v>
      </x:c>
      <x:c r="AG366" s="79" t="str">
        <x:v>دسته از «نیاز به بررسی» به «ادویه» اصلاح شد</x:v>
      </x:c>
      <x:c r="AH366" s="79" t="str">
        <x:v>[{"name": "کیلو", "sku": "", "price": 2200000, "stock": "", "weight": 1, "weightUnit": "kg", "containerSize": "کیلو", "isDefault": true}]</x:v>
      </x:c>
      <x:c r="AI366" s="79"/>
      <x:c r="AJ366" s="79"/>
      <x:c r="AK366" s="79"/>
      <x:c r="AL366" t="str">
        <x:v>لیمو ببری</x:v>
      </x:c>
      <x:c r="AM366" t="str">
        <x:v>single_368</x:v>
      </x:c>
      <x:c r="AN366" t="str">
        <x:v>canonical_group_row</x:v>
      </x:c>
      <x:c r="AO366" t="str">
        <x:v>ادویه</x:v>
      </x:c>
      <x:c r="AP366" t="str">
        <x:v>6a3781e4df5573f4e676e226</x:v>
      </x:c>
      <x:c r="AQ366" t="str">
        <x:v>spice</x:v>
      </x:c>
      <x:c r="AR366" t="str">
        <x:v>EDIBLE</x:v>
      </x:c>
      <x:c r="AS366" t="str">
        <x:v>بله</x:v>
      </x:c>
      <x:c r="AT366" t="str">
        <x:v>OK</x:v>
      </x:c>
      <x:c r="AU366" t="str">
        <x:v>دسته از «نیاز به بررسی» به «ادویه» اصلاح شد</x:v>
      </x:c>
    </x:row>
    <x:row r="367">
      <x:c r="A367" s="79" t="n">
        <x:v>369</x:v>
      </x:c>
      <x:c r="B367" s="79" t="str">
        <x:v>NS-0366-1</x:v>
      </x:c>
      <x:c r="C367" s="79" t="str">
        <x:v>مرزه</x:v>
      </x:c>
      <x:c r="D367" s="79" t="str">
        <x:v>savory</x:v>
      </x:c>
      <x:c r="E367" s="79" t="str">
        <x:v>update</x:v>
      </x:c>
      <x:c r="F367" s="79" t="str">
        <x:v>بله</x:v>
      </x:c>
      <x:c r="G367" s="79" t="str">
        <x:v>گیاهان دارویی</x:v>
      </x:c>
      <x:c r="H367" s="79" t="str">
        <x:v>گیاهان دارویی</x:v>
      </x:c>
      <x:c r="I367" s="79" t="str">
        <x:v>6a3782d7df5573f4e676e243</x:v>
      </x:c>
      <x:c r="J367" s="79" t="str">
        <x:v>medicinal-plants</x:v>
      </x:c>
      <x:c r="K367" s="79"/>
      <x:c r="L367" s="79" t="str">
        <x:v>EDIBLE</x:v>
      </x:c>
      <x:c r="M367" s="79" t="str">
        <x:v>بله</x:v>
      </x:c>
      <x:c r="N367" s="79" t="str">
        <x:v>خوراکی</x:v>
      </x:c>
      <x:c r="O367" s="79" t="str">
        <x:v>خیر</x:v>
      </x:c>
      <x:c r="P367" s="79" t="n">
        <x:v>1</x:v>
      </x:c>
      <x:c r="Q367" s="79" t="str">
        <x:v>کیلو</x:v>
      </x:c>
      <x:c r="R367" s="79" t="n">
        <x:v>850</x:v>
      </x:c>
      <x:c r="S367" s="104" t="n">
        <x:v>850000</x:v>
      </x:c>
      <x:c r="T367" s="79" t="n">
        <x:v>1</x:v>
      </x:c>
      <x:c r="U367" s="79" t="str">
        <x:v>kg</x:v>
      </x:c>
      <x:c r="V367" s="79" t="str">
        <x:v>کیلو</x:v>
      </x:c>
      <x:c r="W367" s="99" t="b">
        <x:v>1</x:v>
      </x:c>
      <x:c r="X367" s="79" t="str"/>
      <x:c r="Y367" s="79"/>
      <x:c r="Z367" s="104"/>
      <x:c r="AA367" s="79" t="str"/>
      <x:c r="AB367" s="79" t="str"/>
      <x:c r="AC367" s="79" t="str"/>
      <x:c r="AD367" s="79" t="str"/>
      <x:c r="AE367" s="79" t="str">
        <x:v>فعال</x:v>
      </x:c>
      <x:c r="AF367" s="79" t="str">
        <x:v>دسته‌بندی نهایی</x:v>
      </x:c>
      <x:c r="AG367" s="79" t="str">
        <x:v>OK</x:v>
      </x:c>
      <x:c r="AH367" s="79" t="str">
        <x:v>[{"name": "کیلو", "sku": "", "price": 850000, "stock": "", "weight": 1, "weightUnit": "kg", "containerSize": "کیلو", "isDefault": true}]</x:v>
      </x:c>
      <x:c r="AI367" s="79"/>
      <x:c r="AJ367" s="79"/>
      <x:c r="AK367" s="79"/>
      <x:c r="AL367" t="str">
        <x:v>مرزه</x:v>
      </x:c>
      <x:c r="AM367" t="str">
        <x:v>single_369</x:v>
      </x:c>
      <x:c r="AN367" t="str">
        <x:v>canonical_group_row</x:v>
      </x:c>
      <x:c r="AO367" t="str">
        <x:v>گیاهان دارویی</x:v>
      </x:c>
      <x:c r="AP367" t="str">
        <x:v>6a3782d7df5573f4e676e243</x:v>
      </x:c>
      <x:c r="AQ367" t="str">
        <x:v>medicinal-plants</x:v>
      </x:c>
      <x:c r="AR367" t="str">
        <x:v>EDIBLE</x:v>
      </x:c>
      <x:c r="AS367" t="str">
        <x:v>بله</x:v>
      </x:c>
      <x:c r="AT367" t="str">
        <x:v>OK</x:v>
      </x:c>
      <x:c r="AU367"/>
    </x:row>
    <x:row r="368">
      <x:c r="A368" s="79" t="n">
        <x:v>370</x:v>
      </x:c>
      <x:c r="B368" s="79" t="str">
        <x:v>NS-0367-1</x:v>
      </x:c>
      <x:c r="C368" s="79" t="str">
        <x:v>مصفی خون</x:v>
      </x:c>
      <x:c r="D368" s="79" t="str">
        <x:v>purifier_blood</x:v>
      </x:c>
      <x:c r="E368" s="79" t="str">
        <x:v>update</x:v>
      </x:c>
      <x:c r="F368" s="79" t="str">
        <x:v>بله</x:v>
      </x:c>
      <x:c r="G368" s="79" t="str">
        <x:v>سایر</x:v>
      </x:c>
      <x:c r="H368" s="79" t="str">
        <x:v>گیاهان دارویی</x:v>
      </x:c>
      <x:c r="I368" s="79" t="str">
        <x:v>6a3782d7df5573f4e676e243</x:v>
      </x:c>
      <x:c r="J368" s="79" t="str">
        <x:v>medicinal-plants</x:v>
      </x:c>
      <x:c r="K368" s="79"/>
      <x:c r="L368" s="79" t="str">
        <x:v>REVIEW</x:v>
      </x:c>
      <x:c r="M368" s="79" t="str">
        <x:v>نیاز به بررسی</x:v>
      </x:c>
      <x:c r="N368" s="79" t="str">
        <x:v>نیاز به بررسی</x:v>
      </x:c>
      <x:c r="O368" s="79" t="str">
        <x:v>خیر</x:v>
      </x:c>
      <x:c r="P368" s="79" t="n">
        <x:v>1</x:v>
      </x:c>
      <x:c r="Q368" s="79" t="str">
        <x:v>کیلو</x:v>
      </x:c>
      <x:c r="R368" s="79" t="str">
        <x:v>؟</x:v>
      </x:c>
      <x:c r="S368" s="104"/>
      <x:c r="T368" s="79" t="n">
        <x:v>1</x:v>
      </x:c>
      <x:c r="U368" s="79" t="str">
        <x:v>kg</x:v>
      </x:c>
      <x:c r="V368" s="79" t="str">
        <x:v>کیلو</x:v>
      </x:c>
      <x:c r="W368" s="99" t="b">
        <x:v>1</x:v>
      </x:c>
      <x:c r="X368" s="79" t="str"/>
      <x:c r="Y368" s="79"/>
      <x:c r="Z368" s="104"/>
      <x:c r="AA368" s="79" t="str"/>
      <x:c r="AB368" s="79" t="str"/>
      <x:c r="AC368" s="79" t="str"/>
      <x:c r="AD368" s="79" t="str"/>
      <x:c r="AE368" s="79" t="str">
        <x:v>نیاز به استعلام</x:v>
      </x:c>
      <x:c r="AF368" s="79" t="str">
        <x:v>نیازمند بررسی دستی</x:v>
      </x:c>
      <x:c r="AG368" s="79" t="str">
        <x:v>دسته با اطمینان متوسط اصلاح شد؛ در صورت حساسیت دستی بازبینی شود | نوع مصرف نیازمند بررسی دستی | یک یا چند قیمت نامشخص است</x:v>
      </x:c>
      <x:c r="AH368" s="79" t="str">
        <x:v>[{"name": "کیلو", "sku": "", "price": null, "stock": "", "weight": 1, "weightUnit": "kg", "containerSize": "کیلو", "isDefault": true}]</x:v>
      </x:c>
      <x:c r="AI368" s="79"/>
      <x:c r="AJ368" s="79"/>
      <x:c r="AK368" s="79"/>
      <x:c r="AL368" t="str">
        <x:v>مصفی خون</x:v>
      </x:c>
      <x:c r="AM368" t="str">
        <x:v>single_370</x:v>
      </x:c>
      <x:c r="AN368" t="str">
        <x:v>canonical_group_row</x:v>
      </x:c>
      <x:c r="AO368" t="str">
        <x:v>گیاهان دارویی</x:v>
      </x:c>
      <x:c r="AP368" t="str">
        <x:v>6a3782d7df5573f4e676e243</x:v>
      </x:c>
      <x:c r="AQ368" t="str">
        <x:v>medicinal-plants</x:v>
      </x:c>
      <x:c r="AR368" t="str">
        <x:v>REVIEW</x:v>
      </x:c>
      <x:c r="AS368" t="str">
        <x:v>نیاز به بررسی</x:v>
      </x:c>
      <x:c r="AT368" t="str">
        <x:v>MISSING_PRICE_REVIEW</x:v>
      </x:c>
      <x:c r="AU368" t="str">
        <x:v>دسته با اطمینان متوسط اصلاح شد؛ در صورت حساسیت دستی بازبینی شود | نوع مصرف نیازمند بررسی دستی | یک یا چند قیمت نامشخص است</x:v>
      </x:c>
    </x:row>
    <x:row r="369">
      <x:c r="A369" s="79" t="n">
        <x:v>371</x:v>
      </x:c>
      <x:c r="B369" s="79" t="str">
        <x:v>NS-0368-1</x:v>
      </x:c>
      <x:c r="C369" s="79" t="str">
        <x:v>موسیر</x:v>
      </x:c>
      <x:c r="D369" s="79" t="str">
        <x:v>mvsyr</x:v>
      </x:c>
      <x:c r="E369" s="79" t="str">
        <x:v>update</x:v>
      </x:c>
      <x:c r="F369" s="79" t="str">
        <x:v>بله</x:v>
      </x:c>
      <x:c r="G369" s="79" t="str">
        <x:v>ادویه و چاشنی</x:v>
      </x:c>
      <x:c r="H369" s="79" t="str">
        <x:v>ادویه</x:v>
      </x:c>
      <x:c r="I369" s="79" t="str">
        <x:v>6a3781e4df5573f4e676e226</x:v>
      </x:c>
      <x:c r="J369" s="79" t="str">
        <x:v>spice</x:v>
      </x:c>
      <x:c r="K369" s="79"/>
      <x:c r="L369" s="79" t="str">
        <x:v>EDIBLE</x:v>
      </x:c>
      <x:c r="M369" s="79" t="str">
        <x:v>بله</x:v>
      </x:c>
      <x:c r="N369" s="79" t="str">
        <x:v>خوراکی</x:v>
      </x:c>
      <x:c r="O369" s="79" t="str">
        <x:v>خیر</x:v>
      </x:c>
      <x:c r="P369" s="79" t="n">
        <x:v>1</x:v>
      </x:c>
      <x:c r="Q369" s="79" t="str">
        <x:v>کیلو</x:v>
      </x:c>
      <x:c r="R369" s="79" t="str">
        <x:v>3/500</x:v>
      </x:c>
      <x:c r="S369" s="104" t="n">
        <x:v>3500000</x:v>
      </x:c>
      <x:c r="T369" s="79" t="n">
        <x:v>1</x:v>
      </x:c>
      <x:c r="U369" s="79" t="str">
        <x:v>kg</x:v>
      </x:c>
      <x:c r="V369" s="79" t="str">
        <x:v>کیلو</x:v>
      </x:c>
      <x:c r="W369" s="99" t="b">
        <x:v>1</x:v>
      </x:c>
      <x:c r="X369" s="79" t="str"/>
      <x:c r="Y369" s="79"/>
      <x:c r="Z369" s="104"/>
      <x:c r="AA369" s="79" t="str"/>
      <x:c r="AB369" s="79" t="str"/>
      <x:c r="AC369" s="79" t="str"/>
      <x:c r="AD369" s="79" t="str"/>
      <x:c r="AE369" s="79" t="str">
        <x:v>فعال</x:v>
      </x:c>
      <x:c r="AF369" s="79" t="str">
        <x:v>دسته‌بندی نهایی</x:v>
      </x:c>
      <x:c r="AG369" s="79" t="str">
        <x:v>OK</x:v>
      </x:c>
      <x:c r="AH369" s="79" t="str">
        <x:v>[{"name": "کیلو", "sku": "", "price": 3500000, "stock": "", "weight": 1, "weightUnit": "kg", "containerSize": "کیلو", "isDefault": true}]</x:v>
      </x:c>
      <x:c r="AI369" s="79"/>
      <x:c r="AJ369" s="79"/>
      <x:c r="AK369" s="79"/>
      <x:c r="AL369" t="str">
        <x:v>موسیر</x:v>
      </x:c>
      <x:c r="AM369" t="str">
        <x:v>single_371</x:v>
      </x:c>
      <x:c r="AN369" t="str">
        <x:v>canonical_group_row</x:v>
      </x:c>
      <x:c r="AO369" t="str">
        <x:v>ادویه</x:v>
      </x:c>
      <x:c r="AP369" t="str">
        <x:v>6a3781e4df5573f4e676e226</x:v>
      </x:c>
      <x:c r="AQ369" t="str">
        <x:v>spice</x:v>
      </x:c>
      <x:c r="AR369" t="str">
        <x:v>EDIBLE</x:v>
      </x:c>
      <x:c r="AS369" t="str">
        <x:v>بله</x:v>
      </x:c>
      <x:c r="AT369" t="str">
        <x:v>OK</x:v>
      </x:c>
      <x:c r="AU369"/>
    </x:row>
    <x:row r="370">
      <x:c r="A370" s="79" t="n">
        <x:v>372</x:v>
      </x:c>
      <x:c r="B370" s="79" t="str">
        <x:v>NS-0369-1</x:v>
      </x:c>
      <x:c r="C370" s="79" t="str">
        <x:v>میخک</x:v>
      </x:c>
      <x:c r="D370" s="79" t="str">
        <x:v>clove</x:v>
      </x:c>
      <x:c r="E370" s="79" t="str">
        <x:v>update</x:v>
      </x:c>
      <x:c r="F370" s="79" t="str">
        <x:v>بله</x:v>
      </x:c>
      <x:c r="G370" s="79" t="str">
        <x:v>ادویه و چاشنی</x:v>
      </x:c>
      <x:c r="H370" s="79" t="str">
        <x:v>ادویه</x:v>
      </x:c>
      <x:c r="I370" s="79" t="str">
        <x:v>6a3781e4df5573f4e676e226</x:v>
      </x:c>
      <x:c r="J370" s="79" t="str">
        <x:v>spice</x:v>
      </x:c>
      <x:c r="K370" s="79"/>
      <x:c r="L370" s="79" t="str">
        <x:v>EDIBLE</x:v>
      </x:c>
      <x:c r="M370" s="79" t="str">
        <x:v>بله</x:v>
      </x:c>
      <x:c r="N370" s="79" t="str">
        <x:v>خوراکی</x:v>
      </x:c>
      <x:c r="O370" s="79" t="str">
        <x:v>خیر</x:v>
      </x:c>
      <x:c r="P370" s="79" t="n">
        <x:v>1</x:v>
      </x:c>
      <x:c r="Q370" s="79" t="str">
        <x:v>کیلو</x:v>
      </x:c>
      <x:c r="R370" s="79" t="str">
        <x:v>3/300</x:v>
      </x:c>
      <x:c r="S370" s="104" t="n">
        <x:v>3300000</x:v>
      </x:c>
      <x:c r="T370" s="79" t="n">
        <x:v>1</x:v>
      </x:c>
      <x:c r="U370" s="79" t="str">
        <x:v>kg</x:v>
      </x:c>
      <x:c r="V370" s="79" t="str">
        <x:v>کیلو</x:v>
      </x:c>
      <x:c r="W370" s="99" t="b">
        <x:v>1</x:v>
      </x:c>
      <x:c r="X370" s="79" t="str"/>
      <x:c r="Y370" s="79"/>
      <x:c r="Z370" s="104"/>
      <x:c r="AA370" s="79" t="str"/>
      <x:c r="AB370" s="79" t="str"/>
      <x:c r="AC370" s="79" t="str"/>
      <x:c r="AD370" s="79" t="str"/>
      <x:c r="AE370" s="79" t="str">
        <x:v>فعال</x:v>
      </x:c>
      <x:c r="AF370" s="79" t="str">
        <x:v>دسته‌بندی نهایی</x:v>
      </x:c>
      <x:c r="AG370" s="79" t="str">
        <x:v>OK</x:v>
      </x:c>
      <x:c r="AH370" s="79" t="str">
        <x:v>[{"name": "کیلو", "sku": "", "price": 3300000, "stock": "", "weight": 1, "weightUnit": "kg", "containerSize": "کیلو", "isDefault": true}]</x:v>
      </x:c>
      <x:c r="AI370" s="79"/>
      <x:c r="AJ370" s="79"/>
      <x:c r="AK370" s="79"/>
      <x:c r="AL370" t="str">
        <x:v>میخک</x:v>
      </x:c>
      <x:c r="AM370" t="str">
        <x:v>single_372</x:v>
      </x:c>
      <x:c r="AN370" t="str">
        <x:v>canonical_group_row</x:v>
      </x:c>
      <x:c r="AO370" t="str">
        <x:v>ادویه</x:v>
      </x:c>
      <x:c r="AP370" t="str">
        <x:v>6a3781e4df5573f4e676e226</x:v>
      </x:c>
      <x:c r="AQ370" t="str">
        <x:v>spice</x:v>
      </x:c>
      <x:c r="AR370" t="str">
        <x:v>EDIBLE</x:v>
      </x:c>
      <x:c r="AS370" t="str">
        <x:v>بله</x:v>
      </x:c>
      <x:c r="AT370" t="str">
        <x:v>OK</x:v>
      </x:c>
      <x:c r="AU370"/>
    </x:row>
    <x:row r="371">
      <x:c r="A371" s="79" t="n">
        <x:v>373</x:v>
      </x:c>
      <x:c r="B371" s="79" t="str">
        <x:v>NS-0370-1</x:v>
      </x:c>
      <x:c r="C371" s="79" t="str">
        <x:v>نارگیل سریلانکا چرب</x:v>
      </x:c>
      <x:c r="D371" s="79" t="str">
        <x:v>fat_sri_lankan_coconut</x:v>
      </x:c>
      <x:c r="E371" s="79" t="str">
        <x:v>update</x:v>
      </x:c>
      <x:c r="F371" s="79" t="str">
        <x:v>بله</x:v>
      </x:c>
      <x:c r="G371" s="79" t="str">
        <x:v>سایر</x:v>
      </x:c>
      <x:c r="H371" s="79" t="str">
        <x:v>خشکبار و آجیل</x:v>
      </x:c>
      <x:c r="I371" s="79" t="str">
        <x:v>6a37810ddf5573f4e676e201</x:v>
      </x:c>
      <x:c r="J371" s="79" t="str">
        <x:v>dried-fruits-nuts</x:v>
      </x:c>
      <x:c r="K371" s="79"/>
      <x:c r="L371" s="79" t="str">
        <x:v>EDIBLE</x:v>
      </x:c>
      <x:c r="M371" s="79" t="str">
        <x:v>بله</x:v>
      </x:c>
      <x:c r="N371" s="79" t="str">
        <x:v>خوراکی</x:v>
      </x:c>
      <x:c r="O371" s="79" t="str">
        <x:v>خیر</x:v>
      </x:c>
      <x:c r="P371" s="79" t="n">
        <x:v>1</x:v>
      </x:c>
      <x:c r="Q371" s="79" t="str">
        <x:v>کیلو</x:v>
      </x:c>
      <x:c r="R371" s="79" t="str">
        <x:v>1/750</x:v>
      </x:c>
      <x:c r="S371" s="104" t="n">
        <x:v>1750000</x:v>
      </x:c>
      <x:c r="T371" s="79" t="n">
        <x:v>1</x:v>
      </x:c>
      <x:c r="U371" s="79" t="str">
        <x:v>kg</x:v>
      </x:c>
      <x:c r="V371" s="79" t="str">
        <x:v>کیلو</x:v>
      </x:c>
      <x:c r="W371" s="99" t="b">
        <x:v>1</x:v>
      </x:c>
      <x:c r="X371" s="79" t="str"/>
      <x:c r="Y371" s="79"/>
      <x:c r="Z371" s="104"/>
      <x:c r="AA371" s="79" t="str"/>
      <x:c r="AB371" s="79" t="str"/>
      <x:c r="AC371" s="79" t="str"/>
      <x:c r="AD371" s="79" t="str"/>
      <x:c r="AE371" s="79" t="str">
        <x:v>فعال</x:v>
      </x:c>
      <x:c r="AF371" s="79" t="str">
        <x:v>نیازمند بررسی دستی</x:v>
      </x:c>
      <x:c r="AG371" s="79" t="str">
        <x:v>دسته از «نیاز به بررسی» به «خشکبار و آجیل» اصلاح شد</x:v>
      </x:c>
      <x:c r="AH371" s="79" t="str">
        <x:v>[{"name": "کیلو", "sku": "", "price": 1750000, "stock": "", "weight": 1, "weightUnit": "kg", "containerSize": "کیلو", "isDefault": true}]</x:v>
      </x:c>
      <x:c r="AI371" s="79"/>
      <x:c r="AJ371" s="79"/>
      <x:c r="AK371" s="79"/>
      <x:c r="AL371" t="str">
        <x:v>نارگیل سریلانکا چرب</x:v>
      </x:c>
      <x:c r="AM371" t="str">
        <x:v>single_373</x:v>
      </x:c>
      <x:c r="AN371" t="str">
        <x:v>canonical_group_row</x:v>
      </x:c>
      <x:c r="AO371" t="str">
        <x:v>خشکبار و آجیل</x:v>
      </x:c>
      <x:c r="AP371" t="str">
        <x:v>6a37810ddf5573f4e676e201</x:v>
      </x:c>
      <x:c r="AQ371" t="str">
        <x:v>dried-fruits-nuts</x:v>
      </x:c>
      <x:c r="AR371" t="str">
        <x:v>EDIBLE</x:v>
      </x:c>
      <x:c r="AS371" t="str">
        <x:v>بله</x:v>
      </x:c>
      <x:c r="AT371" t="str">
        <x:v>OK</x:v>
      </x:c>
      <x:c r="AU371" t="str">
        <x:v>دسته از «نیاز به بررسی» به «خشکبار و آجیل» اصلاح شد</x:v>
      </x:c>
    </x:row>
    <x:row r="372">
      <x:c r="A372" s="79" t="n">
        <x:v>374</x:v>
      </x:c>
      <x:c r="B372" s="79" t="str">
        <x:v>NS-0371-1</x:v>
      </x:c>
      <x:c r="C372" s="79" t="str">
        <x:v>نشاسته ذرت</x:v>
      </x:c>
      <x:c r="D372" s="79" t="str">
        <x:v>corn_starch</x:v>
      </x:c>
      <x:c r="E372" s="79" t="str">
        <x:v>update</x:v>
      </x:c>
      <x:c r="F372" s="79" t="str">
        <x:v>بله</x:v>
      </x:c>
      <x:c r="G372" s="79" t="str">
        <x:v>آرد و قنادی</x:v>
      </x:c>
      <x:c r="H372" s="79" t="str">
        <x:v>آرد و قنادی</x:v>
      </x:c>
      <x:c r="I372" s="79" t="str">
        <x:v>6a3a00000000000000000004</x:v>
      </x:c>
      <x:c r="J372" s="79" t="str">
        <x:v>flour-confectionery</x:v>
      </x:c>
      <x:c r="K372" s="79" t="str">
        <x:v>6a3a00000000000000000003</x:v>
      </x:c>
      <x:c r="L372" s="79" t="str">
        <x:v>EDIBLE</x:v>
      </x:c>
      <x:c r="M372" s="79" t="str">
        <x:v>بله</x:v>
      </x:c>
      <x:c r="N372" s="79" t="str">
        <x:v>خوراکی</x:v>
      </x:c>
      <x:c r="O372" s="79" t="str">
        <x:v>خیر</x:v>
      </x:c>
      <x:c r="P372" s="79" t="n">
        <x:v>1</x:v>
      </x:c>
      <x:c r="Q372" s="79" t="str">
        <x:v>کیلو</x:v>
      </x:c>
      <x:c r="R372" s="79" t="n">
        <x:v>270</x:v>
      </x:c>
      <x:c r="S372" s="104" t="n">
        <x:v>270000</x:v>
      </x:c>
      <x:c r="T372" s="79" t="n">
        <x:v>1</x:v>
      </x:c>
      <x:c r="U372" s="79" t="str">
        <x:v>kg</x:v>
      </x:c>
      <x:c r="V372" s="79" t="str">
        <x:v>کیلو</x:v>
      </x:c>
      <x:c r="W372" s="99" t="b">
        <x:v>1</x:v>
      </x:c>
      <x:c r="X372" s="79" t="str"/>
      <x:c r="Y372" s="79"/>
      <x:c r="Z372" s="104"/>
      <x:c r="AA372" s="79" t="str"/>
      <x:c r="AB372" s="79" t="str"/>
      <x:c r="AC372" s="79" t="str"/>
      <x:c r="AD372" s="79" t="str"/>
      <x:c r="AE372" s="79" t="str">
        <x:v>فعال</x:v>
      </x:c>
      <x:c r="AF372" s="79" t="str">
        <x:v>دسته‌بندی نهایی</x:v>
      </x:c>
      <x:c r="AG372" s="79" t="str">
        <x:v>OK</x:v>
      </x:c>
      <x:c r="AH372" s="79" t="str">
        <x:v>[{"name": "کیلو", "sku": "", "price": 270000, "stock": "", "weight": 1, "weightUnit": "kg", "containerSize": "کیلو", "isDefault": true}]</x:v>
      </x:c>
      <x:c r="AI372" s="79"/>
      <x:c r="AJ372" s="79"/>
      <x:c r="AK372" s="79"/>
      <x:c r="AL372" t="str">
        <x:v>نشاسته ذرت</x:v>
      </x:c>
      <x:c r="AM372" t="str">
        <x:v>single_374</x:v>
      </x:c>
      <x:c r="AN372" t="str">
        <x:v>canonical_group_row</x:v>
      </x:c>
      <x:c r="AO372" t="str">
        <x:v>آرد و قنادی</x:v>
      </x:c>
      <x:c r="AP372" t="str">
        <x:v>6a3a00000000000000000004</x:v>
      </x:c>
      <x:c r="AQ372" t="str">
        <x:v>flour-confectionery</x:v>
      </x:c>
      <x:c r="AR372" t="str">
        <x:v>EDIBLE</x:v>
      </x:c>
      <x:c r="AS372" t="str">
        <x:v>بله</x:v>
      </x:c>
      <x:c r="AT372" t="str">
        <x:v>OK</x:v>
      </x:c>
      <x:c r="AU372"/>
    </x:row>
    <x:row r="373">
      <x:c r="A373" s="79" t="n">
        <x:v>375</x:v>
      </x:c>
      <x:c r="B373" s="79" t="str">
        <x:v>NS-0372-1</x:v>
      </x:c>
      <x:c r="C373" s="79" t="str">
        <x:v>نشاسته گندم گل</x:v>
      </x:c>
      <x:c r="D373" s="79" t="str">
        <x:v>wheat_starch</x:v>
      </x:c>
      <x:c r="E373" s="79" t="str">
        <x:v>update</x:v>
      </x:c>
      <x:c r="F373" s="79" t="str">
        <x:v>بله</x:v>
      </x:c>
      <x:c r="G373" s="79" t="str">
        <x:v>آرد و قنادی</x:v>
      </x:c>
      <x:c r="H373" s="79" t="str">
        <x:v>آرد و قنادی</x:v>
      </x:c>
      <x:c r="I373" s="79" t="str">
        <x:v>6a3a00000000000000000004</x:v>
      </x:c>
      <x:c r="J373" s="79" t="str">
        <x:v>flour-confectionery</x:v>
      </x:c>
      <x:c r="K373" s="79" t="str">
        <x:v>6a3a00000000000000000003</x:v>
      </x:c>
      <x:c r="L373" s="79" t="str">
        <x:v>EDIBLE</x:v>
      </x:c>
      <x:c r="M373" s="79" t="str">
        <x:v>بله</x:v>
      </x:c>
      <x:c r="N373" s="79" t="str">
        <x:v>خوراکی</x:v>
      </x:c>
      <x:c r="O373" s="79" t="str">
        <x:v>خیر</x:v>
      </x:c>
      <x:c r="P373" s="79" t="n">
        <x:v>1</x:v>
      </x:c>
      <x:c r="Q373" s="79" t="str">
        <x:v>کیلو</x:v>
      </x:c>
      <x:c r="R373" s="79" t="n">
        <x:v>250</x:v>
      </x:c>
      <x:c r="S373" s="104" t="n">
        <x:v>250000</x:v>
      </x:c>
      <x:c r="T373" s="79" t="n">
        <x:v>1</x:v>
      </x:c>
      <x:c r="U373" s="79" t="str">
        <x:v>kg</x:v>
      </x:c>
      <x:c r="V373" s="79" t="str">
        <x:v>کیلو</x:v>
      </x:c>
      <x:c r="W373" s="99" t="b">
        <x:v>1</x:v>
      </x:c>
      <x:c r="X373" s="79" t="str"/>
      <x:c r="Y373" s="79"/>
      <x:c r="Z373" s="104"/>
      <x:c r="AA373" s="79" t="str"/>
      <x:c r="AB373" s="79" t="str"/>
      <x:c r="AC373" s="79" t="str"/>
      <x:c r="AD373" s="79" t="str"/>
      <x:c r="AE373" s="79" t="str">
        <x:v>فعال</x:v>
      </x:c>
      <x:c r="AF373" s="79" t="str">
        <x:v>دسته‌بندی نهایی</x:v>
      </x:c>
      <x:c r="AG373" s="79" t="str">
        <x:v>OK</x:v>
      </x:c>
      <x:c r="AH373" s="79" t="str">
        <x:v>[{"name": "کیلو", "sku": "", "price": 250000, "stock": "", "weight": 1, "weightUnit": "kg", "containerSize": "کیلو", "isDefault": true}]</x:v>
      </x:c>
      <x:c r="AI373" s="79"/>
      <x:c r="AJ373" s="79"/>
      <x:c r="AK373" s="79"/>
      <x:c r="AL373" t="str">
        <x:v>نشاسته گندم گل</x:v>
      </x:c>
      <x:c r="AM373" t="str">
        <x:v>single_375</x:v>
      </x:c>
      <x:c r="AN373" t="str">
        <x:v>canonical_group_row</x:v>
      </x:c>
      <x:c r="AO373" t="str">
        <x:v>آرد و قنادی</x:v>
      </x:c>
      <x:c r="AP373" t="str">
        <x:v>6a3a00000000000000000004</x:v>
      </x:c>
      <x:c r="AQ373" t="str">
        <x:v>flour-confectionery</x:v>
      </x:c>
      <x:c r="AR373" t="str">
        <x:v>EDIBLE</x:v>
      </x:c>
      <x:c r="AS373" t="str">
        <x:v>بله</x:v>
      </x:c>
      <x:c r="AT373" t="str">
        <x:v>OK</x:v>
      </x:c>
      <x:c r="AU373"/>
    </x:row>
    <x:row r="374">
      <x:c r="A374" s="79" t="n">
        <x:v>376</x:v>
      </x:c>
      <x:c r="B374" s="79" t="str">
        <x:v>NS-0373-1</x:v>
      </x:c>
      <x:c r="C374" s="79" t="str">
        <x:v>نعناع خشک</x:v>
      </x:c>
      <x:c r="D374" s="79" t="str">
        <x:v>dried_mint</x:v>
      </x:c>
      <x:c r="E374" s="79" t="str">
        <x:v>update</x:v>
      </x:c>
      <x:c r="F374" s="79" t="str">
        <x:v>بله</x:v>
      </x:c>
      <x:c r="G374" s="79" t="str">
        <x:v>گیاهان دارویی</x:v>
      </x:c>
      <x:c r="H374" s="79" t="str">
        <x:v>گیاهان دارویی</x:v>
      </x:c>
      <x:c r="I374" s="79" t="str">
        <x:v>6a3782d7df5573f4e676e243</x:v>
      </x:c>
      <x:c r="J374" s="79" t="str">
        <x:v>medicinal-plants</x:v>
      </x:c>
      <x:c r="K374" s="79"/>
      <x:c r="L374" s="79" t="str">
        <x:v>EDIBLE</x:v>
      </x:c>
      <x:c r="M374" s="79" t="str">
        <x:v>بله</x:v>
      </x:c>
      <x:c r="N374" s="79" t="str">
        <x:v>خوراکی</x:v>
      </x:c>
      <x:c r="O374" s="79" t="str">
        <x:v>خیر</x:v>
      </x:c>
      <x:c r="P374" s="79" t="n">
        <x:v>1</x:v>
      </x:c>
      <x:c r="Q374" s="79" t="str">
        <x:v>کیلو</x:v>
      </x:c>
      <x:c r="R374" s="79" t="n">
        <x:v>750</x:v>
      </x:c>
      <x:c r="S374" s="104" t="n">
        <x:v>750000</x:v>
      </x:c>
      <x:c r="T374" s="79" t="n">
        <x:v>1</x:v>
      </x:c>
      <x:c r="U374" s="79" t="str">
        <x:v>kg</x:v>
      </x:c>
      <x:c r="V374" s="79" t="str">
        <x:v>کیلو</x:v>
      </x:c>
      <x:c r="W374" s="99" t="b">
        <x:v>1</x:v>
      </x:c>
      <x:c r="X374" s="79" t="str"/>
      <x:c r="Y374" s="79"/>
      <x:c r="Z374" s="104"/>
      <x:c r="AA374" s="79" t="str"/>
      <x:c r="AB374" s="79" t="str"/>
      <x:c r="AC374" s="79" t="str"/>
      <x:c r="AD374" s="79" t="str"/>
      <x:c r="AE374" s="79" t="str">
        <x:v>فعال</x:v>
      </x:c>
      <x:c r="AF374" s="79" t="str">
        <x:v>دسته‌بندی نهایی</x:v>
      </x:c>
      <x:c r="AG374" s="79" t="str">
        <x:v>OK</x:v>
      </x:c>
      <x:c r="AH374" s="79" t="str">
        <x:v>[{"name": "کیلو", "sku": "", "price": 750000, "stock": "", "weight": 1, "weightUnit": "kg", "containerSize": "کیلو", "isDefault": true}]</x:v>
      </x:c>
      <x:c r="AI374" s="79"/>
      <x:c r="AJ374" s="79"/>
      <x:c r="AK374" s="79"/>
      <x:c r="AL374" t="str">
        <x:v>نعناع خشک</x:v>
      </x:c>
      <x:c r="AM374" t="str">
        <x:v>single_376</x:v>
      </x:c>
      <x:c r="AN374" t="str">
        <x:v>canonical_group_row</x:v>
      </x:c>
      <x:c r="AO374" t="str">
        <x:v>گیاهان دارویی</x:v>
      </x:c>
      <x:c r="AP374" t="str">
        <x:v>6a3782d7df5573f4e676e243</x:v>
      </x:c>
      <x:c r="AQ374" t="str">
        <x:v>medicinal-plants</x:v>
      </x:c>
      <x:c r="AR374" t="str">
        <x:v>EDIBLE</x:v>
      </x:c>
      <x:c r="AS374" t="str">
        <x:v>بله</x:v>
      </x:c>
      <x:c r="AT374" t="str">
        <x:v>OK</x:v>
      </x:c>
      <x:c r="AU374"/>
    </x:row>
    <x:row r="375">
      <x:c r="A375" s="79" t="n">
        <x:v>377</x:v>
      </x:c>
      <x:c r="B375" s="79" t="str">
        <x:v>NS-0374-1</x:v>
      </x:c>
      <x:c r="C375" s="79" t="str">
        <x:v>نمک ارومیه</x:v>
      </x:c>
      <x:c r="D375" s="79" t="str">
        <x:v>urmia_salt</x:v>
      </x:c>
      <x:c r="E375" s="79" t="str">
        <x:v>update</x:v>
      </x:c>
      <x:c r="F375" s="79" t="str">
        <x:v>بله</x:v>
      </x:c>
      <x:c r="G375" s="79" t="str">
        <x:v>ادویه و چاشنی</x:v>
      </x:c>
      <x:c r="H375" s="79" t="str">
        <x:v>ادویه</x:v>
      </x:c>
      <x:c r="I375" s="79" t="str">
        <x:v>6a3781e4df5573f4e676e226</x:v>
      </x:c>
      <x:c r="J375" s="79" t="str">
        <x:v>spice</x:v>
      </x:c>
      <x:c r="K375" s="79"/>
      <x:c r="L375" s="79" t="str">
        <x:v>EDIBLE</x:v>
      </x:c>
      <x:c r="M375" s="79" t="str">
        <x:v>بله</x:v>
      </x:c>
      <x:c r="N375" s="79" t="str">
        <x:v>خوراکی</x:v>
      </x:c>
      <x:c r="O375" s="79" t="str">
        <x:v>خیر</x:v>
      </x:c>
      <x:c r="P375" s="79" t="n">
        <x:v>1</x:v>
      </x:c>
      <x:c r="Q375" s="79" t="str">
        <x:v>بسته ای</x:v>
      </x:c>
      <x:c r="R375" s="79" t="n">
        <x:v>120</x:v>
      </x:c>
      <x:c r="S375" s="104" t="n">
        <x:v>120000</x:v>
      </x:c>
      <x:c r="T375" s="79" t="str"/>
      <x:c r="U375" s="79" t="str"/>
      <x:c r="V375" s="79" t="str">
        <x:v>بسته ای</x:v>
      </x:c>
      <x:c r="W375" s="99" t="b">
        <x:v>1</x:v>
      </x:c>
      <x:c r="X375" s="79" t="str"/>
      <x:c r="Y375" s="79"/>
      <x:c r="Z375" s="104"/>
      <x:c r="AA375" s="79" t="str"/>
      <x:c r="AB375" s="79" t="str"/>
      <x:c r="AC375" s="79" t="str"/>
      <x:c r="AD375" s="79" t="str"/>
      <x:c r="AE375" s="79" t="str">
        <x:v>فعال</x:v>
      </x:c>
      <x:c r="AF375" s="79" t="str">
        <x:v>دسته‌بندی نهایی</x:v>
      </x:c>
      <x:c r="AG375" s="79" t="str">
        <x:v>OK</x:v>
      </x:c>
      <x:c r="AH375" s="79" t="str">
        <x:v>[{"name": "بسته ای", "sku": "", "price": 120000, "stock": "", "weight": "", "weightUnit": "", "containerSize": "بسته ای", "isDefault": true}]</x:v>
      </x:c>
      <x:c r="AI375" s="79"/>
      <x:c r="AJ375" s="79"/>
      <x:c r="AK375" s="79"/>
      <x:c r="AL375" t="str">
        <x:v>نمک ارومیه</x:v>
      </x:c>
      <x:c r="AM375" t="str">
        <x:v>single_377</x:v>
      </x:c>
      <x:c r="AN375" t="str">
        <x:v>canonical_group_row</x:v>
      </x:c>
      <x:c r="AO375" t="str">
        <x:v>ادویه</x:v>
      </x:c>
      <x:c r="AP375" t="str">
        <x:v>6a3781e4df5573f4e676e226</x:v>
      </x:c>
      <x:c r="AQ375" t="str">
        <x:v>spice</x:v>
      </x:c>
      <x:c r="AR375" t="str">
        <x:v>EDIBLE</x:v>
      </x:c>
      <x:c r="AS375" t="str">
        <x:v>بله</x:v>
      </x:c>
      <x:c r="AT375" t="str">
        <x:v>OK</x:v>
      </x:c>
      <x:c r="AU375"/>
    </x:row>
    <x:row r="376">
      <x:c r="A376" s="79" t="n">
        <x:v>378</x:v>
      </x:c>
      <x:c r="B376" s="79" t="str">
        <x:v>NS-0375-1</x:v>
      </x:c>
      <x:c r="C376" s="79" t="str">
        <x:v>نمک جهرم دل نمک</x:v>
      </x:c>
      <x:c r="D376" s="79" t="str">
        <x:v>salt_jhrm_dl_salt</x:v>
      </x:c>
      <x:c r="E376" s="79" t="str">
        <x:v>update</x:v>
      </x:c>
      <x:c r="F376" s="79" t="str">
        <x:v>بله</x:v>
      </x:c>
      <x:c r="G376" s="79" t="str">
        <x:v>ادویه و چاشنی</x:v>
      </x:c>
      <x:c r="H376" s="79" t="str">
        <x:v>ادویه</x:v>
      </x:c>
      <x:c r="I376" s="79" t="str">
        <x:v>6a3781e4df5573f4e676e226</x:v>
      </x:c>
      <x:c r="J376" s="79" t="str">
        <x:v>spice</x:v>
      </x:c>
      <x:c r="K376" s="79"/>
      <x:c r="L376" s="79" t="str">
        <x:v>EDIBLE</x:v>
      </x:c>
      <x:c r="M376" s="79" t="str">
        <x:v>بله</x:v>
      </x:c>
      <x:c r="N376" s="79" t="str">
        <x:v>خوراکی</x:v>
      </x:c>
      <x:c r="O376" s="79" t="str">
        <x:v>خیر</x:v>
      </x:c>
      <x:c r="P376" s="79" t="n">
        <x:v>1</x:v>
      </x:c>
      <x:c r="Q376" s="79" t="str">
        <x:v>کیلو</x:v>
      </x:c>
      <x:c r="R376" s="79" t="n">
        <x:v>220</x:v>
      </x:c>
      <x:c r="S376" s="104" t="n">
        <x:v>220000</x:v>
      </x:c>
      <x:c r="T376" s="79" t="n">
        <x:v>1</x:v>
      </x:c>
      <x:c r="U376" s="79" t="str">
        <x:v>kg</x:v>
      </x:c>
      <x:c r="V376" s="79" t="str">
        <x:v>کیلو</x:v>
      </x:c>
      <x:c r="W376" s="99" t="b">
        <x:v>1</x:v>
      </x:c>
      <x:c r="X376" s="79" t="str"/>
      <x:c r="Y376" s="79"/>
      <x:c r="Z376" s="104"/>
      <x:c r="AA376" s="79" t="str"/>
      <x:c r="AB376" s="79" t="str"/>
      <x:c r="AC376" s="79" t="str"/>
      <x:c r="AD376" s="79" t="str"/>
      <x:c r="AE376" s="79" t="str">
        <x:v>فعال</x:v>
      </x:c>
      <x:c r="AF376" s="79" t="str">
        <x:v>دسته‌بندی نهایی</x:v>
      </x:c>
      <x:c r="AG376" s="79" t="str">
        <x:v>OK</x:v>
      </x:c>
      <x:c r="AH376" s="79" t="str">
        <x:v>[{"name": "کیلو", "sku": "", "price": 220000, "stock": "", "weight": 1, "weightUnit": "kg", "containerSize": "کیلو", "isDefault": true}]</x:v>
      </x:c>
      <x:c r="AI376" s="79"/>
      <x:c r="AJ376" s="79"/>
      <x:c r="AK376" s="79"/>
      <x:c r="AL376" t="str">
        <x:v>نمک جهرم دل نمک</x:v>
      </x:c>
      <x:c r="AM376" t="str">
        <x:v>single_378</x:v>
      </x:c>
      <x:c r="AN376" t="str">
        <x:v>canonical_group_row</x:v>
      </x:c>
      <x:c r="AO376" t="str">
        <x:v>ادویه</x:v>
      </x:c>
      <x:c r="AP376" t="str">
        <x:v>6a3781e4df5573f4e676e226</x:v>
      </x:c>
      <x:c r="AQ376" t="str">
        <x:v>spice</x:v>
      </x:c>
      <x:c r="AR376" t="str">
        <x:v>EDIBLE</x:v>
      </x:c>
      <x:c r="AS376" t="str">
        <x:v>بله</x:v>
      </x:c>
      <x:c r="AT376" t="str">
        <x:v>OK</x:v>
      </x:c>
      <x:c r="AU376"/>
    </x:row>
    <x:row r="377">
      <x:c r="A377" s="79" t="n">
        <x:v>379</x:v>
      </x:c>
      <x:c r="B377" s="79" t="str">
        <x:v>NS-0376-1</x:v>
      </x:c>
      <x:c r="C377" s="79" t="str">
        <x:v>نمک دریا</x:v>
      </x:c>
      <x:c r="D377" s="79" t="str">
        <x:v>sea_salt</x:v>
      </x:c>
      <x:c r="E377" s="79" t="str">
        <x:v>update</x:v>
      </x:c>
      <x:c r="F377" s="79" t="str">
        <x:v>بله</x:v>
      </x:c>
      <x:c r="G377" s="79" t="str">
        <x:v>ادویه و چاشنی</x:v>
      </x:c>
      <x:c r="H377" s="79" t="str">
        <x:v>ادویه</x:v>
      </x:c>
      <x:c r="I377" s="79" t="str">
        <x:v>6a3781e4df5573f4e676e226</x:v>
      </x:c>
      <x:c r="J377" s="79" t="str">
        <x:v>spice</x:v>
      </x:c>
      <x:c r="K377" s="79"/>
      <x:c r="L377" s="79" t="str">
        <x:v>EDIBLE</x:v>
      </x:c>
      <x:c r="M377" s="79" t="str">
        <x:v>بله</x:v>
      </x:c>
      <x:c r="N377" s="79" t="str">
        <x:v>خوراکی</x:v>
      </x:c>
      <x:c r="O377" s="79" t="str">
        <x:v>خیر</x:v>
      </x:c>
      <x:c r="P377" s="79" t="n">
        <x:v>1</x:v>
      </x:c>
      <x:c r="Q377" s="79" t="str">
        <x:v>بسته ای</x:v>
      </x:c>
      <x:c r="R377" s="79" t="n">
        <x:v>100</x:v>
      </x:c>
      <x:c r="S377" s="104" t="n">
        <x:v>100000</x:v>
      </x:c>
      <x:c r="T377" s="79" t="str"/>
      <x:c r="U377" s="79" t="str"/>
      <x:c r="V377" s="79" t="str">
        <x:v>بسته ای</x:v>
      </x:c>
      <x:c r="W377" s="99" t="b">
        <x:v>1</x:v>
      </x:c>
      <x:c r="X377" s="79" t="str"/>
      <x:c r="Y377" s="79"/>
      <x:c r="Z377" s="104"/>
      <x:c r="AA377" s="79" t="str"/>
      <x:c r="AB377" s="79" t="str"/>
      <x:c r="AC377" s="79" t="str"/>
      <x:c r="AD377" s="79" t="str"/>
      <x:c r="AE377" s="79" t="str">
        <x:v>فعال</x:v>
      </x:c>
      <x:c r="AF377" s="79" t="str">
        <x:v>دسته‌بندی نهایی</x:v>
      </x:c>
      <x:c r="AG377" s="79" t="str">
        <x:v>OK</x:v>
      </x:c>
      <x:c r="AH377" s="79" t="str">
        <x:v>[{"name": "بسته ای", "sku": "", "price": 100000, "stock": "", "weight": "", "weightUnit": "", "containerSize": "بسته ای", "isDefault": true}]</x:v>
      </x:c>
      <x:c r="AI377" s="79"/>
      <x:c r="AJ377" s="79"/>
      <x:c r="AK377" s="79"/>
      <x:c r="AL377" t="str">
        <x:v>نمک دریا</x:v>
      </x:c>
      <x:c r="AM377" t="str">
        <x:v>single_379</x:v>
      </x:c>
      <x:c r="AN377" t="str">
        <x:v>canonical_group_row</x:v>
      </x:c>
      <x:c r="AO377" t="str">
        <x:v>ادویه</x:v>
      </x:c>
      <x:c r="AP377" t="str">
        <x:v>6a3781e4df5573f4e676e226</x:v>
      </x:c>
      <x:c r="AQ377" t="str">
        <x:v>spice</x:v>
      </x:c>
      <x:c r="AR377" t="str">
        <x:v>EDIBLE</x:v>
      </x:c>
      <x:c r="AS377" t="str">
        <x:v>بله</x:v>
      </x:c>
      <x:c r="AT377" t="str">
        <x:v>OK</x:v>
      </x:c>
      <x:c r="AU377"/>
    </x:row>
    <x:row r="378">
      <x:c r="A378" s="79" t="n">
        <x:v>380</x:v>
      </x:c>
      <x:c r="B378" s="79" t="str">
        <x:v>NS-0377-1</x:v>
      </x:c>
      <x:c r="C378" s="79" t="str">
        <x:v>نمک صورتی</x:v>
      </x:c>
      <x:c r="D378" s="79" t="str">
        <x:v>pink_salt</x:v>
      </x:c>
      <x:c r="E378" s="79" t="str">
        <x:v>update</x:v>
      </x:c>
      <x:c r="F378" s="79" t="str">
        <x:v>بله</x:v>
      </x:c>
      <x:c r="G378" s="79" t="str">
        <x:v>ادویه و چاشنی</x:v>
      </x:c>
      <x:c r="H378" s="79" t="str">
        <x:v>ادویه</x:v>
      </x:c>
      <x:c r="I378" s="79" t="str">
        <x:v>6a3781e4df5573f4e676e226</x:v>
      </x:c>
      <x:c r="J378" s="79" t="str">
        <x:v>spice</x:v>
      </x:c>
      <x:c r="K378" s="79"/>
      <x:c r="L378" s="79" t="str">
        <x:v>EDIBLE</x:v>
      </x:c>
      <x:c r="M378" s="79" t="str">
        <x:v>بله</x:v>
      </x:c>
      <x:c r="N378" s="79" t="str">
        <x:v>خوراکی</x:v>
      </x:c>
      <x:c r="O378" s="79" t="str">
        <x:v>خیر</x:v>
      </x:c>
      <x:c r="P378" s="79" t="n">
        <x:v>1</x:v>
      </x:c>
      <x:c r="Q378" s="79" t="str">
        <x:v>کیلو</x:v>
      </x:c>
      <x:c r="R378" s="79" t="n">
        <x:v>150</x:v>
      </x:c>
      <x:c r="S378" s="104" t="n">
        <x:v>150000</x:v>
      </x:c>
      <x:c r="T378" s="79" t="n">
        <x:v>1</x:v>
      </x:c>
      <x:c r="U378" s="79" t="str">
        <x:v>kg</x:v>
      </x:c>
      <x:c r="V378" s="79" t="str">
        <x:v>کیلو</x:v>
      </x:c>
      <x:c r="W378" s="99" t="b">
        <x:v>1</x:v>
      </x:c>
      <x:c r="X378" s="79" t="str"/>
      <x:c r="Y378" s="79"/>
      <x:c r="Z378" s="104"/>
      <x:c r="AA378" s="79" t="str"/>
      <x:c r="AB378" s="79" t="str"/>
      <x:c r="AC378" s="79" t="str"/>
      <x:c r="AD378" s="79" t="str"/>
      <x:c r="AE378" s="79" t="str">
        <x:v>فعال</x:v>
      </x:c>
      <x:c r="AF378" s="79" t="str">
        <x:v>دسته‌بندی نهایی</x:v>
      </x:c>
      <x:c r="AG378" s="79" t="str">
        <x:v>MERGED</x:v>
      </x:c>
      <x:c r="AH378" s="79" t="str">
        <x:v>[{"name": "کیلو", "sku": "", "price": 150000, "stock": "", "weight": 1, "weightUnit": "kg", "containerSize": "کیلو", "isDefault": true}]</x:v>
      </x:c>
      <x:c r="AI378" s="79"/>
      <x:c r="AJ378" s="79"/>
      <x:c r="AK378" s="79"/>
      <x:c r="AL378" t="str">
        <x:v>نمک صورتی</x:v>
      </x:c>
      <x:c r="AM378" t="str">
        <x:v>grp_pink_salt</x:v>
      </x:c>
      <x:c r="AN378" t="str">
        <x:v>canonical_group_row</x:v>
      </x:c>
      <x:c r="AO378" t="str">
        <x:v>ادویه</x:v>
      </x:c>
      <x:c r="AP378" t="str">
        <x:v>6a3781e4df5573f4e676e226</x:v>
      </x:c>
      <x:c r="AQ378" t="str">
        <x:v>spice</x:v>
      </x:c>
      <x:c r="AR378" t="str">
        <x:v>EDIBLE</x:v>
      </x:c>
      <x:c r="AS378" t="str">
        <x:v>بله</x:v>
      </x:c>
      <x:c r="AT378" t="str">
        <x:v>MERGED</x:v>
      </x:c>
      <x:c r="AU378"/>
    </x:row>
    <x:row r="379">
      <x:c r="A379" s="79" t="n">
        <x:v>381</x:v>
      </x:c>
      <x:c r="B379" s="79" t="str">
        <x:v>NS-0378-1</x:v>
      </x:c>
      <x:c r="C379" s="79" t="str">
        <x:v>نمک صورتی سنگ</x:v>
      </x:c>
      <x:c r="D379" s="79" t="str">
        <x:v>pink_rock_salt</x:v>
      </x:c>
      <x:c r="E379" s="79" t="str">
        <x:v>update</x:v>
      </x:c>
      <x:c r="F379" s="79" t="str">
        <x:v>بله</x:v>
      </x:c>
      <x:c r="G379" s="79" t="str">
        <x:v>ادویه و چاشنی</x:v>
      </x:c>
      <x:c r="H379" s="79" t="str">
        <x:v>ادویه</x:v>
      </x:c>
      <x:c r="I379" s="79" t="str">
        <x:v>6a3781e4df5573f4e676e226</x:v>
      </x:c>
      <x:c r="J379" s="79" t="str">
        <x:v>spice</x:v>
      </x:c>
      <x:c r="K379" s="79"/>
      <x:c r="L379" s="79" t="str">
        <x:v>EDIBLE</x:v>
      </x:c>
      <x:c r="M379" s="79" t="str">
        <x:v>بله</x:v>
      </x:c>
      <x:c r="N379" s="79" t="str">
        <x:v>خوراکی</x:v>
      </x:c>
      <x:c r="O379" s="79" t="str">
        <x:v>خیر</x:v>
      </x:c>
      <x:c r="P379" s="79" t="n">
        <x:v>1</x:v>
      </x:c>
      <x:c r="Q379" s="79" t="str">
        <x:v>کیلو</x:v>
      </x:c>
      <x:c r="R379" s="79" t="n">
        <x:v>120</x:v>
      </x:c>
      <x:c r="S379" s="104" t="n">
        <x:v>120000</x:v>
      </x:c>
      <x:c r="T379" s="79" t="n">
        <x:v>1</x:v>
      </x:c>
      <x:c r="U379" s="79" t="str">
        <x:v>kg</x:v>
      </x:c>
      <x:c r="V379" s="79" t="str">
        <x:v>کیلو</x:v>
      </x:c>
      <x:c r="W379" s="99" t="b">
        <x:v>1</x:v>
      </x:c>
      <x:c r="X379" s="79" t="str"/>
      <x:c r="Y379" s="79"/>
      <x:c r="Z379" s="104"/>
      <x:c r="AA379" s="79" t="str"/>
      <x:c r="AB379" s="79" t="str"/>
      <x:c r="AC379" s="79" t="str"/>
      <x:c r="AD379" s="79" t="str"/>
      <x:c r="AE379" s="79" t="str">
        <x:v>فعال</x:v>
      </x:c>
      <x:c r="AF379" s="79" t="str">
        <x:v>دسته‌بندی نهایی</x:v>
      </x:c>
      <x:c r="AG379" s="79" t="str">
        <x:v>MERGED</x:v>
      </x:c>
      <x:c r="AH379" s="79" t="str">
        <x:v>[{"name": "کیلو", "sku": "", "price": 120000, "stock": "", "weight": 1, "weightUnit": "kg", "containerSize": "کیلو", "isDefault": true}]</x:v>
      </x:c>
      <x:c r="AI379" s="79"/>
      <x:c r="AJ379" s="79"/>
      <x:c r="AK379" s="79"/>
      <x:c r="AL379" t="str">
        <x:v>نمک صورتی</x:v>
      </x:c>
      <x:c r="AM379" t="str">
        <x:v>grp_pink_salt</x:v>
      </x:c>
      <x:c r="AN379" t="str">
        <x:v>merge_into_canonical_group</x:v>
      </x:c>
      <x:c r="AO379" t="str">
        <x:v>ادویه</x:v>
      </x:c>
      <x:c r="AP379" t="str">
        <x:v>6a3781e4df5573f4e676e226</x:v>
      </x:c>
      <x:c r="AQ379" t="str">
        <x:v>spice</x:v>
      </x:c>
      <x:c r="AR379" t="str">
        <x:v>EDIBLE</x:v>
      </x:c>
      <x:c r="AS379" t="str">
        <x:v>بله</x:v>
      </x:c>
      <x:c r="AT379" t="str">
        <x:v>MERGED</x:v>
      </x:c>
      <x:c r="AU379"/>
    </x:row>
    <x:row r="380">
      <x:c r="A380" s="79" t="n">
        <x:v>382</x:v>
      </x:c>
      <x:c r="B380" s="79" t="str">
        <x:v>NS-0379-1</x:v>
      </x:c>
      <x:c r="C380" s="79" t="str">
        <x:v>نمک نارنجی</x:v>
      </x:c>
      <x:c r="D380" s="79" t="str">
        <x:v>salt_orange</x:v>
      </x:c>
      <x:c r="E380" s="79" t="str">
        <x:v>update</x:v>
      </x:c>
      <x:c r="F380" s="79" t="str">
        <x:v>بله</x:v>
      </x:c>
      <x:c r="G380" s="79" t="str">
        <x:v>ادویه و چاشنی</x:v>
      </x:c>
      <x:c r="H380" s="79" t="str">
        <x:v>ادویه</x:v>
      </x:c>
      <x:c r="I380" s="79" t="str">
        <x:v>6a3781e4df5573f4e676e226</x:v>
      </x:c>
      <x:c r="J380" s="79" t="str">
        <x:v>spice</x:v>
      </x:c>
      <x:c r="K380" s="79"/>
      <x:c r="L380" s="79" t="str">
        <x:v>EDIBLE</x:v>
      </x:c>
      <x:c r="M380" s="79" t="str">
        <x:v>بله</x:v>
      </x:c>
      <x:c r="N380" s="79" t="str">
        <x:v>خوراکی</x:v>
      </x:c>
      <x:c r="O380" s="79" t="str">
        <x:v>خیر</x:v>
      </x:c>
      <x:c r="P380" s="79" t="n">
        <x:v>1</x:v>
      </x:c>
      <x:c r="Q380" s="79" t="str">
        <x:v>کیلو</x:v>
      </x:c>
      <x:c r="R380" s="79" t="n">
        <x:v>150</x:v>
      </x:c>
      <x:c r="S380" s="104" t="n">
        <x:v>150000</x:v>
      </x:c>
      <x:c r="T380" s="79" t="n">
        <x:v>1</x:v>
      </x:c>
      <x:c r="U380" s="79" t="str">
        <x:v>kg</x:v>
      </x:c>
      <x:c r="V380" s="79" t="str">
        <x:v>کیلو</x:v>
      </x:c>
      <x:c r="W380" s="99" t="b">
        <x:v>1</x:v>
      </x:c>
      <x:c r="X380" s="79" t="str"/>
      <x:c r="Y380" s="79"/>
      <x:c r="Z380" s="104"/>
      <x:c r="AA380" s="79" t="str"/>
      <x:c r="AB380" s="79" t="str"/>
      <x:c r="AC380" s="79" t="str"/>
      <x:c r="AD380" s="79" t="str"/>
      <x:c r="AE380" s="79" t="str">
        <x:v>فعال</x:v>
      </x:c>
      <x:c r="AF380" s="79" t="str">
        <x:v>دسته‌بندی نهایی</x:v>
      </x:c>
      <x:c r="AG380" s="79" t="str">
        <x:v>OK</x:v>
      </x:c>
      <x:c r="AH380" s="79" t="str">
        <x:v>[{"name": "کیلو", "sku": "", "price": 150000, "stock": "", "weight": 1, "weightUnit": "kg", "containerSize": "کیلو", "isDefault": true}]</x:v>
      </x:c>
      <x:c r="AI380" s="79"/>
      <x:c r="AJ380" s="79"/>
      <x:c r="AK380" s="79"/>
      <x:c r="AL380" t="str">
        <x:v>نمک نارنجی</x:v>
      </x:c>
      <x:c r="AM380" t="str">
        <x:v>single_382</x:v>
      </x:c>
      <x:c r="AN380" t="str">
        <x:v>canonical_group_row</x:v>
      </x:c>
      <x:c r="AO380" t="str">
        <x:v>ادویه</x:v>
      </x:c>
      <x:c r="AP380" t="str">
        <x:v>6a3781e4df5573f4e676e226</x:v>
      </x:c>
      <x:c r="AQ380" t="str">
        <x:v>spice</x:v>
      </x:c>
      <x:c r="AR380" t="str">
        <x:v>EDIBLE</x:v>
      </x:c>
      <x:c r="AS380" t="str">
        <x:v>بله</x:v>
      </x:c>
      <x:c r="AT380" t="str">
        <x:v>OK</x:v>
      </x:c>
      <x:c r="AU380"/>
    </x:row>
    <x:row r="381">
      <x:c r="A381" s="79" t="n">
        <x:v>383</x:v>
      </x:c>
      <x:c r="B381" s="79" t="str">
        <x:v>NS-0380-1</x:v>
      </x:c>
      <x:c r="C381" s="79" t="str">
        <x:v>نمک نخودی (سنگ)</x:v>
      </x:c>
      <x:c r="D381" s="79" t="str">
        <x:v>salt_chickpea</x:v>
      </x:c>
      <x:c r="E381" s="79" t="str">
        <x:v>update</x:v>
      </x:c>
      <x:c r="F381" s="79" t="str">
        <x:v>بله</x:v>
      </x:c>
      <x:c r="G381" s="79" t="str">
        <x:v>حبوبات و غلات</x:v>
      </x:c>
      <x:c r="H381" s="79" t="str">
        <x:v>ادویه</x:v>
      </x:c>
      <x:c r="I381" s="79" t="str">
        <x:v>6a3781e4df5573f4e676e226</x:v>
      </x:c>
      <x:c r="J381" s="79" t="str">
        <x:v>spice</x:v>
      </x:c>
      <x:c r="K381" s="79"/>
      <x:c r="L381" s="79" t="str">
        <x:v>EDIBLE</x:v>
      </x:c>
      <x:c r="M381" s="79" t="str">
        <x:v>بله</x:v>
      </x:c>
      <x:c r="N381" s="79" t="str">
        <x:v>خوراکی</x:v>
      </x:c>
      <x:c r="O381" s="79" t="str">
        <x:v>خیر</x:v>
      </x:c>
      <x:c r="P381" s="79" t="n">
        <x:v>1</x:v>
      </x:c>
      <x:c r="Q381" s="79" t="str">
        <x:v>کیلو</x:v>
      </x:c>
      <x:c r="R381" s="79" t="n">
        <x:v>50</x:v>
      </x:c>
      <x:c r="S381" s="104" t="n">
        <x:v>50000</x:v>
      </x:c>
      <x:c r="T381" s="79" t="n">
        <x:v>1</x:v>
      </x:c>
      <x:c r="U381" s="79" t="str">
        <x:v>kg</x:v>
      </x:c>
      <x:c r="V381" s="79" t="str">
        <x:v>کیلو</x:v>
      </x:c>
      <x:c r="W381" s="99" t="b">
        <x:v>1</x:v>
      </x:c>
      <x:c r="X381" s="79" t="str"/>
      <x:c r="Y381" s="79"/>
      <x:c r="Z381" s="104"/>
      <x:c r="AA381" s="79" t="str"/>
      <x:c r="AB381" s="79" t="str"/>
      <x:c r="AC381" s="79" t="str"/>
      <x:c r="AD381" s="79" t="str"/>
      <x:c r="AE381" s="79" t="str">
        <x:v>فعال</x:v>
      </x:c>
      <x:c r="AF381" s="79" t="str">
        <x:v>دسته‌بندی نهایی</x:v>
      </x:c>
      <x:c r="AG381" s="79" t="str">
        <x:v>OK</x:v>
      </x:c>
      <x:c r="AH381" s="79" t="str">
        <x:v>[{"name": "کیلو", "sku": "", "price": 50000, "stock": "", "weight": 1, "weightUnit": "kg", "containerSize": "کیلو", "isDefault": true}]</x:v>
      </x:c>
      <x:c r="AI381" s="79"/>
      <x:c r="AJ381" s="79"/>
      <x:c r="AK381" s="79"/>
      <x:c r="AL381" t="str">
        <x:v>نمک نخودی (سنگ)</x:v>
      </x:c>
      <x:c r="AM381" t="str">
        <x:v>single_383</x:v>
      </x:c>
      <x:c r="AN381" t="str">
        <x:v>canonical_group_row</x:v>
      </x:c>
      <x:c r="AO381" t="str">
        <x:v>ادویه</x:v>
      </x:c>
      <x:c r="AP381" t="str">
        <x:v>6a3781e4df5573f4e676e226</x:v>
      </x:c>
      <x:c r="AQ381" t="str">
        <x:v>spice</x:v>
      </x:c>
      <x:c r="AR381" t="str">
        <x:v>EDIBLE</x:v>
      </x:c>
      <x:c r="AS381" t="str">
        <x:v>بله</x:v>
      </x:c>
      <x:c r="AT381" t="str">
        <x:v>OK</x:v>
      </x:c>
      <x:c r="AU381"/>
    </x:row>
    <x:row r="382">
      <x:c r="A382" s="79" t="n">
        <x:v>384</x:v>
      </x:c>
      <x:c r="B382" s="79" t="str">
        <x:v>NS-0381-1</x:v>
      </x:c>
      <x:c r="C382" s="79" t="str">
        <x:v>نوتلا</x:v>
      </x:c>
      <x:c r="D382" s="79" t="str">
        <x:v>nutella</x:v>
      </x:c>
      <x:c r="E382" s="79" t="str">
        <x:v>update</x:v>
      </x:c>
      <x:c r="F382" s="79" t="str">
        <x:v>بله</x:v>
      </x:c>
      <x:c r="G382" s="79" t="str">
        <x:v>قنادی و شیرینی</x:v>
      </x:c>
      <x:c r="H382" s="79" t="str">
        <x:v>قنادی و شیرینی</x:v>
      </x:c>
      <x:c r="I382" s="79" t="str">
        <x:v>6a3a00000000000000000003</x:v>
      </x:c>
      <x:c r="J382" s="79" t="str">
        <x:v>confectionery</x:v>
      </x:c>
      <x:c r="K382" s="79"/>
      <x:c r="L382" s="79" t="str">
        <x:v>EDIBLE</x:v>
      </x:c>
      <x:c r="M382" s="79" t="str">
        <x:v>بله</x:v>
      </x:c>
      <x:c r="N382" s="79" t="str">
        <x:v>خوراکی</x:v>
      </x:c>
      <x:c r="O382" s="79" t="str">
        <x:v>خیر</x:v>
      </x:c>
      <x:c r="P382" s="79" t="n">
        <x:v>1</x:v>
      </x:c>
      <x:c r="Q382" s="79" t="str">
        <x:v>کیلو</x:v>
      </x:c>
      <x:c r="R382" s="79" t="str">
        <x:v>؟</x:v>
      </x:c>
      <x:c r="S382" s="104"/>
      <x:c r="T382" s="79" t="n">
        <x:v>1</x:v>
      </x:c>
      <x:c r="U382" s="79" t="str">
        <x:v>kg</x:v>
      </x:c>
      <x:c r="V382" s="79" t="str">
        <x:v>کیلو</x:v>
      </x:c>
      <x:c r="W382" s="99" t="b">
        <x:v>1</x:v>
      </x:c>
      <x:c r="X382" s="79" t="str"/>
      <x:c r="Y382" s="79"/>
      <x:c r="Z382" s="104"/>
      <x:c r="AA382" s="79" t="str"/>
      <x:c r="AB382" s="79" t="str"/>
      <x:c r="AC382" s="79" t="str"/>
      <x:c r="AD382" s="79" t="str"/>
      <x:c r="AE382" s="79" t="str">
        <x:v>نیاز به استعلام</x:v>
      </x:c>
      <x:c r="AF382" s="79" t="str">
        <x:v>دسته‌بندی نهایی</x:v>
      </x:c>
      <x:c r="AG382" s="79" t="str">
        <x:v>یک یا چند قیمت نامشخص است</x:v>
      </x:c>
      <x:c r="AH382" s="79" t="str">
        <x:v>[{"name": "کیلو", "sku": "", "price": null, "stock": "", "weight": 1, "weightUnit": "kg", "containerSize": "کیلو", "isDefault": true}]</x:v>
      </x:c>
      <x:c r="AI382" s="79"/>
      <x:c r="AJ382" s="79"/>
      <x:c r="AK382" s="79"/>
      <x:c r="AL382" t="str">
        <x:v>نوتلا ناب سرا</x:v>
      </x:c>
      <x:c r="AM382" t="str">
        <x:v>grp_nabsara_nutella</x:v>
      </x:c>
      <x:c r="AN382" t="str">
        <x:v>canonical_group_row</x:v>
      </x:c>
      <x:c r="AO382" t="str">
        <x:v>قنادی و شیرینی</x:v>
      </x:c>
      <x:c r="AP382" t="str">
        <x:v>6a3a00000000000000000003</x:v>
      </x:c>
      <x:c r="AQ382" t="str">
        <x:v>confectionery</x:v>
      </x:c>
      <x:c r="AR382" t="str">
        <x:v>EDIBLE</x:v>
      </x:c>
      <x:c r="AS382" t="str">
        <x:v>بله</x:v>
      </x:c>
      <x:c r="AT382" t="str">
        <x:v>MERGED + MISSING_PRICE_REVIEW</x:v>
      </x:c>
      <x:c r="AU382" t="str">
        <x:v>یک یا چند قیمت نامشخص است</x:v>
      </x:c>
    </x:row>
    <x:row r="383">
      <x:c r="A383" s="79" t="n">
        <x:v>385</x:v>
      </x:c>
      <x:c r="B383" s="79" t="str">
        <x:v>NS-0382-1</x:v>
      </x:c>
      <x:c r="C383" s="79" t="str">
        <x:v>نوتلا ناب سرا</x:v>
      </x:c>
      <x:c r="D383" s="79" t="str">
        <x:v>nabsara_nutella_kilo</x:v>
      </x:c>
      <x:c r="E383" s="79" t="str">
        <x:v>update</x:v>
      </x:c>
      <x:c r="F383" s="79" t="str">
        <x:v>بله</x:v>
      </x:c>
      <x:c r="G383" s="79" t="str">
        <x:v>قنادی و شیرینی</x:v>
      </x:c>
      <x:c r="H383" s="79" t="str">
        <x:v>قنادی و شیرینی</x:v>
      </x:c>
      <x:c r="I383" s="79" t="str">
        <x:v>6a3a00000000000000000003</x:v>
      </x:c>
      <x:c r="J383" s="79" t="str">
        <x:v>confectionery</x:v>
      </x:c>
      <x:c r="K383" s="79"/>
      <x:c r="L383" s="79" t="str">
        <x:v>EDIBLE</x:v>
      </x:c>
      <x:c r="M383" s="79" t="str">
        <x:v>بله</x:v>
      </x:c>
      <x:c r="N383" s="79" t="str">
        <x:v>خوراکی</x:v>
      </x:c>
      <x:c r="O383" s="79" t="str">
        <x:v>بله</x:v>
      </x:c>
      <x:c r="P383" s="79" t="n">
        <x:v>2</x:v>
      </x:c>
      <x:c r="Q383" s="79" t="str">
        <x:v>کیلویی</x:v>
      </x:c>
      <x:c r="R383" s="79" t="str">
        <x:v>1/500</x:v>
      </x:c>
      <x:c r="S383" s="104" t="n">
        <x:v>1500000</x:v>
      </x:c>
      <x:c r="T383" s="79" t="n">
        <x:v>1</x:v>
      </x:c>
      <x:c r="U383" s="79" t="str">
        <x:v>kg</x:v>
      </x:c>
      <x:c r="V383" s="79" t="str">
        <x:v>کیلویی</x:v>
      </x:c>
      <x:c r="W383" s="99" t="b">
        <x:v>1</x:v>
      </x:c>
      <x:c r="X383" s="79" t="str">
        <x:v>بسته بندی</x:v>
      </x:c>
      <x:c r="Y383" s="79" t="n">
        <x:v>260</x:v>
      </x:c>
      <x:c r="Z383" s="104" t="n">
        <x:v>260000</x:v>
      </x:c>
      <x:c r="AA383" s="79" t="str"/>
      <x:c r="AB383" s="79" t="str"/>
      <x:c r="AC383" s="79" t="str">
        <x:v>بسته بندی</x:v>
      </x:c>
      <x:c r="AD383" s="99" t="b">
        <x:v>0</x:v>
      </x:c>
      <x:c r="AE383" s="79" t="str">
        <x:v>فعال</x:v>
      </x:c>
      <x:c r="AF383" s="79" t="str">
        <x:v>دسته‌بندی نهایی</x:v>
      </x:c>
      <x:c r="AG383" s="79" t="str">
        <x:v>MERGED</x:v>
      </x:c>
      <x:c r="AH383" s="79" t="str">
        <x:v>[{"name": "کیلویی", "sku": "", "price": 1500000, "stock": "", "weight": 1, "weightUnit": "kg", "containerSize": "کیلویی", "isDefault": true}, {"name": "بسته بندی", "sku": "", "price": 260000, "stock": "", "weight": "", "weightUnit": "", "containerSize": "بسته بندی", "isDefault": false}]</x:v>
      </x:c>
      <x:c r="AI383" s="79"/>
      <x:c r="AJ383" s="79"/>
      <x:c r="AK383" s="79"/>
      <x:c r="AL383" t="str">
        <x:v>نوتلا ناب سرا</x:v>
      </x:c>
      <x:c r="AM383" t="str">
        <x:v>grp_nabsara_nutella</x:v>
      </x:c>
      <x:c r="AN383" t="str">
        <x:v>merge_into_canonical_group</x:v>
      </x:c>
      <x:c r="AO383" t="str">
        <x:v>قنادی و شیرینی</x:v>
      </x:c>
      <x:c r="AP383" t="str">
        <x:v>6a3a00000000000000000003</x:v>
      </x:c>
      <x:c r="AQ383" t="str">
        <x:v>confectionery</x:v>
      </x:c>
      <x:c r="AR383" t="str">
        <x:v>EDIBLE</x:v>
      </x:c>
      <x:c r="AS383" t="str">
        <x:v>بله</x:v>
      </x:c>
      <x:c r="AT383" t="str">
        <x:v>MERGED</x:v>
      </x:c>
      <x:c r="AU383"/>
    </x:row>
    <x:row r="384">
      <x:c r="A384" s="79" t="n">
        <x:v>386</x:v>
      </x:c>
      <x:c r="B384" s="79" t="str">
        <x:v>NS-0383-1</x:v>
      </x:c>
      <x:c r="C384" s="79" t="str">
        <x:v>نوره</x:v>
      </x:c>
      <x:c r="D384" s="79" t="str">
        <x:v>depilatory</x:v>
      </x:c>
      <x:c r="E384" s="79" t="str">
        <x:v>update</x:v>
      </x:c>
      <x:c r="F384" s="79" t="str">
        <x:v>بله</x:v>
      </x:c>
      <x:c r="G384" s="79" t="str">
        <x:v>سایر</x:v>
      </x:c>
      <x:c r="H384" s="79" t="str">
        <x:v>گیاهان دارویی</x:v>
      </x:c>
      <x:c r="I384" s="79" t="str">
        <x:v>6a3782d7df5573f4e676e243</x:v>
      </x:c>
      <x:c r="J384" s="79" t="str">
        <x:v>medicinal-plants</x:v>
      </x:c>
      <x:c r="K384" s="79"/>
      <x:c r="L384" s="79" t="str">
        <x:v>TOPICAL</x:v>
      </x:c>
      <x:c r="M384" s="79" t="str">
        <x:v>خیر</x:v>
      </x:c>
      <x:c r="N384" s="79" t="str">
        <x:v>غیرخوراکی/موضعی</x:v>
      </x:c>
      <x:c r="O384" s="79" t="str">
        <x:v>خیر</x:v>
      </x:c>
      <x:c r="P384" s="79" t="n">
        <x:v>1</x:v>
      </x:c>
      <x:c r="Q384" s="79" t="str">
        <x:v>نیم کیلو</x:v>
      </x:c>
      <x:c r="R384" s="79" t="n">
        <x:v>110</x:v>
      </x:c>
      <x:c r="S384" s="104" t="n">
        <x:v>110000</x:v>
      </x:c>
      <x:c r="T384" s="79" t="n">
        <x:v>1</x:v>
      </x:c>
      <x:c r="U384" s="79" t="str">
        <x:v>kg</x:v>
      </x:c>
      <x:c r="V384" s="79" t="str">
        <x:v>نیم کیلو</x:v>
      </x:c>
      <x:c r="W384" s="99" t="b">
        <x:v>1</x:v>
      </x:c>
      <x:c r="X384" s="79" t="str"/>
      <x:c r="Y384" s="79"/>
      <x:c r="Z384" s="104"/>
      <x:c r="AA384" s="79" t="str"/>
      <x:c r="AB384" s="79" t="str"/>
      <x:c r="AC384" s="79" t="str"/>
      <x:c r="AD384" s="79" t="str"/>
      <x:c r="AE384" s="79" t="str">
        <x:v>فعال</x:v>
      </x:c>
      <x:c r="AF384" s="79" t="str">
        <x:v>نیازمند بررسی دستی</x:v>
      </x:c>
      <x:c r="AG384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AH384" s="79" t="str">
        <x:v>[{"name": "نیم کیلو", "sku": "", "price": 110000, "stock": "", "weight": 1, "weightUnit": "kg", "containerSize": "نیم کیلو", "isDefault": true}]</x:v>
      </x:c>
      <x:c r="AI384" s="79"/>
      <x:c r="AJ384" s="79"/>
      <x:c r="AK384" s="79"/>
      <x:c r="AL384" t="str">
        <x:v>نوره</x:v>
      </x:c>
      <x:c r="AM384" t="str">
        <x:v>single_386</x:v>
      </x:c>
      <x:c r="AN384" t="str">
        <x:v>canonical_group_row</x:v>
      </x:c>
      <x:c r="AO384" t="str">
        <x:v>گیاهان دارویی</x:v>
      </x:c>
      <x:c r="AP384" t="str">
        <x:v>6a3782d7df5573f4e676e243</x:v>
      </x:c>
      <x:c r="AQ384" t="str">
        <x:v>medicinal-plants</x:v>
      </x:c>
      <x:c r="AR384" t="str">
        <x:v>TOPICAL</x:v>
      </x:c>
      <x:c r="AS384" t="str">
        <x:v>خیر</x:v>
      </x:c>
      <x:c r="AT384" t="str">
        <x:v>OK</x:v>
      </x:c>
      <x:c r="AU384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385">
      <x:c r="A385" s="79" t="n">
        <x:v>387</x:v>
      </x:c>
      <x:c r="B385" s="79" t="str">
        <x:v>NS-0384-1</x:v>
      </x:c>
      <x:c r="C385" s="79" t="str">
        <x:v>هل باد</x:v>
      </x:c>
      <x:c r="D385" s="79" t="str">
        <x:v>cardamom_pods</x:v>
      </x:c>
      <x:c r="E385" s="79" t="str">
        <x:v>update</x:v>
      </x:c>
      <x:c r="F385" s="79" t="str">
        <x:v>بله</x:v>
      </x:c>
      <x:c r="G385" s="79" t="str">
        <x:v>ادویه و چاشنی</x:v>
      </x:c>
      <x:c r="H385" s="79" t="str">
        <x:v>ادویه</x:v>
      </x:c>
      <x:c r="I385" s="79" t="str">
        <x:v>6a3781e4df5573f4e676e226</x:v>
      </x:c>
      <x:c r="J385" s="79" t="str">
        <x:v>spice</x:v>
      </x:c>
      <x:c r="K385" s="79"/>
      <x:c r="L385" s="79" t="str">
        <x:v>EDIBLE</x:v>
      </x:c>
      <x:c r="M385" s="79" t="str">
        <x:v>بله</x:v>
      </x:c>
      <x:c r="N385" s="79" t="str">
        <x:v>خوراکی</x:v>
      </x:c>
      <x:c r="O385" s="79" t="str">
        <x:v>خیر</x:v>
      </x:c>
      <x:c r="P385" s="79" t="n">
        <x:v>1</x:v>
      </x:c>
      <x:c r="Q385" s="79" t="str">
        <x:v>کیلو</x:v>
      </x:c>
      <x:c r="R385" s="79" t="str">
        <x:v>3/500</x:v>
      </x:c>
      <x:c r="S385" s="104" t="n">
        <x:v>3500000</x:v>
      </x:c>
      <x:c r="T385" s="79" t="n">
        <x:v>1</x:v>
      </x:c>
      <x:c r="U385" s="79" t="str">
        <x:v>kg</x:v>
      </x:c>
      <x:c r="V385" s="79" t="str">
        <x:v>کیلو</x:v>
      </x:c>
      <x:c r="W385" s="99" t="b">
        <x:v>1</x:v>
      </x:c>
      <x:c r="X385" s="79" t="str"/>
      <x:c r="Y385" s="79"/>
      <x:c r="Z385" s="104"/>
      <x:c r="AA385" s="79" t="str"/>
      <x:c r="AB385" s="79" t="str"/>
      <x:c r="AC385" s="79" t="str"/>
      <x:c r="AD385" s="79" t="str"/>
      <x:c r="AE385" s="79" t="str">
        <x:v>فعال</x:v>
      </x:c>
      <x:c r="AF385" s="79" t="str">
        <x:v>دسته‌بندی نهایی</x:v>
      </x:c>
      <x:c r="AG385" s="79" t="str">
        <x:v>OK</x:v>
      </x:c>
      <x:c r="AH385" s="79" t="str">
        <x:v>[{"name": "کیلو", "sku": "", "price": 3500000, "stock": "", "weight": 1, "weightUnit": "kg", "containerSize": "کیلو", "isDefault": true}]</x:v>
      </x:c>
      <x:c r="AI385" s="79"/>
      <x:c r="AJ385" s="79"/>
      <x:c r="AK385" s="79"/>
      <x:c r="AL385" t="str">
        <x:v>هل باد</x:v>
      </x:c>
      <x:c r="AM385" t="str">
        <x:v>single_387</x:v>
      </x:c>
      <x:c r="AN385" t="str">
        <x:v>canonical_group_row</x:v>
      </x:c>
      <x:c r="AO385" t="str">
        <x:v>ادویه</x:v>
      </x:c>
      <x:c r="AP385" t="str">
        <x:v>6a3781e4df5573f4e676e226</x:v>
      </x:c>
      <x:c r="AQ385" t="str">
        <x:v>spice</x:v>
      </x:c>
      <x:c r="AR385" t="str">
        <x:v>EDIBLE</x:v>
      </x:c>
      <x:c r="AS385" t="str">
        <x:v>بله</x:v>
      </x:c>
      <x:c r="AT385" t="str">
        <x:v>OK</x:v>
      </x:c>
      <x:c r="AU385"/>
    </x:row>
    <x:row r="386">
      <x:c r="A386" s="79" t="n">
        <x:v>388</x:v>
      </x:c>
      <x:c r="B386" s="79" t="str">
        <x:v>NS-0385-1</x:v>
      </x:c>
      <x:c r="C386" s="79" t="str">
        <x:v>هل پودر</x:v>
      </x:c>
      <x:c r="D386" s="79" t="str">
        <x:v>cardamom_powder</x:v>
      </x:c>
      <x:c r="E386" s="79" t="str">
        <x:v>update</x:v>
      </x:c>
      <x:c r="F386" s="79" t="str">
        <x:v>بله</x:v>
      </x:c>
      <x:c r="G386" s="79" t="str">
        <x:v>ادویه و چاشنی</x:v>
      </x:c>
      <x:c r="H386" s="79" t="str">
        <x:v>ادویه</x:v>
      </x:c>
      <x:c r="I386" s="79" t="str">
        <x:v>6a3781e4df5573f4e676e226</x:v>
      </x:c>
      <x:c r="J386" s="79" t="str">
        <x:v>spice</x:v>
      </x:c>
      <x:c r="K386" s="79"/>
      <x:c r="L386" s="79" t="str">
        <x:v>EDIBLE</x:v>
      </x:c>
      <x:c r="M386" s="79" t="str">
        <x:v>بله</x:v>
      </x:c>
      <x:c r="N386" s="79" t="str">
        <x:v>خوراکی</x:v>
      </x:c>
      <x:c r="O386" s="79" t="str">
        <x:v>خیر</x:v>
      </x:c>
      <x:c r="P386" s="79" t="n">
        <x:v>1</x:v>
      </x:c>
      <x:c r="Q386" s="79" t="str">
        <x:v>کیلو</x:v>
      </x:c>
      <x:c r="R386" s="79" t="str">
        <x:v>12/500</x:v>
      </x:c>
      <x:c r="S386" s="104" t="n">
        <x:v>12500000</x:v>
      </x:c>
      <x:c r="T386" s="79" t="n">
        <x:v>1</x:v>
      </x:c>
      <x:c r="U386" s="79" t="str">
        <x:v>kg</x:v>
      </x:c>
      <x:c r="V386" s="79" t="str">
        <x:v>کیلو</x:v>
      </x:c>
      <x:c r="W386" s="99" t="b">
        <x:v>1</x:v>
      </x:c>
      <x:c r="X386" s="79" t="str"/>
      <x:c r="Y386" s="79"/>
      <x:c r="Z386" s="104"/>
      <x:c r="AA386" s="79" t="str"/>
      <x:c r="AB386" s="79" t="str"/>
      <x:c r="AC386" s="79" t="str"/>
      <x:c r="AD386" s="79" t="str"/>
      <x:c r="AE386" s="79" t="str">
        <x:v>فعال</x:v>
      </x:c>
      <x:c r="AF386" s="79" t="str">
        <x:v>دسته‌بندی نهایی</x:v>
      </x:c>
      <x:c r="AG386" s="79" t="str">
        <x:v>OK</x:v>
      </x:c>
      <x:c r="AH386" s="79" t="str">
        <x:v>[{"name": "کیلو", "sku": "", "price": 12500000, "stock": "", "weight": 1, "weightUnit": "kg", "containerSize": "کیلو", "isDefault": true}]</x:v>
      </x:c>
      <x:c r="AI386" s="79"/>
      <x:c r="AJ386" s="79"/>
      <x:c r="AK386" s="79"/>
      <x:c r="AL386" t="str">
        <x:v>هل پودر</x:v>
      </x:c>
      <x:c r="AM386" t="str">
        <x:v>single_388</x:v>
      </x:c>
      <x:c r="AN386" t="str">
        <x:v>canonical_group_row</x:v>
      </x:c>
      <x:c r="AO386" t="str">
        <x:v>ادویه</x:v>
      </x:c>
      <x:c r="AP386" t="str">
        <x:v>6a3781e4df5573f4e676e226</x:v>
      </x:c>
      <x:c r="AQ386" t="str">
        <x:v>spice</x:v>
      </x:c>
      <x:c r="AR386" t="str">
        <x:v>EDIBLE</x:v>
      </x:c>
      <x:c r="AS386" t="str">
        <x:v>بله</x:v>
      </x:c>
      <x:c r="AT386" t="str">
        <x:v>OK</x:v>
      </x:c>
      <x:c r="AU386"/>
    </x:row>
    <x:row r="387">
      <x:c r="A387" s="79" t="n">
        <x:v>389</x:v>
      </x:c>
      <x:c r="B387" s="79" t="str">
        <x:v>NS-0386-1</x:v>
      </x:c>
      <x:c r="C387" s="79" t="str">
        <x:v>هل پیور اسپایس</x:v>
      </x:c>
      <x:c r="D387" s="79" t="str">
        <x:v>cardamom_pure_spice</x:v>
      </x:c>
      <x:c r="E387" s="79" t="str">
        <x:v>update</x:v>
      </x:c>
      <x:c r="F387" s="79" t="str">
        <x:v>بله</x:v>
      </x:c>
      <x:c r="G387" s="79" t="str">
        <x:v>ادویه و چاشنی</x:v>
      </x:c>
      <x:c r="H387" s="79" t="str">
        <x:v>ادویه</x:v>
      </x:c>
      <x:c r="I387" s="79" t="str">
        <x:v>6a3781e4df5573f4e676e226</x:v>
      </x:c>
      <x:c r="J387" s="79" t="str">
        <x:v>spice</x:v>
      </x:c>
      <x:c r="K387" s="79"/>
      <x:c r="L387" s="79" t="str">
        <x:v>EDIBLE</x:v>
      </x:c>
      <x:c r="M387" s="79" t="str">
        <x:v>بله</x:v>
      </x:c>
      <x:c r="N387" s="79" t="str">
        <x:v>خوراکی</x:v>
      </x:c>
      <x:c r="O387" s="79" t="str">
        <x:v>خیر</x:v>
      </x:c>
      <x:c r="P387" s="79" t="n">
        <x:v>1</x:v>
      </x:c>
      <x:c r="Q387" s="79" t="str">
        <x:v>کیلو</x:v>
      </x:c>
      <x:c r="R387" s="79" t="str">
        <x:v>12/500</x:v>
      </x:c>
      <x:c r="S387" s="104" t="n">
        <x:v>12500000</x:v>
      </x:c>
      <x:c r="T387" s="79" t="n">
        <x:v>1</x:v>
      </x:c>
      <x:c r="U387" s="79" t="str">
        <x:v>kg</x:v>
      </x:c>
      <x:c r="V387" s="79" t="str">
        <x:v>کیلو</x:v>
      </x:c>
      <x:c r="W387" s="99" t="b">
        <x:v>1</x:v>
      </x:c>
      <x:c r="X387" s="79" t="str"/>
      <x:c r="Y387" s="79"/>
      <x:c r="Z387" s="104"/>
      <x:c r="AA387" s="79" t="str"/>
      <x:c r="AB387" s="79" t="str"/>
      <x:c r="AC387" s="79" t="str"/>
      <x:c r="AD387" s="79" t="str"/>
      <x:c r="AE387" s="79" t="str">
        <x:v>فعال</x:v>
      </x:c>
      <x:c r="AF387" s="79" t="str">
        <x:v>دسته‌بندی نهایی</x:v>
      </x:c>
      <x:c r="AG387" s="79" t="str">
        <x:v>OK</x:v>
      </x:c>
      <x:c r="AH387" s="79" t="str">
        <x:v>[{"name": "کیلو", "sku": "", "price": 12500000, "stock": "", "weight": 1, "weightUnit": "kg", "containerSize": "کیلو", "isDefault": true}]</x:v>
      </x:c>
      <x:c r="AI387" s="79"/>
      <x:c r="AJ387" s="79"/>
      <x:c r="AK387" s="79"/>
      <x:c r="AL387" t="str">
        <x:v>هل پیور اسپایس</x:v>
      </x:c>
      <x:c r="AM387" t="str">
        <x:v>single_389</x:v>
      </x:c>
      <x:c r="AN387" t="str">
        <x:v>canonical_group_row</x:v>
      </x:c>
      <x:c r="AO387" t="str">
        <x:v>ادویه</x:v>
      </x:c>
      <x:c r="AP387" t="str">
        <x:v>6a3781e4df5573f4e676e226</x:v>
      </x:c>
      <x:c r="AQ387" t="str">
        <x:v>spice</x:v>
      </x:c>
      <x:c r="AR387" t="str">
        <x:v>EDIBLE</x:v>
      </x:c>
      <x:c r="AS387" t="str">
        <x:v>بله</x:v>
      </x:c>
      <x:c r="AT387" t="str">
        <x:v>OK</x:v>
      </x:c>
      <x:c r="AU387"/>
    </x:row>
    <x:row r="388">
      <x:c r="A388" s="79" t="n">
        <x:v>390</x:v>
      </x:c>
      <x:c r="B388" s="79" t="str">
        <x:v>NS-0387-1</x:v>
      </x:c>
      <x:c r="C388" s="79" t="str">
        <x:v>هلیله سیاه</x:v>
      </x:c>
      <x:c r="D388" s="79" t="str">
        <x:v>chebulic_myrobalan_black</x:v>
      </x:c>
      <x:c r="E388" s="79" t="str">
        <x:v>update</x:v>
      </x:c>
      <x:c r="F388" s="79" t="str">
        <x:v>بله</x:v>
      </x:c>
      <x:c r="G388" s="79" t="str">
        <x:v>ادویه و چاشنی</x:v>
      </x:c>
      <x:c r="H388" s="79" t="str">
        <x:v>ادویه</x:v>
      </x:c>
      <x:c r="I388" s="79" t="str">
        <x:v>6a3781e4df5573f4e676e226</x:v>
      </x:c>
      <x:c r="J388" s="79" t="str">
        <x:v>spice</x:v>
      </x:c>
      <x:c r="K388" s="79"/>
      <x:c r="L388" s="79" t="str">
        <x:v>EDIBLE</x:v>
      </x:c>
      <x:c r="M388" s="79" t="str">
        <x:v>بله</x:v>
      </x:c>
      <x:c r="N388" s="79" t="str">
        <x:v>خوراکی</x:v>
      </x:c>
      <x:c r="O388" s="79" t="str">
        <x:v>خیر</x:v>
      </x:c>
      <x:c r="P388" s="79" t="n">
        <x:v>1</x:v>
      </x:c>
      <x:c r="Q388" s="79" t="str">
        <x:v>کیلو</x:v>
      </x:c>
      <x:c r="R388" s="79" t="str">
        <x:v>1/500</x:v>
      </x:c>
      <x:c r="S388" s="104" t="n">
        <x:v>1500000</x:v>
      </x:c>
      <x:c r="T388" s="79" t="n">
        <x:v>1</x:v>
      </x:c>
      <x:c r="U388" s="79" t="str">
        <x:v>kg</x:v>
      </x:c>
      <x:c r="V388" s="79" t="str">
        <x:v>کیلو</x:v>
      </x:c>
      <x:c r="W388" s="99" t="b">
        <x:v>1</x:v>
      </x:c>
      <x:c r="X388" s="79" t="str"/>
      <x:c r="Y388" s="79"/>
      <x:c r="Z388" s="104"/>
      <x:c r="AA388" s="79" t="str"/>
      <x:c r="AB388" s="79" t="str"/>
      <x:c r="AC388" s="79" t="str"/>
      <x:c r="AD388" s="79" t="str"/>
      <x:c r="AE388" s="79" t="str">
        <x:v>فعال</x:v>
      </x:c>
      <x:c r="AF388" s="79" t="str">
        <x:v>دسته‌بندی نهایی</x:v>
      </x:c>
      <x:c r="AG388" s="79" t="str">
        <x:v>OK</x:v>
      </x:c>
      <x:c r="AH388" s="79" t="str">
        <x:v>[{"name": "کیلو", "sku": "", "price": 1500000, "stock": "", "weight": 1, "weightUnit": "kg", "containerSize": "کیلو", "isDefault": true}]</x:v>
      </x:c>
      <x:c r="AI388" s="79"/>
      <x:c r="AJ388" s="79"/>
      <x:c r="AK388" s="79"/>
      <x:c r="AL388" t="str">
        <x:v>هلیله سیاه</x:v>
      </x:c>
      <x:c r="AM388" t="str">
        <x:v>single_390</x:v>
      </x:c>
      <x:c r="AN388" t="str">
        <x:v>canonical_group_row</x:v>
      </x:c>
      <x:c r="AO388" t="str">
        <x:v>ادویه</x:v>
      </x:c>
      <x:c r="AP388" t="str">
        <x:v>6a3781e4df5573f4e676e226</x:v>
      </x:c>
      <x:c r="AQ388" t="str">
        <x:v>spice</x:v>
      </x:c>
      <x:c r="AR388" t="str">
        <x:v>EDIBLE</x:v>
      </x:c>
      <x:c r="AS388" t="str">
        <x:v>بله</x:v>
      </x:c>
      <x:c r="AT388" t="str">
        <x:v>OK</x:v>
      </x:c>
      <x:c r="AU388"/>
    </x:row>
    <x:row r="389">
      <x:c r="A389" s="79" t="n">
        <x:v>391</x:v>
      </x:c>
      <x:c r="B389" s="79" t="str">
        <x:v>NS-0388-1</x:v>
      </x:c>
      <x:c r="C389" s="79" t="str">
        <x:v>وانیل خرسی شکری</x:v>
      </x:c>
      <x:c r="D389" s="79" t="str">
        <x:v>sugary_bear_vanilla</x:v>
      </x:c>
      <x:c r="E389" s="79" t="str">
        <x:v>update</x:v>
      </x:c>
      <x:c r="F389" s="79" t="str">
        <x:v>بله</x:v>
      </x:c>
      <x:c r="G389" s="79" t="str">
        <x:v>قنادی و شیرینی</x:v>
      </x:c>
      <x:c r="H389" s="79" t="str">
        <x:v>قنادی و شیرینی</x:v>
      </x:c>
      <x:c r="I389" s="79" t="str">
        <x:v>6a3a00000000000000000003</x:v>
      </x:c>
      <x:c r="J389" s="79" t="str">
        <x:v>confectionery</x:v>
      </x:c>
      <x:c r="K389" s="79"/>
      <x:c r="L389" s="79" t="str">
        <x:v>EDIBLE</x:v>
      </x:c>
      <x:c r="M389" s="79" t="str">
        <x:v>بله</x:v>
      </x:c>
      <x:c r="N389" s="79" t="str">
        <x:v>خوراکی</x:v>
      </x:c>
      <x:c r="O389" s="79" t="str">
        <x:v>خیر</x:v>
      </x:c>
      <x:c r="P389" s="79" t="n">
        <x:v>1</x:v>
      </x:c>
      <x:c r="Q389" s="79" t="str">
        <x:v>کیلو</x:v>
      </x:c>
      <x:c r="R389" s="79" t="n">
        <x:v>800</x:v>
      </x:c>
      <x:c r="S389" s="104" t="n">
        <x:v>800000</x:v>
      </x:c>
      <x:c r="T389" s="79" t="n">
        <x:v>1</x:v>
      </x:c>
      <x:c r="U389" s="79" t="str">
        <x:v>kg</x:v>
      </x:c>
      <x:c r="V389" s="79" t="str">
        <x:v>کیلو</x:v>
      </x:c>
      <x:c r="W389" s="99" t="b">
        <x:v>1</x:v>
      </x:c>
      <x:c r="X389" s="79" t="str"/>
      <x:c r="Y389" s="79"/>
      <x:c r="Z389" s="104"/>
      <x:c r="AA389" s="79" t="str"/>
      <x:c r="AB389" s="79" t="str"/>
      <x:c r="AC389" s="79" t="str"/>
      <x:c r="AD389" s="79" t="str"/>
      <x:c r="AE389" s="79" t="str">
        <x:v>فعال</x:v>
      </x:c>
      <x:c r="AF389" s="79" t="str">
        <x:v>دسته‌بندی نهایی</x:v>
      </x:c>
      <x:c r="AG389" s="79" t="str">
        <x:v>OK</x:v>
      </x:c>
      <x:c r="AH389" s="79" t="str">
        <x:v>[{"name": "کیلو", "sku": "", "price": 800000, "stock": "", "weight": 1, "weightUnit": "kg", "containerSize": "کیلو", "isDefault": true}]</x:v>
      </x:c>
      <x:c r="AI389" s="79"/>
      <x:c r="AJ389" s="79"/>
      <x:c r="AK389" s="79"/>
      <x:c r="AL389" t="str">
        <x:v>وانیل خرسی شکری</x:v>
      </x:c>
      <x:c r="AM389" t="str">
        <x:v>single_391</x:v>
      </x:c>
      <x:c r="AN389" t="str">
        <x:v>canonical_group_row</x:v>
      </x:c>
      <x:c r="AO389" t="str">
        <x:v>قنادی و شیرینی</x:v>
      </x:c>
      <x:c r="AP389" t="str">
        <x:v>6a3a00000000000000000003</x:v>
      </x:c>
      <x:c r="AQ389" t="str">
        <x:v>confectionery</x:v>
      </x:c>
      <x:c r="AR389" t="str">
        <x:v>EDIBLE</x:v>
      </x:c>
      <x:c r="AS389" t="str">
        <x:v>بله</x:v>
      </x:c>
      <x:c r="AT389" t="str">
        <x:v>OK</x:v>
      </x:c>
      <x:c r="AU389"/>
    </x:row>
  </x:sheetData>
  <x:conditionalFormatting sqref="I2:I389">
    <x:cfRule type="expression" dxfId="13" priority="1">
      <x:formula>I2=""</x:formula>
    </x:cfRule>
  </x:conditionalFormatting>
  <x:conditionalFormatting sqref="AG2:AG389">
    <x:cfRule type="expression" dxfId="14" priority="2">
      <x:formula>AG2&lt;&gt;""</x:formula>
    </x:cfRule>
  </x:conditionalFormatting>
  <x:dataValidations count="1">
    <x:dataValidation type="list" sqref="H2:H389">
      <x:formula1>category_map!$A$2:$A$10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c673ca45764c9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.25" hidden="0" customWidth="1"/>
    <x:col min="2" max="2" width="24.8799991607666" hidden="0" customWidth="1"/>
    <x:col min="3" max="3" width="41" hidden="0" customWidth="1"/>
  </x:cols>
  <x:sheetData>
    <x:row r="1">
      <x:c r="A1" s="98" t="str">
        <x:v>تغییر</x:v>
      </x:c>
      <x:c r="B1" s="98" t="str">
        <x:v>وضعیت نهایی</x:v>
      </x:c>
      <x:c r="C1" s="98" t="str">
        <x:v>ID / توضیح</x:v>
      </x:c>
    </x:row>
    <x:row r="2">
      <x:c r="A2" s="79" t="str">
        <x:v>تخمه</x:v>
      </x:c>
      <x:c r="B2" s="79" t="str">
        <x:v>نامش شد خشکبار و آجیل</x:v>
      </x:c>
      <x:c r="C2" s="79" t="str">
        <x:v>ID حفظ شد: 6a37810ddf5573f4e676e201</x:v>
      </x:c>
    </x:row>
    <x:row r="3">
      <x:c r="A3" s="79" t="str">
        <x:v>خشکبار و آجیل ساخته‌شده قبلی</x:v>
      </x:c>
      <x:c r="B3" s="79" t="str">
        <x:v>از نگاشت اکسل حذف شد</x:v>
      </x:c>
      <x:c r="C3" s="79" t="str">
        <x:v>ID حذف‌شده از سایت: 6a3a00000000000000000001</x:v>
      </x:c>
    </x:row>
    <x:row r="4">
      <x:c r="A4" s="79" t="str">
        <x:v>سایر</x:v>
      </x:c>
      <x:c r="B4" s="79" t="str">
        <x:v>از دسته‌های معتبر فایل حذف شد</x:v>
      </x:c>
      <x:c r="C4" s="79" t="str">
        <x:v>محصولاتی که این دسته را داشتند: نیاز به بررسی دستی</x:v>
      </x:c>
    </x:row>
    <x:row r="5">
      <x:c r="A5" s="79" t="str">
        <x:v>ملزومات</x:v>
      </x:c>
      <x:c r="B5" s="79" t="str">
        <x:v>از دسته‌های معتبر فایل حذف شد</x:v>
      </x:c>
      <x:c r="C5" s="79" t="str">
        <x:v>محصولاتی که این دسته را داشتند: نیاز به بررسی دستی</x:v>
      </x:c>
    </x:row>
    <x:row r="6">
      <x:c r="A6" s="79" t="str">
        <x:v>آرد و قنادی</x:v>
      </x:c>
      <x:c r="B6" s="79" t="str">
        <x:v>زیرمجموعه قنادی و شیرینی</x:v>
      </x:c>
      <x:c r="C6" s="79" t="str">
        <x:v>parent_id: 6a3a00000000000000000003</x:v>
      </x:c>
    </x:row>
    <x:row r="7">
      <x:c r="A7" s="79" t="str">
        <x:v>نوشیدنی‌ها</x:v>
      </x:c>
      <x:c r="B7" s="79" t="str">
        <x:v>زیرمجموعه گیاهان دارویی</x:v>
      </x:c>
      <x:c r="C7" s="79" t="str">
        <x:v>parent_id: 6a3782d7df5573f4e676e243</x:v>
      </x:c>
    </x:row>
    <x:row r="8">
      <x:c r="A8" t="str"/>
      <x:c r="B8" t="str"/>
      <x:c r="C8" t="str"/>
    </x:row>
    <x:row r="9">
      <x:c r="A9" t="str"/>
      <x:c r="B9" t="str"/>
      <x:c r="C9" t="str"/>
    </x:row>
    <x:row r="10">
      <x:c r="A10" t="str"/>
      <x:c r="B10" t="str"/>
      <x:c r="C10" t="str"/>
    </x:row>
    <x:row r="11">
      <x:c r="A11" t="str"/>
      <x:c r="B11" t="str"/>
      <x:c r="C11" t="str"/>
    </x:row>
    <x:row r="12">
      <x:c r="A12" t="str"/>
      <x:c r="B12" t="str"/>
      <x:c r="C12" t="str"/>
    </x:row>
    <x:row r="13">
      <x:c r="A13" t="str"/>
      <x:c r="B13" t="str"/>
      <x:c r="C13" t="str"/>
    </x:row>
    <x:row r="14">
      <x:c r="A14" t="str"/>
      <x:c r="B14" t="str"/>
      <x:c r="C14" t="str"/>
    </x:row>
    <x:row r="15">
      <x:c r="A15" t="str"/>
      <x:c r="B15" t="str"/>
      <x:c r="C15" t="str"/>
    </x:row>
    <x:row r="16">
      <x:c r="A16" t="str"/>
      <x:c r="B16" t="str"/>
      <x:c r="C16" t="str"/>
    </x:row>
    <x:row r="17">
      <x:c r="A17" t="str"/>
      <x:c r="B17" t="str"/>
      <x:c r="C17" t="str"/>
    </x:row>
    <x:row r="18">
      <x:c r="A18" t="str"/>
      <x:c r="B18" t="str"/>
      <x:c r="C18" t="str"/>
    </x:row>
    <x:row r="19">
      <x:c r="A19" t="str"/>
      <x:c r="B19" t="str"/>
      <x:c r="C19" t="str"/>
    </x:row>
    <x:row r="20">
      <x:c r="A20" t="str"/>
      <x:c r="B20" t="str"/>
      <x:c r="C20" t="str"/>
    </x:row>
    <x:row r="21">
      <x:c r="A21" t="str"/>
      <x:c r="B21" t="str"/>
      <x:c r="C21" t="str"/>
    </x:row>
    <x:row r="22">
      <x:c r="A22" t="str"/>
      <x:c r="B22" t="str"/>
      <x:c r="C22" t="str"/>
    </x:row>
    <x:row r="23">
      <x:c r="A23" t="str"/>
      <x:c r="B23" t="str"/>
      <x:c r="C23" t="str"/>
    </x:row>
    <x:row r="24">
      <x:c r="A24" t="str"/>
      <x:c r="B24" t="str"/>
      <x:c r="C24" t="str"/>
    </x:row>
    <x:row r="25">
      <x:c r="A25" t="str"/>
      <x:c r="B25" t="str"/>
      <x:c r="C25" t="str"/>
    </x:row>
    <x:row r="26">
      <x:c r="A26" t="str"/>
      <x:c r="B26" t="str"/>
      <x:c r="C26" t="str"/>
    </x:row>
    <x:row r="27">
      <x:c r="A27" t="str"/>
      <x:c r="B27" t="str"/>
      <x:c r="C27" t="str"/>
    </x:row>
    <x:row r="28">
      <x:c r="A28" t="str"/>
      <x:c r="B28" t="str"/>
      <x:c r="C28" t="str"/>
    </x:row>
    <x:row r="29">
      <x:c r="A29" t="str"/>
      <x:c r="B29" t="str"/>
      <x:c r="C29" t="str"/>
    </x:row>
    <x:row r="30">
      <x:c r="A30" t="str"/>
      <x:c r="B30" t="str"/>
      <x:c r="C3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34" hidden="0" customWidth="1"/>
    <x:col min="16" max="16" width="70" hidden="0" customWidth="1"/>
  </x:cols>
  <x:sheetData>
    <x:row r="1">
      <x:c r="A1" s="122" t="str">
        <x:v>canonical_product_name</x:v>
      </x:c>
      <x:c r="B1" s="122" t="str">
        <x:v>slug_final</x:v>
      </x:c>
      <x:c r="C1" s="122" t="str">
        <x:v>final_action</x:v>
      </x:c>
      <x:c r="D1" s="122" t="str">
        <x:v>source_rows</x:v>
      </x:c>
      <x:c r="E1" s="122" t="str">
        <x:v>original_names</x:v>
      </x:c>
      <x:c r="F1" s="122" t="str">
        <x:v>category_name</x:v>
      </x:c>
      <x:c r="G1" s="122" t="str">
        <x:v>category_id</x:v>
      </x:c>
      <x:c r="H1" s="122" t="str">
        <x:v>category_slug</x:v>
      </x:c>
      <x:c r="I1" s="122" t="str">
        <x:v>category_parent_id</x:v>
      </x:c>
      <x:c r="J1" s="122" t="str">
        <x:v>usageType</x:v>
      </x:c>
      <x:c r="K1" s="122" t="str">
        <x:v>خوراکی؟</x:v>
      </x:c>
      <x:c r="L1" s="122" t="str">
        <x:v>variant_count_final</x:v>
      </x:c>
      <x:c r="M1" s="122" t="str">
        <x:v>missing_variant_prices</x:v>
      </x:c>
      <x:c r="N1" s="122" t="str">
        <x:v>review_status</x:v>
      </x:c>
      <x:c r="O1" s="122" t="str">
        <x:v>merge_note</x:v>
      </x:c>
      <x:c r="P1" s="122" t="str">
        <x:v>variants_json_final</x:v>
      </x:c>
    </x:row>
    <x:row r="2">
      <x:c r="A2" s="79" t="str">
        <x:v>آرد برنج</x:v>
      </x:c>
      <x:c r="B2" s="79" t="str">
        <x:v>rice_flour</x:v>
      </x:c>
      <x:c r="C2" s="79" t="str">
        <x:v>update_grouped_product</x:v>
      </x:c>
      <x:c r="D2" s="79" t="str">
        <x:v>37</x:v>
      </x:c>
      <x:c r="E2" s="79" t="str">
        <x:v>آرد برنج</x:v>
      </x:c>
      <x:c r="F2" s="79" t="str">
        <x:v>آرد و قنادی</x:v>
      </x:c>
      <x:c r="G2" s="79" t="str">
        <x:v>6a3a00000000000000000004</x:v>
      </x:c>
      <x:c r="H2" s="79" t="str">
        <x:v>flour-confectionery</x:v>
      </x:c>
      <x:c r="I2" s="79" t="str">
        <x:v>6a3a00000000000000000003</x:v>
      </x:c>
      <x:c r="J2" s="79" t="str">
        <x:v>EDIBLE</x:v>
      </x:c>
      <x:c r="K2" s="79" t="str">
        <x:v>بله</x:v>
      </x:c>
      <x:c r="L2" s="79" t="n">
        <x:v>1</x:v>
      </x:c>
      <x:c r="M2" s="79" t="n">
        <x:v>0</x:v>
      </x:c>
      <x:c r="N2" s="79" t="str">
        <x:v>OK</x:v>
      </x:c>
      <x:c r="O2" s="79"/>
      <x:c r="P2" s="79" t="str">
        <x:v>[{"name": "کیلو", "sku": "", "price": 295000, "stock": "", "weight": 1, "weightUnit": "kg", "containerSize": "کیلو", "isDefault": true}]</x:v>
      </x:c>
    </x:row>
    <x:row r="3">
      <x:c r="A3" s="79" t="str">
        <x:v>آرد سوخاری</x:v>
      </x:c>
      <x:c r="B3" s="79" t="str">
        <x:v>breadcrumbs</x:v>
      </x:c>
      <x:c r="C3" s="79" t="str">
        <x:v>update_grouped_product</x:v>
      </x:c>
      <x:c r="D3" s="79" t="str">
        <x:v>38</x:v>
      </x:c>
      <x:c r="E3" s="79" t="str">
        <x:v>آرد سوخاری</x:v>
      </x:c>
      <x:c r="F3" s="79" t="str">
        <x:v>آرد و قنادی</x:v>
      </x:c>
      <x:c r="G3" s="79" t="str">
        <x:v>6a3a00000000000000000004</x:v>
      </x:c>
      <x:c r="H3" s="79" t="str">
        <x:v>flour-confectionery</x:v>
      </x:c>
      <x:c r="I3" s="79" t="str">
        <x:v>6a3a00000000000000000003</x:v>
      </x:c>
      <x:c r="J3" s="79" t="str">
        <x:v>EDIBLE</x:v>
      </x:c>
      <x:c r="K3" s="79" t="str">
        <x:v>بله</x:v>
      </x:c>
      <x:c r="L3" s="79" t="n">
        <x:v>1</x:v>
      </x:c>
      <x:c r="M3" s="79" t="n">
        <x:v>0</x:v>
      </x:c>
      <x:c r="N3" s="79" t="str">
        <x:v>OK</x:v>
      </x:c>
      <x:c r="O3" s="79"/>
      <x:c r="P3" s="79" t="str">
        <x:v>[{"name": "کیلو", "sku": "", "price": 270000, "stock": "", "weight": 1, "weightUnit": "kg", "containerSize": "کیلو", "isDefault": true}]</x:v>
      </x:c>
    </x:row>
    <x:row r="4">
      <x:c r="A4" s="79" t="str">
        <x:v>آرد نخودچی</x:v>
      </x:c>
      <x:c r="B4" s="79" t="str">
        <x:v>chickpea_flour</x:v>
      </x:c>
      <x:c r="C4" s="79" t="str">
        <x:v>update_grouped_product</x:v>
      </x:c>
      <x:c r="D4" s="79" t="str">
        <x:v>39</x:v>
      </x:c>
      <x:c r="E4" s="79" t="str">
        <x:v>آرد نخودچی</x:v>
      </x:c>
      <x:c r="F4" s="79" t="str">
        <x:v>آرد و قنادی</x:v>
      </x:c>
      <x:c r="G4" s="79" t="str">
        <x:v>6a3a00000000000000000004</x:v>
      </x:c>
      <x:c r="H4" s="79" t="str">
        <x:v>flour-confectionery</x:v>
      </x:c>
      <x:c r="I4" s="79" t="str">
        <x:v>6a3a00000000000000000003</x:v>
      </x:c>
      <x:c r="J4" s="79" t="str">
        <x:v>EDIBLE</x:v>
      </x:c>
      <x:c r="K4" s="79" t="str">
        <x:v>بله</x:v>
      </x:c>
      <x:c r="L4" s="79" t="n">
        <x:v>1</x:v>
      </x:c>
      <x:c r="M4" s="79" t="n">
        <x:v>0</x:v>
      </x:c>
      <x:c r="N4" s="79" t="str">
        <x:v>OK</x:v>
      </x:c>
      <x:c r="O4" s="79"/>
      <x:c r="P4" s="79" t="str">
        <x:v>[{"name": "کیلو", "sku": "", "price": 390000, "stock": "", "weight": 1, "weightUnit": "kg", "containerSize": "کیلو", "isDefault": true}]</x:v>
      </x:c>
    </x:row>
    <x:row r="5">
      <x:c r="A5" s="79" t="str">
        <x:v>بکینگ پودر</x:v>
      </x:c>
      <x:c r="B5" s="79" t="str">
        <x:v>baking_powder</x:v>
      </x:c>
      <x:c r="C5" s="79" t="str">
        <x:v>update_grouped_product</x:v>
      </x:c>
      <x:c r="D5" s="79" t="str">
        <x:v>52</x:v>
      </x:c>
      <x:c r="E5" s="79" t="str">
        <x:v>بکینگ پودر</x:v>
      </x:c>
      <x:c r="F5" s="79" t="str">
        <x:v>آرد و قنادی</x:v>
      </x:c>
      <x:c r="G5" s="79" t="str">
        <x:v>6a3a00000000000000000004</x:v>
      </x:c>
      <x:c r="H5" s="79" t="str">
        <x:v>flour-confectionery</x:v>
      </x:c>
      <x:c r="I5" s="79" t="str">
        <x:v>6a3a00000000000000000003</x:v>
      </x:c>
      <x:c r="J5" s="79" t="str">
        <x:v>EDIBLE</x:v>
      </x:c>
      <x:c r="K5" s="79" t="str">
        <x:v>بله</x:v>
      </x:c>
      <x:c r="L5" s="79" t="n">
        <x:v>1</x:v>
      </x:c>
      <x:c r="M5" s="79" t="n">
        <x:v>0</x:v>
      </x:c>
      <x:c r="N5" s="79" t="str">
        <x:v>OK</x:v>
      </x:c>
      <x:c r="O5" s="79"/>
      <x:c r="P5" s="79" t="str">
        <x:v>[{"name": "کیلو", "sku": "", "price": 610000, "stock": "", "weight": 1, "weightUnit": "kg", "containerSize": "کیلو", "isDefault": true}]</x:v>
      </x:c>
    </x:row>
    <x:row r="6">
      <x:c r="A6" s="79" t="str">
        <x:v>خمیر مایه فریمان</x:v>
      </x:c>
      <x:c r="B6" s="79" t="str">
        <x:v>fariman_yeast</x:v>
      </x:c>
      <x:c r="C6" s="79" t="str">
        <x:v>update_grouped_product</x:v>
      </x:c>
      <x:c r="D6" s="79" t="str">
        <x:v>113</x:v>
      </x:c>
      <x:c r="E6" s="79" t="str">
        <x:v>خمیر مایه فریمان</x:v>
      </x:c>
      <x:c r="F6" s="79" t="str">
        <x:v>آرد و قنادی</x:v>
      </x:c>
      <x:c r="G6" s="79" t="str">
        <x:v>6a3a00000000000000000004</x:v>
      </x:c>
      <x:c r="H6" s="79" t="str">
        <x:v>flour-confectionery</x:v>
      </x:c>
      <x:c r="I6" s="79" t="str">
        <x:v>6a3a00000000000000000003</x:v>
      </x:c>
      <x:c r="J6" s="79" t="str">
        <x:v>EDIBLE</x:v>
      </x:c>
      <x:c r="K6" s="79" t="str">
        <x:v>بله</x:v>
      </x:c>
      <x:c r="L6" s="79" t="n">
        <x:v>1</x:v>
      </x:c>
      <x:c r="M6" s="79" t="n">
        <x:v>0</x:v>
      </x:c>
      <x:c r="N6" s="79" t="str">
        <x:v>OK</x:v>
      </x:c>
      <x:c r="O6" s="79" t="str">
        <x:v>دسته از «نیاز به بررسی» به «آرد و قنادی» اصلاح شد</x:v>
      </x:c>
      <x:c r="P6" s="79" t="str">
        <x:v>[{"name": "کیلو", "sku": "", "price": 480000, "stock": "", "weight": 1, "weightUnit": "kg", "containerSize": "کیلو", "isDefault": true}]</x:v>
      </x:c>
    </x:row>
    <x:row r="7">
      <x:c r="A7" s="79" t="str">
        <x:v>نشاسته ذرت</x:v>
      </x:c>
      <x:c r="B7" s="79" t="str">
        <x:v>corn_starch</x:v>
      </x:c>
      <x:c r="C7" s="79" t="str">
        <x:v>update_grouped_product</x:v>
      </x:c>
      <x:c r="D7" s="79" t="str">
        <x:v>374</x:v>
      </x:c>
      <x:c r="E7" s="79" t="str">
        <x:v>نشاسته ذرت</x:v>
      </x:c>
      <x:c r="F7" s="79" t="str">
        <x:v>آرد و قنادی</x:v>
      </x:c>
      <x:c r="G7" s="79" t="str">
        <x:v>6a3a00000000000000000004</x:v>
      </x:c>
      <x:c r="H7" s="79" t="str">
        <x:v>flour-confectionery</x:v>
      </x:c>
      <x:c r="I7" s="79" t="str">
        <x:v>6a3a00000000000000000003</x:v>
      </x:c>
      <x:c r="J7" s="79" t="str">
        <x:v>EDIBLE</x:v>
      </x:c>
      <x:c r="K7" s="79" t="str">
        <x:v>بله</x:v>
      </x:c>
      <x:c r="L7" s="79" t="n">
        <x:v>1</x:v>
      </x:c>
      <x:c r="M7" s="79" t="n">
        <x:v>0</x:v>
      </x:c>
      <x:c r="N7" s="79" t="str">
        <x:v>OK</x:v>
      </x:c>
      <x:c r="O7" s="79"/>
      <x:c r="P7" s="79" t="str">
        <x:v>[{"name": "کیلو", "sku": "", "price": 270000, "stock": "", "weight": 1, "weightUnit": "kg", "containerSize": "کیلو", "isDefault": true}]</x:v>
      </x:c>
    </x:row>
    <x:row r="8">
      <x:c r="A8" s="79" t="str">
        <x:v>نشاسته گندم گل</x:v>
      </x:c>
      <x:c r="B8" s="79" t="str">
        <x:v>wheat_starch</x:v>
      </x:c>
      <x:c r="C8" s="79" t="str">
        <x:v>update_grouped_product</x:v>
      </x:c>
      <x:c r="D8" s="79" t="str">
        <x:v>375</x:v>
      </x:c>
      <x:c r="E8" s="79" t="str">
        <x:v>نشاسته گندم گل</x:v>
      </x:c>
      <x:c r="F8" s="79" t="str">
        <x:v>آرد و قنادی</x:v>
      </x:c>
      <x:c r="G8" s="79" t="str">
        <x:v>6a3a00000000000000000004</x:v>
      </x:c>
      <x:c r="H8" s="79" t="str">
        <x:v>flour-confectionery</x:v>
      </x:c>
      <x:c r="I8" s="79" t="str">
        <x:v>6a3a00000000000000000003</x:v>
      </x:c>
      <x:c r="J8" s="79" t="str">
        <x:v>EDIBLE</x:v>
      </x:c>
      <x:c r="K8" s="79" t="str">
        <x:v>بله</x:v>
      </x:c>
      <x:c r="L8" s="79" t="n">
        <x:v>1</x:v>
      </x:c>
      <x:c r="M8" s="79" t="n">
        <x:v>0</x:v>
      </x:c>
      <x:c r="N8" s="79" t="str">
        <x:v>OK</x:v>
      </x:c>
      <x:c r="O8" s="79"/>
      <x:c r="P8" s="79" t="str">
        <x:v>[{"name": "کیلو", "sku": "", "price": 250000, "stock": "", "weight": 1, "weightUnit": "kg", "containerSize": "کیلو", "isDefault": true}]</x:v>
      </x:c>
    </x:row>
    <x:row r="9">
      <x:c r="A9" s="79" t="str">
        <x:v>پودر سوخاری دانه درشت نارنجی</x:v>
      </x:c>
      <x:c r="B9" s="79" t="str">
        <x:v>coarse_orange_breadcrumbs</x:v>
      </x:c>
      <x:c r="C9" s="79" t="str">
        <x:v>update_grouped_product</x:v>
      </x:c>
      <x:c r="D9" s="79" t="str">
        <x:v>64</x:v>
      </x:c>
      <x:c r="E9" s="79" t="str">
        <x:v>پودر سوخاری دانه درشت نارنجی</x:v>
      </x:c>
      <x:c r="F9" s="79" t="str">
        <x:v>آرد و قنادی</x:v>
      </x:c>
      <x:c r="G9" s="79" t="str">
        <x:v>6a3a00000000000000000004</x:v>
      </x:c>
      <x:c r="H9" s="79" t="str">
        <x:v>flour-confectionery</x:v>
      </x:c>
      <x:c r="I9" s="79" t="str">
        <x:v>6a3a00000000000000000003</x:v>
      </x:c>
      <x:c r="J9" s="79" t="str">
        <x:v>EDIBLE</x:v>
      </x:c>
      <x:c r="K9" s="79" t="str">
        <x:v>بله</x:v>
      </x:c>
      <x:c r="L9" s="79" t="n">
        <x:v>1</x:v>
      </x:c>
      <x:c r="M9" s="79" t="n">
        <x:v>0</x:v>
      </x:c>
      <x:c r="N9" s="79" t="str">
        <x:v>OK</x:v>
      </x:c>
      <x:c r="O9" s="79" t="str">
        <x:v>دسته از «نیاز به بررسی» به «آرد و قنادی» اصلاح شد</x:v>
      </x:c>
      <x:c r="P9" s="79" t="str">
        <x:v>[{"name": "کیلو", "sku": "", "price": 320000, "stock": "", "weight": 1, "weightUnit": "kg", "containerSize": "کیلو", "isDefault": true}]</x:v>
      </x:c>
    </x:row>
    <x:row r="10">
      <x:c r="A10" s="79" t="str">
        <x:v>ژلاتین</x:v>
      </x:c>
      <x:c r="B10" s="79" t="str">
        <x:v>gelatin</x:v>
      </x:c>
      <x:c r="C10" s="79" t="str">
        <x:v>update_grouped_product</x:v>
      </x:c>
      <x:c r="D10" s="79" t="str">
        <x:v>204</x:v>
      </x:c>
      <x:c r="E10" s="79" t="str">
        <x:v>ژلاتین</x:v>
      </x:c>
      <x:c r="F10" s="79" t="str">
        <x:v>آرد و قنادی</x:v>
      </x:c>
      <x:c r="G10" s="79" t="str">
        <x:v>6a3a00000000000000000004</x:v>
      </x:c>
      <x:c r="H10" s="79" t="str">
        <x:v>flour-confectionery</x:v>
      </x:c>
      <x:c r="I10" s="79" t="str">
        <x:v>6a3a00000000000000000003</x:v>
      </x:c>
      <x:c r="J10" s="79" t="str">
        <x:v>EDIBLE</x:v>
      </x:c>
      <x:c r="K10" s="79" t="str">
        <x:v>بله</x:v>
      </x:c>
      <x:c r="L10" s="79" t="n">
        <x:v>1</x:v>
      </x:c>
      <x:c r="M10" s="79" t="n">
        <x:v>0</x:v>
      </x:c>
      <x:c r="N10" s="79" t="str">
        <x:v>OK</x:v>
      </x:c>
      <x:c r="O10" s="79"/>
      <x:c r="P10" s="79" t="str">
        <x:v>[{"name": "کیلو", "sku": "", "price": 910000, "stock": "", "weight": 1, "weightUnit": "kg", "containerSize": "کیلو", "isDefault": true}]</x:v>
      </x:c>
    </x:row>
    <x:row r="11">
      <x:c r="A11" s="79" t="str">
        <x:v>ادویه آبگوشتی</x:v>
      </x:c>
      <x:c r="B11" s="79" t="str">
        <x:v>spice_abgoosht</x:v>
      </x:c>
      <x:c r="C11" s="79" t="str">
        <x:v>update_grouped_product</x:v>
      </x:c>
      <x:c r="D11" s="79" t="str">
        <x:v>6</x:v>
      </x:c>
      <x:c r="E11" s="79" t="str">
        <x:v>ادویه آبگوشتی</x:v>
      </x:c>
      <x:c r="F11" s="79" t="str">
        <x:v>ادویه</x:v>
      </x:c>
      <x:c r="G11" s="79" t="str">
        <x:v>6a3781e4df5573f4e676e226</x:v>
      </x:c>
      <x:c r="H11" s="79" t="str">
        <x:v>spice</x:v>
      </x:c>
      <x:c r="I11" s="79"/>
      <x:c r="J11" s="79" t="str">
        <x:v>EDIBLE</x:v>
      </x:c>
      <x:c r="K11" s="79" t="str">
        <x:v>بله</x:v>
      </x:c>
      <x:c r="L11" s="79" t="n">
        <x:v>1</x:v>
      </x:c>
      <x:c r="M11" s="79" t="n">
        <x:v>0</x:v>
      </x:c>
      <x:c r="N11" s="79" t="str">
        <x:v>OK</x:v>
      </x:c>
      <x:c r="O11" s="79"/>
      <x:c r="P11" s="79" t="str">
        <x:v>[{"name": "کیلو", "sku": "", "price": 600000, "stock": "", "weight": 1, "weightUnit": "kg", "containerSize": "کیلو", "isDefault": true}]</x:v>
      </x:c>
    </x:row>
    <x:row r="12">
      <x:c r="A12" s="79" t="str">
        <x:v>ادویه استیک</x:v>
      </x:c>
      <x:c r="B12" s="79" t="str">
        <x:v>spice_steak</x:v>
      </x:c>
      <x:c r="C12" s="79" t="str">
        <x:v>update_grouped_product</x:v>
      </x:c>
      <x:c r="D12" s="79" t="str">
        <x:v>4</x:v>
      </x:c>
      <x:c r="E12" s="79" t="str">
        <x:v>ادویه استیک</x:v>
      </x:c>
      <x:c r="F12" s="79" t="str">
        <x:v>ادویه</x:v>
      </x:c>
      <x:c r="G12" s="79" t="str">
        <x:v>6a3781e4df5573f4e676e226</x:v>
      </x:c>
      <x:c r="H12" s="79" t="str">
        <x:v>spice</x:v>
      </x:c>
      <x:c r="I12" s="79"/>
      <x:c r="J12" s="79" t="str">
        <x:v>EDIBLE</x:v>
      </x:c>
      <x:c r="K12" s="79" t="str">
        <x:v>بله</x:v>
      </x:c>
      <x:c r="L12" s="79" t="n">
        <x:v>1</x:v>
      </x:c>
      <x:c r="M12" s="79" t="n">
        <x:v>0</x:v>
      </x:c>
      <x:c r="N12" s="79" t="str">
        <x:v>OK</x:v>
      </x:c>
      <x:c r="O12" s="79"/>
      <x:c r="P12" s="79" t="str">
        <x:v>[{"name": "کیلو", "sku": "", "price": 1150000, "stock": "", "weight": 1, "weightUnit": "kg", "containerSize": "کیلو", "isDefault": true}]</x:v>
      </x:c>
    </x:row>
    <x:row r="13">
      <x:c r="A13" s="79" t="str">
        <x:v>ادویه الویه</x:v>
      </x:c>
      <x:c r="B13" s="79" t="str">
        <x:v>spice_olivieh</x:v>
      </x:c>
      <x:c r="C13" s="79" t="str">
        <x:v>update_grouped_product</x:v>
      </x:c>
      <x:c r="D13" s="79" t="str">
        <x:v>5</x:v>
      </x:c>
      <x:c r="E13" s="79" t="str">
        <x:v>ادویه الویه</x:v>
      </x:c>
      <x:c r="F13" s="79" t="str">
        <x:v>ادویه</x:v>
      </x:c>
      <x:c r="G13" s="79" t="str">
        <x:v>6a3781e4df5573f4e676e226</x:v>
      </x:c>
      <x:c r="H13" s="79" t="str">
        <x:v>spice</x:v>
      </x:c>
      <x:c r="I13" s="79"/>
      <x:c r="J13" s="79" t="str">
        <x:v>EDIBLE</x:v>
      </x:c>
      <x:c r="K13" s="79" t="str">
        <x:v>بله</x:v>
      </x:c>
      <x:c r="L13" s="79" t="n">
        <x:v>1</x:v>
      </x:c>
      <x:c r="M13" s="79" t="n">
        <x:v>0</x:v>
      </x:c>
      <x:c r="N13" s="79" t="str">
        <x:v>OK</x:v>
      </x:c>
      <x:c r="O13" s="79"/>
      <x:c r="P13" s="79" t="str">
        <x:v>[{"name": "کیلو", "sku": "", "price": 800000, "stock": "", "weight": 1, "weightUnit": "kg", "containerSize": "کیلو", "isDefault": true}]</x:v>
      </x:c>
    </x:row>
    <x:row r="14">
      <x:c r="A14" s="79" t="str">
        <x:v>ادویه ترشی</x:v>
      </x:c>
      <x:c r="B14" s="79" t="str">
        <x:v>spice_pickle</x:v>
      </x:c>
      <x:c r="C14" s="79" t="str">
        <x:v>update_grouped_product</x:v>
      </x:c>
      <x:c r="D14" s="79" t="str">
        <x:v>10</x:v>
      </x:c>
      <x:c r="E14" s="79" t="str">
        <x:v>ادویه ترشی</x:v>
      </x:c>
      <x:c r="F14" s="79" t="str">
        <x:v>ادویه</x:v>
      </x:c>
      <x:c r="G14" s="79" t="str">
        <x:v>6a3781e4df5573f4e676e226</x:v>
      </x:c>
      <x:c r="H14" s="79" t="str">
        <x:v>spice</x:v>
      </x:c>
      <x:c r="I14" s="79"/>
      <x:c r="J14" s="79" t="str">
        <x:v>EDIBLE</x:v>
      </x:c>
      <x:c r="K14" s="79" t="str">
        <x:v>بله</x:v>
      </x:c>
      <x:c r="L14" s="79" t="n">
        <x:v>1</x:v>
      </x:c>
      <x:c r="M14" s="79" t="n">
        <x:v>0</x:v>
      </x:c>
      <x:c r="N14" s="79" t="str">
        <x:v>OK</x:v>
      </x:c>
      <x:c r="O14" s="79"/>
      <x:c r="P14" s="79" t="str">
        <x:v>[{"name": "کیلو", "sku": "", "price": 850000, "stock": "", "weight": 1, "weightUnit": "kg", "containerSize": "کیلو", "isDefault": true}]</x:v>
      </x:c>
    </x:row>
    <x:row r="15">
      <x:c r="A15" s="79" t="str">
        <x:v>ادویه تند</x:v>
      </x:c>
      <x:c r="B15" s="79" t="str">
        <x:v>spice_hot</x:v>
      </x:c>
      <x:c r="C15" s="79" t="str">
        <x:v>update_grouped_product</x:v>
      </x:c>
      <x:c r="D15" s="79" t="str">
        <x:v>11</x:v>
      </x:c>
      <x:c r="E15" s="79" t="str">
        <x:v>ادویه تند</x:v>
      </x:c>
      <x:c r="F15" s="79" t="str">
        <x:v>ادویه</x:v>
      </x:c>
      <x:c r="G15" s="79" t="str">
        <x:v>6a3781e4df5573f4e676e226</x:v>
      </x:c>
      <x:c r="H15" s="79" t="str">
        <x:v>spice</x:v>
      </x:c>
      <x:c r="I15" s="79"/>
      <x:c r="J15" s="79" t="str">
        <x:v>EDIBLE</x:v>
      </x:c>
      <x:c r="K15" s="79" t="str">
        <x:v>بله</x:v>
      </x:c>
      <x:c r="L15" s="79" t="n">
        <x:v>1</x:v>
      </x:c>
      <x:c r="M15" s="79" t="n">
        <x:v>0</x:v>
      </x:c>
      <x:c r="N15" s="79" t="str">
        <x:v>OK</x:v>
      </x:c>
      <x:c r="O15" s="79"/>
      <x:c r="P15" s="79" t="str">
        <x:v>[{"name": "کیلو", "sku": "", "price": 750000, "stock": "", "weight": 1, "weightUnit": "kg", "containerSize": "کیلو", "isDefault": true}]</x:v>
      </x:c>
    </x:row>
    <x:row r="16">
      <x:c r="A16" s="79" t="str">
        <x:v>ادویه دود</x:v>
      </x:c>
      <x:c r="B16" s="79" t="str">
        <x:v>spice_smoked</x:v>
      </x:c>
      <x:c r="C16" s="79" t="str">
        <x:v>update_grouped_product</x:v>
      </x:c>
      <x:c r="D16" s="79" t="str">
        <x:v>13</x:v>
      </x:c>
      <x:c r="E16" s="79" t="str">
        <x:v>ادویه دود</x:v>
      </x:c>
      <x:c r="F16" s="79" t="str">
        <x:v>ادویه</x:v>
      </x:c>
      <x:c r="G16" s="79" t="str">
        <x:v>6a3781e4df5573f4e676e226</x:v>
      </x:c>
      <x:c r="H16" s="79" t="str">
        <x:v>spice</x:v>
      </x:c>
      <x:c r="I16" s="79"/>
      <x:c r="J16" s="79" t="str">
        <x:v>EDIBLE</x:v>
      </x:c>
      <x:c r="K16" s="79" t="str">
        <x:v>بله</x:v>
      </x:c>
      <x:c r="L16" s="79" t="n">
        <x:v>1</x:v>
      </x:c>
      <x:c r="M16" s="79" t="n">
        <x:v>0</x:v>
      </x:c>
      <x:c r="N16" s="79" t="str">
        <x:v>OK</x:v>
      </x:c>
      <x:c r="O16" s="79"/>
      <x:c r="P16" s="79" t="str">
        <x:v>[{"name": "کیلو", "sku": "", "price": 1100000, "stock": "", "weight": 1, "weightUnit": "kg", "containerSize": "کیلو", "isDefault": true}]</x:v>
      </x:c>
    </x:row>
    <x:row r="17">
      <x:c r="A17" s="79" t="str">
        <x:v>ادویه سالاد ایتالیایی</x:v>
      </x:c>
      <x:c r="B17" s="79" t="str">
        <x:v>spice_salad_italian</x:v>
      </x:c>
      <x:c r="C17" s="79" t="str">
        <x:v>update_grouped_product</x:v>
      </x:c>
      <x:c r="D17" s="79" t="str">
        <x:v>14</x:v>
      </x:c>
      <x:c r="E17" s="79" t="str">
        <x:v>ادویه سالاد ایتالیایی</x:v>
      </x:c>
      <x:c r="F17" s="79" t="str">
        <x:v>ادویه</x:v>
      </x:c>
      <x:c r="G17" s="79" t="str">
        <x:v>6a3781e4df5573f4e676e226</x:v>
      </x:c>
      <x:c r="H17" s="79" t="str">
        <x:v>spice</x:v>
      </x:c>
      <x:c r="I17" s="79"/>
      <x:c r="J17" s="79" t="str">
        <x:v>EDIBLE</x:v>
      </x:c>
      <x:c r="K17" s="79" t="str">
        <x:v>بله</x:v>
      </x:c>
      <x:c r="L17" s="79" t="n">
        <x:v>1</x:v>
      </x:c>
      <x:c r="M17" s="79" t="n">
        <x:v>0</x:v>
      </x:c>
      <x:c r="N17" s="79" t="str">
        <x:v>OK</x:v>
      </x:c>
      <x:c r="O17" s="79"/>
      <x:c r="P17" s="79" t="str">
        <x:v>[{"name": "کیلو", "sku": "", "price": 800000, "stock": "", "weight": 1, "weightUnit": "kg", "containerSize": "کیلو", "isDefault": true}]</x:v>
      </x:c>
    </x:row>
    <x:row r="18">
      <x:c r="A18" s="79" t="str">
        <x:v>ادویه سس سزار</x:v>
      </x:c>
      <x:c r="B18" s="79" t="str">
        <x:v>spice_sauce_caesar</x:v>
      </x:c>
      <x:c r="C18" s="79" t="str">
        <x:v>update_grouped_product</x:v>
      </x:c>
      <x:c r="D18" s="79" t="str">
        <x:v>15</x:v>
      </x:c>
      <x:c r="E18" s="79" t="str">
        <x:v>ادویه سس سزار</x:v>
      </x:c>
      <x:c r="F18" s="79" t="str">
        <x:v>ادویه</x:v>
      </x:c>
      <x:c r="G18" s="79" t="str">
        <x:v>6a3781e4df5573f4e676e226</x:v>
      </x:c>
      <x:c r="H18" s="79" t="str">
        <x:v>spice</x:v>
      </x:c>
      <x:c r="I18" s="79"/>
      <x:c r="J18" s="79" t="str">
        <x:v>EDIBLE</x:v>
      </x:c>
      <x:c r="K18" s="79" t="str">
        <x:v>بله</x:v>
      </x:c>
      <x:c r="L18" s="79" t="n">
        <x:v>1</x:v>
      </x:c>
      <x:c r="M18" s="79" t="n">
        <x:v>0</x:v>
      </x:c>
      <x:c r="N18" s="79" t="str">
        <x:v>OK</x:v>
      </x:c>
      <x:c r="O18" s="79"/>
      <x:c r="P18" s="79" t="str">
        <x:v>[{"name": "کیلو", "sku": "", "price": 850000, "stock": "", "weight": 1, "weightUnit": "kg", "containerSize": "کیلو", "isDefault": true}]</x:v>
      </x:c>
    </x:row>
    <x:row r="19">
      <x:c r="A19" s="79" t="str">
        <x:v>ادویه سیب پنیری</x:v>
      </x:c>
      <x:c r="B19" s="79" t="str">
        <x:v>spice_apple_cheese</x:v>
      </x:c>
      <x:c r="C19" s="79" t="str">
        <x:v>update_grouped_product</x:v>
      </x:c>
      <x:c r="D19" s="79" t="str">
        <x:v>16</x:v>
      </x:c>
      <x:c r="E19" s="79" t="str">
        <x:v>ادویه سیب پنیری</x:v>
      </x:c>
      <x:c r="F19" s="79" t="str">
        <x:v>ادویه</x:v>
      </x:c>
      <x:c r="G19" s="79" t="str">
        <x:v>6a3781e4df5573f4e676e226</x:v>
      </x:c>
      <x:c r="H19" s="79" t="str">
        <x:v>spice</x:v>
      </x:c>
      <x:c r="I19" s="79"/>
      <x:c r="J19" s="79" t="str">
        <x:v>EDIBLE</x:v>
      </x:c>
      <x:c r="K19" s="79" t="str">
        <x:v>بله</x:v>
      </x:c>
      <x:c r="L19" s="79" t="n">
        <x:v>1</x:v>
      </x:c>
      <x:c r="M19" s="79" t="n">
        <x:v>0</x:v>
      </x:c>
      <x:c r="N19" s="79" t="str">
        <x:v>OK</x:v>
      </x:c>
      <x:c r="O19" s="79"/>
      <x:c r="P19" s="79" t="str">
        <x:v>[{"name": "کیلو", "sku": "", "price": 1100000, "stock": "", "weight": 1, "weightUnit": "kg", "containerSize": "کیلو", "isDefault": true}]</x:v>
      </x:c>
    </x:row>
    <x:row r="20">
      <x:c r="A20" s="79" t="str">
        <x:v>ادویه سیر و کره</x:v>
      </x:c>
      <x:c r="B20" s="79" t="str">
        <x:v>spice_garlic_v_butter</x:v>
      </x:c>
      <x:c r="C20" s="79" t="str">
        <x:v>update_grouped_product</x:v>
      </x:c>
      <x:c r="D20" s="79" t="str">
        <x:v>17</x:v>
      </x:c>
      <x:c r="E20" s="79" t="str">
        <x:v>ادویه سیر و کره</x:v>
      </x:c>
      <x:c r="F20" s="79" t="str">
        <x:v>ادویه</x:v>
      </x:c>
      <x:c r="G20" s="79" t="str">
        <x:v>6a3781e4df5573f4e676e226</x:v>
      </x:c>
      <x:c r="H20" s="79" t="str">
        <x:v>spice</x:v>
      </x:c>
      <x:c r="I20" s="79"/>
      <x:c r="J20" s="79" t="str">
        <x:v>EDIBLE</x:v>
      </x:c>
      <x:c r="K20" s="79" t="str">
        <x:v>بله</x:v>
      </x:c>
      <x:c r="L20" s="79" t="n">
        <x:v>1</x:v>
      </x:c>
      <x:c r="M20" s="79" t="n">
        <x:v>0</x:v>
      </x:c>
      <x:c r="N20" s="79" t="str">
        <x:v>OK</x:v>
      </x:c>
      <x:c r="O20" s="79"/>
      <x:c r="P20" s="79" t="str">
        <x:v>[{"name": "کیلو", "sku": "", "price": 800000, "stock": "", "weight": 1, "weightUnit": "kg", "containerSize": "کیلو", "isDefault": true}]</x:v>
      </x:c>
    </x:row>
    <x:row r="21">
      <x:c r="A21" s="79" t="str">
        <x:v>ادویه عربی</x:v>
      </x:c>
      <x:c r="B21" s="79" t="str">
        <x:v>spice_arabic</x:v>
      </x:c>
      <x:c r="C21" s="79" t="str">
        <x:v>update_grouped_product</x:v>
      </x:c>
      <x:c r="D21" s="79" t="str">
        <x:v>18</x:v>
      </x:c>
      <x:c r="E21" s="79" t="str">
        <x:v>ادویه عربی</x:v>
      </x:c>
      <x:c r="F21" s="79" t="str">
        <x:v>ادویه</x:v>
      </x:c>
      <x:c r="G21" s="79" t="str">
        <x:v>6a3781e4df5573f4e676e226</x:v>
      </x:c>
      <x:c r="H21" s="79" t="str">
        <x:v>spice</x:v>
      </x:c>
      <x:c r="I21" s="79"/>
      <x:c r="J21" s="79" t="str">
        <x:v>EDIBLE</x:v>
      </x:c>
      <x:c r="K21" s="79" t="str">
        <x:v>بله</x:v>
      </x:c>
      <x:c r="L21" s="79" t="n">
        <x:v>1</x:v>
      </x:c>
      <x:c r="M21" s="79" t="n">
        <x:v>0</x:v>
      </x:c>
      <x:c r="N21" s="79" t="str">
        <x:v>OK</x:v>
      </x:c>
      <x:c r="O21" s="79"/>
      <x:c r="P21" s="79" t="str">
        <x:v>[{"name": "کیلو", "sku": "", "price": 190000, "stock": "", "weight": 1, "weightUnit": "kg", "containerSize": "کیلو", "isDefault": true}]</x:v>
      </x:c>
    </x:row>
    <x:row r="22">
      <x:c r="A22" s="79" t="str">
        <x:v>ادویه فلافل</x:v>
      </x:c>
      <x:c r="B22" s="79" t="str">
        <x:v>spice_falafel</x:v>
      </x:c>
      <x:c r="C22" s="79" t="str">
        <x:v>update_grouped_product</x:v>
      </x:c>
      <x:c r="D22" s="79" t="str">
        <x:v>19</x:v>
      </x:c>
      <x:c r="E22" s="79" t="str">
        <x:v>ادویه فلافل</x:v>
      </x:c>
      <x:c r="F22" s="79" t="str">
        <x:v>ادویه</x:v>
      </x:c>
      <x:c r="G22" s="79" t="str">
        <x:v>6a3781e4df5573f4e676e226</x:v>
      </x:c>
      <x:c r="H22" s="79" t="str">
        <x:v>spice</x:v>
      </x:c>
      <x:c r="I22" s="79"/>
      <x:c r="J22" s="79" t="str">
        <x:v>EDIBLE</x:v>
      </x:c>
      <x:c r="K22" s="79" t="str">
        <x:v>بله</x:v>
      </x:c>
      <x:c r="L22" s="79" t="n">
        <x:v>1</x:v>
      </x:c>
      <x:c r="M22" s="79" t="n">
        <x:v>0</x:v>
      </x:c>
      <x:c r="N22" s="79" t="str">
        <x:v>OK</x:v>
      </x:c>
      <x:c r="O22" s="79"/>
      <x:c r="P22" s="79" t="str">
        <x:v>[{"name": "کیلو", "sku": "", "price": 850000, "stock": "", "weight": 1, "weightUnit": "kg", "containerSize": "کیلو", "isDefault": true}]</x:v>
      </x:c>
    </x:row>
    <x:row r="23">
      <x:c r="A23" s="79" t="str">
        <x:v>ادویه قرمه سبزی</x:v>
      </x:c>
      <x:c r="B23" s="79" t="str">
        <x:v>spice_ghormeh_sabzi</x:v>
      </x:c>
      <x:c r="C23" s="79" t="str">
        <x:v>update_grouped_product</x:v>
      </x:c>
      <x:c r="D23" s="79" t="str">
        <x:v>20</x:v>
      </x:c>
      <x:c r="E23" s="79" t="str">
        <x:v>ادویه قرمه سبزی</x:v>
      </x:c>
      <x:c r="F23" s="79" t="str">
        <x:v>ادویه</x:v>
      </x:c>
      <x:c r="G23" s="79" t="str">
        <x:v>6a3781e4df5573f4e676e226</x:v>
      </x:c>
      <x:c r="H23" s="79" t="str">
        <x:v>spice</x:v>
      </x:c>
      <x:c r="I23" s="79"/>
      <x:c r="J23" s="79" t="str">
        <x:v>EDIBLE</x:v>
      </x:c>
      <x:c r="K23" s="79" t="str">
        <x:v>بله</x:v>
      </x:c>
      <x:c r="L23" s="79" t="n">
        <x:v>1</x:v>
      </x:c>
      <x:c r="M23" s="79" t="n">
        <x:v>0</x:v>
      </x:c>
      <x:c r="N23" s="79" t="str">
        <x:v>OK</x:v>
      </x:c>
      <x:c r="O23" s="79"/>
      <x:c r="P23" s="79" t="str">
        <x:v>[{"name": "کیلو", "sku": "", "price": 950000, "stock": "", "weight": 1, "weightUnit": "kg", "containerSize": "کیلو", "isDefault": true}]</x:v>
      </x:c>
    </x:row>
    <x:row r="24">
      <x:c r="A24" s="79" t="str">
        <x:v>ادویه لیمو فلفلی</x:v>
      </x:c>
      <x:c r="B24" s="79" t="str">
        <x:v>spice_lemon_peppermint</x:v>
      </x:c>
      <x:c r="C24" s="79" t="str">
        <x:v>update_grouped_product</x:v>
      </x:c>
      <x:c r="D24" s="79" t="str">
        <x:v>24</x:v>
      </x:c>
      <x:c r="E24" s="79" t="str">
        <x:v>ادویه لیمو فلفلی</x:v>
      </x:c>
      <x:c r="F24" s="79" t="str">
        <x:v>ادویه</x:v>
      </x:c>
      <x:c r="G24" s="79" t="str">
        <x:v>6a3781e4df5573f4e676e226</x:v>
      </x:c>
      <x:c r="H24" s="79" t="str">
        <x:v>spice</x:v>
      </x:c>
      <x:c r="I24" s="79"/>
      <x:c r="J24" s="79" t="str">
        <x:v>EDIBLE</x:v>
      </x:c>
      <x:c r="K24" s="79" t="str">
        <x:v>بله</x:v>
      </x:c>
      <x:c r="L24" s="79" t="n">
        <x:v>1</x:v>
      </x:c>
      <x:c r="M24" s="79" t="n">
        <x:v>0</x:v>
      </x:c>
      <x:c r="N24" s="79" t="str">
        <x:v>OK</x:v>
      </x:c>
      <x:c r="O24" s="79"/>
      <x:c r="P24" s="79" t="str">
        <x:v>[{"name": "کیلو", "sku": "", "price": 800000, "stock": "", "weight": 1, "weightUnit": "kg", "containerSize": "کیلو", "isDefault": true}]</x:v>
      </x:c>
    </x:row>
    <x:row r="25">
      <x:c r="A25" s="79" t="str">
        <x:v>ادویه ماهی</x:v>
      </x:c>
      <x:c r="B25" s="79" t="str">
        <x:v>spice_fish</x:v>
      </x:c>
      <x:c r="C25" s="79" t="str">
        <x:v>update_grouped_product</x:v>
      </x:c>
      <x:c r="D25" s="79" t="str">
        <x:v>25</x:v>
      </x:c>
      <x:c r="E25" s="79" t="str">
        <x:v>ادویه ماهی</x:v>
      </x:c>
      <x:c r="F25" s="79" t="str">
        <x:v>ادویه</x:v>
      </x:c>
      <x:c r="G25" s="79" t="str">
        <x:v>6a3781e4df5573f4e676e226</x:v>
      </x:c>
      <x:c r="H25" s="79" t="str">
        <x:v>spice</x:v>
      </x:c>
      <x:c r="I25" s="79"/>
      <x:c r="J25" s="79" t="str">
        <x:v>EDIBLE</x:v>
      </x:c>
      <x:c r="K25" s="79" t="str">
        <x:v>بله</x:v>
      </x:c>
      <x:c r="L25" s="79" t="n">
        <x:v>1</x:v>
      </x:c>
      <x:c r="M25" s="79" t="n">
        <x:v>0</x:v>
      </x:c>
      <x:c r="N25" s="79" t="str">
        <x:v>OK</x:v>
      </x:c>
      <x:c r="O25" s="79"/>
      <x:c r="P25" s="79" t="str">
        <x:v>[{"name": "کیلو", "sku": "", "price": 900000, "stock": "", "weight": 1, "weightUnit": "kg", "containerSize": "کیلو", "isDefault": true}]</x:v>
      </x:c>
    </x:row>
    <x:row r="26">
      <x:c r="A26" s="79" t="str">
        <x:v>ادویه مرغ</x:v>
      </x:c>
      <x:c r="B26" s="79" t="str">
        <x:v>spice_chicken</x:v>
      </x:c>
      <x:c r="C26" s="79" t="str">
        <x:v>update_grouped_product</x:v>
      </x:c>
      <x:c r="D26" s="79" t="str">
        <x:v>26</x:v>
      </x:c>
      <x:c r="E26" s="79" t="str">
        <x:v>ادویه مرغ</x:v>
      </x:c>
      <x:c r="F26" s="79" t="str">
        <x:v>ادویه</x:v>
      </x:c>
      <x:c r="G26" s="79" t="str">
        <x:v>6a3781e4df5573f4e676e226</x:v>
      </x:c>
      <x:c r="H26" s="79" t="str">
        <x:v>spice</x:v>
      </x:c>
      <x:c r="I26" s="79"/>
      <x:c r="J26" s="79" t="str">
        <x:v>EDIBLE</x:v>
      </x:c>
      <x:c r="K26" s="79" t="str">
        <x:v>بله</x:v>
      </x:c>
      <x:c r="L26" s="79" t="n">
        <x:v>1</x:v>
      </x:c>
      <x:c r="M26" s="79" t="n">
        <x:v>0</x:v>
      </x:c>
      <x:c r="N26" s="79" t="str">
        <x:v>OK</x:v>
      </x:c>
      <x:c r="O26" s="79"/>
      <x:c r="P26" s="79" t="str">
        <x:v>[{"name": "کیلو", "sku": "", "price": 950000, "stock": "", "weight": 1, "weightUnit": "kg", "containerSize": "کیلو", "isDefault": true}]</x:v>
      </x:c>
    </x:row>
    <x:row r="27">
      <x:c r="A27" s="79" t="str">
        <x:v>ادویه پلویی</x:v>
      </x:c>
      <x:c r="B27" s="79" t="str">
        <x:v>spice_polo</x:v>
      </x:c>
      <x:c r="C27" s="79" t="str">
        <x:v>update_grouped_product</x:v>
      </x:c>
      <x:c r="D27" s="79" t="str">
        <x:v>7</x:v>
      </x:c>
      <x:c r="E27" s="79" t="str">
        <x:v>ادویه پلویی</x:v>
      </x:c>
      <x:c r="F27" s="79" t="str">
        <x:v>ادویه</x:v>
      </x:c>
      <x:c r="G27" s="79" t="str">
        <x:v>6a3781e4df5573f4e676e226</x:v>
      </x:c>
      <x:c r="H27" s="79" t="str">
        <x:v>spice</x:v>
      </x:c>
      <x:c r="I27" s="79"/>
      <x:c r="J27" s="79" t="str">
        <x:v>EDIBLE</x:v>
      </x:c>
      <x:c r="K27" s="79" t="str">
        <x:v>بله</x:v>
      </x:c>
      <x:c r="L27" s="79" t="n">
        <x:v>1</x:v>
      </x:c>
      <x:c r="M27" s="79" t="n">
        <x:v>0</x:v>
      </x:c>
      <x:c r="N27" s="79" t="str">
        <x:v>OK</x:v>
      </x:c>
      <x:c r="O27" s="79"/>
      <x:c r="P27" s="79" t="str">
        <x:v>[{"name": "کیلو", "sku": "", "price": 700000, "stock": "", "weight": 1, "weightUnit": "kg", "containerSize": "کیلو", "isDefault": true}]</x:v>
      </x:c>
    </x:row>
    <x:row r="28">
      <x:c r="A28" s="79" t="str">
        <x:v>ادویه پنیر فرانسه</x:v>
      </x:c>
      <x:c r="B28" s="79" t="str">
        <x:v>spice_cheese_french</x:v>
      </x:c>
      <x:c r="C28" s="79" t="str">
        <x:v>update_grouped_product</x:v>
      </x:c>
      <x:c r="D28" s="79" t="str">
        <x:v>8</x:v>
      </x:c>
      <x:c r="E28" s="79" t="str">
        <x:v>ادویه پنیر فرانسه</x:v>
      </x:c>
      <x:c r="F28" s="79" t="str">
        <x:v>ادویه</x:v>
      </x:c>
      <x:c r="G28" s="79" t="str">
        <x:v>6a3781e4df5573f4e676e226</x:v>
      </x:c>
      <x:c r="H28" s="79" t="str">
        <x:v>spice</x:v>
      </x:c>
      <x:c r="I28" s="79"/>
      <x:c r="J28" s="79" t="str">
        <x:v>EDIBLE</x:v>
      </x:c>
      <x:c r="K28" s="79" t="str">
        <x:v>بله</x:v>
      </x:c>
      <x:c r="L28" s="79" t="n">
        <x:v>1</x:v>
      </x:c>
      <x:c r="M28" s="79" t="n">
        <x:v>0</x:v>
      </x:c>
      <x:c r="N28" s="79" t="str">
        <x:v>OK</x:v>
      </x:c>
      <x:c r="O28" s="79"/>
      <x:c r="P28" s="79" t="str">
        <x:v>[{"name": "کیلو", "sku": "", "price": 1100000, "stock": "", "weight": 1, "weightUnit": "kg", "containerSize": "کیلو", "isDefault": true}]</x:v>
      </x:c>
    </x:row>
    <x:row r="29">
      <x:c r="A29" s="79" t="str">
        <x:v>ادویه پیاز و سبزیجات</x:v>
      </x:c>
      <x:c r="B29" s="79" t="str">
        <x:v>spice_onion_v_vegetables</x:v>
      </x:c>
      <x:c r="C29" s="79" t="str">
        <x:v>update_grouped_product</x:v>
      </x:c>
      <x:c r="D29" s="79" t="str">
        <x:v>9</x:v>
      </x:c>
      <x:c r="E29" s="79" t="str">
        <x:v>ادویه پیاز و سبزیجات</x:v>
      </x:c>
      <x:c r="F29" s="79" t="str">
        <x:v>ادویه</x:v>
      </x:c>
      <x:c r="G29" s="79" t="str">
        <x:v>6a3781e4df5573f4e676e226</x:v>
      </x:c>
      <x:c r="H29" s="79" t="str">
        <x:v>spice</x:v>
      </x:c>
      <x:c r="I29" s="79"/>
      <x:c r="J29" s="79" t="str">
        <x:v>EDIBLE</x:v>
      </x:c>
      <x:c r="K29" s="79" t="str">
        <x:v>بله</x:v>
      </x:c>
      <x:c r="L29" s="79" t="n">
        <x:v>1</x:v>
      </x:c>
      <x:c r="M29" s="79" t="n">
        <x:v>0</x:v>
      </x:c>
      <x:c r="N29" s="79" t="str">
        <x:v>OK</x:v>
      </x:c>
      <x:c r="O29" s="79"/>
      <x:c r="P29" s="79" t="str">
        <x:v>[{"name": "کیلو", "sku": "", "price": 800000, "stock": "", "weight": 1, "weightUnit": "kg", "containerSize": "کیلو", "isDefault": true}]</x:v>
      </x:c>
    </x:row>
    <x:row r="30">
      <x:c r="A30" s="79" t="str">
        <x:v>ادویه چدار</x:v>
      </x:c>
      <x:c r="B30" s="79" t="str">
        <x:v>spice_cheddar</x:v>
      </x:c>
      <x:c r="C30" s="79" t="str">
        <x:v>update_grouped_product</x:v>
      </x:c>
      <x:c r="D30" s="79" t="str">
        <x:v>12</x:v>
      </x:c>
      <x:c r="E30" s="79" t="str">
        <x:v>ادویه چدار</x:v>
      </x:c>
      <x:c r="F30" s="79" t="str">
        <x:v>ادویه</x:v>
      </x:c>
      <x:c r="G30" s="79" t="str">
        <x:v>6a3781e4df5573f4e676e226</x:v>
      </x:c>
      <x:c r="H30" s="79" t="str">
        <x:v>spice</x:v>
      </x:c>
      <x:c r="I30" s="79"/>
      <x:c r="J30" s="79" t="str">
        <x:v>EDIBLE</x:v>
      </x:c>
      <x:c r="K30" s="79" t="str">
        <x:v>بله</x:v>
      </x:c>
      <x:c r="L30" s="79" t="n">
        <x:v>1</x:v>
      </x:c>
      <x:c r="M30" s="79" t="n">
        <x:v>0</x:v>
      </x:c>
      <x:c r="N30" s="79" t="str">
        <x:v>OK</x:v>
      </x:c>
      <x:c r="O30" s="79"/>
      <x:c r="P30" s="79" t="str">
        <x:v>[{"name": "کیلو", "sku": "", "price": 800000, "stock": "", "weight": 1, "weightUnit": "kg", "containerSize": "کیلو", "isDefault": true}]</x:v>
      </x:c>
    </x:row>
    <x:row r="31">
      <x:c r="A31" s="79" t="str">
        <x:v>ادویه کاری</x:v>
      </x:c>
      <x:c r="B31" s="79" t="str">
        <x:v>spice_curry</x:v>
      </x:c>
      <x:c r="C31" s="79" t="str">
        <x:v>update_grouped_product</x:v>
      </x:c>
      <x:c r="D31" s="79" t="str">
        <x:v>22</x:v>
      </x:c>
      <x:c r="E31" s="79" t="str">
        <x:v>ادویه کاری</x:v>
      </x:c>
      <x:c r="F31" s="79" t="str">
        <x:v>ادویه</x:v>
      </x:c>
      <x:c r="G31" s="79" t="str">
        <x:v>6a3781e4df5573f4e676e226</x:v>
      </x:c>
      <x:c r="H31" s="79" t="str">
        <x:v>spice</x:v>
      </x:c>
      <x:c r="I31" s="79"/>
      <x:c r="J31" s="79" t="str">
        <x:v>EDIBLE</x:v>
      </x:c>
      <x:c r="K31" s="79" t="str">
        <x:v>بله</x:v>
      </x:c>
      <x:c r="L31" s="79" t="n">
        <x:v>1</x:v>
      </x:c>
      <x:c r="M31" s="79" t="n">
        <x:v>0</x:v>
      </x:c>
      <x:c r="N31" s="79" t="str">
        <x:v>OK</x:v>
      </x:c>
      <x:c r="O31" s="79"/>
      <x:c r="P31" s="79" t="str">
        <x:v>[{"name": "کیلو", "sku": "", "price": 850000, "stock": "", "weight": 1, "weightUnit": "kg", "containerSize": "کیلو", "isDefault": true}]</x:v>
      </x:c>
    </x:row>
    <x:row r="32">
      <x:c r="A32" s="79" t="str">
        <x:v>ادویه کاچی</x:v>
      </x:c>
      <x:c r="B32" s="79" t="str">
        <x:v>spice_kachi</x:v>
      </x:c>
      <x:c r="C32" s="79" t="str">
        <x:v>update_grouped_product</x:v>
      </x:c>
      <x:c r="D32" s="79" t="str">
        <x:v>21</x:v>
      </x:c>
      <x:c r="E32" s="79" t="str">
        <x:v>ادویه کاچی</x:v>
      </x:c>
      <x:c r="F32" s="79" t="str">
        <x:v>ادویه</x:v>
      </x:c>
      <x:c r="G32" s="79" t="str">
        <x:v>6a3781e4df5573f4e676e226</x:v>
      </x:c>
      <x:c r="H32" s="79" t="str">
        <x:v>spice</x:v>
      </x:c>
      <x:c r="I32" s="79"/>
      <x:c r="J32" s="79" t="str">
        <x:v>EDIBLE</x:v>
      </x:c>
      <x:c r="K32" s="79" t="str">
        <x:v>بله</x:v>
      </x:c>
      <x:c r="L32" s="79" t="n">
        <x:v>1</x:v>
      </x:c>
      <x:c r="M32" s="79" t="n">
        <x:v>0</x:v>
      </x:c>
      <x:c r="N32" s="79" t="str">
        <x:v>OK</x:v>
      </x:c>
      <x:c r="O32" s="79"/>
      <x:c r="P32" s="79" t="str">
        <x:v>[{"name": "کیلو", "sku": "", "price": 700000, "stock": "", "weight": 1, "weightUnit": "kg", "containerSize": "کیلو", "isDefault": true}]</x:v>
      </x:c>
    </x:row>
    <x:row r="33">
      <x:c r="A33" s="79" t="str">
        <x:v>ادویه کره</x:v>
      </x:c>
      <x:c r="B33" s="79" t="str">
        <x:v>spice_butter</x:v>
      </x:c>
      <x:c r="C33" s="79" t="str">
        <x:v>update_grouped_product</x:v>
      </x:c>
      <x:c r="D33" s="79" t="str">
        <x:v>23</x:v>
      </x:c>
      <x:c r="E33" s="79" t="str">
        <x:v>ادویه کره</x:v>
      </x:c>
      <x:c r="F33" s="79" t="str">
        <x:v>ادویه</x:v>
      </x:c>
      <x:c r="G33" s="79" t="str">
        <x:v>6a3781e4df5573f4e676e226</x:v>
      </x:c>
      <x:c r="H33" s="79" t="str">
        <x:v>spice</x:v>
      </x:c>
      <x:c r="I33" s="79"/>
      <x:c r="J33" s="79" t="str">
        <x:v>EDIBLE</x:v>
      </x:c>
      <x:c r="K33" s="79" t="str">
        <x:v>بله</x:v>
      </x:c>
      <x:c r="L33" s="79" t="n">
        <x:v>1</x:v>
      </x:c>
      <x:c r="M33" s="79" t="n">
        <x:v>0</x:v>
      </x:c>
      <x:c r="N33" s="79" t="str">
        <x:v>OK</x:v>
      </x:c>
      <x:c r="O33" s="79"/>
      <x:c r="P33" s="79" t="str">
        <x:v>[{"name": "کیلو", "sku": "", "price": 1100000, "stock": "", "weight": 1, "weightUnit": "kg", "containerSize": "کیلو", "isDefault": true}]</x:v>
      </x:c>
    </x:row>
    <x:row r="34">
      <x:c r="A34" s="79" t="str">
        <x:v>جوز هندی</x:v>
      </x:c>
      <x:c r="B34" s="79" t="str">
        <x:v>nutmeg_cashew</x:v>
      </x:c>
      <x:c r="C34" s="79" t="str">
        <x:v>update_grouped_product</x:v>
      </x:c>
      <x:c r="D34" s="79" t="str">
        <x:v>83</x:v>
      </x:c>
      <x:c r="E34" s="79" t="str">
        <x:v>جوز هندی</x:v>
      </x:c>
      <x:c r="F34" s="79" t="str">
        <x:v>ادویه</x:v>
      </x:c>
      <x:c r="G34" s="79" t="str">
        <x:v>6a3781e4df5573f4e676e226</x:v>
      </x:c>
      <x:c r="H34" s="79" t="str">
        <x:v>spice</x:v>
      </x:c>
      <x:c r="I34" s="79"/>
      <x:c r="J34" s="79" t="str">
        <x:v>EDIBLE</x:v>
      </x:c>
      <x:c r="K34" s="79" t="str">
        <x:v>بله</x:v>
      </x:c>
      <x:c r="L34" s="79" t="n">
        <x:v>1</x:v>
      </x:c>
      <x:c r="M34" s="79" t="n">
        <x:v>0</x:v>
      </x:c>
      <x:c r="N34" s="79" t="str">
        <x:v>OK</x:v>
      </x:c>
      <x:c r="O34" s="79"/>
      <x:c r="P34" s="79" t="str">
        <x:v>[{"name": "کیلو", "sku": "", "price": 3800000, "stock": "", "weight": 1, "weightUnit": "kg", "containerSize": "کیلو", "isDefault": true}]</x:v>
      </x:c>
    </x:row>
    <x:row r="35">
      <x:c r="A35" s="79" t="str">
        <x:v>جوهر لیمو</x:v>
      </x:c>
      <x:c r="B35" s="79" t="str">
        <x:v>citric_acid</x:v>
      </x:c>
      <x:c r="C35" s="79" t="str">
        <x:v>update_grouped_product</x:v>
      </x:c>
      <x:c r="D35" s="79" t="str">
        <x:v>85</x:v>
      </x:c>
      <x:c r="E35" s="79" t="str">
        <x:v>جوهر لیمو</x:v>
      </x:c>
      <x:c r="F35" s="79" t="str">
        <x:v>ادویه</x:v>
      </x:c>
      <x:c r="G35" s="79" t="str">
        <x:v>6a3781e4df5573f4e676e226</x:v>
      </x:c>
      <x:c r="H35" s="79" t="str">
        <x:v>spice</x:v>
      </x:c>
      <x:c r="I35" s="79"/>
      <x:c r="J35" s="79" t="str">
        <x:v>EDIBLE</x:v>
      </x:c>
      <x:c r="K35" s="79" t="str">
        <x:v>بله</x:v>
      </x:c>
      <x:c r="L35" s="79" t="n">
        <x:v>1</x:v>
      </x:c>
      <x:c r="M35" s="79" t="n">
        <x:v>0</x:v>
      </x:c>
      <x:c r="N35" s="79" t="str">
        <x:v>OK</x:v>
      </x:c>
      <x:c r="O35" s="79"/>
      <x:c r="P35" s="79" t="str">
        <x:v>[{"name": "کیلو", "sku": "", "price": 580000, "stock": "", "weight": 1, "weightUnit": "kg", "containerSize": "کیلو", "isDefault": true}]</x:v>
      </x:c>
    </x:row>
    <x:row r="36">
      <x:c r="A36" s="79" t="str">
        <x:v>دارچین سیلان</x:v>
      </x:c>
      <x:c r="B36" s="79" t="str">
        <x:v>cinnamon_ceylon</x:v>
      </x:c>
      <x:c r="C36" s="79" t="str">
        <x:v>update_grouped_product</x:v>
      </x:c>
      <x:c r="D36" s="79" t="str">
        <x:v>115</x:v>
      </x:c>
      <x:c r="E36" s="79" t="str">
        <x:v>دارچین سیلان</x:v>
      </x:c>
      <x:c r="F36" s="79" t="str">
        <x:v>ادویه</x:v>
      </x:c>
      <x:c r="G36" s="79" t="str">
        <x:v>6a3781e4df5573f4e676e226</x:v>
      </x:c>
      <x:c r="H36" s="79" t="str">
        <x:v>spice</x:v>
      </x:c>
      <x:c r="I36" s="79"/>
      <x:c r="J36" s="79" t="str">
        <x:v>EDIBLE</x:v>
      </x:c>
      <x:c r="K36" s="79" t="str">
        <x:v>بله</x:v>
      </x:c>
      <x:c r="L36" s="79" t="n">
        <x:v>1</x:v>
      </x:c>
      <x:c r="M36" s="79" t="n">
        <x:v>1</x:v>
      </x:c>
      <x:c r="N36" s="79" t="str">
        <x:v>MISSING_PRICE_REVIEW + 1 VARIANT_PRICE_MISSING</x:v>
      </x:c>
      <x:c r="O36" s="79" t="str">
        <x:v>یک یا چند قیمت نامشخص است</x:v>
      </x:c>
      <x:c r="P36" s="79" t="str">
        <x:v>[{"name": "کیلو", "sku": "", "price": null, "stock": "", "weight": 1, "weightUnit": "kg", "containerSize": "کیلو", "isDefault": true}]</x:v>
      </x:c>
    </x:row>
    <x:row r="37">
      <x:c r="A37" s="79" t="str">
        <x:v>دارچین سیگاری</x:v>
      </x:c>
      <x:c r="B37" s="79" t="str">
        <x:v>cinnamon_cigar</x:v>
      </x:c>
      <x:c r="C37" s="79" t="str">
        <x:v>update_grouped_product</x:v>
      </x:c>
      <x:c r="D37" s="79" t="str">
        <x:v>114</x:v>
      </x:c>
      <x:c r="E37" s="79" t="str">
        <x:v>دارچین سیگاری</x:v>
      </x:c>
      <x:c r="F37" s="79" t="str">
        <x:v>ادویه</x:v>
      </x:c>
      <x:c r="G37" s="79" t="str">
        <x:v>6a3781e4df5573f4e676e226</x:v>
      </x:c>
      <x:c r="H37" s="79" t="str">
        <x:v>spice</x:v>
      </x:c>
      <x:c r="I37" s="79"/>
      <x:c r="J37" s="79" t="str">
        <x:v>EDIBLE</x:v>
      </x:c>
      <x:c r="K37" s="79" t="str">
        <x:v>بله</x:v>
      </x:c>
      <x:c r="L37" s="79" t="n">
        <x:v>1</x:v>
      </x:c>
      <x:c r="M37" s="79" t="n">
        <x:v>0</x:v>
      </x:c>
      <x:c r="N37" s="79" t="str">
        <x:v>OK</x:v>
      </x:c>
      <x:c r="O37" s="79"/>
      <x:c r="P37" s="79" t="str">
        <x:v>[{"name": "کیلو", "sku": "", "price": 1900000, "stock": "", "weight": 1, "weightUnit": "kg", "containerSize": "کیلو", "isDefault": true}]</x:v>
      </x:c>
    </x:row>
    <x:row r="38">
      <x:c r="A38" s="79" t="str">
        <x:v>دارچین گل سرخی</x:v>
      </x:c>
      <x:c r="B38" s="79" t="str">
        <x:v>cinnamon_flower_red</x:v>
      </x:c>
      <x:c r="C38" s="79" t="str">
        <x:v>update_grouped_product</x:v>
      </x:c>
      <x:c r="D38" s="79" t="str">
        <x:v>116</x:v>
      </x:c>
      <x:c r="E38" s="79" t="str">
        <x:v>دارچین گل سرخی</x:v>
      </x:c>
      <x:c r="F38" s="79" t="str">
        <x:v>ادویه</x:v>
      </x:c>
      <x:c r="G38" s="79" t="str">
        <x:v>6a3781e4df5573f4e676e226</x:v>
      </x:c>
      <x:c r="H38" s="79" t="str">
        <x:v>spice</x:v>
      </x:c>
      <x:c r="I38" s="79"/>
      <x:c r="J38" s="79" t="str">
        <x:v>EDIBLE</x:v>
      </x:c>
      <x:c r="K38" s="79" t="str">
        <x:v>بله</x:v>
      </x:c>
      <x:c r="L38" s="79" t="n">
        <x:v>1</x:v>
      </x:c>
      <x:c r="M38" s="79" t="n">
        <x:v>0</x:v>
      </x:c>
      <x:c r="N38" s="79" t="str">
        <x:v>OK</x:v>
      </x:c>
      <x:c r="O38" s="79"/>
      <x:c r="P38" s="79" t="str">
        <x:v>[{"name": "کیلو", "sku": "", "price": 850000, "stock": "", "weight": 1, "weightUnit": "kg", "containerSize": "کیلو", "isDefault": true}]</x:v>
      </x:c>
    </x:row>
    <x:row r="39">
      <x:c r="A39" s="79" t="str">
        <x:v>زردچوبه</x:v>
      </x:c>
      <x:c r="B39" s="79" t="str">
        <x:v>turmeric</x:v>
      </x:c>
      <x:c r="C39" s="79" t="str">
        <x:v>update_grouped_product</x:v>
      </x:c>
      <x:c r="D39" s="79" t="str">
        <x:v>195, 196</x:v>
      </x:c>
      <x:c r="E39" s="79" t="str">
        <x:v>زردچوبه زرین | زردچوبه چارمنار</x:v>
      </x:c>
      <x:c r="F39" s="79" t="str">
        <x:v>ادویه</x:v>
      </x:c>
      <x:c r="G39" s="79" t="str">
        <x:v>6a3781e4df5573f4e676e226</x:v>
      </x:c>
      <x:c r="H39" s="79" t="str">
        <x:v>spice</x:v>
      </x:c>
      <x:c r="I39" s="79"/>
      <x:c r="J39" s="79" t="str">
        <x:v>EDIBLE</x:v>
      </x:c>
      <x:c r="K39" s="79" t="str">
        <x:v>بله</x:v>
      </x:c>
      <x:c r="L39" s="79" t="n">
        <x:v>2</x:v>
      </x:c>
      <x:c r="M39" s="79" t="n">
        <x:v>1</x:v>
      </x:c>
      <x:c r="N39" s="79" t="str">
        <x:v>MERGED + MISSING_PRICE_REVIEW + 1 VARIANT_PRICE_MISSING</x:v>
      </x:c>
      <x:c r="O39" s="79" t="str">
        <x:v>2 ردیف مشابه با هم یکی شد | یک یا چند قیمت نامشخص است</x:v>
      </x:c>
      <x:c r="P39" s="79" t="str">
        <x:v>[{"name": "چارمنار - کیلو", "sku": "", "price": 880000, "stock": "", "weight": 1, "weightUnit": "kg", "containerSize": "کیلو", "isDefault": true}, {"name": "زرین - کیلو", "sku": "", "price": null, "stock": "", "weight": 1, "weightUnit": "kg", "containerSize": "کیلو", "isDefault": false}]</x:v>
      </x:c>
    </x:row>
    <x:row r="40">
      <x:c r="A40" s="79" t="str">
        <x:v>زعفران</x:v>
      </x:c>
      <x:c r="B40" s="79" t="str">
        <x:v>saffron</x:v>
      </x:c>
      <x:c r="C40" s="79" t="str">
        <x:v>update_grouped_product</x:v>
      </x:c>
      <x:c r="D40" s="79" t="str">
        <x:v>199</x:v>
      </x:c>
      <x:c r="E40" s="79" t="str">
        <x:v>زعفران</x:v>
      </x:c>
      <x:c r="F40" s="79" t="str">
        <x:v>ادویه</x:v>
      </x:c>
      <x:c r="G40" s="79" t="str">
        <x:v>6a3781e4df5573f4e676e226</x:v>
      </x:c>
      <x:c r="H40" s="79" t="str">
        <x:v>spice</x:v>
      </x:c>
      <x:c r="I40" s="79"/>
      <x:c r="J40" s="79" t="str">
        <x:v>EDIBLE</x:v>
      </x:c>
      <x:c r="K40" s="79" t="str">
        <x:v>بله</x:v>
      </x:c>
      <x:c r="L40" s="79" t="n">
        <x:v>1</x:v>
      </x:c>
      <x:c r="M40" s="79" t="n">
        <x:v>1</x:v>
      </x:c>
      <x:c r="N40" s="79" t="str">
        <x:v>MISSING_PRICE_REVIEW + 1 VARIANT_PRICE_MISSING</x:v>
      </x:c>
      <x:c r="O40" s="79" t="str">
        <x:v>یک یا چند قیمت نامشخص است</x:v>
      </x:c>
      <x:c r="P40" s="79" t="str">
        <x:v>[{"name": "کیلو", "sku": "", "price": null, "stock": "", "weight": 1, "weightUnit": "kg", "containerSize": "کیلو", "isDefault": true}]</x:v>
      </x:c>
    </x:row>
    <x:row r="41">
      <x:c r="A41" s="79" t="str">
        <x:v>زنجبیل چینی</x:v>
      </x:c>
      <x:c r="B41" s="79" t="str">
        <x:v>ginger_chinese</x:v>
      </x:c>
      <x:c r="C41" s="79" t="str">
        <x:v>update_grouped_product</x:v>
      </x:c>
      <x:c r="D41" s="79" t="str">
        <x:v>200</x:v>
      </x:c>
      <x:c r="E41" s="79" t="str">
        <x:v>زنجبیل چینی</x:v>
      </x:c>
      <x:c r="F41" s="79" t="str">
        <x:v>ادویه</x:v>
      </x:c>
      <x:c r="G41" s="79" t="str">
        <x:v>6a3781e4df5573f4e676e226</x:v>
      </x:c>
      <x:c r="H41" s="79" t="str">
        <x:v>spice</x:v>
      </x:c>
      <x:c r="I41" s="79"/>
      <x:c r="J41" s="79" t="str">
        <x:v>EDIBLE</x:v>
      </x:c>
      <x:c r="K41" s="79" t="str">
        <x:v>بله</x:v>
      </x:c>
      <x:c r="L41" s="79" t="n">
        <x:v>1</x:v>
      </x:c>
      <x:c r="M41" s="79" t="n">
        <x:v>0</x:v>
      </x:c>
      <x:c r="N41" s="79" t="str">
        <x:v>OK</x:v>
      </x:c>
      <x:c r="O41" s="79"/>
      <x:c r="P41" s="79" t="str">
        <x:v>[{"name": "کیلو", "sku": "", "price": 1200000, "stock": "", "weight": 1, "weightUnit": "kg", "containerSize": "کیلو", "isDefault": true}]</x:v>
      </x:c>
    </x:row>
    <x:row r="42">
      <x:c r="A42" s="79" t="str">
        <x:v>زنیان</x:v>
      </x:c>
      <x:c r="B42" s="79" t="str">
        <x:v>ajwain</x:v>
      </x:c>
      <x:c r="C42" s="79" t="str">
        <x:v>update_grouped_product</x:v>
      </x:c>
      <x:c r="D42" s="79" t="str">
        <x:v>201</x:v>
      </x:c>
      <x:c r="E42" s="79" t="str">
        <x:v>زنیان</x:v>
      </x:c>
      <x:c r="F42" s="79" t="str">
        <x:v>ادویه</x:v>
      </x:c>
      <x:c r="G42" s="79" t="str">
        <x:v>6a3781e4df5573f4e676e226</x:v>
      </x:c>
      <x:c r="H42" s="79" t="str">
        <x:v>spice</x:v>
      </x:c>
      <x:c r="I42" s="79"/>
      <x:c r="J42" s="79" t="str">
        <x:v>EDIBLE</x:v>
      </x:c>
      <x:c r="K42" s="79" t="str">
        <x:v>بله</x:v>
      </x:c>
      <x:c r="L42" s="79" t="n">
        <x:v>1</x:v>
      </x:c>
      <x:c r="M42" s="79" t="n">
        <x:v>0</x:v>
      </x:c>
      <x:c r="N42" s="79" t="str">
        <x:v>OK</x:v>
      </x:c>
      <x:c r="O42" s="79"/>
      <x:c r="P42" s="79" t="str">
        <x:v>[{"name": "کیلو", "sku": "", "price": 500000, "stock": "", "weight": 1, "weightUnit": "kg", "containerSize": "کیلو", "isDefault": true}]</x:v>
      </x:c>
    </x:row>
    <x:row r="43">
      <x:c r="A43" s="79" t="str">
        <x:v>زیره سبز</x:v>
      </x:c>
      <x:c r="B43" s="79" t="str">
        <x:v>cumin_green</x:v>
      </x:c>
      <x:c r="C43" s="79" t="str">
        <x:v>update_grouped_product</x:v>
      </x:c>
      <x:c r="D43" s="79" t="str">
        <x:v>202</x:v>
      </x:c>
      <x:c r="E43" s="79" t="str">
        <x:v>زیره سبز</x:v>
      </x:c>
      <x:c r="F43" s="79" t="str">
        <x:v>ادویه</x:v>
      </x:c>
      <x:c r="G43" s="79" t="str">
        <x:v>6a3781e4df5573f4e676e226</x:v>
      </x:c>
      <x:c r="H43" s="79" t="str">
        <x:v>spice</x:v>
      </x:c>
      <x:c r="I43" s="79"/>
      <x:c r="J43" s="79" t="str">
        <x:v>EDIBLE</x:v>
      </x:c>
      <x:c r="K43" s="79" t="str">
        <x:v>بله</x:v>
      </x:c>
      <x:c r="L43" s="79" t="n">
        <x:v>1</x:v>
      </x:c>
      <x:c r="M43" s="79" t="n">
        <x:v>0</x:v>
      </x:c>
      <x:c r="N43" s="79" t="str">
        <x:v>OK</x:v>
      </x:c>
      <x:c r="O43" s="79"/>
      <x:c r="P43" s="79" t="str">
        <x:v>[{"name": "کیلو", "sku": "", "price": 1340000, "stock": "", "weight": 1, "weightUnit": "kg", "containerSize": "کیلو", "isDefault": true}]</x:v>
      </x:c>
    </x:row>
    <x:row r="44">
      <x:c r="A44" s="79" t="str">
        <x:v>زیره سیاه</x:v>
      </x:c>
      <x:c r="B44" s="79" t="str">
        <x:v>cumin_black</x:v>
      </x:c>
      <x:c r="C44" s="79" t="str">
        <x:v>update_grouped_product</x:v>
      </x:c>
      <x:c r="D44" s="79" t="str">
        <x:v>203</x:v>
      </x:c>
      <x:c r="E44" s="79" t="str">
        <x:v>زیره سیاه</x:v>
      </x:c>
      <x:c r="F44" s="79" t="str">
        <x:v>ادویه</x:v>
      </x:c>
      <x:c r="G44" s="79" t="str">
        <x:v>6a3781e4df5573f4e676e226</x:v>
      </x:c>
      <x:c r="H44" s="79" t="str">
        <x:v>spice</x:v>
      </x:c>
      <x:c r="I44" s="79"/>
      <x:c r="J44" s="79" t="str">
        <x:v>EDIBLE</x:v>
      </x:c>
      <x:c r="K44" s="79" t="str">
        <x:v>بله</x:v>
      </x:c>
      <x:c r="L44" s="79" t="n">
        <x:v>1</x:v>
      </x:c>
      <x:c r="M44" s="79" t="n">
        <x:v>0</x:v>
      </x:c>
      <x:c r="N44" s="79" t="str">
        <x:v>OK</x:v>
      </x:c>
      <x:c r="O44" s="79"/>
      <x:c r="P44" s="79" t="str">
        <x:v>[{"name": "کیلو", "sku": "", "price": 2950000, "stock": "", "weight": 1, "weightUnit": "kg", "containerSize": "کیلو", "isDefault": true}]</x:v>
      </x:c>
    </x:row>
    <x:row r="45">
      <x:c r="A45" s="79" t="str">
        <x:v>سماق قرمز پودر</x:v>
      </x:c>
      <x:c r="B45" s="79" t="str">
        <x:v>red_sumac_powder</x:v>
      </x:c>
      <x:c r="C45" s="79" t="str">
        <x:v>update_grouped_product</x:v>
      </x:c>
      <x:c r="D45" s="79" t="str">
        <x:v>210</x:v>
      </x:c>
      <x:c r="E45" s="79" t="str">
        <x:v>سماق قرمز پودر</x:v>
      </x:c>
      <x:c r="F45" s="79" t="str">
        <x:v>ادویه</x:v>
      </x:c>
      <x:c r="G45" s="79" t="str">
        <x:v>6a3781e4df5573f4e676e226</x:v>
      </x:c>
      <x:c r="H45" s="79" t="str">
        <x:v>spice</x:v>
      </x:c>
      <x:c r="I45" s="79"/>
      <x:c r="J45" s="79" t="str">
        <x:v>EDIBLE</x:v>
      </x:c>
      <x:c r="K45" s="79" t="str">
        <x:v>بله</x:v>
      </x:c>
      <x:c r="L45" s="79" t="n">
        <x:v>1</x:v>
      </x:c>
      <x:c r="M45" s="79" t="n">
        <x:v>0</x:v>
      </x:c>
      <x:c r="N45" s="79" t="str">
        <x:v>OK</x:v>
      </x:c>
      <x:c r="O45" s="79"/>
      <x:c r="P45" s="79" t="str">
        <x:v>[{"name": "کیلو", "sku": "", "price": 2600000, "stock": "", "weight": 1, "weightUnit": "kg", "containerSize": "کیلو", "isDefault": true}]</x:v>
      </x:c>
    </x:row>
    <x:row r="46">
      <x:c r="A46" s="79" t="str">
        <x:v>سماق قهوه ای پودر</x:v>
      </x:c>
      <x:c r="B46" s="79" t="str">
        <x:v>brown_sumac_powder</x:v>
      </x:c>
      <x:c r="C46" s="79" t="str">
        <x:v>update_grouped_product</x:v>
      </x:c>
      <x:c r="D46" s="79" t="str">
        <x:v>211</x:v>
      </x:c>
      <x:c r="E46" s="79" t="str">
        <x:v>سماق قهوه ای پودر</x:v>
      </x:c>
      <x:c r="F46" s="79" t="str">
        <x:v>ادویه</x:v>
      </x:c>
      <x:c r="G46" s="79" t="str">
        <x:v>6a3781e4df5573f4e676e226</x:v>
      </x:c>
      <x:c r="H46" s="79" t="str">
        <x:v>spice</x:v>
      </x:c>
      <x:c r="I46" s="79"/>
      <x:c r="J46" s="79" t="str">
        <x:v>EDIBLE</x:v>
      </x:c>
      <x:c r="K46" s="79" t="str">
        <x:v>بله</x:v>
      </x:c>
      <x:c r="L46" s="79" t="n">
        <x:v>1</x:v>
      </x:c>
      <x:c r="M46" s="79" t="n">
        <x:v>0</x:v>
      </x:c>
      <x:c r="N46" s="79" t="str">
        <x:v>OK</x:v>
      </x:c>
      <x:c r="O46" s="79"/>
      <x:c r="P46" s="79" t="str">
        <x:v>[{"name": "کیلو", "sku": "", "price": 2600000, "stock": "", "weight": 1, "weightUnit": "kg", "containerSize": "کیلو", "isDefault": true}]</x:v>
      </x:c>
    </x:row>
    <x:row r="47">
      <x:c r="A47" s="79" t="str">
        <x:v>سماق ناساب</x:v>
      </x:c>
      <x:c r="B47" s="79" t="str">
        <x:v>whole_sumac</x:v>
      </x:c>
      <x:c r="C47" s="79" t="str">
        <x:v>update_grouped_product</x:v>
      </x:c>
      <x:c r="D47" s="79" t="str">
        <x:v>212</x:v>
      </x:c>
      <x:c r="E47" s="79" t="str">
        <x:v>سماق ناساب</x:v>
      </x:c>
      <x:c r="F47" s="79" t="str">
        <x:v>ادویه</x:v>
      </x:c>
      <x:c r="G47" s="79" t="str">
        <x:v>6a3781e4df5573f4e676e226</x:v>
      </x:c>
      <x:c r="H47" s="79" t="str">
        <x:v>spice</x:v>
      </x:c>
      <x:c r="I47" s="79"/>
      <x:c r="J47" s="79" t="str">
        <x:v>EDIBLE</x:v>
      </x:c>
      <x:c r="K47" s="79" t="str">
        <x:v>بله</x:v>
      </x:c>
      <x:c r="L47" s="79" t="n">
        <x:v>1</x:v>
      </x:c>
      <x:c r="M47" s="79" t="n">
        <x:v>0</x:v>
      </x:c>
      <x:c r="N47" s="79" t="str">
        <x:v>OK</x:v>
      </x:c>
      <x:c r="O47" s="79"/>
      <x:c r="P47" s="79" t="str">
        <x:v>[{"name": "کیلو", "sku": "", "price": 400000, "stock": "", "weight": 1, "weightUnit": "kg", "containerSize": "کیلو", "isDefault": true}]</x:v>
      </x:c>
    </x:row>
    <x:row r="48">
      <x:c r="A48" s="79" t="str">
        <x:v>سیر سیاه</x:v>
      </x:c>
      <x:c r="B48" s="79" t="str">
        <x:v>black_garlic</x:v>
      </x:c>
      <x:c r="C48" s="79" t="str">
        <x:v>update_grouped_product</x:v>
      </x:c>
      <x:c r="D48" s="79" t="str">
        <x:v>223</x:v>
      </x:c>
      <x:c r="E48" s="79" t="str">
        <x:v>سیر سیاه</x:v>
      </x:c>
      <x:c r="F48" s="79" t="str">
        <x:v>ادویه</x:v>
      </x:c>
      <x:c r="G48" s="79" t="str">
        <x:v>6a3781e4df5573f4e676e226</x:v>
      </x:c>
      <x:c r="H48" s="79" t="str">
        <x:v>spice</x:v>
      </x:c>
      <x:c r="I48" s="79"/>
      <x:c r="J48" s="79" t="str">
        <x:v>EDIBLE</x:v>
      </x:c>
      <x:c r="K48" s="79" t="str">
        <x:v>بله</x:v>
      </x:c>
      <x:c r="L48" s="79" t="n">
        <x:v>1</x:v>
      </x:c>
      <x:c r="M48" s="79" t="n">
        <x:v>0</x:v>
      </x:c>
      <x:c r="N48" s="79" t="str">
        <x:v>OK</x:v>
      </x:c>
      <x:c r="O48" s="79"/>
      <x:c r="P48" s="79" t="str">
        <x:v>[{"name": "کیلو", "sku": "", "price": 800000, "stock": "", "weight": 1, "weightUnit": "kg", "containerSize": "کیلو", "isDefault": true}]</x:v>
      </x:c>
    </x:row>
    <x:row r="49">
      <x:c r="A49" s="79" t="str">
        <x:v>سیر همدان</x:v>
      </x:c>
      <x:c r="B49" s="79" t="str">
        <x:v>garlic_hamedan</x:v>
      </x:c>
      <x:c r="C49" s="79" t="str">
        <x:v>update_grouped_product</x:v>
      </x:c>
      <x:c r="D49" s="79" t="str">
        <x:v>224</x:v>
      </x:c>
      <x:c r="E49" s="79" t="str">
        <x:v>سیر همدان</x:v>
      </x:c>
      <x:c r="F49" s="79" t="str">
        <x:v>ادویه</x:v>
      </x:c>
      <x:c r="G49" s="79" t="str">
        <x:v>6a3781e4df5573f4e676e226</x:v>
      </x:c>
      <x:c r="H49" s="79" t="str">
        <x:v>spice</x:v>
      </x:c>
      <x:c r="I49" s="79"/>
      <x:c r="J49" s="79" t="str">
        <x:v>EDIBLE</x:v>
      </x:c>
      <x:c r="K49" s="79" t="str">
        <x:v>بله</x:v>
      </x:c>
      <x:c r="L49" s="79" t="n">
        <x:v>1</x:v>
      </x:c>
      <x:c r="M49" s="79" t="n">
        <x:v>0</x:v>
      </x:c>
      <x:c r="N49" s="79" t="str">
        <x:v>OK</x:v>
      </x:c>
      <x:c r="O49" s="79"/>
      <x:c r="P49" s="79" t="str">
        <x:v>[{"name": "کیلو", "sku": "", "price": 1100000, "stock": "", "weight": 1, "weightUnit": "kg", "containerSize": "کیلو", "isDefault": true}]</x:v>
      </x:c>
    </x:row>
    <x:row r="50">
      <x:c r="A50" s="79" t="str">
        <x:v>سیر هندی</x:v>
      </x:c>
      <x:c r="B50" s="79" t="str">
        <x:v>garlic_cashew</x:v>
      </x:c>
      <x:c r="C50" s="79" t="str">
        <x:v>update_grouped_product</x:v>
      </x:c>
      <x:c r="D50" s="79" t="str">
        <x:v>225</x:v>
      </x:c>
      <x:c r="E50" s="79" t="str">
        <x:v>سیر هندی</x:v>
      </x:c>
      <x:c r="F50" s="79" t="str">
        <x:v>ادویه</x:v>
      </x:c>
      <x:c r="G50" s="79" t="str">
        <x:v>6a3781e4df5573f4e676e226</x:v>
      </x:c>
      <x:c r="H50" s="79" t="str">
        <x:v>spice</x:v>
      </x:c>
      <x:c r="I50" s="79"/>
      <x:c r="J50" s="79" t="str">
        <x:v>EDIBLE</x:v>
      </x:c>
      <x:c r="K50" s="79" t="str">
        <x:v>بله</x:v>
      </x:c>
      <x:c r="L50" s="79" t="n">
        <x:v>1</x:v>
      </x:c>
      <x:c r="M50" s="79" t="n">
        <x:v>1</x:v>
      </x:c>
      <x:c r="N50" s="79" t="str">
        <x:v>MISSING_PRICE_REVIEW + 1 VARIANT_PRICE_MISSING</x:v>
      </x:c>
      <x:c r="O50" s="79" t="str">
        <x:v>یک یا چند قیمت نامشخص است</x:v>
      </x:c>
      <x:c r="P50" s="79" t="str">
        <x:v>[{"name": "کیلو", "sku": "", "price": null, "stock": "", "weight": 1, "weightUnit": "kg", "containerSize": "کیلو", "isDefault": true}]</x:v>
      </x:c>
    </x:row>
    <x:row r="51">
      <x:c r="A51" s="79" t="str">
        <x:v>غوره پودر</x:v>
      </x:c>
      <x:c r="B51" s="79" t="str">
        <x:v>unripe_grape_powder</x:v>
      </x:c>
      <x:c r="C51" s="79" t="str">
        <x:v>update_grouped_product</x:v>
      </x:c>
      <x:c r="D51" s="79" t="str">
        <x:v>318</x:v>
      </x:c>
      <x:c r="E51" s="79" t="str">
        <x:v>غوره پودر</x:v>
      </x:c>
      <x:c r="F51" s="79" t="str">
        <x:v>ادویه</x:v>
      </x:c>
      <x:c r="G51" s="79" t="str">
        <x:v>6a3781e4df5573f4e676e226</x:v>
      </x:c>
      <x:c r="H51" s="79" t="str">
        <x:v>spice</x:v>
      </x:c>
      <x:c r="I51" s="79"/>
      <x:c r="J51" s="79" t="str">
        <x:v>EDIBLE</x:v>
      </x:c>
      <x:c r="K51" s="79" t="str">
        <x:v>بله</x:v>
      </x:c>
      <x:c r="L51" s="79" t="n">
        <x:v>1</x:v>
      </x:c>
      <x:c r="M51" s="79" t="n">
        <x:v>1</x:v>
      </x:c>
      <x:c r="N51" s="79" t="str">
        <x:v>MISSING_PRICE_REVIEW + 1 VARIANT_PRICE_MISSING</x:v>
      </x:c>
      <x:c r="O51" s="79" t="str">
        <x:v>یک یا چند قیمت نامشخص است</x:v>
      </x:c>
      <x:c r="P51" s="79" t="str">
        <x:v>[{"name": "کیلو", "sku": "", "price": null, "stock": "", "weight": 1, "weightUnit": "kg", "containerSize": "کیلو", "isDefault": true}]</x:v>
      </x:c>
    </x:row>
    <x:row r="52">
      <x:c r="A52" s="79" t="str">
        <x:v>فلفل ترکی</x:v>
      </x:c>
      <x:c r="B52" s="79" t="str">
        <x:v>flfl_turkish</x:v>
      </x:c>
      <x:c r="C52" s="79" t="str">
        <x:v>update_grouped_product</x:v>
      </x:c>
      <x:c r="D52" s="79" t="str">
        <x:v>319</x:v>
      </x:c>
      <x:c r="E52" s="79" t="str">
        <x:v>فلفل ترکی</x:v>
      </x:c>
      <x:c r="F52" s="79" t="str">
        <x:v>ادویه</x:v>
      </x:c>
      <x:c r="G52" s="79" t="str">
        <x:v>6a3781e4df5573f4e676e226</x:v>
      </x:c>
      <x:c r="H52" s="79" t="str">
        <x:v>spice</x:v>
      </x:c>
      <x:c r="I52" s="79"/>
      <x:c r="J52" s="79" t="str">
        <x:v>EDIBLE</x:v>
      </x:c>
      <x:c r="K52" s="79" t="str">
        <x:v>بله</x:v>
      </x:c>
      <x:c r="L52" s="79" t="n">
        <x:v>1</x:v>
      </x:c>
      <x:c r="M52" s="79" t="n">
        <x:v>0</x:v>
      </x:c>
      <x:c r="N52" s="79" t="str">
        <x:v>OK</x:v>
      </x:c>
      <x:c r="O52" s="79"/>
      <x:c r="P52" s="79" t="str">
        <x:v>[{"name": "کیلو", "sku": "", "price": 850000, "stock": "", "weight": 1, "weightUnit": "kg", "containerSize": "کیلو", "isDefault": true}]</x:v>
      </x:c>
    </x:row>
    <x:row r="53">
      <x:c r="A53" s="79" t="str">
        <x:v>فلفل سیاه</x:v>
      </x:c>
      <x:c r="B53" s="79" t="str">
        <x:v>black_pepper</x:v>
      </x:c>
      <x:c r="C53" s="79" t="str">
        <x:v>update_grouped_product</x:v>
      </x:c>
      <x:c r="D53" s="79" t="str">
        <x:v>320</x:v>
      </x:c>
      <x:c r="E53" s="79" t="str">
        <x:v>فلفل سیاه</x:v>
      </x:c>
      <x:c r="F53" s="79" t="str">
        <x:v>ادویه</x:v>
      </x:c>
      <x:c r="G53" s="79" t="str">
        <x:v>6a3781e4df5573f4e676e226</x:v>
      </x:c>
      <x:c r="H53" s="79" t="str">
        <x:v>spice</x:v>
      </x:c>
      <x:c r="I53" s="79"/>
      <x:c r="J53" s="79" t="str">
        <x:v>EDIBLE</x:v>
      </x:c>
      <x:c r="K53" s="79" t="str">
        <x:v>بله</x:v>
      </x:c>
      <x:c r="L53" s="79" t="n">
        <x:v>1</x:v>
      </x:c>
      <x:c r="M53" s="79" t="n">
        <x:v>0</x:v>
      </x:c>
      <x:c r="N53" s="79" t="str">
        <x:v>OK</x:v>
      </x:c>
      <x:c r="O53" s="79"/>
      <x:c r="P53" s="79" t="str">
        <x:v>[{"name": "کیلو", "sku": "", "price": 2300000, "stock": "", "weight": 1, "weightUnit": "kg", "containerSize": "کیلو", "isDefault": true}]</x:v>
      </x:c>
    </x:row>
    <x:row r="54">
      <x:c r="A54" s="79" t="str">
        <x:v>فلفل قرمز ایرانی</x:v>
      </x:c>
      <x:c r="B54" s="79" t="str">
        <x:v>iranian_red_pepper</x:v>
      </x:c>
      <x:c r="C54" s="79" t="str">
        <x:v>update_grouped_product</x:v>
      </x:c>
      <x:c r="D54" s="79" t="str">
        <x:v>321</x:v>
      </x:c>
      <x:c r="E54" s="79" t="str">
        <x:v>فلفل قرمز ایرانی</x:v>
      </x:c>
      <x:c r="F54" s="79" t="str">
        <x:v>ادویه</x:v>
      </x:c>
      <x:c r="G54" s="79" t="str">
        <x:v>6a3781e4df5573f4e676e226</x:v>
      </x:c>
      <x:c r="H54" s="79" t="str">
        <x:v>spice</x:v>
      </x:c>
      <x:c r="I54" s="79"/>
      <x:c r="J54" s="79" t="str">
        <x:v>EDIBLE</x:v>
      </x:c>
      <x:c r="K54" s="79" t="str">
        <x:v>بله</x:v>
      </x:c>
      <x:c r="L54" s="79" t="n">
        <x:v>1</x:v>
      </x:c>
      <x:c r="M54" s="79" t="n">
        <x:v>0</x:v>
      </x:c>
      <x:c r="N54" s="79" t="str">
        <x:v>OK</x:v>
      </x:c>
      <x:c r="O54" s="79"/>
      <x:c r="P54" s="79" t="str">
        <x:v>[{"name": "کیلو", "sku": "", "price": 600000, "stock": "", "weight": 1, "weightUnit": "kg", "containerSize": "کیلو", "isDefault": true}]</x:v>
      </x:c>
    </x:row>
    <x:row r="55">
      <x:c r="A55" s="79" t="str">
        <x:v>فلفل قرمز هندی</x:v>
      </x:c>
      <x:c r="B55" s="79" t="str">
        <x:v>indian_red_pepper</x:v>
      </x:c>
      <x:c r="C55" s="79" t="str">
        <x:v>update_grouped_product</x:v>
      </x:c>
      <x:c r="D55" s="79" t="str">
        <x:v>323</x:v>
      </x:c>
      <x:c r="E55" s="79" t="str">
        <x:v>فلفل قرمز هندی تند</x:v>
      </x:c>
      <x:c r="F55" s="79" t="str">
        <x:v>ادویه</x:v>
      </x:c>
      <x:c r="G55" s="79" t="str">
        <x:v>6a3781e4df5573f4e676e226</x:v>
      </x:c>
      <x:c r="H55" s="79" t="str">
        <x:v>spice</x:v>
      </x:c>
      <x:c r="I55" s="79"/>
      <x:c r="J55" s="79" t="str">
        <x:v>EDIBLE</x:v>
      </x:c>
      <x:c r="K55" s="79" t="str">
        <x:v>بله</x:v>
      </x:c>
      <x:c r="L55" s="79" t="n">
        <x:v>1</x:v>
      </x:c>
      <x:c r="M55" s="79" t="n">
        <x:v>0</x:v>
      </x:c>
      <x:c r="N55" s="79" t="str">
        <x:v>OK</x:v>
      </x:c>
      <x:c r="O55" s="79"/>
      <x:c r="P55" s="79" t="str">
        <x:v>[{"name": "تند - کیلو", "sku": "", "price": 900000, "stock": "", "weight": 1, "weightUnit": "kg", "containerSize": "کیلو", "isDefault": true}]</x:v>
      </x:c>
    </x:row>
    <x:row r="56">
      <x:c r="A56" s="79" t="str">
        <x:v>فلفل قرمز هندی (رنگ)</x:v>
      </x:c>
      <x:c r="B56" s="79" t="str">
        <x:v>indian_red_pepper</x:v>
      </x:c>
      <x:c r="C56" s="79" t="str">
        <x:v>update_grouped_product</x:v>
      </x:c>
      <x:c r="D56" s="79" t="str">
        <x:v>322</x:v>
      </x:c>
      <x:c r="E56" s="79" t="str">
        <x:v>فلفل قرمز هندی (رنگ)</x:v>
      </x:c>
      <x:c r="F56" s="79" t="str">
        <x:v>ادویه</x:v>
      </x:c>
      <x:c r="G56" s="79" t="str">
        <x:v>6a3781e4df5573f4e676e226</x:v>
      </x:c>
      <x:c r="H56" s="79" t="str">
        <x:v>spice</x:v>
      </x:c>
      <x:c r="I56" s="79"/>
      <x:c r="J56" s="79" t="str">
        <x:v>EDIBLE</x:v>
      </x:c>
      <x:c r="K56" s="79" t="str">
        <x:v>بله</x:v>
      </x:c>
      <x:c r="L56" s="79" t="n">
        <x:v>1</x:v>
      </x:c>
      <x:c r="M56" s="79" t="n">
        <x:v>0</x:v>
      </x:c>
      <x:c r="N56" s="79" t="str">
        <x:v>OK</x:v>
      </x:c>
      <x:c r="O56" s="79"/>
      <x:c r="P56" s="79" t="str">
        <x:v>[{"name": "کیلو", "sku": "", "price": 700000, "stock": "", "weight": 1, "weightUnit": "kg", "containerSize": "کیلو", "isDefault": true}]</x:v>
      </x:c>
    </x:row>
    <x:row r="57">
      <x:c r="A57" s="79" t="str">
        <x:v>لیمو اسلایس</x:v>
      </x:c>
      <x:c r="B57" s="79" t="str">
        <x:v>sliced_lemon</x:v>
      </x:c>
      <x:c r="C57" s="79" t="str">
        <x:v>update_grouped_product</x:v>
      </x:c>
      <x:c r="D57" s="79" t="str">
        <x:v>367</x:v>
      </x:c>
      <x:c r="E57" s="79" t="str">
        <x:v>لیمو اسلایس</x:v>
      </x:c>
      <x:c r="F57" s="79" t="str">
        <x:v>ادویه</x:v>
      </x:c>
      <x:c r="G57" s="79" t="str">
        <x:v>6a3781e4df5573f4e676e226</x:v>
      </x:c>
      <x:c r="H57" s="79" t="str">
        <x:v>spice</x:v>
      </x:c>
      <x:c r="I57" s="79"/>
      <x:c r="J57" s="79" t="str">
        <x:v>EDIBLE</x:v>
      </x:c>
      <x:c r="K57" s="79" t="str">
        <x:v>بله</x:v>
      </x:c>
      <x:c r="L57" s="79" t="n">
        <x:v>1</x:v>
      </x:c>
      <x:c r="M57" s="79" t="n">
        <x:v>0</x:v>
      </x:c>
      <x:c r="N57" s="79" t="str">
        <x:v>OK</x:v>
      </x:c>
      <x:c r="O57" s="79" t="str">
        <x:v>دسته از «نیاز به بررسی» به «ادویه» اصلاح شد</x:v>
      </x:c>
      <x:c r="P57" s="79" t="str">
        <x:v>[{"name": "کیلو", "sku": "", "price": 900000, "stock": "", "weight": 1, "weightUnit": "kg", "containerSize": "کیلو", "isDefault": true}]</x:v>
      </x:c>
    </x:row>
    <x:row r="58">
      <x:c r="A58" s="79" t="str">
        <x:v>لیمو ببری</x:v>
      </x:c>
      <x:c r="B58" s="79" t="str">
        <x:v>lemon_tiger</x:v>
      </x:c>
      <x:c r="C58" s="79" t="str">
        <x:v>update_grouped_product</x:v>
      </x:c>
      <x:c r="D58" s="79" t="str">
        <x:v>368</x:v>
      </x:c>
      <x:c r="E58" s="79" t="str">
        <x:v>لیمو ببری</x:v>
      </x:c>
      <x:c r="F58" s="79" t="str">
        <x:v>ادویه</x:v>
      </x:c>
      <x:c r="G58" s="79" t="str">
        <x:v>6a3781e4df5573f4e676e226</x:v>
      </x:c>
      <x:c r="H58" s="79" t="str">
        <x:v>spice</x:v>
      </x:c>
      <x:c r="I58" s="79"/>
      <x:c r="J58" s="79" t="str">
        <x:v>EDIBLE</x:v>
      </x:c>
      <x:c r="K58" s="79" t="str">
        <x:v>بله</x:v>
      </x:c>
      <x:c r="L58" s="79" t="n">
        <x:v>1</x:v>
      </x:c>
      <x:c r="M58" s="79" t="n">
        <x:v>0</x:v>
      </x:c>
      <x:c r="N58" s="79" t="str">
        <x:v>OK</x:v>
      </x:c>
      <x:c r="O58" s="79" t="str">
        <x:v>دسته از «نیاز به بررسی» به «ادویه» اصلاح شد</x:v>
      </x:c>
      <x:c r="P58" s="79" t="str">
        <x:v>[{"name": "کیلو", "sku": "", "price": 2200000, "stock": "", "weight": 1, "weightUnit": "kg", "containerSize": "کیلو", "isDefault": true}]</x:v>
      </x:c>
    </x:row>
    <x:row r="59">
      <x:c r="A59" s="79" t="str">
        <x:v>موسیر</x:v>
      </x:c>
      <x:c r="B59" s="79" t="str">
        <x:v>mvsyr</x:v>
      </x:c>
      <x:c r="C59" s="79" t="str">
        <x:v>update_grouped_product</x:v>
      </x:c>
      <x:c r="D59" s="79" t="str">
        <x:v>371</x:v>
      </x:c>
      <x:c r="E59" s="79" t="str">
        <x:v>موسیر</x:v>
      </x:c>
      <x:c r="F59" s="79" t="str">
        <x:v>ادویه</x:v>
      </x:c>
      <x:c r="G59" s="79" t="str">
        <x:v>6a3781e4df5573f4e676e226</x:v>
      </x:c>
      <x:c r="H59" s="79" t="str">
        <x:v>spice</x:v>
      </x:c>
      <x:c r="I59" s="79"/>
      <x:c r="J59" s="79" t="str">
        <x:v>EDIBLE</x:v>
      </x:c>
      <x:c r="K59" s="79" t="str">
        <x:v>بله</x:v>
      </x:c>
      <x:c r="L59" s="79" t="n">
        <x:v>1</x:v>
      </x:c>
      <x:c r="M59" s="79" t="n">
        <x:v>0</x:v>
      </x:c>
      <x:c r="N59" s="79" t="str">
        <x:v>OK</x:v>
      </x:c>
      <x:c r="O59" s="79"/>
      <x:c r="P59" s="79" t="str">
        <x:v>[{"name": "کیلو", "sku": "", "price": 3500000, "stock": "", "weight": 1, "weightUnit": "kg", "containerSize": "کیلو", "isDefault": true}]</x:v>
      </x:c>
    </x:row>
    <x:row r="60">
      <x:c r="A60" s="79" t="str">
        <x:v>میخک</x:v>
      </x:c>
      <x:c r="B60" s="79" t="str">
        <x:v>clove</x:v>
      </x:c>
      <x:c r="C60" s="79" t="str">
        <x:v>update_grouped_product</x:v>
      </x:c>
      <x:c r="D60" s="79" t="str">
        <x:v>372</x:v>
      </x:c>
      <x:c r="E60" s="79" t="str">
        <x:v>میخک</x:v>
      </x:c>
      <x:c r="F60" s="79" t="str">
        <x:v>ادویه</x:v>
      </x:c>
      <x:c r="G60" s="79" t="str">
        <x:v>6a3781e4df5573f4e676e226</x:v>
      </x:c>
      <x:c r="H60" s="79" t="str">
        <x:v>spice</x:v>
      </x:c>
      <x:c r="I60" s="79"/>
      <x:c r="J60" s="79" t="str">
        <x:v>EDIBLE</x:v>
      </x:c>
      <x:c r="K60" s="79" t="str">
        <x:v>بله</x:v>
      </x:c>
      <x:c r="L60" s="79" t="n">
        <x:v>1</x:v>
      </x:c>
      <x:c r="M60" s="79" t="n">
        <x:v>0</x:v>
      </x:c>
      <x:c r="N60" s="79" t="str">
        <x:v>OK</x:v>
      </x:c>
      <x:c r="O60" s="79"/>
      <x:c r="P60" s="79" t="str">
        <x:v>[{"name": "کیلو", "sku": "", "price": 3300000, "stock": "", "weight": 1, "weightUnit": "kg", "containerSize": "کیلو", "isDefault": true}]</x:v>
      </x:c>
    </x:row>
    <x:row r="61">
      <x:c r="A61" s="79" t="str">
        <x:v>نمک ارومیه</x:v>
      </x:c>
      <x:c r="B61" s="79" t="str">
        <x:v>urmia_salt</x:v>
      </x:c>
      <x:c r="C61" s="79" t="str">
        <x:v>update_grouped_product</x:v>
      </x:c>
      <x:c r="D61" s="79" t="str">
        <x:v>377</x:v>
      </x:c>
      <x:c r="E61" s="79" t="str">
        <x:v>نمک ارومیه</x:v>
      </x:c>
      <x:c r="F61" s="79" t="str">
        <x:v>ادویه</x:v>
      </x:c>
      <x:c r="G61" s="79" t="str">
        <x:v>6a3781e4df5573f4e676e226</x:v>
      </x:c>
      <x:c r="H61" s="79" t="str">
        <x:v>spice</x:v>
      </x:c>
      <x:c r="I61" s="79"/>
      <x:c r="J61" s="79" t="str">
        <x:v>EDIBLE</x:v>
      </x:c>
      <x:c r="K61" s="79" t="str">
        <x:v>بله</x:v>
      </x:c>
      <x:c r="L61" s="79" t="n">
        <x:v>1</x:v>
      </x:c>
      <x:c r="M61" s="79" t="n">
        <x:v>0</x:v>
      </x:c>
      <x:c r="N61" s="79" t="str">
        <x:v>OK</x:v>
      </x:c>
      <x:c r="O61" s="79"/>
      <x:c r="P61" s="79" t="str">
        <x:v>[{"name": "بسته ای", "sku": "", "price": 120000, "stock": "", "weight": "", "weightUnit": "", "containerSize": "بسته ای", "isDefault": true}]</x:v>
      </x:c>
    </x:row>
    <x:row r="62">
      <x:c r="A62" s="79" t="str">
        <x:v>نمک جهرم دل نمک</x:v>
      </x:c>
      <x:c r="B62" s="79" t="str">
        <x:v>salt_jhrm_dl_salt</x:v>
      </x:c>
      <x:c r="C62" s="79" t="str">
        <x:v>update_grouped_product</x:v>
      </x:c>
      <x:c r="D62" s="79" t="str">
        <x:v>378</x:v>
      </x:c>
      <x:c r="E62" s="79" t="str">
        <x:v>نمک جهرم دل نمک</x:v>
      </x:c>
      <x:c r="F62" s="79" t="str">
        <x:v>ادویه</x:v>
      </x:c>
      <x:c r="G62" s="79" t="str">
        <x:v>6a3781e4df5573f4e676e226</x:v>
      </x:c>
      <x:c r="H62" s="79" t="str">
        <x:v>spice</x:v>
      </x:c>
      <x:c r="I62" s="79"/>
      <x:c r="J62" s="79" t="str">
        <x:v>EDIBLE</x:v>
      </x:c>
      <x:c r="K62" s="79" t="str">
        <x:v>بله</x:v>
      </x:c>
      <x:c r="L62" s="79" t="n">
        <x:v>1</x:v>
      </x:c>
      <x:c r="M62" s="79" t="n">
        <x:v>0</x:v>
      </x:c>
      <x:c r="N62" s="79" t="str">
        <x:v>OK</x:v>
      </x:c>
      <x:c r="O62" s="79"/>
      <x:c r="P62" s="79" t="str">
        <x:v>[{"name": "کیلو", "sku": "", "price": 220000, "stock": "", "weight": 1, "weightUnit": "kg", "containerSize": "کیلو", "isDefault": true}]</x:v>
      </x:c>
    </x:row>
    <x:row r="63">
      <x:c r="A63" s="79" t="str">
        <x:v>نمک دریا</x:v>
      </x:c>
      <x:c r="B63" s="79" t="str">
        <x:v>sea_salt</x:v>
      </x:c>
      <x:c r="C63" s="79" t="str">
        <x:v>update_grouped_product</x:v>
      </x:c>
      <x:c r="D63" s="79" t="str">
        <x:v>379</x:v>
      </x:c>
      <x:c r="E63" s="79" t="str">
        <x:v>نمک دریا</x:v>
      </x:c>
      <x:c r="F63" s="79" t="str">
        <x:v>ادویه</x:v>
      </x:c>
      <x:c r="G63" s="79" t="str">
        <x:v>6a3781e4df5573f4e676e226</x:v>
      </x:c>
      <x:c r="H63" s="79" t="str">
        <x:v>spice</x:v>
      </x:c>
      <x:c r="I63" s="79"/>
      <x:c r="J63" s="79" t="str">
        <x:v>EDIBLE</x:v>
      </x:c>
      <x:c r="K63" s="79" t="str">
        <x:v>بله</x:v>
      </x:c>
      <x:c r="L63" s="79" t="n">
        <x:v>1</x:v>
      </x:c>
      <x:c r="M63" s="79" t="n">
        <x:v>0</x:v>
      </x:c>
      <x:c r="N63" s="79" t="str">
        <x:v>OK</x:v>
      </x:c>
      <x:c r="O63" s="79"/>
      <x:c r="P63" s="79" t="str">
        <x:v>[{"name": "بسته ای", "sku": "", "price": 100000, "stock": "", "weight": "", "weightUnit": "", "containerSize": "بسته ای", "isDefault": true}]</x:v>
      </x:c>
    </x:row>
    <x:row r="64">
      <x:c r="A64" s="79" t="str">
        <x:v>نمک صورتی</x:v>
      </x:c>
      <x:c r="B64" s="79" t="str">
        <x:v>pink_salt</x:v>
      </x:c>
      <x:c r="C64" s="79" t="str">
        <x:v>update_grouped_product</x:v>
      </x:c>
      <x:c r="D64" s="79" t="str">
        <x:v>380, 381</x:v>
      </x:c>
      <x:c r="E64" s="79" t="str">
        <x:v>نمک صورتی | نمک صورتی سنگ</x:v>
      </x:c>
      <x:c r="F64" s="79" t="str">
        <x:v>ادویه</x:v>
      </x:c>
      <x:c r="G64" s="79" t="str">
        <x:v>6a3781e4df5573f4e676e226</x:v>
      </x:c>
      <x:c r="H64" s="79" t="str">
        <x:v>spice</x:v>
      </x:c>
      <x:c r="I64" s="79"/>
      <x:c r="J64" s="79" t="str">
        <x:v>EDIBLE</x:v>
      </x:c>
      <x:c r="K64" s="79" t="str">
        <x:v>بله</x:v>
      </x:c>
      <x:c r="L64" s="79" t="n">
        <x:v>2</x:v>
      </x:c>
      <x:c r="M64" s="79" t="n">
        <x:v>0</x:v>
      </x:c>
      <x:c r="N64" s="79" t="str">
        <x:v>MERGED</x:v>
      </x:c>
      <x:c r="O64" s="79" t="str">
        <x:v>2 ردیف مشابه با هم یکی شد</x:v>
      </x:c>
      <x:c r="P64" s="79" t="str">
        <x:v>[{"name": "پودری - کیلو", "sku": "", "price": 150000, "stock": "", "weight": 1, "weightUnit": "kg", "containerSize": "کیلو", "isDefault": true}, {"name": "سنگ - کیلو", "sku": "", "price": 120000, "stock": "", "weight": 1, "weightUnit": "kg", "containerSize": "کیلو", "isDefault": false}]</x:v>
      </x:c>
    </x:row>
    <x:row r="65">
      <x:c r="A65" s="79" t="str">
        <x:v>نمک نارنجی</x:v>
      </x:c>
      <x:c r="B65" s="79" t="str">
        <x:v>salt_orange</x:v>
      </x:c>
      <x:c r="C65" s="79" t="str">
        <x:v>update_grouped_product</x:v>
      </x:c>
      <x:c r="D65" s="79" t="str">
        <x:v>382</x:v>
      </x:c>
      <x:c r="E65" s="79" t="str">
        <x:v>نمک نارنجی</x:v>
      </x:c>
      <x:c r="F65" s="79" t="str">
        <x:v>ادویه</x:v>
      </x:c>
      <x:c r="G65" s="79" t="str">
        <x:v>6a3781e4df5573f4e676e226</x:v>
      </x:c>
      <x:c r="H65" s="79" t="str">
        <x:v>spice</x:v>
      </x:c>
      <x:c r="I65" s="79"/>
      <x:c r="J65" s="79" t="str">
        <x:v>EDIBLE</x:v>
      </x:c>
      <x:c r="K65" s="79" t="str">
        <x:v>بله</x:v>
      </x:c>
      <x:c r="L65" s="79" t="n">
        <x:v>1</x:v>
      </x:c>
      <x:c r="M65" s="79" t="n">
        <x:v>0</x:v>
      </x:c>
      <x:c r="N65" s="79" t="str">
        <x:v>OK</x:v>
      </x:c>
      <x:c r="O65" s="79"/>
      <x:c r="P65" s="79" t="str">
        <x:v>[{"name": "کیلو", "sku": "", "price": 150000, "stock": "", "weight": 1, "weightUnit": "kg", "containerSize": "کیلو", "isDefault": true}]</x:v>
      </x:c>
    </x:row>
    <x:row r="66">
      <x:c r="A66" s="79" t="str">
        <x:v>نمک نخودی (سنگ)</x:v>
      </x:c>
      <x:c r="B66" s="79" t="str">
        <x:v>salt_chickpea</x:v>
      </x:c>
      <x:c r="C66" s="79" t="str">
        <x:v>update_grouped_product</x:v>
      </x:c>
      <x:c r="D66" s="79" t="str">
        <x:v>383</x:v>
      </x:c>
      <x:c r="E66" s="79" t="str">
        <x:v>نمک نخودی (سنگ)</x:v>
      </x:c>
      <x:c r="F66" s="79" t="str">
        <x:v>ادویه</x:v>
      </x:c>
      <x:c r="G66" s="79" t="str">
        <x:v>6a3781e4df5573f4e676e226</x:v>
      </x:c>
      <x:c r="H66" s="79" t="str">
        <x:v>spice</x:v>
      </x:c>
      <x:c r="I66" s="79"/>
      <x:c r="J66" s="79" t="str">
        <x:v>EDIBLE</x:v>
      </x:c>
      <x:c r="K66" s="79" t="str">
        <x:v>بله</x:v>
      </x:c>
      <x:c r="L66" s="79" t="n">
        <x:v>1</x:v>
      </x:c>
      <x:c r="M66" s="79" t="n">
        <x:v>0</x:v>
      </x:c>
      <x:c r="N66" s="79" t="str">
        <x:v>OK</x:v>
      </x:c>
      <x:c r="O66" s="79"/>
      <x:c r="P66" s="79" t="str">
        <x:v>[{"name": "کیلو", "sku": "", "price": 50000, "stock": "", "weight": 1, "weightUnit": "kg", "containerSize": "کیلو", "isDefault": true}]</x:v>
      </x:c>
    </x:row>
    <x:row r="67">
      <x:c r="A67" s="79" t="str">
        <x:v>هل باد</x:v>
      </x:c>
      <x:c r="B67" s="79" t="str">
        <x:v>cardamom_pods</x:v>
      </x:c>
      <x:c r="C67" s="79" t="str">
        <x:v>update_grouped_product</x:v>
      </x:c>
      <x:c r="D67" s="79" t="str">
        <x:v>387</x:v>
      </x:c>
      <x:c r="E67" s="79" t="str">
        <x:v>هل باد</x:v>
      </x:c>
      <x:c r="F67" s="79" t="str">
        <x:v>ادویه</x:v>
      </x:c>
      <x:c r="G67" s="79" t="str">
        <x:v>6a3781e4df5573f4e676e226</x:v>
      </x:c>
      <x:c r="H67" s="79" t="str">
        <x:v>spice</x:v>
      </x:c>
      <x:c r="I67" s="79"/>
      <x:c r="J67" s="79" t="str">
        <x:v>EDIBLE</x:v>
      </x:c>
      <x:c r="K67" s="79" t="str">
        <x:v>بله</x:v>
      </x:c>
      <x:c r="L67" s="79" t="n">
        <x:v>1</x:v>
      </x:c>
      <x:c r="M67" s="79" t="n">
        <x:v>0</x:v>
      </x:c>
      <x:c r="N67" s="79" t="str">
        <x:v>OK</x:v>
      </x:c>
      <x:c r="O67" s="79"/>
      <x:c r="P67" s="79" t="str">
        <x:v>[{"name": "کیلو", "sku": "", "price": 3500000, "stock": "", "weight": 1, "weightUnit": "kg", "containerSize": "کیلو", "isDefault": true}]</x:v>
      </x:c>
    </x:row>
    <x:row r="68">
      <x:c r="A68" s="79" t="str">
        <x:v>هل پودر</x:v>
      </x:c>
      <x:c r="B68" s="79" t="str">
        <x:v>cardamom_powder</x:v>
      </x:c>
      <x:c r="C68" s="79" t="str">
        <x:v>update_grouped_product</x:v>
      </x:c>
      <x:c r="D68" s="79" t="str">
        <x:v>388</x:v>
      </x:c>
      <x:c r="E68" s="79" t="str">
        <x:v>هل پودر</x:v>
      </x:c>
      <x:c r="F68" s="79" t="str">
        <x:v>ادویه</x:v>
      </x:c>
      <x:c r="G68" s="79" t="str">
        <x:v>6a3781e4df5573f4e676e226</x:v>
      </x:c>
      <x:c r="H68" s="79" t="str">
        <x:v>spice</x:v>
      </x:c>
      <x:c r="I68" s="79"/>
      <x:c r="J68" s="79" t="str">
        <x:v>EDIBLE</x:v>
      </x:c>
      <x:c r="K68" s="79" t="str">
        <x:v>بله</x:v>
      </x:c>
      <x:c r="L68" s="79" t="n">
        <x:v>1</x:v>
      </x:c>
      <x:c r="M68" s="79" t="n">
        <x:v>0</x:v>
      </x:c>
      <x:c r="N68" s="79" t="str">
        <x:v>OK</x:v>
      </x:c>
      <x:c r="O68" s="79"/>
      <x:c r="P68" s="79" t="str">
        <x:v>[{"name": "کیلو", "sku": "", "price": 12500000, "stock": "", "weight": 1, "weightUnit": "kg", "containerSize": "کیلو", "isDefault": true}]</x:v>
      </x:c>
    </x:row>
    <x:row r="69">
      <x:c r="A69" s="79" t="str">
        <x:v>هل پیور اسپایس</x:v>
      </x:c>
      <x:c r="B69" s="79" t="str">
        <x:v>cardamom_pure_spice</x:v>
      </x:c>
      <x:c r="C69" s="79" t="str">
        <x:v>update_grouped_product</x:v>
      </x:c>
      <x:c r="D69" s="79" t="str">
        <x:v>389</x:v>
      </x:c>
      <x:c r="E69" s="79" t="str">
        <x:v>هل پیور اسپایس</x:v>
      </x:c>
      <x:c r="F69" s="79" t="str">
        <x:v>ادویه</x:v>
      </x:c>
      <x:c r="G69" s="79" t="str">
        <x:v>6a3781e4df5573f4e676e226</x:v>
      </x:c>
      <x:c r="H69" s="79" t="str">
        <x:v>spice</x:v>
      </x:c>
      <x:c r="I69" s="79"/>
      <x:c r="J69" s="79" t="str">
        <x:v>EDIBLE</x:v>
      </x:c>
      <x:c r="K69" s="79" t="str">
        <x:v>بله</x:v>
      </x:c>
      <x:c r="L69" s="79" t="n">
        <x:v>1</x:v>
      </x:c>
      <x:c r="M69" s="79" t="n">
        <x:v>0</x:v>
      </x:c>
      <x:c r="N69" s="79" t="str">
        <x:v>OK</x:v>
      </x:c>
      <x:c r="O69" s="79"/>
      <x:c r="P69" s="79" t="str">
        <x:v>[{"name": "کیلو", "sku": "", "price": 12500000, "stock": "", "weight": 1, "weightUnit": "kg", "containerSize": "کیلو", "isDefault": true}]</x:v>
      </x:c>
    </x:row>
    <x:row r="70">
      <x:c r="A70" s="79" t="str">
        <x:v>هلیله سیاه</x:v>
      </x:c>
      <x:c r="B70" s="79" t="str">
        <x:v>chebulic_myrobalan_black</x:v>
      </x:c>
      <x:c r="C70" s="79" t="str">
        <x:v>update_grouped_product</x:v>
      </x:c>
      <x:c r="D70" s="79" t="str">
        <x:v>390</x:v>
      </x:c>
      <x:c r="E70" s="79" t="str">
        <x:v>هلیله سیاه</x:v>
      </x:c>
      <x:c r="F70" s="79" t="str">
        <x:v>ادویه</x:v>
      </x:c>
      <x:c r="G70" s="79" t="str">
        <x:v>6a3781e4df5573f4e676e226</x:v>
      </x:c>
      <x:c r="H70" s="79" t="str">
        <x:v>spice</x:v>
      </x:c>
      <x:c r="I70" s="79"/>
      <x:c r="J70" s="79" t="str">
        <x:v>EDIBLE</x:v>
      </x:c>
      <x:c r="K70" s="79" t="str">
        <x:v>بله</x:v>
      </x:c>
      <x:c r="L70" s="79" t="n">
        <x:v>1</x:v>
      </x:c>
      <x:c r="M70" s="79" t="n">
        <x:v>0</x:v>
      </x:c>
      <x:c r="N70" s="79" t="str">
        <x:v>OK</x:v>
      </x:c>
      <x:c r="O70" s="79"/>
      <x:c r="P70" s="79" t="str">
        <x:v>[{"name": "کیلو", "sku": "", "price": 1500000, "stock": "", "weight": 1, "weightUnit": "kg", "containerSize": "کیلو", "isDefault": true}]</x:v>
      </x:c>
    </x:row>
    <x:row r="71">
      <x:c r="A71" s="79" t="str">
        <x:v>پاپریکا</x:v>
      </x:c>
      <x:c r="B71" s="79" t="str">
        <x:v>paprika</x:v>
      </x:c>
      <x:c r="C71" s="79" t="str">
        <x:v>update_grouped_product</x:v>
      </x:c>
      <x:c r="D71" s="79" t="str">
        <x:v>55</x:v>
      </x:c>
      <x:c r="E71" s="79" t="str">
        <x:v>پاپریکا</x:v>
      </x:c>
      <x:c r="F71" s="79" t="str">
        <x:v>ادویه</x:v>
      </x:c>
      <x:c r="G71" s="79" t="str">
        <x:v>6a3781e4df5573f4e676e226</x:v>
      </x:c>
      <x:c r="H71" s="79" t="str">
        <x:v>spice</x:v>
      </x:c>
      <x:c r="I71" s="79"/>
      <x:c r="J71" s="79" t="str">
        <x:v>EDIBLE</x:v>
      </x:c>
      <x:c r="K71" s="79" t="str">
        <x:v>بله</x:v>
      </x:c>
      <x:c r="L71" s="79" t="n">
        <x:v>1</x:v>
      </x:c>
      <x:c r="M71" s="79" t="n">
        <x:v>0</x:v>
      </x:c>
      <x:c r="N71" s="79" t="str">
        <x:v>OK</x:v>
      </x:c>
      <x:c r="O71" s="79"/>
      <x:c r="P71" s="79" t="str">
        <x:v>[{"name": "کیلو", "sku": "", "price": 990000, "stock": "", "weight": 1, "weightUnit": "kg", "containerSize": "کیلو", "isDefault": true}]</x:v>
      </x:c>
    </x:row>
    <x:row r="72">
      <x:c r="A72" s="79" t="str">
        <x:v>پیاز پودر</x:v>
      </x:c>
      <x:c r="B72" s="79" t="str">
        <x:v>onion_powder</x:v>
      </x:c>
      <x:c r="C72" s="79" t="str">
        <x:v>update_grouped_product</x:v>
      </x:c>
      <x:c r="D72" s="79" t="str">
        <x:v>68</x:v>
      </x:c>
      <x:c r="E72" s="79" t="str">
        <x:v>پیاز پودر</x:v>
      </x:c>
      <x:c r="F72" s="79" t="str">
        <x:v>ادویه</x:v>
      </x:c>
      <x:c r="G72" s="79" t="str">
        <x:v>6a3781e4df5573f4e676e226</x:v>
      </x:c>
      <x:c r="H72" s="79" t="str">
        <x:v>spice</x:v>
      </x:c>
      <x:c r="I72" s="79"/>
      <x:c r="J72" s="79" t="str">
        <x:v>EDIBLE</x:v>
      </x:c>
      <x:c r="K72" s="79" t="str">
        <x:v>بله</x:v>
      </x:c>
      <x:c r="L72" s="79" t="n">
        <x:v>1</x:v>
      </x:c>
      <x:c r="M72" s="79" t="n">
        <x:v>0</x:v>
      </x:c>
      <x:c r="N72" s="79" t="str">
        <x:v>OK</x:v>
      </x:c>
      <x:c r="O72" s="79"/>
      <x:c r="P72" s="79" t="str">
        <x:v>[{"name": "کیلو", "sku": "", "price": 700000, "stock": "", "weight": 1, "weightUnit": "kg", "containerSize": "کیلو", "isDefault": true}]</x:v>
      </x:c>
    </x:row>
    <x:row r="73">
      <x:c r="A73" s="79" t="str">
        <x:v>گشنیز</x:v>
      </x:c>
      <x:c r="B73" s="79" t="str">
        <x:v>coriander</x:v>
      </x:c>
      <x:c r="C73" s="79" t="str">
        <x:v>update_grouped_product</x:v>
      </x:c>
      <x:c r="D73" s="79" t="str">
        <x:v>356</x:v>
      </x:c>
      <x:c r="E73" s="79" t="str">
        <x:v>گشنیز</x:v>
      </x:c>
      <x:c r="F73" s="79" t="str">
        <x:v>ادویه</x:v>
      </x:c>
      <x:c r="G73" s="79" t="str">
        <x:v>6a3781e4df5573f4e676e226</x:v>
      </x:c>
      <x:c r="H73" s="79" t="str">
        <x:v>spice</x:v>
      </x:c>
      <x:c r="I73" s="79"/>
      <x:c r="J73" s="79" t="str">
        <x:v>EDIBLE</x:v>
      </x:c>
      <x:c r="K73" s="79" t="str">
        <x:v>بله</x:v>
      </x:c>
      <x:c r="L73" s="79" t="n">
        <x:v>1</x:v>
      </x:c>
      <x:c r="M73" s="79" t="n">
        <x:v>0</x:v>
      </x:c>
      <x:c r="N73" s="79" t="str">
        <x:v>OK</x:v>
      </x:c>
      <x:c r="O73" s="79" t="str">
        <x:v>دسته از «نیاز به بررسی» به «ادویه» اصلاح شد</x:v>
      </x:c>
      <x:c r="P73" s="79" t="str">
        <x:v>[{"name": "کیلو", "sku": "", "price": 450000, "stock": "", "weight": 1, "weightUnit": "kg", "containerSize": "کیلو", "isDefault": true}]</x:v>
      </x:c>
    </x:row>
    <x:row r="74">
      <x:c r="A74" s="79" t="str">
        <x:v>گلپر</x:v>
      </x:c>
      <x:c r="B74" s="79" t="str">
        <x:v>golpar</x:v>
      </x:c>
      <x:c r="C74" s="79" t="str">
        <x:v>update_grouped_product</x:v>
      </x:c>
      <x:c r="D74" s="79" t="str">
        <x:v>361</x:v>
      </x:c>
      <x:c r="E74" s="79" t="str">
        <x:v>گلپر</x:v>
      </x:c>
      <x:c r="F74" s="79" t="str">
        <x:v>ادویه</x:v>
      </x:c>
      <x:c r="G74" s="79" t="str">
        <x:v>6a3781e4df5573f4e676e226</x:v>
      </x:c>
      <x:c r="H74" s="79" t="str">
        <x:v>spice</x:v>
      </x:c>
      <x:c r="I74" s="79"/>
      <x:c r="J74" s="79" t="str">
        <x:v>EDIBLE</x:v>
      </x:c>
      <x:c r="K74" s="79" t="str">
        <x:v>بله</x:v>
      </x:c>
      <x:c r="L74" s="79" t="n">
        <x:v>1</x:v>
      </x:c>
      <x:c r="M74" s="79" t="n">
        <x:v>0</x:v>
      </x:c>
      <x:c r="N74" s="79" t="str">
        <x:v>OK</x:v>
      </x:c>
      <x:c r="O74" s="79"/>
      <x:c r="P74" s="79" t="str">
        <x:v>[{"name": "کیلو", "sku": "", "price": 450000, "stock": "", "weight": 1, "weightUnit": "kg", "containerSize": "کیلو", "isDefault": true}]</x:v>
      </x:c>
    </x:row>
    <x:row r="75">
      <x:c r="A75" s="79" t="str">
        <x:v>گوجه پودر</x:v>
      </x:c>
      <x:c r="B75" s="79" t="str">
        <x:v>tomato_powder</x:v>
      </x:c>
      <x:c r="C75" s="79" t="str">
        <x:v>update_grouped_product</x:v>
      </x:c>
      <x:c r="D75" s="79" t="str">
        <x:v>364</x:v>
      </x:c>
      <x:c r="E75" s="79" t="str">
        <x:v>گوجه پودر</x:v>
      </x:c>
      <x:c r="F75" s="79" t="str">
        <x:v>ادویه</x:v>
      </x:c>
      <x:c r="G75" s="79" t="str">
        <x:v>6a3781e4df5573f4e676e226</x:v>
      </x:c>
      <x:c r="H75" s="79" t="str">
        <x:v>spice</x:v>
      </x:c>
      <x:c r="I75" s="79"/>
      <x:c r="J75" s="79" t="str">
        <x:v>EDIBLE</x:v>
      </x:c>
      <x:c r="K75" s="79" t="str">
        <x:v>بله</x:v>
      </x:c>
      <x:c r="L75" s="79" t="n">
        <x:v>1</x:v>
      </x:c>
      <x:c r="M75" s="79" t="n">
        <x:v>0</x:v>
      </x:c>
      <x:c r="N75" s="79" t="str">
        <x:v>OK</x:v>
      </x:c>
      <x:c r="O75" s="79"/>
      <x:c r="P75" s="79" t="str">
        <x:v>[{"name": "کیلو", "sku": "", "price": 790000, "stock": "", "weight": 1, "weightUnit": "kg", "containerSize": "کیلو", "isDefault": true}]</x:v>
      </x:c>
    </x:row>
    <x:row r="76">
      <x:c r="A76" s="79" t="str">
        <x:v>اسپند نخودی</x:v>
      </x:c>
      <x:c r="B76" s="79" t="str">
        <x:v>espand_chickpea</x:v>
      </x:c>
      <x:c r="C76" s="79" t="str">
        <x:v>update_grouped_product</x:v>
      </x:c>
      <x:c r="D76" s="79" t="str">
        <x:v>30</x:v>
      </x:c>
      <x:c r="E76" s="79" t="str">
        <x:v>اسپند نخودی</x:v>
      </x:c>
      <x:c r="F76" s="79" t="str">
        <x:v>حبوبات و غلات</x:v>
      </x:c>
      <x:c r="G76" s="79" t="str">
        <x:v>6a3a00000000000000000002</x:v>
      </x:c>
      <x:c r="H76" s="79" t="str">
        <x:v>legumes-grains</x:v>
      </x:c>
      <x:c r="I76" s="79"/>
      <x:c r="J76" s="79" t="str">
        <x:v>EDIBLE</x:v>
      </x:c>
      <x:c r="K76" s="79" t="str">
        <x:v>بله</x:v>
      </x:c>
      <x:c r="L76" s="79" t="n">
        <x:v>1</x:v>
      </x:c>
      <x:c r="M76" s="79" t="n">
        <x:v>0</x:v>
      </x:c>
      <x:c r="N76" s="79" t="str">
        <x:v>OK</x:v>
      </x:c>
      <x:c r="O76" s="79"/>
      <x:c r="P76" s="79" t="str">
        <x:v>[{"name": "کیلو", "sku": "", "price": 180000, "stock": "", "weight": 1, "weightUnit": "kg", "containerSize": "کیلو", "isDefault": true}]</x:v>
      </x:c>
    </x:row>
    <x:row r="77">
      <x:c r="A77" s="79" t="str">
        <x:v>باقلا خشک</x:v>
      </x:c>
      <x:c r="B77" s="79" t="str">
        <x:v>fava_bean_dried</x:v>
      </x:c>
      <x:c r="C77" s="79" t="str">
        <x:v>update_grouped_product</x:v>
      </x:c>
      <x:c r="D77" s="79" t="str">
        <x:v>49</x:v>
      </x:c>
      <x:c r="E77" s="79" t="str">
        <x:v>باقلا خشک</x:v>
      </x:c>
      <x:c r="F77" s="79" t="str">
        <x:v>حبوبات و غلات</x:v>
      </x:c>
      <x:c r="G77" s="79" t="str">
        <x:v>6a3a00000000000000000002</x:v>
      </x:c>
      <x:c r="H77" s="79" t="str">
        <x:v>legumes-grains</x:v>
      </x:c>
      <x:c r="I77" s="79"/>
      <x:c r="J77" s="79" t="str">
        <x:v>EDIBLE</x:v>
      </x:c>
      <x:c r="K77" s="79" t="str">
        <x:v>بله</x:v>
      </x:c>
      <x:c r="L77" s="79" t="n">
        <x:v>1</x:v>
      </x:c>
      <x:c r="M77" s="79" t="n">
        <x:v>0</x:v>
      </x:c>
      <x:c r="N77" s="79" t="str">
        <x:v>OK</x:v>
      </x:c>
      <x:c r="O77" s="79"/>
      <x:c r="P77" s="79" t="str">
        <x:v>[{"name": "کیلو", "sku": "", "price": 140000, "stock": "", "weight": 1, "weightUnit": "kg", "containerSize": "کیلو", "isDefault": true}]</x:v>
      </x:c>
    </x:row>
    <x:row r="78">
      <x:c r="A78" s="79" t="str">
        <x:v>جو دوسر پرک خارجی</x:v>
      </x:c>
      <x:c r="B78" s="79" t="str">
        <x:v>imported_rolled_oats</x:v>
      </x:c>
      <x:c r="C78" s="79" t="str">
        <x:v>update_grouped_product</x:v>
      </x:c>
      <x:c r="D78" s="79" t="str">
        <x:v>81</x:v>
      </x:c>
      <x:c r="E78" s="79" t="str">
        <x:v>جو دوسر پرک خارجی</x:v>
      </x:c>
      <x:c r="F78" s="79" t="str">
        <x:v>حبوبات و غلات</x:v>
      </x:c>
      <x:c r="G78" s="79" t="str">
        <x:v>6a3a00000000000000000002</x:v>
      </x:c>
      <x:c r="H78" s="79" t="str">
        <x:v>legumes-grains</x:v>
      </x:c>
      <x:c r="I78" s="79"/>
      <x:c r="J78" s="79" t="str">
        <x:v>EDIBLE</x:v>
      </x:c>
      <x:c r="K78" s="79" t="str">
        <x:v>بله</x:v>
      </x:c>
      <x:c r="L78" s="79" t="n">
        <x:v>1</x:v>
      </x:c>
      <x:c r="M78" s="79" t="n">
        <x:v>0</x:v>
      </x:c>
      <x:c r="N78" s="79" t="str">
        <x:v>OK</x:v>
      </x:c>
      <x:c r="O78" s="79"/>
      <x:c r="P78" s="79" t="str">
        <x:v>[{"name": "کیلو", "sku": "", "price": 490000, "stock": "", "weight": 1, "weightUnit": "kg", "containerSize": "کیلو", "isDefault": true}]</x:v>
      </x:c>
    </x:row>
    <x:row r="79">
      <x:c r="A79" s="79" t="str">
        <x:v>جوانه گندم</x:v>
      </x:c>
      <x:c r="B79" s="79" t="str">
        <x:v>wheat_germ_powder</x:v>
      </x:c>
      <x:c r="C79" s="79" t="str">
        <x:v>update_grouped_product</x:v>
      </x:c>
      <x:c r="D79" s="79" t="str">
        <x:v>82</x:v>
      </x:c>
      <x:c r="E79" s="79" t="str">
        <x:v>جوانه گندم</x:v>
      </x:c>
      <x:c r="F79" s="79" t="str">
        <x:v>حبوبات و غلات</x:v>
      </x:c>
      <x:c r="G79" s="79" t="str">
        <x:v>6a3a00000000000000000002</x:v>
      </x:c>
      <x:c r="H79" s="79" t="str">
        <x:v>legumes-grains</x:v>
      </x:c>
      <x:c r="I79" s="79"/>
      <x:c r="J79" s="79" t="str">
        <x:v>EDIBLE</x:v>
      </x:c>
      <x:c r="K79" s="79" t="str">
        <x:v>بله</x:v>
      </x:c>
      <x:c r="L79" s="79" t="n">
        <x:v>2</x:v>
      </x:c>
      <x:c r="M79" s="79" t="n">
        <x:v>0</x:v>
      </x:c>
      <x:c r="N79" s="79" t="str">
        <x:v>OK</x:v>
      </x:c>
      <x:c r="O79" s="79"/>
      <x:c r="P79" s="79" t="str">
        <x:v>[{"name": "پودر", "sku": "", "price": 340000, "stock": "", "weight": "", "weightUnit": "", "containerSize": "پودر", "isDefault": true}, {"name": "تازه", "sku": "", "price": 110000, "stock": "", "weight": "", "weightUnit": "", "containerSize": "تازه", "isDefault": false}]</x:v>
      </x:c>
    </x:row>
    <x:row r="80">
      <x:c r="A80" s="79" t="str">
        <x:v>جوش شیرین</x:v>
      </x:c>
      <x:c r="B80" s="79" t="str">
        <x:v>baking_soda</x:v>
      </x:c>
      <x:c r="C80" s="79" t="str">
        <x:v>update_grouped_product</x:v>
      </x:c>
      <x:c r="D80" s="79" t="str">
        <x:v>84</x:v>
      </x:c>
      <x:c r="E80" s="79" t="str">
        <x:v>جوش شیرین</x:v>
      </x:c>
      <x:c r="F80" s="79" t="str">
        <x:v>حبوبات و غلات</x:v>
      </x:c>
      <x:c r="G80" s="79" t="str">
        <x:v>6a3a00000000000000000002</x:v>
      </x:c>
      <x:c r="H80" s="79" t="str">
        <x:v>legumes-grains</x:v>
      </x:c>
      <x:c r="I80" s="79"/>
      <x:c r="J80" s="79" t="str">
        <x:v>EDIBLE</x:v>
      </x:c>
      <x:c r="K80" s="79" t="str">
        <x:v>بله</x:v>
      </x:c>
      <x:c r="L80" s="79" t="n">
        <x:v>1</x:v>
      </x:c>
      <x:c r="M80" s="79" t="n">
        <x:v>0</x:v>
      </x:c>
      <x:c r="N80" s="79" t="str">
        <x:v>OK</x:v>
      </x:c>
      <x:c r="O80" s="79"/>
      <x:c r="P80" s="79" t="str">
        <x:v>[{"name": "کیلو", "sku": "", "price": 180000, "stock": "", "weight": 1, "weightUnit": "kg", "containerSize": "کیلو", "isDefault": true}]</x:v>
      </x:c>
    </x:row>
    <x:row r="81">
      <x:c r="A81" s="79" t="str">
        <x:v>ذرت مکزیکی</x:v>
      </x:c>
      <x:c r="B81" s="79" t="str">
        <x:v>mexican_corn</x:v>
      </x:c>
      <x:c r="C81" s="79" t="str">
        <x:v>update_grouped_product</x:v>
      </x:c>
      <x:c r="D81" s="79" t="str">
        <x:v>119</x:v>
      </x:c>
      <x:c r="E81" s="79" t="str">
        <x:v>ذرت مکزیکی</x:v>
      </x:c>
      <x:c r="F81" s="79" t="str">
        <x:v>حبوبات و غلات</x:v>
      </x:c>
      <x:c r="G81" s="79" t="str">
        <x:v>6a3a00000000000000000002</x:v>
      </x:c>
      <x:c r="H81" s="79" t="str">
        <x:v>legumes-grains</x:v>
      </x:c>
      <x:c r="I81" s="79"/>
      <x:c r="J81" s="79" t="str">
        <x:v>EDIBLE</x:v>
      </x:c>
      <x:c r="K81" s="79" t="str">
        <x:v>بله</x:v>
      </x:c>
      <x:c r="L81" s="79" t="n">
        <x:v>1</x:v>
      </x:c>
      <x:c r="M81" s="79" t="n">
        <x:v>1</x:v>
      </x:c>
      <x:c r="N81" s="79" t="str">
        <x:v>MISSING_PRICE_REVIEW + 1 VARIANT_PRICE_MISSING</x:v>
      </x:c>
      <x:c r="O81" s="79" t="str">
        <x:v>یک یا چند قیمت نامشخص است</x:v>
      </x:c>
      <x:c r="P81" s="79" t="str">
        <x:v>[{"name": "کیلو", "sku": "", "price": null, "stock": "", "weight": 1, "weightUnit": "kg", "containerSize": "کیلو", "isDefault": true}]</x:v>
      </x:c>
    </x:row>
    <x:row r="82">
      <x:c r="A82" s="79" t="str">
        <x:v>سویق ترکیبی</x:v>
      </x:c>
      <x:c r="B82" s="79" t="str">
        <x:v>saviq_mixed</x:v>
      </x:c>
      <x:c r="C82" s="79" t="str">
        <x:v>update_grouped_product</x:v>
      </x:c>
      <x:c r="D82" s="79" t="str">
        <x:v>217</x:v>
      </x:c>
      <x:c r="E82" s="79" t="str">
        <x:v>سویق ترکیبی</x:v>
      </x:c>
      <x:c r="F82" s="79" t="str">
        <x:v>حبوبات و غلات</x:v>
      </x:c>
      <x:c r="G82" s="79" t="str">
        <x:v>6a3a00000000000000000002</x:v>
      </x:c>
      <x:c r="H82" s="79" t="str">
        <x:v>legumes-grains</x:v>
      </x:c>
      <x:c r="I82" s="79"/>
      <x:c r="J82" s="79" t="str">
        <x:v>EDIBLE</x:v>
      </x:c>
      <x:c r="K82" s="79" t="str">
        <x:v>بله</x:v>
      </x:c>
      <x:c r="L82" s="79" t="n">
        <x:v>1</x:v>
      </x:c>
      <x:c r="M82" s="79" t="n">
        <x:v>0</x:v>
      </x:c>
      <x:c r="N82" s="79" t="str">
        <x:v>OK</x:v>
      </x:c>
      <x:c r="O82" s="79" t="str">
        <x:v>دسته از «نیاز به بررسی» به «حبوبات و غلات» اصلاح شد</x:v>
      </x:c>
      <x:c r="P82" s="79" t="str">
        <x:v>[{"name": "کیلو", "sku": "", "price": 500000, "stock": "", "weight": 1, "weightUnit": "kg", "containerSize": "کیلو", "isDefault": true}]</x:v>
      </x:c>
    </x:row>
    <x:row r="83">
      <x:c r="A83" s="79" t="str">
        <x:v>سویق جوانه جو</x:v>
      </x:c>
      <x:c r="B83" s="79" t="str">
        <x:v>saviq_sprout_barley</x:v>
      </x:c>
      <x:c r="C83" s="79" t="str">
        <x:v>update_grouped_product</x:v>
      </x:c>
      <x:c r="D83" s="79" t="str">
        <x:v>218</x:v>
      </x:c>
      <x:c r="E83" s="79" t="str">
        <x:v>سویق جوانه جو</x:v>
      </x:c>
      <x:c r="F83" s="79" t="str">
        <x:v>حبوبات و غلات</x:v>
      </x:c>
      <x:c r="G83" s="79" t="str">
        <x:v>6a3a00000000000000000002</x:v>
      </x:c>
      <x:c r="H83" s="79" t="str">
        <x:v>legumes-grains</x:v>
      </x:c>
      <x:c r="I83" s="79"/>
      <x:c r="J83" s="79" t="str">
        <x:v>EDIBLE</x:v>
      </x:c>
      <x:c r="K83" s="79" t="str">
        <x:v>بله</x:v>
      </x:c>
      <x:c r="L83" s="79" t="n">
        <x:v>1</x:v>
      </x:c>
      <x:c r="M83" s="79" t="n">
        <x:v>0</x:v>
      </x:c>
      <x:c r="N83" s="79" t="str">
        <x:v>OK</x:v>
      </x:c>
      <x:c r="O83" s="79"/>
      <x:c r="P83" s="79" t="str">
        <x:v>[{"name": "کیلو", "sku": "", "price": 500000, "stock": "", "weight": 1, "weightUnit": "kg", "containerSize": "کیلو", "isDefault": true}]</x:v>
      </x:c>
    </x:row>
    <x:row r="84">
      <x:c r="A84" s="79" t="str">
        <x:v>سویق جوانه عدس</x:v>
      </x:c>
      <x:c r="B84" s="79" t="str">
        <x:v>saviq_sprout_lentil</x:v>
      </x:c>
      <x:c r="C84" s="79" t="str">
        <x:v>update_grouped_product</x:v>
      </x:c>
      <x:c r="D84" s="79" t="str">
        <x:v>219</x:v>
      </x:c>
      <x:c r="E84" s="79" t="str">
        <x:v>سویق جوانه عدس</x:v>
      </x:c>
      <x:c r="F84" s="79" t="str">
        <x:v>حبوبات و غلات</x:v>
      </x:c>
      <x:c r="G84" s="79" t="str">
        <x:v>6a3a00000000000000000002</x:v>
      </x:c>
      <x:c r="H84" s="79" t="str">
        <x:v>legumes-grains</x:v>
      </x:c>
      <x:c r="I84" s="79"/>
      <x:c r="J84" s="79" t="str">
        <x:v>EDIBLE</x:v>
      </x:c>
      <x:c r="K84" s="79" t="str">
        <x:v>بله</x:v>
      </x:c>
      <x:c r="L84" s="79" t="n">
        <x:v>1</x:v>
      </x:c>
      <x:c r="M84" s="79" t="n">
        <x:v>0</x:v>
      </x:c>
      <x:c r="N84" s="79" t="str">
        <x:v>OK</x:v>
      </x:c>
      <x:c r="O84" s="79"/>
      <x:c r="P84" s="79" t="str">
        <x:v>[{"name": "کیلو", "sku": "", "price": 450000, "stock": "", "weight": 1, "weightUnit": "kg", "containerSize": "کیلو", "isDefault": true}]</x:v>
      </x:c>
    </x:row>
    <x:row r="85">
      <x:c r="A85" s="79" t="str">
        <x:v>سویق جوانه ماش</x:v>
      </x:c>
      <x:c r="B85" s="79" t="str">
        <x:v>saviq_sprout_mung</x:v>
      </x:c>
      <x:c r="C85" s="79" t="str">
        <x:v>update_grouped_product</x:v>
      </x:c>
      <x:c r="D85" s="79" t="str">
        <x:v>221</x:v>
      </x:c>
      <x:c r="E85" s="79" t="str">
        <x:v>سویق جوانه ماش</x:v>
      </x:c>
      <x:c r="F85" s="79" t="str">
        <x:v>حبوبات و غلات</x:v>
      </x:c>
      <x:c r="G85" s="79" t="str">
        <x:v>6a3a00000000000000000002</x:v>
      </x:c>
      <x:c r="H85" s="79" t="str">
        <x:v>legumes-grains</x:v>
      </x:c>
      <x:c r="I85" s="79"/>
      <x:c r="J85" s="79" t="str">
        <x:v>EDIBLE</x:v>
      </x:c>
      <x:c r="K85" s="79" t="str">
        <x:v>بله</x:v>
      </x:c>
      <x:c r="L85" s="79" t="n">
        <x:v>1</x:v>
      </x:c>
      <x:c r="M85" s="79" t="n">
        <x:v>0</x:v>
      </x:c>
      <x:c r="N85" s="79" t="str">
        <x:v>OK</x:v>
      </x:c>
      <x:c r="O85" s="79"/>
      <x:c r="P85" s="79" t="str">
        <x:v>[{"name": "کیلو", "sku": "", "price": 450000, "stock": "", "weight": 1, "weightUnit": "kg", "containerSize": "کیلو", "isDefault": true}]</x:v>
      </x:c>
    </x:row>
    <x:row r="86">
      <x:c r="A86" s="79" t="str">
        <x:v>سویق جوانه گندم</x:v>
      </x:c>
      <x:c r="B86" s="79" t="str">
        <x:v>saviq_sprout_wheat</x:v>
      </x:c>
      <x:c r="C86" s="79" t="str">
        <x:v>update_grouped_product</x:v>
      </x:c>
      <x:c r="D86" s="79" t="str">
        <x:v>220</x:v>
      </x:c>
      <x:c r="E86" s="79" t="str">
        <x:v>سویق جوانه گندم</x:v>
      </x:c>
      <x:c r="F86" s="79" t="str">
        <x:v>حبوبات و غلات</x:v>
      </x:c>
      <x:c r="G86" s="79" t="str">
        <x:v>6a3a00000000000000000002</x:v>
      </x:c>
      <x:c r="H86" s="79" t="str">
        <x:v>legumes-grains</x:v>
      </x:c>
      <x:c r="I86" s="79"/>
      <x:c r="J86" s="79" t="str">
        <x:v>EDIBLE</x:v>
      </x:c>
      <x:c r="K86" s="79" t="str">
        <x:v>بله</x:v>
      </x:c>
      <x:c r="L86" s="79" t="n">
        <x:v>1</x:v>
      </x:c>
      <x:c r="M86" s="79" t="n">
        <x:v>0</x:v>
      </x:c>
      <x:c r="N86" s="79" t="str">
        <x:v>OK</x:v>
      </x:c>
      <x:c r="O86" s="79"/>
      <x:c r="P86" s="79" t="str">
        <x:v>[{"name": "کیلو", "sku": "", "price": 380000, "stock": "", "weight": 1, "weightUnit": "kg", "containerSize": "کیلو", "isDefault": true}]</x:v>
      </x:c>
    </x:row>
    <x:row r="87">
      <x:c r="A87" s="79" t="str">
        <x:v>کینوا سفید</x:v>
      </x:c>
      <x:c r="B87" s="79" t="str">
        <x:v>white_quinoa</x:v>
      </x:c>
      <x:c r="C87" s="79" t="str">
        <x:v>update_grouped_product</x:v>
      </x:c>
      <x:c r="D87" s="79" t="str">
        <x:v>354</x:v>
      </x:c>
      <x:c r="E87" s="79" t="str">
        <x:v>کینوا سفید</x:v>
      </x:c>
      <x:c r="F87" s="79" t="str">
        <x:v>حبوبات و غلات</x:v>
      </x:c>
      <x:c r="G87" s="79" t="str">
        <x:v>6a3a00000000000000000002</x:v>
      </x:c>
      <x:c r="H87" s="79" t="str">
        <x:v>legumes-grains</x:v>
      </x:c>
      <x:c r="I87" s="79"/>
      <x:c r="J87" s="79" t="str">
        <x:v>EDIBLE</x:v>
      </x:c>
      <x:c r="K87" s="79" t="str">
        <x:v>بله</x:v>
      </x:c>
      <x:c r="L87" s="79" t="n">
        <x:v>1</x:v>
      </x:c>
      <x:c r="M87" s="79" t="n">
        <x:v>0</x:v>
      </x:c>
      <x:c r="N87" s="79" t="str">
        <x:v>OK</x:v>
      </x:c>
      <x:c r="O87" s="79"/>
      <x:c r="P87" s="79" t="str">
        <x:v>[{"name": "کیلو", "sku": "", "price": 600000, "stock": "", "weight": 1, "weightUnit": "kg", "containerSize": "کیلو", "isDefault": true}]</x:v>
      </x:c>
    </x:row>
    <x:row r="88">
      <x:c r="A88" s="79" t="str">
        <x:v>گندم</x:v>
      </x:c>
      <x:c r="B88" s="79" t="str">
        <x:v>wheat</x:v>
      </x:c>
      <x:c r="C88" s="79" t="str">
        <x:v>update_grouped_product</x:v>
      </x:c>
      <x:c r="D88" s="79" t="str">
        <x:v>363</x:v>
      </x:c>
      <x:c r="E88" s="79" t="str">
        <x:v>گندم</x:v>
      </x:c>
      <x:c r="F88" s="79" t="str">
        <x:v>حبوبات و غلات</x:v>
      </x:c>
      <x:c r="G88" s="79" t="str">
        <x:v>6a3a00000000000000000002</x:v>
      </x:c>
      <x:c r="H88" s="79" t="str">
        <x:v>legumes-grains</x:v>
      </x:c>
      <x:c r="I88" s="79"/>
      <x:c r="J88" s="79" t="str">
        <x:v>EDIBLE</x:v>
      </x:c>
      <x:c r="K88" s="79" t="str">
        <x:v>بله</x:v>
      </x:c>
      <x:c r="L88" s="79" t="n">
        <x:v>1</x:v>
      </x:c>
      <x:c r="M88" s="79" t="n">
        <x:v>0</x:v>
      </x:c>
      <x:c r="N88" s="79" t="str">
        <x:v>OK</x:v>
      </x:c>
      <x:c r="O88" s="79"/>
      <x:c r="P88" s="79" t="str">
        <x:v>[{"name": "کیلو", "sku": "", "price": 120000, "stock": "", "weight": 1, "weightUnit": "kg", "containerSize": "کیلو", "isDefault": true}]</x:v>
      </x:c>
    </x:row>
    <x:row r="89">
      <x:c r="A89" s="79" t="str">
        <x:v>اسپند تخم</x:v>
      </x:c>
      <x:c r="B89" s="79" t="str">
        <x:v>espand_seed</x:v>
      </x:c>
      <x:c r="C89" s="79" t="str">
        <x:v>update_grouped_product</x:v>
      </x:c>
      <x:c r="D89" s="79" t="str">
        <x:v>29</x:v>
      </x:c>
      <x:c r="E89" s="79" t="str">
        <x:v>اسپند تخم</x:v>
      </x:c>
      <x:c r="F89" s="79" t="str">
        <x:v>خشکبار و آجیل</x:v>
      </x:c>
      <x:c r="G89" s="79" t="str">
        <x:v>6a37810ddf5573f4e676e201</x:v>
      </x:c>
      <x:c r="H89" s="79" t="str">
        <x:v>dried-fruits-nuts</x:v>
      </x:c>
      <x:c r="I89" s="79"/>
      <x:c r="J89" s="79" t="str">
        <x:v>EDIBLE</x:v>
      </x:c>
      <x:c r="K89" s="79" t="str">
        <x:v>بله</x:v>
      </x:c>
      <x:c r="L89" s="79" t="n">
        <x:v>1</x:v>
      </x:c>
      <x:c r="M89" s="79" t="n">
        <x:v>0</x:v>
      </x:c>
      <x:c r="N89" s="79" t="str">
        <x:v>OK</x:v>
      </x:c>
      <x:c r="O89" s="79"/>
      <x:c r="P89" s="79" t="str">
        <x:v>[{"name": "کیلو", "sku": "", "price": 200000, "stock": "", "weight": 1, "weightUnit": "kg", "containerSize": "کیلو", "isDefault": true}]</x:v>
      </x:c>
    </x:row>
    <x:row r="90">
      <x:c r="A90" s="79" t="str">
        <x:v>انجیر خشک</x:v>
      </x:c>
      <x:c r="B90" s="79" t="str">
        <x:v>dried_fig</x:v>
      </x:c>
      <x:c r="C90" s="79" t="str">
        <x:v>update_grouped_product</x:v>
      </x:c>
      <x:c r="D90" s="79" t="str">
        <x:v>34</x:v>
      </x:c>
      <x:c r="E90" s="79" t="str">
        <x:v>انجیر خشک</x:v>
      </x:c>
      <x:c r="F90" s="79" t="str">
        <x:v>خشکبار و آجیل</x:v>
      </x:c>
      <x:c r="G90" s="79" t="str">
        <x:v>6a37810ddf5573f4e676e201</x:v>
      </x:c>
      <x:c r="H90" s="79" t="str">
        <x:v>dried-fruits-nuts</x:v>
      </x:c>
      <x:c r="I90" s="79"/>
      <x:c r="J90" s="79" t="str">
        <x:v>EDIBLE</x:v>
      </x:c>
      <x:c r="K90" s="79" t="str">
        <x:v>بله</x:v>
      </x:c>
      <x:c r="L90" s="79" t="n">
        <x:v>1</x:v>
      </x:c>
      <x:c r="M90" s="79" t="n">
        <x:v>0</x:v>
      </x:c>
      <x:c r="N90" s="79" t="str">
        <x:v>OK</x:v>
      </x:c>
      <x:c r="O90" s="79"/>
      <x:c r="P90" s="79" t="str">
        <x:v>[{"name": "کیلو", "sku": "", "price": 400000, "stock": "", "weight": 1, "weightUnit": "kg", "containerSize": "کیلو", "isDefault": true}]</x:v>
      </x:c>
    </x:row>
    <x:row r="91">
      <x:c r="A91" s="79" t="str">
        <x:v>بادام زمینی</x:v>
      </x:c>
      <x:c r="B91" s="79" t="str">
        <x:v>peanut</x:v>
      </x:c>
      <x:c r="C91" s="79" t="str">
        <x:v>update_grouped_product</x:v>
      </x:c>
      <x:c r="D91" s="79" t="str">
        <x:v>44, 45</x:v>
      </x:c>
      <x:c r="E91" s="79" t="str">
        <x:v>بادام زمینی | بادام زمینی آستانه</x:v>
      </x:c>
      <x:c r="F91" s="79" t="str">
        <x:v>خشکبار و آجیل</x:v>
      </x:c>
      <x:c r="G91" s="79" t="str">
        <x:v>6a37810ddf5573f4e676e201</x:v>
      </x:c>
      <x:c r="H91" s="79" t="str">
        <x:v>dried-fruits-nuts</x:v>
      </x:c>
      <x:c r="I91" s="79"/>
      <x:c r="J91" s="79" t="str">
        <x:v>EDIBLE</x:v>
      </x:c>
      <x:c r="K91" s="79" t="str">
        <x:v>بله</x:v>
      </x:c>
      <x:c r="L91" s="79" t="n">
        <x:v>2</x:v>
      </x:c>
      <x:c r="M91" s="79" t="n">
        <x:v>1</x:v>
      </x:c>
      <x:c r="N91" s="79" t="str">
        <x:v>MERGED + MISSING_PRICE_REVIEW + 1 VARIANT_PRICE_MISSING</x:v>
      </x:c>
      <x:c r="O91" s="79" t="str">
        <x:v>2 ردیف مشابه با هم یکی شد | یک یا چند قیمت نامشخص است</x:v>
      </x:c>
      <x:c r="P91" s="79" t="str">
        <x:v>[{"name": "معمولی - کیلو", "sku": "", "price": 660000, "stock": "", "weight": 1, "weightUnit": "kg", "containerSize": "کیلو", "isDefault": true}, {"name": "آستانه - کیلو", "sku": "", "price": null, "stock": "", "weight": 1, "weightUnit": "kg", "containerSize": "کیلو", "isDefault": false}]</x:v>
      </x:c>
    </x:row>
    <x:row r="92">
      <x:c r="A92" s="79" t="str">
        <x:v>بلوط</x:v>
      </x:c>
      <x:c r="B92" s="79" t="str">
        <x:v>acorn</x:v>
      </x:c>
      <x:c r="C92" s="79" t="str">
        <x:v>update_grouped_product</x:v>
      </x:c>
      <x:c r="D92" s="79" t="str">
        <x:v>53</x:v>
      </x:c>
      <x:c r="E92" s="79" t="str">
        <x:v>بلوط</x:v>
      </x:c>
      <x:c r="F92" s="79" t="str">
        <x:v>خشکبار و آجیل</x:v>
      </x:c>
      <x:c r="G92" s="79" t="str">
        <x:v>6a37810ddf5573f4e676e201</x:v>
      </x:c>
      <x:c r="H92" s="79" t="str">
        <x:v>dried-fruits-nuts</x:v>
      </x:c>
      <x:c r="I92" s="79"/>
      <x:c r="J92" s="79" t="str">
        <x:v>EDIBLE</x:v>
      </x:c>
      <x:c r="K92" s="79" t="str">
        <x:v>بله</x:v>
      </x:c>
      <x:c r="L92" s="79" t="n">
        <x:v>1</x:v>
      </x:c>
      <x:c r="M92" s="79" t="n">
        <x:v>0</x:v>
      </x:c>
      <x:c r="N92" s="79" t="str">
        <x:v>OK</x:v>
      </x:c>
      <x:c r="O92" s="79" t="str">
        <x:v>دسته از «نیاز به بررسی» به «خشکبار و آجیل» اصلاح شد</x:v>
      </x:c>
      <x:c r="P92" s="79" t="str">
        <x:v>[{"name": "کیلو", "sku": "", "price": 800000, "stock": "", "weight": 1, "weightUnit": "kg", "containerSize": "کیلو", "isDefault": true}]</x:v>
      </x:c>
    </x:row>
    <x:row r="93">
      <x:c r="A93" s="79" t="str">
        <x:v>تخم ریحان</x:v>
      </x:c>
      <x:c r="B93" s="79" t="str">
        <x:v>seed_basil</x:v>
      </x:c>
      <x:c r="C93" s="79" t="str">
        <x:v>update_grouped_product</x:v>
      </x:c>
      <x:c r="D93" s="79" t="str">
        <x:v>69</x:v>
      </x:c>
      <x:c r="E93" s="79" t="str">
        <x:v>تخم ریحان</x:v>
      </x:c>
      <x:c r="F93" s="79" t="str">
        <x:v>خشکبار و آجیل</x:v>
      </x:c>
      <x:c r="G93" s="79" t="str">
        <x:v>6a37810ddf5573f4e676e201</x:v>
      </x:c>
      <x:c r="H93" s="79" t="str">
        <x:v>dried-fruits-nuts</x:v>
      </x:c>
      <x:c r="I93" s="79"/>
      <x:c r="J93" s="79" t="str">
        <x:v>EDIBLE</x:v>
      </x:c>
      <x:c r="K93" s="79" t="str">
        <x:v>بله</x:v>
      </x:c>
      <x:c r="L93" s="79" t="n">
        <x:v>1</x:v>
      </x:c>
      <x:c r="M93" s="79" t="n">
        <x:v>0</x:v>
      </x:c>
      <x:c r="N93" s="79" t="str">
        <x:v>OK</x:v>
      </x:c>
      <x:c r="O93" s="79"/>
      <x:c r="P93" s="79" t="str">
        <x:v>[{"name": "کیلو", "sku": "", "price": 550000, "stock": "", "weight": 1, "weightUnit": "kg", "containerSize": "کیلو", "isDefault": true}]</x:v>
      </x:c>
    </x:row>
    <x:row r="94">
      <x:c r="A94" s="79" t="str">
        <x:v>تخم شربتی</x:v>
      </x:c>
      <x:c r="B94" s="79" t="str">
        <x:v>tkhm-shrbty</x:v>
      </x:c>
      <x:c r="C94" s="79" t="str">
        <x:v>import_new_grouped_product</x:v>
      </x:c>
      <x:c r="D94" s="79" t="str">
        <x:v>70</x:v>
      </x:c>
      <x:c r="E94" s="79" t="str">
        <x:v>تخم شربتی</x:v>
      </x:c>
      <x:c r="F94" s="79" t="str">
        <x:v>خشکبار و آجیل</x:v>
      </x:c>
      <x:c r="G94" s="79" t="str">
        <x:v>6a37810ddf5573f4e676e201</x:v>
      </x:c>
      <x:c r="H94" s="79" t="str">
        <x:v>dried-fruits-nuts</x:v>
      </x:c>
      <x:c r="I94" s="79"/>
      <x:c r="J94" s="79" t="str">
        <x:v>EDIBLE</x:v>
      </x:c>
      <x:c r="K94" s="79" t="str">
        <x:v>بله</x:v>
      </x:c>
      <x:c r="L94" s="79" t="n">
        <x:v>1</x:v>
      </x:c>
      <x:c r="M94" s="79" t="n">
        <x:v>0</x:v>
      </x:c>
      <x:c r="N94" s="79" t="str">
        <x:v>OK</x:v>
      </x:c>
      <x:c r="O94" s="79"/>
      <x:c r="P94" s="79" t="str">
        <x:v>[{"name": "کیلو", "sku": "", "price": 890000, "stock": "", "weight": 1, "weightUnit": "kg", "containerSize": "کیلو", "isDefault": true}]</x:v>
      </x:c>
    </x:row>
    <x:row r="95">
      <x:c r="A95" s="79" t="str">
        <x:v>تخم مغز آفتابگردان</x:v>
      </x:c>
      <x:c r="B95" s="79" t="str">
        <x:v>seed_kernel_sunflower</x:v>
      </x:c>
      <x:c r="C95" s="79" t="str">
        <x:v>update_grouped_product</x:v>
      </x:c>
      <x:c r="D95" s="79" t="str">
        <x:v>72</x:v>
      </x:c>
      <x:c r="E95" s="79" t="str">
        <x:v>تخم مغز آفتابگردان</x:v>
      </x:c>
      <x:c r="F95" s="79" t="str">
        <x:v>خشکبار و آجیل</x:v>
      </x:c>
      <x:c r="G95" s="79" t="str">
        <x:v>6a37810ddf5573f4e676e201</x:v>
      </x:c>
      <x:c r="H95" s="79" t="str">
        <x:v>dried-fruits-nuts</x:v>
      </x:c>
      <x:c r="I95" s="79"/>
      <x:c r="J95" s="79" t="str">
        <x:v>EDIBLE</x:v>
      </x:c>
      <x:c r="K95" s="79" t="str">
        <x:v>بله</x:v>
      </x:c>
      <x:c r="L95" s="79" t="n">
        <x:v>1</x:v>
      </x:c>
      <x:c r="M95" s="79" t="n">
        <x:v>0</x:v>
      </x:c>
      <x:c r="N95" s="79" t="str">
        <x:v>OK</x:v>
      </x:c>
      <x:c r="O95" s="79"/>
      <x:c r="P95" s="79" t="str">
        <x:v>[{"name": "کیلو", "sku": "", "price": 1100000, "stock": "", "weight": 1, "weightUnit": "kg", "containerSize": "کیلو", "isDefault": true}]</x:v>
      </x:c>
    </x:row>
    <x:row r="96">
      <x:c r="A96" s="79" t="str">
        <x:v>تخم مغز کدو</x:v>
      </x:c>
      <x:c r="B96" s="79" t="str">
        <x:v>seed_kernel_pumpkin</x:v>
      </x:c>
      <x:c r="C96" s="79" t="str">
        <x:v>update_grouped_product</x:v>
      </x:c>
      <x:c r="D96" s="79" t="str">
        <x:v>73</x:v>
      </x:c>
      <x:c r="E96" s="79" t="str">
        <x:v>تخم مغز کدو</x:v>
      </x:c>
      <x:c r="F96" s="79" t="str">
        <x:v>خشکبار و آجیل</x:v>
      </x:c>
      <x:c r="G96" s="79" t="str">
        <x:v>6a37810ddf5573f4e676e201</x:v>
      </x:c>
      <x:c r="H96" s="79" t="str">
        <x:v>dried-fruits-nuts</x:v>
      </x:c>
      <x:c r="I96" s="79"/>
      <x:c r="J96" s="79" t="str">
        <x:v>EDIBLE</x:v>
      </x:c>
      <x:c r="K96" s="79" t="str">
        <x:v>بله</x:v>
      </x:c>
      <x:c r="L96" s="79" t="n">
        <x:v>1</x:v>
      </x:c>
      <x:c r="M96" s="79" t="n">
        <x:v>0</x:v>
      </x:c>
      <x:c r="N96" s="79" t="str">
        <x:v>OK</x:v>
      </x:c>
      <x:c r="O96" s="79"/>
      <x:c r="P96" s="79" t="str">
        <x:v>[{"name": "کیلو", "sku": "", "price": 1800000, "stock": "", "weight": 1, "weightUnit": "kg", "containerSize": "کیلو", "isDefault": true}]</x:v>
      </x:c>
    </x:row>
    <x:row r="97">
      <x:c r="A97" s="79" t="str">
        <x:v>تخم کتان</x:v>
      </x:c>
      <x:c r="B97" s="79" t="str">
        <x:v>seed_flax</x:v>
      </x:c>
      <x:c r="C97" s="79" t="str">
        <x:v>update_grouped_product</x:v>
      </x:c>
      <x:c r="D97" s="79" t="str">
        <x:v>71</x:v>
      </x:c>
      <x:c r="E97" s="79" t="str">
        <x:v>تخم کتان</x:v>
      </x:c>
      <x:c r="F97" s="79" t="str">
        <x:v>خشکبار و آجیل</x:v>
      </x:c>
      <x:c r="G97" s="79" t="str">
        <x:v>6a37810ddf5573f4e676e201</x:v>
      </x:c>
      <x:c r="H97" s="79" t="str">
        <x:v>dried-fruits-nuts</x:v>
      </x:c>
      <x:c r="I97" s="79"/>
      <x:c r="J97" s="79" t="str">
        <x:v>EDIBLE</x:v>
      </x:c>
      <x:c r="K97" s="79" t="str">
        <x:v>بله</x:v>
      </x:c>
      <x:c r="L97" s="79" t="n">
        <x:v>1</x:v>
      </x:c>
      <x:c r="M97" s="79" t="n">
        <x:v>0</x:v>
      </x:c>
      <x:c r="N97" s="79" t="str">
        <x:v>OK</x:v>
      </x:c>
      <x:c r="O97" s="79"/>
      <x:c r="P97" s="79" t="str">
        <x:v>[{"name": "کیلو", "sku": "", "price": 400000, "stock": "", "weight": 1, "weightUnit": "kg", "containerSize": "کیلو", "isDefault": true}]</x:v>
      </x:c>
    </x:row>
    <x:row r="98">
      <x:c r="A98" s="79" t="str">
        <x:v>تمرهندی</x:v>
      </x:c>
      <x:c r="B98" s="79" t="str">
        <x:v>tamarind</x:v>
      </x:c>
      <x:c r="C98" s="79" t="str">
        <x:v>update_grouped_product</x:v>
      </x:c>
      <x:c r="D98" s="79" t="str">
        <x:v>74</x:v>
      </x:c>
      <x:c r="E98" s="79" t="str">
        <x:v>تمرهندی</x:v>
      </x:c>
      <x:c r="F98" s="79" t="str">
        <x:v>خشکبار و آجیل</x:v>
      </x:c>
      <x:c r="G98" s="79" t="str">
        <x:v>6a37810ddf5573f4e676e201</x:v>
      </x:c>
      <x:c r="H98" s="79" t="str">
        <x:v>dried-fruits-nuts</x:v>
      </x:c>
      <x:c r="I98" s="79"/>
      <x:c r="J98" s="79" t="str">
        <x:v>EDIBLE</x:v>
      </x:c>
      <x:c r="K98" s="79" t="str">
        <x:v>بله</x:v>
      </x:c>
      <x:c r="L98" s="79" t="n">
        <x:v>1</x:v>
      </x:c>
      <x:c r="M98" s="79" t="n">
        <x:v>0</x:v>
      </x:c>
      <x:c r="N98" s="79" t="str">
        <x:v>OK</x:v>
      </x:c>
      <x:c r="O98" s="79" t="str">
        <x:v>دسته از «نیاز به بررسی» به «خشکبار و آجیل» اصلاح شد</x:v>
      </x:c>
      <x:c r="P98" s="79" t="str">
        <x:v>[{"name": "کیلو", "sku": "", "price": 130000, "stock": "", "weight": 1, "weightUnit": "kg", "containerSize": "کیلو", "isDefault": true}]</x:v>
      </x:c>
    </x:row>
    <x:row r="99">
      <x:c r="A99" s="79" t="str">
        <x:v>توت خشک</x:v>
      </x:c>
      <x:c r="B99" s="79" t="str">
        <x:v>dried_mulberry</x:v>
      </x:c>
      <x:c r="C99" s="79" t="str">
        <x:v>update_grouped_product</x:v>
      </x:c>
      <x:c r="D99" s="79" t="str">
        <x:v>75</x:v>
      </x:c>
      <x:c r="E99" s="79" t="str">
        <x:v>توت خشک</x:v>
      </x:c>
      <x:c r="F99" s="79" t="str">
        <x:v>خشکبار و آجیل</x:v>
      </x:c>
      <x:c r="G99" s="79" t="str">
        <x:v>6a37810ddf5573f4e676e201</x:v>
      </x:c>
      <x:c r="H99" s="79" t="str">
        <x:v>dried-fruits-nuts</x:v>
      </x:c>
      <x:c r="I99" s="79"/>
      <x:c r="J99" s="79" t="str">
        <x:v>EDIBLE</x:v>
      </x:c>
      <x:c r="K99" s="79" t="str">
        <x:v>بله</x:v>
      </x:c>
      <x:c r="L99" s="79" t="n">
        <x:v>1</x:v>
      </x:c>
      <x:c r="M99" s="79" t="n">
        <x:v>1</x:v>
      </x:c>
      <x:c r="N99" s="79" t="str">
        <x:v>MISSING_PRICE_REVIEW + 1 VARIANT_PRICE_MISSING</x:v>
      </x:c>
      <x:c r="O99" s="79" t="str">
        <x:v>یک یا چند قیمت نامشخص است</x:v>
      </x:c>
      <x:c r="P99" s="79" t="str">
        <x:v>[{"name": "کیلو", "sku": "", "price": null, "stock": "", "weight": 1, "weightUnit": "kg", "containerSize": "کیلو", "isDefault": true}]</x:v>
      </x:c>
    </x:row>
    <x:row r="100">
      <x:c r="A100" s="79" t="str">
        <x:v>زرشک</x:v>
      </x:c>
      <x:c r="B100" s="79" t="str">
        <x:v>barberry</x:v>
      </x:c>
      <x:c r="C100" s="79" t="str">
        <x:v>update_grouped_product</x:v>
      </x:c>
      <x:c r="D100" s="79" t="str">
        <x:v>197, 198</x:v>
      </x:c>
      <x:c r="E100" s="79" t="str">
        <x:v>زرشک ناپاک | زرشک پفکی</x:v>
      </x:c>
      <x:c r="F100" s="79" t="str">
        <x:v>خشکبار و آجیل</x:v>
      </x:c>
      <x:c r="G100" s="79" t="str">
        <x:v>6a37810ddf5573f4e676e201</x:v>
      </x:c>
      <x:c r="H100" s="79" t="str">
        <x:v>dried-fruits-nuts</x:v>
      </x:c>
      <x:c r="I100" s="79"/>
      <x:c r="J100" s="79" t="str">
        <x:v>EDIBLE</x:v>
      </x:c>
      <x:c r="K100" s="79" t="str">
        <x:v>بله</x:v>
      </x:c>
      <x:c r="L100" s="79" t="n">
        <x:v>2</x:v>
      </x:c>
      <x:c r="M100" s="79" t="n">
        <x:v>2</x:v>
      </x:c>
      <x:c r="N100" s="79" t="str">
        <x:v>MERGED + MISSING_PRICE_REVIEW + 2 VARIANT_PRICE_MISSING</x:v>
      </x:c>
      <x:c r="O100" s="79" t="str">
        <x:v>2 ردیف مشابه با هم یکی شد | یک یا چند قیمت نامشخص است</x:v>
      </x:c>
      <x:c r="P100" s="79" t="str">
        <x:v>[{"name": "پفکی - کیلو", "sku": "", "price": null, "stock": "", "weight": 1, "weightUnit": "kg", "containerSize": "کیلو", "isDefault": true}, {"name": "ناپاک - کیلو", "sku": "", "price": null, "stock": "", "weight": 1, "weightUnit": "kg", "containerSize": "کیلو", "isDefault": false}]</x:v>
      </x:c>
    </x:row>
    <x:row r="101">
      <x:c r="A101" s="79" t="str">
        <x:v>سنجد</x:v>
      </x:c>
      <x:c r="B101" s="79" t="str">
        <x:v>oleaster</x:v>
      </x:c>
      <x:c r="C101" s="79" t="str">
        <x:v>update_grouped_product</x:v>
      </x:c>
      <x:c r="D101" s="79" t="str">
        <x:v>215, 216</x:v>
      </x:c>
      <x:c r="E101" s="79" t="str">
        <x:v>سنجد | سنجد پودر</x:v>
      </x:c>
      <x:c r="F101" s="79" t="str">
        <x:v>خشکبار و آجیل</x:v>
      </x:c>
      <x:c r="G101" s="79" t="str">
        <x:v>6a37810ddf5573f4e676e201</x:v>
      </x:c>
      <x:c r="H101" s="79" t="str">
        <x:v>dried-fruits-nuts</x:v>
      </x:c>
      <x:c r="I101" s="79"/>
      <x:c r="J101" s="79" t="str">
        <x:v>EDIBLE</x:v>
      </x:c>
      <x:c r="K101" s="79" t="str">
        <x:v>بله</x:v>
      </x:c>
      <x:c r="L101" s="79" t="n">
        <x:v>2</x:v>
      </x:c>
      <x:c r="M101" s="79" t="n">
        <x:v>0</x:v>
      </x:c>
      <x:c r="N101" s="79" t="str">
        <x:v>MERGED</x:v>
      </x:c>
      <x:c r="O101" s="79" t="str">
        <x:v>2 ردیف مشابه با هم یکی شد</x:v>
      </x:c>
      <x:c r="P101" s="79" t="str">
        <x:v>[{"name": "کامل - کیلو", "sku": "", "price": 500000, "stock": "", "weight": 1, "weightUnit": "kg", "containerSize": "کیلو", "isDefault": true}, {"name": "پودر - کیلو", "sku": "", "price": 650000, "stock": "", "weight": 1, "weightUnit": "kg", "containerSize": "کیلو", "isDefault": false}]</x:v>
      </x:c>
    </x:row>
    <x:row r="102">
      <x:c r="A102" s="79" t="str">
        <x:v>شیره انجیر</x:v>
      </x:c>
      <x:c r="B102" s="79" t="str">
        <x:v>fig_syrup</x:v>
      </x:c>
      <x:c r="C102" s="79" t="str">
        <x:v>update_grouped_product</x:v>
      </x:c>
      <x:c r="D102" s="79" t="str">
        <x:v>241</x:v>
      </x:c>
      <x:c r="E102" s="79" t="str">
        <x:v>شیره انجیر</x:v>
      </x:c>
      <x:c r="F102" s="79" t="str">
        <x:v>خشکبار و آجیل</x:v>
      </x:c>
      <x:c r="G102" s="79" t="str">
        <x:v>6a37810ddf5573f4e676e201</x:v>
      </x:c>
      <x:c r="H102" s="79" t="str">
        <x:v>dried-fruits-nuts</x:v>
      </x:c>
      <x:c r="I102" s="79"/>
      <x:c r="J102" s="79" t="str">
        <x:v>EDIBLE</x:v>
      </x:c>
      <x:c r="K102" s="79" t="str">
        <x:v>بله</x:v>
      </x:c>
      <x:c r="L102" s="79" t="n">
        <x:v>1</x:v>
      </x:c>
      <x:c r="M102" s="79" t="n">
        <x:v>0</x:v>
      </x:c>
      <x:c r="N102" s="79" t="str">
        <x:v>OK</x:v>
      </x:c>
      <x:c r="O102" s="79"/>
      <x:c r="P102" s="79" t="str">
        <x:v>[{"name": "500 گرمی", "sku": "", "price": 230000, "stock": "", "weight": 500, "weightUnit": "g", "containerSize": "500 گرم", "isDefault": true}]</x:v>
      </x:c>
    </x:row>
    <x:row r="103">
      <x:c r="A103" s="79" t="str">
        <x:v>عناب خشک</x:v>
      </x:c>
      <x:c r="B103" s="79" t="str">
        <x:v>dried_jujube</x:v>
      </x:c>
      <x:c r="C103" s="79" t="str">
        <x:v>update_grouped_product</x:v>
      </x:c>
      <x:c r="D103" s="79" t="str">
        <x:v>315, 316</x:v>
      </x:c>
      <x:c r="E103" s="79" t="str">
        <x:v>عناب | عناب خشک</x:v>
      </x:c>
      <x:c r="F103" s="79" t="str">
        <x:v>خشکبار و آجیل</x:v>
      </x:c>
      <x:c r="G103" s="79" t="str">
        <x:v>6a37810ddf5573f4e676e201</x:v>
      </x:c>
      <x:c r="H103" s="79" t="str">
        <x:v>dried-fruits-nuts</x:v>
      </x:c>
      <x:c r="I103" s="79"/>
      <x:c r="J103" s="79" t="str">
        <x:v>EDIBLE</x:v>
      </x:c>
      <x:c r="K103" s="79" t="str">
        <x:v>بله</x:v>
      </x:c>
      <x:c r="L103" s="79" t="n">
        <x:v>4</x:v>
      </x:c>
      <x:c r="M103" s="79" t="n">
        <x:v>0</x:v>
      </x:c>
      <x:c r="N103" s="79" t="str">
        <x:v>MERGED</x:v>
      </x:c>
      <x:c r="O103" s="79" t="str">
        <x:v>2 ردیف مشابه با هم یکی شد</x:v>
      </x:c>
      <x:c r="P103" s="79" t="str">
        <x:v>[{"name": "بسته زرگل", "sku": "", "price": 250000, "stock": "", "weight": "", "weightUnit": "", "containerSize": "بسته زرگل", "isDefault": true}, {"name": "بسته طلا", "sku": "", "price": 280000, "stock": "", "weight": "", "weightUnit": "", "containerSize": "بسته طلا", "isDefault": false}, {"name": "کیلو", "sku": "", "price": 410000, "stock": "", "weight": 1, "weightUnit": "kg", "containerSize": "کیلو", "isDefault": false}, {"name": "بسته", "sku": "", "price": 150000, "stock": "", "weight": "", "weightUnit": "", "containerSize": "بسته", "isDefault": false}]</x:v>
      </x:c>
    </x:row>
    <x:row r="104">
      <x:c r="A104" s="79" t="str">
        <x:v>لواشک</x:v>
      </x:c>
      <x:c r="B104" s="79" t="str">
        <x:v>fruit_leather</x:v>
      </x:c>
      <x:c r="C104" s="79" t="str">
        <x:v>update_grouped_product</x:v>
      </x:c>
      <x:c r="D104" s="79" t="str">
        <x:v>366</x:v>
      </x:c>
      <x:c r="E104" s="79" t="str">
        <x:v>لواشک</x:v>
      </x:c>
      <x:c r="F104" s="79" t="str">
        <x:v>خشکبار و آجیل</x:v>
      </x:c>
      <x:c r="G104" s="79" t="str">
        <x:v>6a37810ddf5573f4e676e201</x:v>
      </x:c>
      <x:c r="H104" s="79" t="str">
        <x:v>dried-fruits-nuts</x:v>
      </x:c>
      <x:c r="I104" s="79"/>
      <x:c r="J104" s="79" t="str">
        <x:v>EDIBLE</x:v>
      </x:c>
      <x:c r="K104" s="79" t="str">
        <x:v>بله</x:v>
      </x:c>
      <x:c r="L104" s="79" t="n">
        <x:v>1</x:v>
      </x:c>
      <x:c r="M104" s="79" t="n">
        <x:v>1</x:v>
      </x:c>
      <x:c r="N104" s="79" t="str">
        <x:v>MISSING_PRICE_REVIEW + 1 VARIANT_PRICE_MISSING</x:v>
      </x:c>
      <x:c r="O104" s="79" t="str">
        <x:v>دسته از «نیاز به بررسی» به «خشکبار و آجیل» اصلاح شد | یک یا چند قیمت نامشخص است</x:v>
      </x:c>
      <x:c r="P104" s="79" t="str">
        <x:v>[{"name": "کیلو", "sku": "", "price": null, "stock": "", "weight": 1, "weightUnit": "kg", "containerSize": "کیلو", "isDefault": true}]</x:v>
      </x:c>
    </x:row>
    <x:row r="105">
      <x:c r="A105" s="79" t="str">
        <x:v>نارگیل سریلانکا چرب</x:v>
      </x:c>
      <x:c r="B105" s="79" t="str">
        <x:v>fat_sri_lankan_coconut</x:v>
      </x:c>
      <x:c r="C105" s="79" t="str">
        <x:v>update_grouped_product</x:v>
      </x:c>
      <x:c r="D105" s="79" t="str">
        <x:v>373</x:v>
      </x:c>
      <x:c r="E105" s="79" t="str">
        <x:v>نارگیل سریلانکا چرب</x:v>
      </x:c>
      <x:c r="F105" s="79" t="str">
        <x:v>خشکبار و آجیل</x:v>
      </x:c>
      <x:c r="G105" s="79" t="str">
        <x:v>6a37810ddf5573f4e676e201</x:v>
      </x:c>
      <x:c r="H105" s="79" t="str">
        <x:v>dried-fruits-nuts</x:v>
      </x:c>
      <x:c r="I105" s="79"/>
      <x:c r="J105" s="79" t="str">
        <x:v>EDIBLE</x:v>
      </x:c>
      <x:c r="K105" s="79" t="str">
        <x:v>بله</x:v>
      </x:c>
      <x:c r="L105" s="79" t="n">
        <x:v>1</x:v>
      </x:c>
      <x:c r="M105" s="79" t="n">
        <x:v>0</x:v>
      </x:c>
      <x:c r="N105" s="79" t="str">
        <x:v>OK</x:v>
      </x:c>
      <x:c r="O105" s="79" t="str">
        <x:v>دسته از «نیاز به بررسی» به «خشکبار و آجیل» اصلاح شد</x:v>
      </x:c>
      <x:c r="P105" s="79" t="str">
        <x:v>[{"name": "کیلو", "sku": "", "price": 1750000, "stock": "", "weight": 1, "weightUnit": "kg", "containerSize": "کیلو", "isDefault": true}]</x:v>
      </x:c>
    </x:row>
    <x:row r="106">
      <x:c r="A106" s="79" t="str">
        <x:v>چهار تخم</x:v>
      </x:c>
      <x:c r="B106" s="79" t="str">
        <x:v>four_seed_mix</x:v>
      </x:c>
      <x:c r="C106" s="79" t="str">
        <x:v>update_grouped_product</x:v>
      </x:c>
      <x:c r="D106" s="79" t="str">
        <x:v>100</x:v>
      </x:c>
      <x:c r="E106" s="79" t="str">
        <x:v>چهار تخم</x:v>
      </x:c>
      <x:c r="F106" s="79" t="str">
        <x:v>خشکبار و آجیل</x:v>
      </x:c>
      <x:c r="G106" s="79" t="str">
        <x:v>6a37810ddf5573f4e676e201</x:v>
      </x:c>
      <x:c r="H106" s="79" t="str">
        <x:v>dried-fruits-nuts</x:v>
      </x:c>
      <x:c r="I106" s="79"/>
      <x:c r="J106" s="79" t="str">
        <x:v>EDIBLE</x:v>
      </x:c>
      <x:c r="K106" s="79" t="str">
        <x:v>بله</x:v>
      </x:c>
      <x:c r="L106" s="79" t="n">
        <x:v>1</x:v>
      </x:c>
      <x:c r="M106" s="79" t="n">
        <x:v>0</x:v>
      </x:c>
      <x:c r="N106" s="79" t="str">
        <x:v>OK</x:v>
      </x:c>
      <x:c r="O106" s="79"/>
      <x:c r="P106" s="79" t="str">
        <x:v>[{"name": "کیلو", "sku": "", "price": 950000, "stock": "", "weight": 1, "weightUnit": "kg", "containerSize": "کیلو", "isDefault": true}]</x:v>
      </x:c>
    </x:row>
    <x:row r="107">
      <x:c r="A107" s="79" t="str">
        <x:v>چیاسید</x:v>
      </x:c>
      <x:c r="B107" s="79" t="str">
        <x:v>chia_seed</x:v>
      </x:c>
      <x:c r="C107" s="79" t="str">
        <x:v>update_grouped_product</x:v>
      </x:c>
      <x:c r="D107" s="79" t="str">
        <x:v>102</x:v>
      </x:c>
      <x:c r="E107" s="79" t="str">
        <x:v>چیاسید</x:v>
      </x:c>
      <x:c r="F107" s="79" t="str">
        <x:v>خشکبار و آجیل</x:v>
      </x:c>
      <x:c r="G107" s="79" t="str">
        <x:v>6a37810ddf5573f4e676e201</x:v>
      </x:c>
      <x:c r="H107" s="79" t="str">
        <x:v>dried-fruits-nuts</x:v>
      </x:c>
      <x:c r="I107" s="79"/>
      <x:c r="J107" s="79" t="str">
        <x:v>EDIBLE</x:v>
      </x:c>
      <x:c r="K107" s="79" t="str">
        <x:v>بله</x:v>
      </x:c>
      <x:c r="L107" s="79" t="n">
        <x:v>1</x:v>
      </x:c>
      <x:c r="M107" s="79" t="n">
        <x:v>0</x:v>
      </x:c>
      <x:c r="N107" s="79" t="str">
        <x:v>OK</x:v>
      </x:c>
      <x:c r="O107" s="79" t="str">
        <x:v>دسته از «نیاز به بررسی» به «خشکبار و آجیل» اصلاح شد</x:v>
      </x:c>
      <x:c r="P107" s="79" t="str">
        <x:v>[{"name": "کیلو", "sku": "", "price": 1100000, "stock": "", "weight": 1, "weightUnit": "kg", "containerSize": "کیلو", "isDefault": true}]</x:v>
      </x:c>
    </x:row>
    <x:row r="108">
      <x:c r="A108" s="79" t="str">
        <x:v>کرم بادام زمینی</x:v>
      </x:c>
      <x:c r="B108" s="79" t="str">
        <x:v>peanut_cream</x:v>
      </x:c>
      <x:c r="C108" s="79" t="str">
        <x:v>update_grouped_product</x:v>
      </x:c>
      <x:c r="D108" s="79" t="str">
        <x:v>332</x:v>
      </x:c>
      <x:c r="E108" s="79" t="str">
        <x:v>کرم بادام زمینی</x:v>
      </x:c>
      <x:c r="F108" s="79" t="str">
        <x:v>خشکبار و آجیل</x:v>
      </x:c>
      <x:c r="G108" s="79" t="str">
        <x:v>6a37810ddf5573f4e676e201</x:v>
      </x:c>
      <x:c r="H108" s="79" t="str">
        <x:v>dried-fruits-nuts</x:v>
      </x:c>
      <x:c r="I108" s="79"/>
      <x:c r="J108" s="79" t="str">
        <x:v>EDIBLE</x:v>
      </x:c>
      <x:c r="K108" s="79" t="str">
        <x:v>بله</x:v>
      </x:c>
      <x:c r="L108" s="79" t="n">
        <x:v>1</x:v>
      </x:c>
      <x:c r="M108" s="79" t="n">
        <x:v>0</x:v>
      </x:c>
      <x:c r="N108" s="79" t="str">
        <x:v>OK</x:v>
      </x:c>
      <x:c r="O108" s="79"/>
      <x:c r="P108" s="79" t="str">
        <x:v>[{"name": "کیلو", "sku": "", "price": 1100000, "stock": "", "weight": 1, "weightUnit": "kg", "containerSize": "کیلو", "isDefault": true}]</x:v>
      </x:c>
    </x:row>
    <x:row r="109">
      <x:c r="A109" s="79" t="str">
        <x:v>کرم کنجد</x:v>
      </x:c>
      <x:c r="B109" s="79" t="str">
        <x:v>sesame_cream</x:v>
      </x:c>
      <x:c r="C109" s="79" t="str">
        <x:v>update_grouped_product</x:v>
      </x:c>
      <x:c r="D109" s="79" t="str">
        <x:v>333</x:v>
      </x:c>
      <x:c r="E109" s="79" t="str">
        <x:v>کرم کنجد</x:v>
      </x:c>
      <x:c r="F109" s="79" t="str">
        <x:v>خشکبار و آجیل</x:v>
      </x:c>
      <x:c r="G109" s="79" t="str">
        <x:v>6a37810ddf5573f4e676e201</x:v>
      </x:c>
      <x:c r="H109" s="79" t="str">
        <x:v>dried-fruits-nuts</x:v>
      </x:c>
      <x:c r="I109" s="79"/>
      <x:c r="J109" s="79" t="str">
        <x:v>EDIBLE</x:v>
      </x:c>
      <x:c r="K109" s="79" t="str">
        <x:v>بله</x:v>
      </x:c>
      <x:c r="L109" s="79" t="n">
        <x:v>1</x:v>
      </x:c>
      <x:c r="M109" s="79" t="n">
        <x:v>0</x:v>
      </x:c>
      <x:c r="N109" s="79" t="str">
        <x:v>OK</x:v>
      </x:c>
      <x:c r="O109" s="79"/>
      <x:c r="P109" s="79" t="str">
        <x:v>[{"name": "کیلو", "sku": "", "price": 900000, "stock": "", "weight": 1, "weightUnit": "kg", "containerSize": "کیلو", "isDefault": true}]</x:v>
      </x:c>
    </x:row>
    <x:row r="110">
      <x:c r="A110" s="79" t="str">
        <x:v>کره بادام درختی</x:v>
      </x:c>
      <x:c r="B110" s="79" t="str">
        <x:v>almond_butter_180_warm</x:v>
      </x:c>
      <x:c r="C110" s="79" t="str">
        <x:v>update_grouped_product</x:v>
      </x:c>
      <x:c r="D110" s="79" t="str">
        <x:v>334</x:v>
      </x:c>
      <x:c r="E110" s="79" t="str">
        <x:v>کره بادام درختی</x:v>
      </x:c>
      <x:c r="F110" s="79" t="str">
        <x:v>خشکبار و آجیل</x:v>
      </x:c>
      <x:c r="G110" s="79" t="str">
        <x:v>6a37810ddf5573f4e676e201</x:v>
      </x:c>
      <x:c r="H110" s="79" t="str">
        <x:v>dried-fruits-nuts</x:v>
      </x:c>
      <x:c r="I110" s="79"/>
      <x:c r="J110" s="79" t="str">
        <x:v>EDIBLE</x:v>
      </x:c>
      <x:c r="K110" s="79" t="str">
        <x:v>بله</x:v>
      </x:c>
      <x:c r="L110" s="79" t="n">
        <x:v>2</x:v>
      </x:c>
      <x:c r="M110" s="79" t="n">
        <x:v>0</x:v>
      </x:c>
      <x:c r="N110" s="79" t="str">
        <x:v>OK</x:v>
      </x:c>
      <x:c r="O110" s="79"/>
      <x:c r="P110" s="79" t="str">
        <x:v>[{"name": "180 گرمی", "sku": "", "price": 400000, "stock": "", "weight": 180, "weightUnit": "g", "containerSize": "180 گرم", "isDefault": true}, {"name": "کیلو", "sku": "", "price": 2250000, "stock": "", "weight": 1, "weightUnit": "kg", "containerSize": "کیلو", "isDefault": false}]</x:v>
      </x:c>
    </x:row>
    <x:row r="111">
      <x:c r="A111" s="79" t="str">
        <x:v>کره بادام زمینی</x:v>
      </x:c>
      <x:c r="B111" s="79" t="str">
        <x:v>peanut_butter</x:v>
      </x:c>
      <x:c r="C111" s="79" t="str">
        <x:v>update_grouped_product</x:v>
      </x:c>
      <x:c r="D111" s="79" t="str">
        <x:v>335, 336</x:v>
      </x:c>
      <x:c r="E111" s="79" t="str">
        <x:v>کره بادام زمینی | کره بادام زمینی عسلی</x:v>
      </x:c>
      <x:c r="F111" s="79" t="str">
        <x:v>خشکبار و آجیل</x:v>
      </x:c>
      <x:c r="G111" s="79" t="str">
        <x:v>6a37810ddf5573f4e676e201</x:v>
      </x:c>
      <x:c r="H111" s="79" t="str">
        <x:v>dried-fruits-nuts</x:v>
      </x:c>
      <x:c r="I111" s="79"/>
      <x:c r="J111" s="79" t="str">
        <x:v>EDIBLE</x:v>
      </x:c>
      <x:c r="K111" s="79" t="str">
        <x:v>بله</x:v>
      </x:c>
      <x:c r="L111" s="79" t="n">
        <x:v>2</x:v>
      </x:c>
      <x:c r="M111" s="79" t="n">
        <x:v>0</x:v>
      </x:c>
      <x:c r="N111" s="79" t="str">
        <x:v>MERGED</x:v>
      </x:c>
      <x:c r="O111" s="79" t="str">
        <x:v>2 ردیف مشابه با هم یکی شد | دسته از «قنادی و شیرینی» به «خشکبار و آجیل» اصلاح شد</x:v>
      </x:c>
      <x:c r="P111" s="79" t="str">
        <x:v>[{"name": "ساده - کیلو", "sku": "", "price": 690000, "stock": "", "weight": 1, "weightUnit": "kg", "containerSize": "کیلو", "isDefault": true}, {"name": "عسلی - کیلو", "sku": "", "price": 900000, "stock": "", "weight": 1, "weightUnit": "kg", "containerSize": "کیلو", "isDefault": false}]</x:v>
      </x:c>
    </x:row>
    <x:row r="112">
      <x:c r="A112" s="79" t="str">
        <x:v>کره بادام هندی</x:v>
      </x:c>
      <x:c r="B112" s="79" t="str">
        <x:v>cashew_butter</x:v>
      </x:c>
      <x:c r="C112" s="79" t="str">
        <x:v>update_grouped_product</x:v>
      </x:c>
      <x:c r="D112" s="79" t="str">
        <x:v>337</x:v>
      </x:c>
      <x:c r="E112" s="79" t="str">
        <x:v>کره بادام هندی</x:v>
      </x:c>
      <x:c r="F112" s="79" t="str">
        <x:v>خشکبار و آجیل</x:v>
      </x:c>
      <x:c r="G112" s="79" t="str">
        <x:v>6a37810ddf5573f4e676e201</x:v>
      </x:c>
      <x:c r="H112" s="79" t="str">
        <x:v>dried-fruits-nuts</x:v>
      </x:c>
      <x:c r="I112" s="79"/>
      <x:c r="J112" s="79" t="str">
        <x:v>EDIBLE</x:v>
      </x:c>
      <x:c r="K112" s="79" t="str">
        <x:v>بله</x:v>
      </x:c>
      <x:c r="L112" s="79" t="n">
        <x:v>1</x:v>
      </x:c>
      <x:c r="M112" s="79" t="n">
        <x:v>1</x:v>
      </x:c>
      <x:c r="N112" s="79" t="str">
        <x:v>MISSING_PRICE_REVIEW + 1 VARIANT_PRICE_MISSING</x:v>
      </x:c>
      <x:c r="O112" s="79" t="str">
        <x:v>یک یا چند قیمت نامشخص است</x:v>
      </x:c>
      <x:c r="P112" s="79" t="str">
        <x:v>[{"name": "کیلو", "sku": "", "price": null, "stock": "", "weight": 1, "weightUnit": "kg", "containerSize": "کیلو", "isDefault": true}]</x:v>
      </x:c>
    </x:row>
    <x:row r="113">
      <x:c r="A113" s="79" t="str">
        <x:v>کره فندق</x:v>
      </x:c>
      <x:c r="B113" s="79" t="str">
        <x:v>hazelnut_butter</x:v>
      </x:c>
      <x:c r="C113" s="79" t="str">
        <x:v>update_grouped_product</x:v>
      </x:c>
      <x:c r="D113" s="79" t="str">
        <x:v>340</x:v>
      </x:c>
      <x:c r="E113" s="79" t="str">
        <x:v>کره فندق</x:v>
      </x:c>
      <x:c r="F113" s="79" t="str">
        <x:v>خشکبار و آجیل</x:v>
      </x:c>
      <x:c r="G113" s="79" t="str">
        <x:v>6a37810ddf5573f4e676e201</x:v>
      </x:c>
      <x:c r="H113" s="79" t="str">
        <x:v>dried-fruits-nuts</x:v>
      </x:c>
      <x:c r="I113" s="79"/>
      <x:c r="J113" s="79" t="str">
        <x:v>EDIBLE</x:v>
      </x:c>
      <x:c r="K113" s="79" t="str">
        <x:v>بله</x:v>
      </x:c>
      <x:c r="L113" s="79" t="n">
        <x:v>1</x:v>
      </x:c>
      <x:c r="M113" s="79" t="n">
        <x:v>0</x:v>
      </x:c>
      <x:c r="N113" s="79" t="str">
        <x:v>OK</x:v>
      </x:c>
      <x:c r="O113" s="79"/>
      <x:c r="P113" s="79" t="str">
        <x:v>[{"name": "195 گرمی", "sku": "", "price": 500000, "stock": "", "weight": 195, "weightUnit": "g", "containerSize": "195 گرم", "isDefault": true}]</x:v>
      </x:c>
    </x:row>
    <x:row r="114">
      <x:c r="A114" s="79" t="str">
        <x:v>کره نارگیل</x:v>
      </x:c>
      <x:c r="B114" s="79" t="str">
        <x:v>coconut_butter_195_warm</x:v>
      </x:c>
      <x:c r="C114" s="79" t="str">
        <x:v>update_grouped_product</x:v>
      </x:c>
      <x:c r="D114" s="79" t="str">
        <x:v>342</x:v>
      </x:c>
      <x:c r="E114" s="79" t="str">
        <x:v>کره نارگیل</x:v>
      </x:c>
      <x:c r="F114" s="79" t="str">
        <x:v>خشکبار و آجیل</x:v>
      </x:c>
      <x:c r="G114" s="79" t="str">
        <x:v>6a37810ddf5573f4e676e201</x:v>
      </x:c>
      <x:c r="H114" s="79" t="str">
        <x:v>dried-fruits-nuts</x:v>
      </x:c>
      <x:c r="I114" s="79"/>
      <x:c r="J114" s="79" t="str">
        <x:v>EDIBLE</x:v>
      </x:c>
      <x:c r="K114" s="79" t="str">
        <x:v>بله</x:v>
      </x:c>
      <x:c r="L114" s="79" t="n">
        <x:v>2</x:v>
      </x:c>
      <x:c r="M114" s="79" t="n">
        <x:v>0</x:v>
      </x:c>
      <x:c r="N114" s="79" t="str">
        <x:v>OK</x:v>
      </x:c>
      <x:c r="O114" s="79" t="str">
        <x:v>دسته از «نیاز به بررسی» به «خشکبار و آجیل» اصلاح شد</x:v>
      </x:c>
      <x:c r="P114" s="79" t="str">
        <x:v>[{"name": "195 گرمی", "sku": "", "price": 350000, "stock": "", "weight": 195, "weightUnit": "g", "containerSize": "195 گرم", "isDefault": true}, {"name": "255 گرمی", "sku": "", "price": 460000, "stock": "", "weight": 255, "weightUnit": "g", "containerSize": "255 گرم", "isDefault": false}]</x:v>
      </x:c>
    </x:row>
    <x:row r="115">
      <x:c r="A115" s="79" t="str">
        <x:v>کره پسته</x:v>
      </x:c>
      <x:c r="B115" s="79" t="str">
        <x:v>pistachio_butter_180_warm</x:v>
      </x:c>
      <x:c r="C115" s="79" t="str">
        <x:v>update_grouped_product</x:v>
      </x:c>
      <x:c r="D115" s="79" t="str">
        <x:v>338</x:v>
      </x:c>
      <x:c r="E115" s="79" t="str">
        <x:v>کره پسته</x:v>
      </x:c>
      <x:c r="F115" s="79" t="str">
        <x:v>خشکبار و آجیل</x:v>
      </x:c>
      <x:c r="G115" s="79" t="str">
        <x:v>6a37810ddf5573f4e676e201</x:v>
      </x:c>
      <x:c r="H115" s="79" t="str">
        <x:v>dried-fruits-nuts</x:v>
      </x:c>
      <x:c r="I115" s="79"/>
      <x:c r="J115" s="79" t="str">
        <x:v>EDIBLE</x:v>
      </x:c>
      <x:c r="K115" s="79" t="str">
        <x:v>بله</x:v>
      </x:c>
      <x:c r="L115" s="79" t="n">
        <x:v>2</x:v>
      </x:c>
      <x:c r="M115" s="79" t="n">
        <x:v>0</x:v>
      </x:c>
      <x:c r="N115" s="79" t="str">
        <x:v>OK</x:v>
      </x:c>
      <x:c r="O115" s="79"/>
      <x:c r="P115" s="79" t="str">
        <x:v>[{"name": "180 گرمی", "sku": "", "price": 810000, "stock": "", "weight": 180, "weightUnit": "g", "containerSize": "180 گرم", "isDefault": true}, {"name": "کیلو", "sku": "", "price": 4500000, "stock": "", "weight": 1, "weightUnit": "kg", "containerSize": "کیلو", "isDefault": false}]</x:v>
      </x:c>
    </x:row>
    <x:row r="116">
      <x:c r="A116" s="79" t="str">
        <x:v>کره پنج مغز</x:v>
      </x:c>
      <x:c r="B116" s="79" t="str">
        <x:v>five_nut_butter</x:v>
      </x:c>
      <x:c r="C116" s="79" t="str">
        <x:v>update_grouped_product</x:v>
      </x:c>
      <x:c r="D116" s="79" t="str">
        <x:v>339</x:v>
      </x:c>
      <x:c r="E116" s="79" t="str">
        <x:v>کره پنج مغز</x:v>
      </x:c>
      <x:c r="F116" s="79" t="str">
        <x:v>خشکبار و آجیل</x:v>
      </x:c>
      <x:c r="G116" s="79" t="str">
        <x:v>6a37810ddf5573f4e676e201</x:v>
      </x:c>
      <x:c r="H116" s="79" t="str">
        <x:v>dried-fruits-nuts</x:v>
      </x:c>
      <x:c r="I116" s="79"/>
      <x:c r="J116" s="79" t="str">
        <x:v>EDIBLE</x:v>
      </x:c>
      <x:c r="K116" s="79" t="str">
        <x:v>بله</x:v>
      </x:c>
      <x:c r="L116" s="79" t="n">
        <x:v>1</x:v>
      </x:c>
      <x:c r="M116" s="79" t="n">
        <x:v>0</x:v>
      </x:c>
      <x:c r="N116" s="79" t="str">
        <x:v>OK</x:v>
      </x:c>
      <x:c r="O116" s="79" t="str">
        <x:v>دسته از «نیاز به بررسی» به «خشکبار و آجیل» اصلاح شد</x:v>
      </x:c>
      <x:c r="P116" s="79" t="str">
        <x:v>[{"name": "195 گرمی", "sku": "", "price": 500000, "stock": "", "weight": 195, "weightUnit": "g", "containerSize": "195 گرم", "isDefault": true}]</x:v>
      </x:c>
    </x:row>
    <x:row r="117">
      <x:c r="A117" s="79" t="str">
        <x:v>کره کدو</x:v>
      </x:c>
      <x:c r="B117" s="79" t="str">
        <x:v>butter_pumpkin</x:v>
      </x:c>
      <x:c r="C117" s="79" t="str">
        <x:v>update_grouped_product</x:v>
      </x:c>
      <x:c r="D117" s="79" t="str">
        <x:v>341</x:v>
      </x:c>
      <x:c r="E117" s="79" t="str">
        <x:v>کره کدو</x:v>
      </x:c>
      <x:c r="F117" s="79" t="str">
        <x:v>خشکبار و آجیل</x:v>
      </x:c>
      <x:c r="G117" s="79" t="str">
        <x:v>6a37810ddf5573f4e676e201</x:v>
      </x:c>
      <x:c r="H117" s="79" t="str">
        <x:v>dried-fruits-nuts</x:v>
      </x:c>
      <x:c r="I117" s="79"/>
      <x:c r="J117" s="79" t="str">
        <x:v>EDIBLE</x:v>
      </x:c>
      <x:c r="K117" s="79" t="str">
        <x:v>بله</x:v>
      </x:c>
      <x:c r="L117" s="79" t="n">
        <x:v>1</x:v>
      </x:c>
      <x:c r="M117" s="79" t="n">
        <x:v>1</x:v>
      </x:c>
      <x:c r="N117" s="79" t="str">
        <x:v>MISSING_PRICE_REVIEW + 1 VARIANT_PRICE_MISSING</x:v>
      </x:c>
      <x:c r="O117" s="79" t="str">
        <x:v>دسته از «نیاز به بررسی» به «خشکبار و آجیل» اصلاح شد | یک یا چند قیمت نامشخص است</x:v>
      </x:c>
      <x:c r="P117" s="79" t="str">
        <x:v>[{"name": "کیلو", "sku": "", "price": null, "stock": "", "weight": 1, "weightUnit": "kg", "containerSize": "کیلو", "isDefault": true}]</x:v>
      </x:c>
    </x:row>
    <x:row r="118">
      <x:c r="A118" s="79" t="str">
        <x:v>کشمش با هسته (مویز)</x:v>
      </x:c>
      <x:c r="B118" s="79" t="str">
        <x:v>raisin_with_seed</x:v>
      </x:c>
      <x:c r="C118" s="79" t="str">
        <x:v>update_grouped_product</x:v>
      </x:c>
      <x:c r="D118" s="79" t="str">
        <x:v>343</x:v>
      </x:c>
      <x:c r="E118" s="79" t="str">
        <x:v>کشمش با هسته (مویز)</x:v>
      </x:c>
      <x:c r="F118" s="79" t="str">
        <x:v>خشکبار و آجیل</x:v>
      </x:c>
      <x:c r="G118" s="79" t="str">
        <x:v>6a37810ddf5573f4e676e201</x:v>
      </x:c>
      <x:c r="H118" s="79" t="str">
        <x:v>dried-fruits-nuts</x:v>
      </x:c>
      <x:c r="I118" s="79"/>
      <x:c r="J118" s="79" t="str">
        <x:v>EDIBLE</x:v>
      </x:c>
      <x:c r="K118" s="79" t="str">
        <x:v>بله</x:v>
      </x:c>
      <x:c r="L118" s="79" t="n">
        <x:v>1</x:v>
      </x:c>
      <x:c r="M118" s="79" t="n">
        <x:v>0</x:v>
      </x:c>
      <x:c r="N118" s="79" t="str">
        <x:v>OK</x:v>
      </x:c>
      <x:c r="O118" s="79"/>
      <x:c r="P118" s="79" t="str">
        <x:v>[{"name": "کیلو", "sku": "", "price": 800000, "stock": "", "weight": 1, "weightUnit": "kg", "containerSize": "کیلو", "isDefault": true}]</x:v>
      </x:c>
    </x:row>
    <x:row r="119">
      <x:c r="A119" s="79" t="str">
        <x:v>کشمش سبز</x:v>
      </x:c>
      <x:c r="B119" s="79" t="str">
        <x:v>green_raisin</x:v>
      </x:c>
      <x:c r="C119" s="79" t="str">
        <x:v>update_grouped_product</x:v>
      </x:c>
      <x:c r="D119" s="79" t="str">
        <x:v>344</x:v>
      </x:c>
      <x:c r="E119" s="79" t="str">
        <x:v>کشمش سبز</x:v>
      </x:c>
      <x:c r="F119" s="79" t="str">
        <x:v>خشکبار و آجیل</x:v>
      </x:c>
      <x:c r="G119" s="79" t="str">
        <x:v>6a37810ddf5573f4e676e201</x:v>
      </x:c>
      <x:c r="H119" s="79" t="str">
        <x:v>dried-fruits-nuts</x:v>
      </x:c>
      <x:c r="I119" s="79"/>
      <x:c r="J119" s="79" t="str">
        <x:v>EDIBLE</x:v>
      </x:c>
      <x:c r="K119" s="79" t="str">
        <x:v>بله</x:v>
      </x:c>
      <x:c r="L119" s="79" t="n">
        <x:v>1</x:v>
      </x:c>
      <x:c r="M119" s="79" t="n">
        <x:v>0</x:v>
      </x:c>
      <x:c r="N119" s="79" t="str">
        <x:v>OK</x:v>
      </x:c>
      <x:c r="O119" s="79"/>
      <x:c r="P119" s="79" t="str">
        <x:v>[{"name": "کیلو", "sku": "", "price": 700000, "stock": "", "weight": 1, "weightUnit": "kg", "containerSize": "کیلو", "isDefault": true}]</x:v>
      </x:c>
    </x:row>
    <x:row r="120">
      <x:c r="A120" s="79" t="str">
        <x:v>کنجد</x:v>
      </x:c>
      <x:c r="B120" s="79" t="str">
        <x:v>sesame</x:v>
      </x:c>
      <x:c r="C120" s="79" t="str">
        <x:v>update_grouped_product</x:v>
      </x:c>
      <x:c r="D120" s="79" t="str">
        <x:v>348, 349, 350, 351, 352</x:v>
      </x:c>
      <x:c r="E120" s="79" t="str">
        <x:v>کنجد خام ایرانی | کنجد دزفول | کنجد سفید | کنجد قهوه ای | کنجد لار ارده</x:v>
      </x:c>
      <x:c r="F120" s="79" t="str">
        <x:v>خشکبار و آجیل</x:v>
      </x:c>
      <x:c r="G120" s="79" t="str">
        <x:v>6a37810ddf5573f4e676e201</x:v>
      </x:c>
      <x:c r="H120" s="79" t="str">
        <x:v>dried-fruits-nuts</x:v>
      </x:c>
      <x:c r="I120" s="79"/>
      <x:c r="J120" s="79" t="str">
        <x:v>EDIBLE</x:v>
      </x:c>
      <x:c r="K120" s="79" t="str">
        <x:v>بله</x:v>
      </x:c>
      <x:c r="L120" s="79" t="n">
        <x:v>5</x:v>
      </x:c>
      <x:c r="M120" s="79" t="n">
        <x:v>2</x:v>
      </x:c>
      <x:c r="N120" s="79" t="str">
        <x:v>MERGED + MISSING_PRICE_REVIEW + 2 VARIANT_PRICE_MISSING</x:v>
      </x:c>
      <x:c r="O120" s="79" t="str">
        <x:v>5 ردیف مشابه با هم یکی شد | دسته از «قنادی و شیرینی» به «خشکبار و آجیل» اصلاح شد | یک یا چند قیمت نامشخص است</x:v>
      </x:c>
      <x:c r="P120" s="79" t="str">
        <x:v>[{"name": "خام ایرانی - کیلو", "sku": "", "price": null, "stock": "", "weight": 1, "weightUnit": "kg", "containerSize": "کیلو", "isDefault": true}, {"name": "دزفول - کیلو", "sku": "", "price": null, "stock": "", "weight": 1, "weightUnit": "kg", "containerSize": "کیلو", "isDefault": false}, {"name": "سفید - کیلو", "sku": "", "price": 700000, "stock": "", "weight": 1, "weightUnit": "kg", "containerSize": "کیلو", "isDefault": false}, {"name": "قهوه‌ای - کیلو", "sku": "", "price": 600000, "stock": "", "weight": 1, "weightUnit": "kg", "containerSize": "کیلو", "isDefault": false}, {"name": "لار ارده - کیلو", "sku": "", "price": 680000, "stock": "", "weight": 1, "weightUnit": "kg", "containerSize": "کیلو", "isDefault": false}]</x:v>
      </x:c>
    </x:row>
    <x:row r="121">
      <x:c r="A121" s="79" t="str">
        <x:v>روغن آرگان مراکش</x:v>
      </x:c>
      <x:c r="B121" s="79" t="str">
        <x:v>argan_oil_morocco</x:v>
      </x:c>
      <x:c r="C121" s="79" t="str">
        <x:v>update_grouped_product</x:v>
      </x:c>
      <x:c r="D121" s="79" t="str">
        <x:v>128, 129, 130, 131</x:v>
      </x:c>
      <x:c r="E121" s="79" t="str">
        <x:v>روغن آرگان درجه 1 | روغن آرگان درجه 2 | روغن آرگان مراکش درجه 1 | روغن آرگان مراکش درجه 2</x:v>
      </x:c>
      <x:c r="F121" s="79" t="str">
        <x:v>روغن</x:v>
      </x:c>
      <x:c r="G121" s="79" t="str">
        <x:v>6a2d446d45c164ce6f28ae30</x:v>
      </x:c>
      <x:c r="H121" s="79" t="str">
        <x:v>oil</x:v>
      </x:c>
      <x:c r="I121" s="79"/>
      <x:c r="J121" s="79" t="str">
        <x:v>EDIBLE</x:v>
      </x:c>
      <x:c r="K121" s="79" t="str">
        <x:v>بله</x:v>
      </x:c>
      <x:c r="L121" s="79" t="n">
        <x:v>8</x:v>
      </x:c>
      <x:c r="M121" s="79" t="n">
        <x:v>0</x:v>
      </x:c>
      <x:c r="N121" s="79" t="str">
        <x:v>MERGED</x:v>
      </x:c>
      <x:c r="O121" s="79" t="str">
        <x:v>4 ردیف مشابه با هم یکی شد</x:v>
      </x:c>
      <x:c r="P121" s="79" t="str">
        <x:v>[{"name": "درجه ۱ - 30 میلی لیتر", "sku": "", "price": 250000, "stock": "", "weight": 30, "weightUnit": "ml", "containerSize": "30 میل", "isDefault": true}, {"name": "درجه ۱ - 60 میلی لیتر", "sku": "", "price": 495000, "stock": "", "weight": 60, "weightUnit": "ml", "containerSize": "60 میل", "isDefault": false}, {"name": "درجه ۲ - 30 میلی لیتر", "sku": "", "price": 170000, "stock": "", "weight": 30, "weightUnit": "ml", "containerSize": "30 میل", "isDefault": false}, {"name": "درجه ۲ - 60 میلی لیتر", "sku": "", "price": 335000, "stock": "", "weight": 60, "weightUnit": "ml", "containerSize": "60 میل", "isDefault": false}, {"name": "درجه ۱ - نیم لیتر", "sku": "", "price": 3750000, "stock": "", "weight": 500, "weightUnit": "ml", "containerSize": "نیم لیتر", "isDefault": false}, {"name": "درجه ۱ - 1 لیتر", "sku": "", "price": 7500000, "stock": "", "weight": 1000, "weightUnit": "ml", "containerSize": "1 لیتر", "isDefault": false}, {"name": "درجه ۲ - نیم لیتر", "sku": "", "price": 2250000, "stock": "", "weight": 500, "weightUnit": "ml", "containerSize": "نیم لیتر", "isDefault": false}, {"name": "درجه ۲ - 1 لیتر", "sku": "", "price": 4500000, "stock": "", "weight": 1000, "weightUnit": "ml", "containerSize": "1 لیتر", "isDefault": false}]</x:v>
      </x:c>
    </x:row>
    <x:row r="122">
      <x:c r="A122" s="79" t="str">
        <x:v>روغن آفتابگردان</x:v>
      </x:c>
      <x:c r="B122" s="79" t="str">
        <x:v>oil_sunflower_half_liter</x:v>
      </x:c>
      <x:c r="C122" s="79" t="str">
        <x:v>update_grouped_product</x:v>
      </x:c>
      <x:c r="D122" s="79" t="str">
        <x:v>132</x:v>
      </x:c>
      <x:c r="E122" s="79" t="str">
        <x:v>روغن آفتابگردان</x:v>
      </x:c>
      <x:c r="F122" s="79" t="str">
        <x:v>روغن</x:v>
      </x:c>
      <x:c r="G122" s="79" t="str">
        <x:v>6a2d446d45c164ce6f28ae30</x:v>
      </x:c>
      <x:c r="H122" s="79" t="str">
        <x:v>oil</x:v>
      </x:c>
      <x:c r="I122" s="79"/>
      <x:c r="J122" s="79" t="str">
        <x:v>EDIBLE</x:v>
      </x:c>
      <x:c r="K122" s="79" t="str">
        <x:v>بله</x:v>
      </x:c>
      <x:c r="L122" s="79" t="n">
        <x:v>2</x:v>
      </x:c>
      <x:c r="M122" s="79" t="n">
        <x:v>0</x:v>
      </x:c>
      <x:c r="N122" s="79" t="str">
        <x:v>OK</x:v>
      </x:c>
      <x:c r="O122" s="79"/>
      <x:c r="P122" s="79" t="str">
        <x:v>[{"name": "نیم لیتر", "sku": "", "price": 400000, "stock": "", "weight": 500, "weightUnit": "ml", "containerSize": "نیم لیتر", "isDefault": true}, {"name": "1 لیتر", "sku": "", "price": 790000, "stock": "", "weight": 1000, "weightUnit": "ml", "containerSize": "1 لیتر", "isDefault": false}]</x:v>
      </x:c>
    </x:row>
    <x:row r="123">
      <x:c r="A123" s="79" t="str">
        <x:v>روغن آمله</x:v>
      </x:c>
      <x:c r="B123" s="79" t="str">
        <x:v>oil_amla_30ml</x:v>
      </x:c>
      <x:c r="C123" s="79" t="str">
        <x:v>update_grouped_product</x:v>
      </x:c>
      <x:c r="D123" s="79" t="str">
        <x:v>133</x:v>
      </x:c>
      <x:c r="E123" s="79" t="str">
        <x:v>روغن آمله</x:v>
      </x:c>
      <x:c r="F123" s="79" t="str">
        <x:v>روغن</x:v>
      </x:c>
      <x:c r="G123" s="79" t="str">
        <x:v>6a2d446d45c164ce6f28ae30</x:v>
      </x:c>
      <x:c r="H123" s="79" t="str">
        <x:v>oil</x:v>
      </x:c>
      <x:c r="I123" s="79"/>
      <x:c r="J123" s="79" t="str">
        <x:v>EDIBLE</x:v>
      </x:c>
      <x:c r="K123" s="79" t="str">
        <x:v>بله</x:v>
      </x:c>
      <x:c r="L123" s="79" t="n">
        <x:v>2</x:v>
      </x:c>
      <x:c r="M123" s="79" t="n">
        <x:v>0</x:v>
      </x:c>
      <x:c r="N123" s="79" t="str">
        <x:v>OK</x:v>
      </x:c>
      <x:c r="O123" s="79"/>
      <x:c r="P123" s="79" t="str">
        <x:v>[{"name": "30 میلی لیتر", "sku": "", "price": 80000, "stock": "", "weight": 30, "weightUnit": "ml", "containerSize": "30 میل", "isDefault": true}, {"name": "60 میلی لیتر", "sku": "", "price": 150000, "stock": "", "weight": 60, "weightUnit": "ml", "containerSize": "60 میل", "isDefault": false}]</x:v>
      </x:c>
    </x:row>
    <x:row r="124">
      <x:c r="A124" s="79" t="str">
        <x:v>روغن آووکادو</x:v>
      </x:c>
      <x:c r="B124" s="79" t="str">
        <x:v>oil_avocado_30ml</x:v>
      </x:c>
      <x:c r="C124" s="79" t="str">
        <x:v>update_grouped_product</x:v>
      </x:c>
      <x:c r="D124" s="79" t="str">
        <x:v>134</x:v>
      </x:c>
      <x:c r="E124" s="79" t="str">
        <x:v>روغن آووکادو</x:v>
      </x:c>
      <x:c r="F124" s="79" t="str">
        <x:v>روغن</x:v>
      </x:c>
      <x:c r="G124" s="79" t="str">
        <x:v>6a2d446d45c164ce6f28ae30</x:v>
      </x:c>
      <x:c r="H124" s="79" t="str">
        <x:v>oil</x:v>
      </x:c>
      <x:c r="I124" s="79"/>
      <x:c r="J124" s="79" t="str">
        <x:v>EDIBLE</x:v>
      </x:c>
      <x:c r="K124" s="79" t="str">
        <x:v>بله</x:v>
      </x:c>
      <x:c r="L124" s="79" t="n">
        <x:v>2</x:v>
      </x:c>
      <x:c r="M124" s="79" t="n">
        <x:v>0</x:v>
      </x:c>
      <x:c r="N124" s="79" t="str">
        <x:v>OK</x:v>
      </x:c>
      <x:c r="O124" s="79"/>
      <x:c r="P124" s="79" t="str">
        <x:v>[{"name": "30 میلی لیتر", "sku": "", "price": 100000, "stock": "", "weight": 30, "weightUnit": "ml", "containerSize": "30 میل", "isDefault": true}, {"name": "60 میلی لیتر", "sku": "", "price": 190000, "stock": "", "weight": 60, "weightUnit": "ml", "containerSize": "60 میل", "isDefault": false}]</x:v>
      </x:c>
    </x:row>
    <x:row r="125">
      <x:c r="A125" s="79" t="str">
        <x:v>روغن ارده</x:v>
      </x:c>
      <x:c r="B125" s="79" t="str">
        <x:v>oil_tahini_half_liter</x:v>
      </x:c>
      <x:c r="C125" s="79" t="str">
        <x:v>update_grouped_product</x:v>
      </x:c>
      <x:c r="D125" s="79" t="str">
        <x:v>123</x:v>
      </x:c>
      <x:c r="E125" s="79" t="str">
        <x:v>روغن ارده</x:v>
      </x:c>
      <x:c r="F125" s="79" t="str">
        <x:v>روغن</x:v>
      </x:c>
      <x:c r="G125" s="79" t="str">
        <x:v>6a2d446d45c164ce6f28ae30</x:v>
      </x:c>
      <x:c r="H125" s="79" t="str">
        <x:v>oil</x:v>
      </x:c>
      <x:c r="I125" s="79"/>
      <x:c r="J125" s="79" t="str">
        <x:v>EDIBLE</x:v>
      </x:c>
      <x:c r="K125" s="79" t="str">
        <x:v>بله</x:v>
      </x:c>
      <x:c r="L125" s="79" t="n">
        <x:v>2</x:v>
      </x:c>
      <x:c r="M125" s="79" t="n">
        <x:v>0</x:v>
      </x:c>
      <x:c r="N125" s="79" t="str">
        <x:v>OK</x:v>
      </x:c>
      <x:c r="O125" s="79"/>
      <x:c r="P125" s="79" t="str">
        <x:v>[{"name": "نیم لیتر", "sku": "", "price": 555000, "stock": "", "weight": 500, "weightUnit": "ml", "containerSize": "نیم لیتر", "isDefault": true}, {"name": "1 لیتر", "sku": "", "price": 1100000, "stock": "", "weight": 1000, "weightUnit": "ml", "containerSize": "1 لیتر", "isDefault": false}]</x:v>
      </x:c>
    </x:row>
    <x:row r="126">
      <x:c r="A126" s="79" t="str">
        <x:v>روغن اسطوخودوس</x:v>
      </x:c>
      <x:c r="B126" s="79" t="str">
        <x:v>oil_lavender_30ml</x:v>
      </x:c>
      <x:c r="C126" s="79" t="str">
        <x:v>update_grouped_product</x:v>
      </x:c>
      <x:c r="D126" s="79" t="str">
        <x:v>124</x:v>
      </x:c>
      <x:c r="E126" s="79" t="str">
        <x:v>روغن اسطوخودوس</x:v>
      </x:c>
      <x:c r="F126" s="79" t="str">
        <x:v>روغن</x:v>
      </x:c>
      <x:c r="G126" s="79" t="str">
        <x:v>6a2d446d45c164ce6f28ae30</x:v>
      </x:c>
      <x:c r="H126" s="79" t="str">
        <x:v>oil</x:v>
      </x:c>
      <x:c r="I126" s="79"/>
      <x:c r="J126" s="79" t="str">
        <x:v>EDIBLE</x:v>
      </x:c>
      <x:c r="K126" s="79" t="str">
        <x:v>بله</x:v>
      </x:c>
      <x:c r="L126" s="79" t="n">
        <x:v>2</x:v>
      </x:c>
      <x:c r="M126" s="79" t="n">
        <x:v>0</x:v>
      </x:c>
      <x:c r="N126" s="79" t="str">
        <x:v>OK</x:v>
      </x:c>
      <x:c r="O126" s="79"/>
      <x:c r="P126" s="79" t="str">
        <x:v>[{"name": "30 میلی لیتر", "sku": "", "price": 80000, "stock": "", "weight": 30, "weightUnit": "ml", "containerSize": "30 میل", "isDefault": true}, {"name": "60 میلی لیتر", "sku": "", "price": 150000, "stock": "", "weight": 60, "weightUnit": "ml", "containerSize": "60 میل", "isDefault": false}]</x:v>
      </x:c>
    </x:row>
    <x:row r="127">
      <x:c r="A127" s="79" t="str">
        <x:v>روغن الاغ</x:v>
      </x:c>
      <x:c r="B127" s="79" t="str">
        <x:v>oil_donkey_30ml</x:v>
      </x:c>
      <x:c r="C127" s="79" t="str">
        <x:v>update_grouped_product</x:v>
      </x:c>
      <x:c r="D127" s="79" t="str">
        <x:v>126</x:v>
      </x:c>
      <x:c r="E127" s="79" t="str">
        <x:v>روغن الاغ</x:v>
      </x:c>
      <x:c r="F127" s="79" t="str">
        <x:v>روغن</x:v>
      </x:c>
      <x:c r="G127" s="79" t="str">
        <x:v>6a2d446d45c164ce6f28ae30</x:v>
      </x:c>
      <x:c r="H127" s="79" t="str">
        <x:v>oil</x:v>
      </x:c>
      <x:c r="I127" s="79"/>
      <x:c r="J127" s="79" t="str">
        <x:v>EDIBLE</x:v>
      </x:c>
      <x:c r="K127" s="79" t="str">
        <x:v>بله</x:v>
      </x:c>
      <x:c r="L127" s="79" t="n">
        <x:v>2</x:v>
      </x:c>
      <x:c r="M127" s="79" t="n">
        <x:v>0</x:v>
      </x:c>
      <x:c r="N127" s="79" t="str">
        <x:v>OK</x:v>
      </x:c>
      <x:c r="O127" s="79"/>
      <x:c r="P127" s="79" t="str">
        <x:v>[{"name": "30 میلی لیتر", "sku": "", "price": 80000, "stock": "", "weight": 30, "weightUnit": "ml", "containerSize": "30 میل", "isDefault": true}, {"name": "60 میلی لیتر", "sku": "", "price": 150000, "stock": "", "weight": 60, "weightUnit": "ml", "containerSize": "60 میل", "isDefault": false}]</x:v>
      </x:c>
    </x:row>
    <x:row r="128">
      <x:c r="A128" s="79" t="str">
        <x:v>روغن انار</x:v>
      </x:c>
      <x:c r="B128" s="79" t="str">
        <x:v>oil_pomegranate_30ml</x:v>
      </x:c>
      <x:c r="C128" s="79" t="str">
        <x:v>update_grouped_product</x:v>
      </x:c>
      <x:c r="D128" s="79" t="str">
        <x:v>127</x:v>
      </x:c>
      <x:c r="E128" s="79" t="str">
        <x:v>روغن انار</x:v>
      </x:c>
      <x:c r="F128" s="79" t="str">
        <x:v>روغن</x:v>
      </x:c>
      <x:c r="G128" s="79" t="str">
        <x:v>6a2d446d45c164ce6f28ae30</x:v>
      </x:c>
      <x:c r="H128" s="79" t="str">
        <x:v>oil</x:v>
      </x:c>
      <x:c r="I128" s="79"/>
      <x:c r="J128" s="79" t="str">
        <x:v>EDIBLE</x:v>
      </x:c>
      <x:c r="K128" s="79" t="str">
        <x:v>بله</x:v>
      </x:c>
      <x:c r="L128" s="79" t="n">
        <x:v>2</x:v>
      </x:c>
      <x:c r="M128" s="79" t="n">
        <x:v>0</x:v>
      </x:c>
      <x:c r="N128" s="79" t="str">
        <x:v>OK</x:v>
      </x:c>
      <x:c r="O128" s="79"/>
      <x:c r="P128" s="79" t="str">
        <x:v>[{"name": "30 میلی لیتر", "sku": "", "price": 80000, "stock": "", "weight": 30, "weightUnit": "ml", "containerSize": "30 میل", "isDefault": true}, {"name": "60 میلی لیتر", "sku": "", "price": 150000, "stock": "", "weight": 60, "weightUnit": "ml", "containerSize": "60 میل", "isDefault": false}]</x:v>
      </x:c>
    </x:row>
    <x:row r="129">
      <x:c r="A129" s="79" t="str">
        <x:v>روغن اکالیپتوس</x:v>
      </x:c>
      <x:c r="B129" s="79" t="str">
        <x:v>oil_eucalyptus_30ml</x:v>
      </x:c>
      <x:c r="C129" s="79" t="str">
        <x:v>update_grouped_product</x:v>
      </x:c>
      <x:c r="D129" s="79" t="str">
        <x:v>125</x:v>
      </x:c>
      <x:c r="E129" s="79" t="str">
        <x:v>روغن اکالیپتوس</x:v>
      </x:c>
      <x:c r="F129" s="79" t="str">
        <x:v>روغن</x:v>
      </x:c>
      <x:c r="G129" s="79" t="str">
        <x:v>6a2d446d45c164ce6f28ae30</x:v>
      </x:c>
      <x:c r="H129" s="79" t="str">
        <x:v>oil</x:v>
      </x:c>
      <x:c r="I129" s="79"/>
      <x:c r="J129" s="79" t="str">
        <x:v>EDIBLE</x:v>
      </x:c>
      <x:c r="K129" s="79" t="str">
        <x:v>بله</x:v>
      </x:c>
      <x:c r="L129" s="79" t="n">
        <x:v>2</x:v>
      </x:c>
      <x:c r="M129" s="79" t="n">
        <x:v>0</x:v>
      </x:c>
      <x:c r="N129" s="79" t="str">
        <x:v>OK</x:v>
      </x:c>
      <x:c r="O129" s="79"/>
      <x:c r="P129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</x:row>
    <x:row r="130">
      <x:c r="A130" s="79" t="str">
        <x:v>روغن بابونه</x:v>
      </x:c>
      <x:c r="B130" s="79" t="str">
        <x:v>oil_chamomile_30ml</x:v>
      </x:c>
      <x:c r="C130" s="79" t="str">
        <x:v>update_grouped_product</x:v>
      </x:c>
      <x:c r="D130" s="79" t="str">
        <x:v>135</x:v>
      </x:c>
      <x:c r="E130" s="79" t="str">
        <x:v>روغن بابونه</x:v>
      </x:c>
      <x:c r="F130" s="79" t="str">
        <x:v>روغن</x:v>
      </x:c>
      <x:c r="G130" s="79" t="str">
        <x:v>6a2d446d45c164ce6f28ae30</x:v>
      </x:c>
      <x:c r="H130" s="79" t="str">
        <x:v>oil</x:v>
      </x:c>
      <x:c r="I130" s="79"/>
      <x:c r="J130" s="79" t="str">
        <x:v>EDIBLE</x:v>
      </x:c>
      <x:c r="K130" s="79" t="str">
        <x:v>بله</x:v>
      </x:c>
      <x:c r="L130" s="79" t="n">
        <x:v>2</x:v>
      </x:c>
      <x:c r="M130" s="79" t="n">
        <x:v>0</x:v>
      </x:c>
      <x:c r="N130" s="79" t="str">
        <x:v>OK</x:v>
      </x:c>
      <x:c r="O130" s="79"/>
      <x:c r="P130" s="79" t="str">
        <x:v>[{"name": "30 میلی لیتر", "sku": "", "price": 100000, "stock": "", "weight": 30, "weightUnit": "ml", "containerSize": "30 میل", "isDefault": true}, {"name": "60 میلی لیتر", "sku": "", "price": 195000, "stock": "", "weight": 60, "weightUnit": "ml", "containerSize": "60 میل", "isDefault": false}]</x:v>
      </x:c>
    </x:row>
    <x:row r="131">
      <x:c r="A131" s="79" t="str">
        <x:v>روغن بادام تلخ</x:v>
      </x:c>
      <x:c r="B131" s="79" t="str">
        <x:v>bitter_almond_oil</x:v>
      </x:c>
      <x:c r="C131" s="79" t="str">
        <x:v>update_grouped_product</x:v>
      </x:c>
      <x:c r="D131" s="79" t="str">
        <x:v>136, 137</x:v>
      </x:c>
      <x:c r="E131" s="79" t="str">
        <x:v>روغن بادام تلخ</x:v>
      </x:c>
      <x:c r="F131" s="79" t="str">
        <x:v>روغن</x:v>
      </x:c>
      <x:c r="G131" s="79" t="str">
        <x:v>6a2d446d45c164ce6f28ae30</x:v>
      </x:c>
      <x:c r="H131" s="79" t="str">
        <x:v>oil</x:v>
      </x:c>
      <x:c r="I131" s="79"/>
      <x:c r="J131" s="79" t="str">
        <x:v>EDIBLE</x:v>
      </x:c>
      <x:c r="K131" s="79" t="str">
        <x:v>بله</x:v>
      </x:c>
      <x:c r="L131" s="79" t="n">
        <x:v>4</x:v>
      </x:c>
      <x:c r="M131" s="79" t="n">
        <x:v>0</x:v>
      </x:c>
      <x:c r="N131" s="79" t="str">
        <x:v>MERGED</x:v>
      </x:c>
      <x:c r="O131" s="79" t="str">
        <x:v>2 ردیف مشابه با هم یکی شد</x:v>
      </x:c>
      <x:c r="P131" s="79" t="str">
        <x:v>[{"name": "30 میلی لیتر", "sku": "", "price": 95000, "stock": "", "weight": 30, "weightUnit": "ml", "containerSize": "30 میل", "isDefault": true}, {"name": "60 میلی لیتر", "sku": "", "price": 180000, "stock": "", "weight": 60, "weightUnit": "ml", "containerSize": "60 میل", "isDefault": false}, {"name": "نیم لیتر", "sku": "", "price": 1300000, "stock": "", "weight": 500, "weightUnit": "ml", "containerSize": "نیم لیتر", "isDefault": false}, {"name": "1 لیتر", "sku": "", "price": 2600000, "stock": "", "weight": 1000, "weightUnit": "ml", "containerSize": "1 لیتر", "isDefault": false}]</x:v>
      </x:c>
    </x:row>
    <x:row r="132">
      <x:c r="A132" s="79" t="str">
        <x:v>روغن بادام شیرین</x:v>
      </x:c>
      <x:c r="B132" s="79" t="str">
        <x:v>sweet_almond_oil</x:v>
      </x:c>
      <x:c r="C132" s="79" t="str">
        <x:v>update_grouped_product</x:v>
      </x:c>
      <x:c r="D132" s="79" t="str">
        <x:v>138, 139</x:v>
      </x:c>
      <x:c r="E132" s="79" t="str">
        <x:v>روغن بادام شیرین</x:v>
      </x:c>
      <x:c r="F132" s="79" t="str">
        <x:v>روغن</x:v>
      </x:c>
      <x:c r="G132" s="79" t="str">
        <x:v>6a2d446d45c164ce6f28ae30</x:v>
      </x:c>
      <x:c r="H132" s="79" t="str">
        <x:v>oil</x:v>
      </x:c>
      <x:c r="I132" s="79"/>
      <x:c r="J132" s="79" t="str">
        <x:v>EDIBLE</x:v>
      </x:c>
      <x:c r="K132" s="79" t="str">
        <x:v>بله</x:v>
      </x:c>
      <x:c r="L132" s="79" t="n">
        <x:v>4</x:v>
      </x:c>
      <x:c r="M132" s="79" t="n">
        <x:v>0</x:v>
      </x:c>
      <x:c r="N132" s="79" t="str">
        <x:v>MERGED</x:v>
      </x:c>
      <x:c r="O132" s="79" t="str">
        <x:v>2 ردیف مشابه با هم یکی شد</x:v>
      </x:c>
      <x:c r="P132" s="79" t="str">
        <x:v>[{"name": "نیم لیتر", "sku": "", "price": 1550000, "stock": "", "weight": 500, "weightUnit": "ml", "containerSize": "نیم لیتر", "isDefault": true}, {"name": "1 لیتر", "sku": "", "price": 3100000, "stock": "", "weight": 1000, "weightUnit": "ml", "containerSize": "1 لیتر", "isDefault": false}, {"name": "30 میلی لیتر", "sku": "", "price": 100000, "stock": "", "weight": 30, "weightUnit": "ml", "containerSize": "30 میل", "isDefault": false}, {"name": "60 میلی لیتر", "sku": "", "price": 195000, "stock": "", "weight": 60, "weightUnit": "ml", "containerSize": "60 میل", "isDefault": false}]</x:v>
      </x:c>
    </x:row>
    <x:row r="133">
      <x:c r="A133" s="79" t="str">
        <x:v>روغن بنفشه</x:v>
      </x:c>
      <x:c r="B133" s="79" t="str">
        <x:v>oil_violet_30ml</x:v>
      </x:c>
      <x:c r="C133" s="79" t="str">
        <x:v>update_grouped_product</x:v>
      </x:c>
      <x:c r="D133" s="79" t="str">
        <x:v>140</x:v>
      </x:c>
      <x:c r="E133" s="79" t="str">
        <x:v>روغن بنفشه</x:v>
      </x:c>
      <x:c r="F133" s="79" t="str">
        <x:v>روغن</x:v>
      </x:c>
      <x:c r="G133" s="79" t="str">
        <x:v>6a2d446d45c164ce6f28ae30</x:v>
      </x:c>
      <x:c r="H133" s="79" t="str">
        <x:v>oil</x:v>
      </x:c>
      <x:c r="I133" s="79"/>
      <x:c r="J133" s="79" t="str">
        <x:v>EDIBLE</x:v>
      </x:c>
      <x:c r="K133" s="79" t="str">
        <x:v>بله</x:v>
      </x:c>
      <x:c r="L133" s="79" t="n">
        <x:v>2</x:v>
      </x:c>
      <x:c r="M133" s="79" t="n">
        <x:v>0</x:v>
      </x:c>
      <x:c r="N133" s="79" t="str">
        <x:v>OK</x:v>
      </x:c>
      <x:c r="O133" s="79"/>
      <x:c r="P133" s="79" t="str">
        <x:v>[{"name": "30 میلی لیتر", "sku": "", "price": 135000, "stock": "", "weight": 30, "weightUnit": "ml", "containerSize": "30 میل", "isDefault": true}, {"name": "60 میلی لیتر", "sku": "", "price": 260000, "stock": "", "weight": 60, "weightUnit": "ml", "containerSize": "60 میل", "isDefault": false}]</x:v>
      </x:c>
    </x:row>
    <x:row r="134">
      <x:c r="A134" s="79" t="str">
        <x:v>روغن ترخون</x:v>
      </x:c>
      <x:c r="B134" s="79" t="str">
        <x:v>oil_tarragon_30ml</x:v>
      </x:c>
      <x:c r="C134" s="79" t="str">
        <x:v>update_grouped_product</x:v>
      </x:c>
      <x:c r="D134" s="79" t="str">
        <x:v>142</x:v>
      </x:c>
      <x:c r="E134" s="79" t="str">
        <x:v>روغن ترخون</x:v>
      </x:c>
      <x:c r="F134" s="79" t="str">
        <x:v>روغن</x:v>
      </x:c>
      <x:c r="G134" s="79" t="str">
        <x:v>6a2d446d45c164ce6f28ae30</x:v>
      </x:c>
      <x:c r="H134" s="79" t="str">
        <x:v>oil</x:v>
      </x:c>
      <x:c r="I134" s="79"/>
      <x:c r="J134" s="79" t="str">
        <x:v>EDIBLE</x:v>
      </x:c>
      <x:c r="K134" s="79" t="str">
        <x:v>بله</x:v>
      </x:c>
      <x:c r="L134" s="79" t="n">
        <x:v>2</x:v>
      </x:c>
      <x:c r="M134" s="79" t="n">
        <x:v>0</x:v>
      </x:c>
      <x:c r="N134" s="79" t="str">
        <x:v>OK</x:v>
      </x:c>
      <x:c r="O134" s="79"/>
      <x:c r="P134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</x:row>
    <x:row r="135">
      <x:c r="A135" s="79" t="str">
        <x:v>روغن تقویت مو (ناب سرا)</x:v>
      </x:c>
      <x:c r="B135" s="79" t="str">
        <x:v>hair_strengthening_oil</x:v>
      </x:c>
      <x:c r="C135" s="79" t="str">
        <x:v>update_grouped_product</x:v>
      </x:c>
      <x:c r="D135" s="79" t="str">
        <x:v>143</x:v>
      </x:c>
      <x:c r="E135" s="79" t="str">
        <x:v>روغن تقویت مو (ناب سرا)</x:v>
      </x:c>
      <x:c r="F135" s="79" t="str">
        <x:v>روغن</x:v>
      </x:c>
      <x:c r="G135" s="79" t="str">
        <x:v>6a2d446d45c164ce6f28ae30</x:v>
      </x:c>
      <x:c r="H135" s="79" t="str">
        <x:v>oil</x:v>
      </x:c>
      <x:c r="I135" s="79"/>
      <x:c r="J135" s="79" t="str">
        <x:v>EDIBLE</x:v>
      </x:c>
      <x:c r="K135" s="79" t="str">
        <x:v>بله</x:v>
      </x:c>
      <x:c r="L135" s="79" t="n">
        <x:v>1</x:v>
      </x:c>
      <x:c r="M135" s="79" t="n">
        <x:v>0</x:v>
      </x:c>
      <x:c r="N135" s="79" t="str">
        <x:v>OK</x:v>
      </x:c>
      <x:c r="O135" s="79"/>
      <x:c r="P135" s="79" t="str">
        <x:v>[{"name": "کیلو", "sku": "", "price": 350000, "stock": "", "weight": 1, "weightUnit": "kg", "containerSize": "کیلو", "isDefault": true}]</x:v>
      </x:c>
    </x:row>
    <x:row r="136">
      <x:c r="A136" s="79" t="str">
        <x:v>روغن جوانه گندم</x:v>
      </x:c>
      <x:c r="B136" s="79" t="str">
        <x:v>oil_sprout_wheat_30ml</x:v>
      </x:c>
      <x:c r="C136" s="79" t="str">
        <x:v>update_grouped_product</x:v>
      </x:c>
      <x:c r="D136" s="79" t="str">
        <x:v>144</x:v>
      </x:c>
      <x:c r="E136" s="79" t="str">
        <x:v>روغن جوانه گندم</x:v>
      </x:c>
      <x:c r="F136" s="79" t="str">
        <x:v>روغن</x:v>
      </x:c>
      <x:c r="G136" s="79" t="str">
        <x:v>6a2d446d45c164ce6f28ae30</x:v>
      </x:c>
      <x:c r="H136" s="79" t="str">
        <x:v>oil</x:v>
      </x:c>
      <x:c r="I136" s="79"/>
      <x:c r="J136" s="79" t="str">
        <x:v>EDIBLE</x:v>
      </x:c>
      <x:c r="K136" s="79" t="str">
        <x:v>بله</x:v>
      </x:c>
      <x:c r="L136" s="79" t="n">
        <x:v>2</x:v>
      </x:c>
      <x:c r="M136" s="79" t="n">
        <x:v>0</x:v>
      </x:c>
      <x:c r="N136" s="79" t="str">
        <x:v>OK</x:v>
      </x:c>
      <x:c r="O136" s="79"/>
      <x:c r="P136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</x:row>
    <x:row r="137">
      <x:c r="A137" s="79" t="str">
        <x:v>روغن جوجوبا</x:v>
      </x:c>
      <x:c r="B137" s="79" t="str">
        <x:v>oil_jojoba_30ml</x:v>
      </x:c>
      <x:c r="C137" s="79" t="str">
        <x:v>update_grouped_product</x:v>
      </x:c>
      <x:c r="D137" s="79" t="str">
        <x:v>145</x:v>
      </x:c>
      <x:c r="E137" s="79" t="str">
        <x:v>روغن جوجوبا</x:v>
      </x:c>
      <x:c r="F137" s="79" t="str">
        <x:v>روغن</x:v>
      </x:c>
      <x:c r="G137" s="79" t="str">
        <x:v>6a2d446d45c164ce6f28ae30</x:v>
      </x:c>
      <x:c r="H137" s="79" t="str">
        <x:v>oil</x:v>
      </x:c>
      <x:c r="I137" s="79"/>
      <x:c r="J137" s="79" t="str">
        <x:v>EDIBLE</x:v>
      </x:c>
      <x:c r="K137" s="79" t="str">
        <x:v>بله</x:v>
      </x:c>
      <x:c r="L137" s="79" t="n">
        <x:v>2</x:v>
      </x:c>
      <x:c r="M137" s="79" t="n">
        <x:v>0</x:v>
      </x:c>
      <x:c r="N137" s="79" t="str">
        <x:v>OK</x:v>
      </x:c>
      <x:c r="O137" s="79"/>
      <x:c r="P137" s="79" t="str">
        <x:v>[{"name": "30 میلی لیتر", "sku": "", "price": 100000, "stock": "", "weight": 30, "weightUnit": "ml", "containerSize": "30 میل", "isDefault": true}, {"name": "60 میلی لیتر", "sku": "", "price": 190000, "stock": "", "weight": 60, "weightUnit": "ml", "containerSize": "60 میل", "isDefault": false}]</x:v>
      </x:c>
    </x:row>
    <x:row r="138">
      <x:c r="A138" s="79" t="str">
        <x:v>روغن حنظل</x:v>
      </x:c>
      <x:c r="B138" s="79" t="str">
        <x:v>oil_colocynth_30ml</x:v>
      </x:c>
      <x:c r="C138" s="79" t="str">
        <x:v>update_grouped_product</x:v>
      </x:c>
      <x:c r="D138" s="79" t="str">
        <x:v>146</x:v>
      </x:c>
      <x:c r="E138" s="79" t="str">
        <x:v>روغن حنظل</x:v>
      </x:c>
      <x:c r="F138" s="79" t="str">
        <x:v>روغن</x:v>
      </x:c>
      <x:c r="G138" s="79" t="str">
        <x:v>6a2d446d45c164ce6f28ae30</x:v>
      </x:c>
      <x:c r="H138" s="79" t="str">
        <x:v>oil</x:v>
      </x:c>
      <x:c r="I138" s="79"/>
      <x:c r="J138" s="79" t="str">
        <x:v>EDIBLE</x:v>
      </x:c>
      <x:c r="K138" s="79" t="str">
        <x:v>بله</x:v>
      </x:c>
      <x:c r="L138" s="79" t="n">
        <x:v>2</x:v>
      </x:c>
      <x:c r="M138" s="79" t="n">
        <x:v>0</x:v>
      </x:c>
      <x:c r="N138" s="79" t="str">
        <x:v>OK</x:v>
      </x:c>
      <x:c r="O138" s="79"/>
      <x:c r="P138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</x:row>
    <x:row r="139">
      <x:c r="A139" s="79" t="str">
        <x:v>روغن خارمریم</x:v>
      </x:c>
      <x:c r="B139" s="79" t="str">
        <x:v>oil_milk_thistle_30ml</x:v>
      </x:c>
      <x:c r="C139" s="79" t="str">
        <x:v>update_grouped_product</x:v>
      </x:c>
      <x:c r="D139" s="79" t="str">
        <x:v>147</x:v>
      </x:c>
      <x:c r="E139" s="79" t="str">
        <x:v>روغن خارمریم</x:v>
      </x:c>
      <x:c r="F139" s="79" t="str">
        <x:v>روغن</x:v>
      </x:c>
      <x:c r="G139" s="79" t="str">
        <x:v>6a2d446d45c164ce6f28ae30</x:v>
      </x:c>
      <x:c r="H139" s="79" t="str">
        <x:v>oil</x:v>
      </x:c>
      <x:c r="I139" s="79"/>
      <x:c r="J139" s="79" t="str">
        <x:v>EDIBLE</x:v>
      </x:c>
      <x:c r="K139" s="79" t="str">
        <x:v>بله</x:v>
      </x:c>
      <x:c r="L139" s="79" t="n">
        <x:v>2</x:v>
      </x:c>
      <x:c r="M139" s="79" t="n">
        <x:v>0</x:v>
      </x:c>
      <x:c r="N139" s="79" t="str">
        <x:v>OK</x:v>
      </x:c>
      <x:c r="O139" s="79"/>
      <x:c r="P139" s="79" t="str">
        <x:v>[{"name": "30 میلی لیتر", "sku": "", "price": 115000, "stock": "", "weight": 30, "weightUnit": "ml", "containerSize": "30 میل", "isDefault": true}, {"name": "60 میلی لیتر", "sku": "", "price": 220000, "stock": "", "weight": 60, "weightUnit": "ml", "containerSize": "60 میل", "isDefault": false}]</x:v>
      </x:c>
    </x:row>
    <x:row r="140">
      <x:c r="A140" s="79" t="str">
        <x:v>روغن خراطین</x:v>
      </x:c>
      <x:c r="B140" s="79" t="str">
        <x:v>oil_kharatin_30ml</x:v>
      </x:c>
      <x:c r="C140" s="79" t="str">
        <x:v>update_grouped_product</x:v>
      </x:c>
      <x:c r="D140" s="79" t="str">
        <x:v>148</x:v>
      </x:c>
      <x:c r="E140" s="79" t="str">
        <x:v>روغن خراطین</x:v>
      </x:c>
      <x:c r="F140" s="79" t="str">
        <x:v>روغن</x:v>
      </x:c>
      <x:c r="G140" s="79" t="str">
        <x:v>6a2d446d45c164ce6f28ae30</x:v>
      </x:c>
      <x:c r="H140" s="79" t="str">
        <x:v>oil</x:v>
      </x:c>
      <x:c r="I140" s="79"/>
      <x:c r="J140" s="79" t="str">
        <x:v>EDIBLE</x:v>
      </x:c>
      <x:c r="K140" s="79" t="str">
        <x:v>بله</x:v>
      </x:c>
      <x:c r="L140" s="79" t="n">
        <x:v>2</x:v>
      </x:c>
      <x:c r="M140" s="79" t="n">
        <x:v>0</x:v>
      </x:c>
      <x:c r="N140" s="79" t="str">
        <x:v>OK</x:v>
      </x:c>
      <x:c r="O140" s="79"/>
      <x:c r="P140" s="79" t="str">
        <x:v>[{"name": "30 میلی لیتر", "sku": "", "price": 135000, "stock": "", "weight": 30, "weightUnit": "ml", "containerSize": "30 میل", "isDefault": true}, {"name": "60 میلی لیتر", "sku": "", "price": 260000, "stock": "", "weight": 60, "weightUnit": "ml", "containerSize": "60 میل", "isDefault": false}]</x:v>
      </x:c>
    </x:row>
    <x:row r="141">
      <x:c r="A141" s="79" t="str">
        <x:v>روغن خشخاش</x:v>
      </x:c>
      <x:c r="B141" s="79" t="str">
        <x:v>oil_poppy_30ml</x:v>
      </x:c>
      <x:c r="C141" s="79" t="str">
        <x:v>update_grouped_product</x:v>
      </x:c>
      <x:c r="D141" s="79" t="str">
        <x:v>149</x:v>
      </x:c>
      <x:c r="E141" s="79" t="str">
        <x:v>روغن خشخاش</x:v>
      </x:c>
      <x:c r="F141" s="79" t="str">
        <x:v>روغن</x:v>
      </x:c>
      <x:c r="G141" s="79" t="str">
        <x:v>6a2d446d45c164ce6f28ae30</x:v>
      </x:c>
      <x:c r="H141" s="79" t="str">
        <x:v>oil</x:v>
      </x:c>
      <x:c r="I141" s="79"/>
      <x:c r="J141" s="79" t="str">
        <x:v>EDIBLE</x:v>
      </x:c>
      <x:c r="K141" s="79" t="str">
        <x:v>بله</x:v>
      </x:c>
      <x:c r="L141" s="79" t="n">
        <x:v>2</x:v>
      </x:c>
      <x:c r="M141" s="79" t="n">
        <x:v>0</x:v>
      </x:c>
      <x:c r="N141" s="79" t="str">
        <x:v>OK</x:v>
      </x:c>
      <x:c r="O141" s="79"/>
      <x:c r="P141" s="79" t="str">
        <x:v>[{"name": "30 میلی لیتر", "sku": "", "price": 115000, "stock": "", "weight": 30, "weightUnit": "ml", "containerSize": "30 میل", "isDefault": true}, {"name": "60 میلی لیتر", "sku": "", "price": 220000, "stock": "", "weight": 60, "weightUnit": "ml", "containerSize": "60 میل", "isDefault": false}]</x:v>
      </x:c>
    </x:row>
    <x:row r="142">
      <x:c r="A142" s="79" t="str">
        <x:v>روغن درخت چای</x:v>
      </x:c>
      <x:c r="B142" s="79" t="str">
        <x:v>tea_tree_oil_30ml</x:v>
      </x:c>
      <x:c r="C142" s="79" t="str">
        <x:v>update_grouped_product</x:v>
      </x:c>
      <x:c r="D142" s="79" t="str">
        <x:v>150</x:v>
      </x:c>
      <x:c r="E142" s="79" t="str">
        <x:v>روغن درخت چای</x:v>
      </x:c>
      <x:c r="F142" s="79" t="str">
        <x:v>روغن</x:v>
      </x:c>
      <x:c r="G142" s="79" t="str">
        <x:v>6a2d446d45c164ce6f28ae30</x:v>
      </x:c>
      <x:c r="H142" s="79" t="str">
        <x:v>oil</x:v>
      </x:c>
      <x:c r="I142" s="79"/>
      <x:c r="J142" s="79" t="str">
        <x:v>EDIBLE</x:v>
      </x:c>
      <x:c r="K142" s="79" t="str">
        <x:v>بله</x:v>
      </x:c>
      <x:c r="L142" s="79" t="n">
        <x:v>2</x:v>
      </x:c>
      <x:c r="M142" s="79" t="n">
        <x:v>0</x:v>
      </x:c>
      <x:c r="N142" s="79" t="str">
        <x:v>OK</x:v>
      </x:c>
      <x:c r="O142" s="79"/>
      <x:c r="P142" s="79" t="str">
        <x:v>[{"name": "30 میلی لیتر", "sku": "", "price": 100000, "stock": "", "weight": 30, "weightUnit": "ml", "containerSize": "30 میل", "isDefault": true}, {"name": "60 میلی لیتر", "sku": "", "price": 195000, "stock": "", "weight": 60, "weightUnit": "ml", "containerSize": "60 میل", "isDefault": false}]</x:v>
      </x:c>
    </x:row>
    <x:row r="143">
      <x:c r="A143" s="79" t="str">
        <x:v>روغن درمنه</x:v>
      </x:c>
      <x:c r="B143" s="79" t="str">
        <x:v>oil_wormwood_30ml</x:v>
      </x:c>
      <x:c r="C143" s="79" t="str">
        <x:v>update_grouped_product</x:v>
      </x:c>
      <x:c r="D143" s="79" t="str">
        <x:v>151</x:v>
      </x:c>
      <x:c r="E143" s="79" t="str">
        <x:v>روغن درمنه</x:v>
      </x:c>
      <x:c r="F143" s="79" t="str">
        <x:v>روغن</x:v>
      </x:c>
      <x:c r="G143" s="79" t="str">
        <x:v>6a2d446d45c164ce6f28ae30</x:v>
      </x:c>
      <x:c r="H143" s="79" t="str">
        <x:v>oil</x:v>
      </x:c>
      <x:c r="I143" s="79"/>
      <x:c r="J143" s="79" t="str">
        <x:v>EDIBLE</x:v>
      </x:c>
      <x:c r="K143" s="79" t="str">
        <x:v>بله</x:v>
      </x:c>
      <x:c r="L143" s="79" t="n">
        <x:v>2</x:v>
      </x:c>
      <x:c r="M143" s="79" t="n">
        <x:v>0</x:v>
      </x:c>
      <x:c r="N143" s="79" t="str">
        <x:v>OK</x:v>
      </x:c>
      <x:c r="O143" s="79"/>
      <x:c r="P143" s="79" t="str">
        <x:v>[{"name": "30 میلی لیتر", "sku": "", "price": 95000, "stock": "", "weight": 30, "weightUnit": "ml", "containerSize": "30 میل", "isDefault": true}, {"name": "60 میلی لیتر", "sku": "", "price": 185000, "stock": "", "weight": 60, "weightUnit": "ml", "containerSize": "60 میل", "isDefault": false}]</x:v>
      </x:c>
    </x:row>
    <x:row r="144">
      <x:c r="A144" s="79" t="str">
        <x:v>روغن رازیانه</x:v>
      </x:c>
      <x:c r="B144" s="79" t="str">
        <x:v>oil_fennel_30ml</x:v>
      </x:c>
      <x:c r="C144" s="79" t="str">
        <x:v>update_grouped_product</x:v>
      </x:c>
      <x:c r="D144" s="79" t="str">
        <x:v>152</x:v>
      </x:c>
      <x:c r="E144" s="79" t="str">
        <x:v>روغن رازیانه</x:v>
      </x:c>
      <x:c r="F144" s="79" t="str">
        <x:v>روغن</x:v>
      </x:c>
      <x:c r="G144" s="79" t="str">
        <x:v>6a2d446d45c164ce6f28ae30</x:v>
      </x:c>
      <x:c r="H144" s="79" t="str">
        <x:v>oil</x:v>
      </x:c>
      <x:c r="I144" s="79"/>
      <x:c r="J144" s="79" t="str">
        <x:v>EDIBLE</x:v>
      </x:c>
      <x:c r="K144" s="79" t="str">
        <x:v>بله</x:v>
      </x:c>
      <x:c r="L144" s="79" t="n">
        <x:v>2</x:v>
      </x:c>
      <x:c r="M144" s="79" t="n">
        <x:v>0</x:v>
      </x:c>
      <x:c r="N144" s="79" t="str">
        <x:v>OK</x:v>
      </x:c>
      <x:c r="O144" s="79"/>
      <x:c r="P144" s="79" t="str">
        <x:v>[{"name": "30 میلی لیتر", "sku": "", "price": 115000, "stock": "", "weight": 30, "weightUnit": "ml", "containerSize": "30 میل", "isDefault": true}, {"name": "60 میلی لیتر", "sku": "", "price": 220000, "stock": "", "weight": 60, "weightUnit": "ml", "containerSize": "60 میل", "isDefault": false}]</x:v>
      </x:c>
    </x:row>
    <x:row r="145">
      <x:c r="A145" s="79" t="str">
        <x:v>روغن رزماری</x:v>
      </x:c>
      <x:c r="B145" s="79" t="str">
        <x:v>rosemary_oil</x:v>
      </x:c>
      <x:c r="C145" s="79" t="str">
        <x:v>update_grouped_product</x:v>
      </x:c>
      <x:c r="D145" s="79" t="str">
        <x:v>153, 154</x:v>
      </x:c>
      <x:c r="E145" s="79" t="str">
        <x:v>روغن رزماری</x:v>
      </x:c>
      <x:c r="F145" s="79" t="str">
        <x:v>روغن</x:v>
      </x:c>
      <x:c r="G145" s="79" t="str">
        <x:v>6a2d446d45c164ce6f28ae30</x:v>
      </x:c>
      <x:c r="H145" s="79" t="str">
        <x:v>oil</x:v>
      </x:c>
      <x:c r="I145" s="79"/>
      <x:c r="J145" s="79" t="str">
        <x:v>EDIBLE</x:v>
      </x:c>
      <x:c r="K145" s="79" t="str">
        <x:v>بله</x:v>
      </x:c>
      <x:c r="L145" s="79" t="n">
        <x:v>4</x:v>
      </x:c>
      <x:c r="M145" s="79" t="n">
        <x:v>0</x:v>
      </x:c>
      <x:c r="N145" s="79" t="str">
        <x:v>MERGED</x:v>
      </x:c>
      <x:c r="O145" s="79" t="str">
        <x:v>2 ردیف مشابه با هم یکی شد</x:v>
      </x:c>
      <x:c r="P145" s="79" t="str">
        <x:v>[{"name": "نیم لیتر", "sku": "", "price": 500000, "stock": "", "weight": 500, "weightUnit": "ml", "containerSize": "نیم لیتر", "isDefault": true}, {"name": "1 لیتر", "sku": "", "price": 1000000, "stock": "", "weight": 1000, "weightUnit": "ml", "containerSize": "1 لیتر", "isDefault": false}, {"name": "30 میلی لیتر", "sku": "", "price": 100000, "stock": "", "weight": 30, "weightUnit": "ml", "containerSize": "30 میل", "isDefault": false}, {"name": "60 میلی لیتر", "sku": "", "price": 195000, "stock": "", "weight": 60, "weightUnit": "ml", "containerSize": "60 میل", "isDefault": false}]</x:v>
      </x:c>
    </x:row>
    <x:row r="146">
      <x:c r="A146" s="79" t="str">
        <x:v>روغن زردچوبه</x:v>
      </x:c>
      <x:c r="B146" s="79" t="str">
        <x:v>oil_turmeric_30ml</x:v>
      </x:c>
      <x:c r="C146" s="79" t="str">
        <x:v>update_grouped_product</x:v>
      </x:c>
      <x:c r="D146" s="79" t="str">
        <x:v>155</x:v>
      </x:c>
      <x:c r="E146" s="79" t="str">
        <x:v>روغن زردچوبه</x:v>
      </x:c>
      <x:c r="F146" s="79" t="str">
        <x:v>روغن</x:v>
      </x:c>
      <x:c r="G146" s="79" t="str">
        <x:v>6a2d446d45c164ce6f28ae30</x:v>
      </x:c>
      <x:c r="H146" s="79" t="str">
        <x:v>oil</x:v>
      </x:c>
      <x:c r="I146" s="79"/>
      <x:c r="J146" s="79" t="str">
        <x:v>EDIBLE</x:v>
      </x:c>
      <x:c r="K146" s="79" t="str">
        <x:v>بله</x:v>
      </x:c>
      <x:c r="L146" s="79" t="n">
        <x:v>2</x:v>
      </x:c>
      <x:c r="M146" s="79" t="n">
        <x:v>0</x:v>
      </x:c>
      <x:c r="N146" s="79" t="str">
        <x:v>OK</x:v>
      </x:c>
      <x:c r="O146" s="79"/>
      <x:c r="P146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</x:row>
    <x:row r="147">
      <x:c r="A147" s="79" t="str">
        <x:v>روغن زنجبیل</x:v>
      </x:c>
      <x:c r="B147" s="79" t="str">
        <x:v>oil_ginger_30ml</x:v>
      </x:c>
      <x:c r="C147" s="79" t="str">
        <x:v>update_grouped_product</x:v>
      </x:c>
      <x:c r="D147" s="79" t="str">
        <x:v>156</x:v>
      </x:c>
      <x:c r="E147" s="79" t="str">
        <x:v>روغن زنجبیل</x:v>
      </x:c>
      <x:c r="F147" s="79" t="str">
        <x:v>روغن</x:v>
      </x:c>
      <x:c r="G147" s="79" t="str">
        <x:v>6a2d446d45c164ce6f28ae30</x:v>
      </x:c>
      <x:c r="H147" s="79" t="str">
        <x:v>oil</x:v>
      </x:c>
      <x:c r="I147" s="79"/>
      <x:c r="J147" s="79" t="str">
        <x:v>EDIBLE</x:v>
      </x:c>
      <x:c r="K147" s="79" t="str">
        <x:v>بله</x:v>
      </x:c>
      <x:c r="L147" s="79" t="n">
        <x:v>2</x:v>
      </x:c>
      <x:c r="M147" s="79" t="n">
        <x:v>0</x:v>
      </x:c>
      <x:c r="N147" s="79" t="str">
        <x:v>OK</x:v>
      </x:c>
      <x:c r="O147" s="79"/>
      <x:c r="P147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</x:row>
    <x:row r="148">
      <x:c r="A148" s="79" t="str">
        <x:v>روغن زنیان</x:v>
      </x:c>
      <x:c r="B148" s="79" t="str">
        <x:v>oil_ajwain_30ml</x:v>
      </x:c>
      <x:c r="C148" s="79" t="str">
        <x:v>update_grouped_product</x:v>
      </x:c>
      <x:c r="D148" s="79" t="str">
        <x:v>157</x:v>
      </x:c>
      <x:c r="E148" s="79" t="str">
        <x:v>روغن زنیان</x:v>
      </x:c>
      <x:c r="F148" s="79" t="str">
        <x:v>روغن</x:v>
      </x:c>
      <x:c r="G148" s="79" t="str">
        <x:v>6a2d446d45c164ce6f28ae30</x:v>
      </x:c>
      <x:c r="H148" s="79" t="str">
        <x:v>oil</x:v>
      </x:c>
      <x:c r="I148" s="79"/>
      <x:c r="J148" s="79" t="str">
        <x:v>EDIBLE</x:v>
      </x:c>
      <x:c r="K148" s="79" t="str">
        <x:v>بله</x:v>
      </x:c>
      <x:c r="L148" s="79" t="n">
        <x:v>2</x:v>
      </x:c>
      <x:c r="M148" s="79" t="n">
        <x:v>0</x:v>
      </x:c>
      <x:c r="N148" s="79" t="str">
        <x:v>OK</x:v>
      </x:c>
      <x:c r="O148" s="79"/>
      <x:c r="P148" s="79" t="str">
        <x:v>[{"name": "30 میلی لیتر", "sku": "", "price": 150000, "stock": "", "weight": 30, "weightUnit": "ml", "containerSize": "30 میل", "isDefault": true}, {"name": "60 میلی لیتر", "sku": "", "price": 295000, "stock": "", "weight": 60, "weightUnit": "ml", "containerSize": "60 میل", "isDefault": false}]</x:v>
      </x:c>
    </x:row>
    <x:row r="149">
      <x:c r="A149" s="79" t="str">
        <x:v>روغن زیتون</x:v>
      </x:c>
      <x:c r="B149" s="79" t="str">
        <x:v>oil_olive_half_liter</x:v>
      </x:c>
      <x:c r="C149" s="79" t="str">
        <x:v>update_grouped_product</x:v>
      </x:c>
      <x:c r="D149" s="79" t="str">
        <x:v>158</x:v>
      </x:c>
      <x:c r="E149" s="79" t="str">
        <x:v>روغن زیتون</x:v>
      </x:c>
      <x:c r="F149" s="79" t="str">
        <x:v>روغن</x:v>
      </x:c>
      <x:c r="G149" s="79" t="str">
        <x:v>6a2d446d45c164ce6f28ae30</x:v>
      </x:c>
      <x:c r="H149" s="79" t="str">
        <x:v>oil</x:v>
      </x:c>
      <x:c r="I149" s="79"/>
      <x:c r="J149" s="79" t="str">
        <x:v>EDIBLE</x:v>
      </x:c>
      <x:c r="K149" s="79" t="str">
        <x:v>بله</x:v>
      </x:c>
      <x:c r="L149" s="79" t="n">
        <x:v>2</x:v>
      </x:c>
      <x:c r="M149" s="79" t="n">
        <x:v>0</x:v>
      </x:c>
      <x:c r="N149" s="79" t="str">
        <x:v>OK</x:v>
      </x:c>
      <x:c r="O149" s="79"/>
      <x:c r="P149" s="79" t="str">
        <x:v>[{"name": "نیم لیتر", "sku": "", "price": 555000, "stock": "", "weight": 500, "weightUnit": "ml", "containerSize": "نیم لیتر", "isDefault": true}, {"name": "1 لیتر", "sku": "", "price": 1100000, "stock": "", "weight": 1000, "weightUnit": "ml", "containerSize": "1 لیتر", "isDefault": false}]</x:v>
      </x:c>
    </x:row>
    <x:row r="150">
      <x:c r="A150" s="79" t="str">
        <x:v>روغن زیتون موضعی</x:v>
      </x:c>
      <x:c r="B150" s="79" t="str">
        <x:v>topical_olive_oil_30ml</x:v>
      </x:c>
      <x:c r="C150" s="79" t="str">
        <x:v>update_grouped_product</x:v>
      </x:c>
      <x:c r="D150" s="79" t="str">
        <x:v>159</x:v>
      </x:c>
      <x:c r="E150" s="79" t="str">
        <x:v>روغن زیتون موضعی</x:v>
      </x:c>
      <x:c r="F150" s="79" t="str">
        <x:v>روغن</x:v>
      </x:c>
      <x:c r="G150" s="79" t="str">
        <x:v>6a2d446d45c164ce6f28ae30</x:v>
      </x:c>
      <x:c r="H150" s="79" t="str">
        <x:v>oil</x:v>
      </x:c>
      <x:c r="I150" s="79"/>
      <x:c r="J150" s="79" t="str">
        <x:v>EDIBLE</x:v>
      </x:c>
      <x:c r="K150" s="79" t="str">
        <x:v>بله</x:v>
      </x:c>
      <x:c r="L150" s="79" t="n">
        <x:v>2</x:v>
      </x:c>
      <x:c r="M150" s="79" t="n">
        <x:v>1</x:v>
      </x:c>
      <x:c r="N150" s="79" t="str">
        <x:v>MISSING_PRICE_REVIEW + 1 VARIANT_PRICE_MISSING</x:v>
      </x:c>
      <x:c r="O150" s="79" t="str">
        <x:v>یک یا چند قیمت نامشخص است</x:v>
      </x:c>
      <x:c r="P150" s="79" t="str">
        <x:v>[{"name": "30 میلی لیتر", "sku": "", "price": null, "stock": "", "weight": 30, "weightUnit": "ml", "containerSize": "30 میل", "isDefault": true}, {"name": "60 میلی لیتر", "sku": "", "price": 70000, "stock": "", "weight": 60, "weightUnit": "ml", "containerSize": "60 میل", "isDefault": false}]</x:v>
      </x:c>
    </x:row>
    <x:row r="151">
      <x:c r="A151" s="79" t="str">
        <x:v>روغن سقز</x:v>
      </x:c>
      <x:c r="B151" s="79" t="str">
        <x:v>oil_mastic_30ml</x:v>
      </x:c>
      <x:c r="C151" s="79" t="str">
        <x:v>update_grouped_product</x:v>
      </x:c>
      <x:c r="D151" s="79" t="str">
        <x:v>160</x:v>
      </x:c>
      <x:c r="E151" s="79" t="str">
        <x:v>روغن سقز</x:v>
      </x:c>
      <x:c r="F151" s="79" t="str">
        <x:v>روغن</x:v>
      </x:c>
      <x:c r="G151" s="79" t="str">
        <x:v>6a2d446d45c164ce6f28ae30</x:v>
      </x:c>
      <x:c r="H151" s="79" t="str">
        <x:v>oil</x:v>
      </x:c>
      <x:c r="I151" s="79"/>
      <x:c r="J151" s="79" t="str">
        <x:v>EDIBLE</x:v>
      </x:c>
      <x:c r="K151" s="79" t="str">
        <x:v>بله</x:v>
      </x:c>
      <x:c r="L151" s="79" t="n">
        <x:v>2</x:v>
      </x:c>
      <x:c r="M151" s="79" t="n">
        <x:v>0</x:v>
      </x:c>
      <x:c r="N151" s="79" t="str">
        <x:v>OK</x:v>
      </x:c>
      <x:c r="O151" s="79"/>
      <x:c r="P151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</x:row>
    <x:row r="152">
      <x:c r="A152" s="79" t="str">
        <x:v>روغن سیاهدانه</x:v>
      </x:c>
      <x:c r="B152" s="79" t="str">
        <x:v>black_seed_oil</x:v>
      </x:c>
      <x:c r="C152" s="79" t="str">
        <x:v>update_grouped_product</x:v>
      </x:c>
      <x:c r="D152" s="79" t="str">
        <x:v>161, 162</x:v>
      </x:c>
      <x:c r="E152" s="79" t="str">
        <x:v>روغن سیاهدانه | روغن سیاهدانه هندی</x:v>
      </x:c>
      <x:c r="F152" s="79" t="str">
        <x:v>روغن</x:v>
      </x:c>
      <x:c r="G152" s="79" t="str">
        <x:v>6a2d446d45c164ce6f28ae30</x:v>
      </x:c>
      <x:c r="H152" s="79" t="str">
        <x:v>oil</x:v>
      </x:c>
      <x:c r="I152" s="79"/>
      <x:c r="J152" s="79" t="str">
        <x:v>EDIBLE</x:v>
      </x:c>
      <x:c r="K152" s="79" t="str">
        <x:v>بله</x:v>
      </x:c>
      <x:c r="L152" s="79" t="n">
        <x:v>4</x:v>
      </x:c>
      <x:c r="M152" s="79" t="n">
        <x:v>0</x:v>
      </x:c>
      <x:c r="N152" s="79" t="str">
        <x:v>MERGED</x:v>
      </x:c>
      <x:c r="O152" s="79" t="str">
        <x:v>2 ردیف مشابه با هم یکی شد</x:v>
      </x:c>
      <x:c r="P152" s="79" t="str">
        <x:v>[{"name": "معمولی - 30 میلی لیتر", "sku": "", "price": 130000, "stock": "", "weight": 30, "weightUnit": "ml", "containerSize": "30 میل", "isDefault": true}, {"name": "معمولی - 60 میلی لیتر", "sku": "", "price": 255000, "stock": "", "weight": 60, "weightUnit": "ml", "containerSize": "60 میل", "isDefault": false}, {"name": "هندی - نیم لیتر", "sku": "", "price": 1760000, "stock": "", "weight": 500, "weightUnit": "ml", "containerSize": "نیم لیتر", "isDefault": false}, {"name": "هندی - 1 لیتر", "sku": "", "price": 3500000, "stock": "", "weight": 1000, "weightUnit": "ml", "containerSize": "1 لیتر", "isDefault": false}]</x:v>
      </x:c>
    </x:row>
    <x:row r="153">
      <x:c r="A153" s="79" t="str">
        <x:v>روغن سیر</x:v>
      </x:c>
      <x:c r="B153" s="79" t="str">
        <x:v>oil_garlic_30ml</x:v>
      </x:c>
      <x:c r="C153" s="79" t="str">
        <x:v>update_grouped_product</x:v>
      </x:c>
      <x:c r="D153" s="79" t="str">
        <x:v>163</x:v>
      </x:c>
      <x:c r="E153" s="79" t="str">
        <x:v>روغن سیر</x:v>
      </x:c>
      <x:c r="F153" s="79" t="str">
        <x:v>روغن</x:v>
      </x:c>
      <x:c r="G153" s="79" t="str">
        <x:v>6a2d446d45c164ce6f28ae30</x:v>
      </x:c>
      <x:c r="H153" s="79" t="str">
        <x:v>oil</x:v>
      </x:c>
      <x:c r="I153" s="79"/>
      <x:c r="J153" s="79" t="str">
        <x:v>EDIBLE</x:v>
      </x:c>
      <x:c r="K153" s="79" t="str">
        <x:v>بله</x:v>
      </x:c>
      <x:c r="L153" s="79" t="n">
        <x:v>2</x:v>
      </x:c>
      <x:c r="M153" s="79" t="n">
        <x:v>0</x:v>
      </x:c>
      <x:c r="N153" s="79" t="str">
        <x:v>OK</x:v>
      </x:c>
      <x:c r="O153" s="79"/>
      <x:c r="P153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</x:row>
    <x:row r="154">
      <x:c r="A154" s="79" t="str">
        <x:v>روغن شترمرغ</x:v>
      </x:c>
      <x:c r="B154" s="79" t="str">
        <x:v>oil_ostrich_30ml</x:v>
      </x:c>
      <x:c r="C154" s="79" t="str">
        <x:v>update_grouped_product</x:v>
      </x:c>
      <x:c r="D154" s="79" t="str">
        <x:v>164</x:v>
      </x:c>
      <x:c r="E154" s="79" t="str">
        <x:v>روغن شترمرغ</x:v>
      </x:c>
      <x:c r="F154" s="79" t="str">
        <x:v>روغن</x:v>
      </x:c>
      <x:c r="G154" s="79" t="str">
        <x:v>6a2d446d45c164ce6f28ae30</x:v>
      </x:c>
      <x:c r="H154" s="79" t="str">
        <x:v>oil</x:v>
      </x:c>
      <x:c r="I154" s="79"/>
      <x:c r="J154" s="79" t="str">
        <x:v>EDIBLE</x:v>
      </x:c>
      <x:c r="K154" s="79" t="str">
        <x:v>بله</x:v>
      </x:c>
      <x:c r="L154" s="79" t="n">
        <x:v>2</x:v>
      </x:c>
      <x:c r="M154" s="79" t="n">
        <x:v>0</x:v>
      </x:c>
      <x:c r="N154" s="79" t="str">
        <x:v>OK</x:v>
      </x:c>
      <x:c r="O154" s="79"/>
      <x:c r="P154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</x:row>
    <x:row r="155">
      <x:c r="A155" s="79" t="str">
        <x:v>روغن شوید</x:v>
      </x:c>
      <x:c r="B155" s="79" t="str">
        <x:v>oil_dill_30ml</x:v>
      </x:c>
      <x:c r="C155" s="79" t="str">
        <x:v>update_grouped_product</x:v>
      </x:c>
      <x:c r="D155" s="79" t="str">
        <x:v>165</x:v>
      </x:c>
      <x:c r="E155" s="79" t="str">
        <x:v>روغن شوید</x:v>
      </x:c>
      <x:c r="F155" s="79" t="str">
        <x:v>روغن</x:v>
      </x:c>
      <x:c r="G155" s="79" t="str">
        <x:v>6a2d446d45c164ce6f28ae30</x:v>
      </x:c>
      <x:c r="H155" s="79" t="str">
        <x:v>oil</x:v>
      </x:c>
      <x:c r="I155" s="79"/>
      <x:c r="J155" s="79" t="str">
        <x:v>EDIBLE</x:v>
      </x:c>
      <x:c r="K155" s="79" t="str">
        <x:v>بله</x:v>
      </x:c>
      <x:c r="L155" s="79" t="n">
        <x:v>2</x:v>
      </x:c>
      <x:c r="M155" s="79" t="n">
        <x:v>0</x:v>
      </x:c>
      <x:c r="N155" s="79" t="str">
        <x:v>OK</x:v>
      </x:c>
      <x:c r="O155" s="79"/>
      <x:c r="P155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</x:row>
    <x:row r="156">
      <x:c r="A156" s="79" t="str">
        <x:v>روغن شی باتر</x:v>
      </x:c>
      <x:c r="B156" s="79" t="str">
        <x:v>shea_butter_oil_90_warm</x:v>
      </x:c>
      <x:c r="C156" s="79" t="str">
        <x:v>update_grouped_product</x:v>
      </x:c>
      <x:c r="D156" s="79" t="str">
        <x:v>166</x:v>
      </x:c>
      <x:c r="E156" s="79" t="str">
        <x:v>روغن شی باتر</x:v>
      </x:c>
      <x:c r="F156" s="79" t="str">
        <x:v>روغن</x:v>
      </x:c>
      <x:c r="G156" s="79" t="str">
        <x:v>6a2d446d45c164ce6f28ae30</x:v>
      </x:c>
      <x:c r="H156" s="79" t="str">
        <x:v>oil</x:v>
      </x:c>
      <x:c r="I156" s="79"/>
      <x:c r="J156" s="79" t="str">
        <x:v>EDIBLE</x:v>
      </x:c>
      <x:c r="K156" s="79" t="str">
        <x:v>بله</x:v>
      </x:c>
      <x:c r="L156" s="79" t="n">
        <x:v>2</x:v>
      </x:c>
      <x:c r="M156" s="79" t="n">
        <x:v>0</x:v>
      </x:c>
      <x:c r="N156" s="79" t="str">
        <x:v>OK</x:v>
      </x:c>
      <x:c r="O156" s="79"/>
      <x:c r="P156" s="79" t="str">
        <x:v>[{"name": "90 گرمی", "sku": "", "price": 145000, "stock": "", "weight": 90, "weightUnit": "g", "containerSize": "90 گرم", "isDefault": true}, {"name": "کیلو", "sku": "", "price": 1500000, "stock": "", "weight": 1, "weightUnit": "kg", "containerSize": "کیلو", "isDefault": false}]</x:v>
      </x:c>
    </x:row>
    <x:row r="157">
      <x:c r="A157" s="79" t="str">
        <x:v>روغن ضد التهاب</x:v>
      </x:c>
      <x:c r="B157" s="79" t="str">
        <x:v>anti_inflammatory_oil_30ml</x:v>
      </x:c>
      <x:c r="C157" s="79" t="str">
        <x:v>update_grouped_product</x:v>
      </x:c>
      <x:c r="D157" s="79" t="str">
        <x:v>167</x:v>
      </x:c>
      <x:c r="E157" s="79" t="str">
        <x:v>روغن ضد التهاب</x:v>
      </x:c>
      <x:c r="F157" s="79" t="str">
        <x:v>روغن</x:v>
      </x:c>
      <x:c r="G157" s="79" t="str">
        <x:v>6a2d446d45c164ce6f28ae30</x:v>
      </x:c>
      <x:c r="H157" s="79" t="str">
        <x:v>oil</x:v>
      </x:c>
      <x:c r="I157" s="79"/>
      <x:c r="J157" s="79" t="str">
        <x:v>EDIBLE</x:v>
      </x:c>
      <x:c r="K157" s="79" t="str">
        <x:v>بله</x:v>
      </x:c>
      <x:c r="L157" s="79" t="n">
        <x:v>2</x:v>
      </x:c>
      <x:c r="M157" s="79" t="n">
        <x:v>1</x:v>
      </x:c>
      <x:c r="N157" s="79" t="str">
        <x:v>MISSING_PRICE_REVIEW + 1 VARIANT_PRICE_MISSING</x:v>
      </x:c>
      <x:c r="O157" s="79" t="str">
        <x:v>یک یا چند قیمت نامشخص است</x:v>
      </x:c>
      <x:c r="P157" s="79" t="str">
        <x:v>[{"name": "30 میلی لیتر", "sku": "", "price": 120000, "stock": "", "weight": 30, "weightUnit": "ml", "containerSize": "30 میل", "isDefault": true}, {"name": "60 میلی لیتر", "sku": "", "price": null, "stock": "", "weight": 60, "weightUnit": "ml", "containerSize": "60 میل", "isDefault": false}]</x:v>
      </x:c>
    </x:row>
    <x:row r="158">
      <x:c r="A158" s="79" t="str">
        <x:v>روغن ضد درد</x:v>
      </x:c>
      <x:c r="B158" s="79" t="str">
        <x:v>pain_relief_oil</x:v>
      </x:c>
      <x:c r="C158" s="79" t="str">
        <x:v>update_grouped_product</x:v>
      </x:c>
      <x:c r="D158" s="79" t="str">
        <x:v>168, 169</x:v>
      </x:c>
      <x:c r="E158" s="79" t="str">
        <x:v>روغن ضد درد</x:v>
      </x:c>
      <x:c r="F158" s="79" t="str">
        <x:v>روغن</x:v>
      </x:c>
      <x:c r="G158" s="79" t="str">
        <x:v>6a2d446d45c164ce6f28ae30</x:v>
      </x:c>
      <x:c r="H158" s="79" t="str">
        <x:v>oil</x:v>
      </x:c>
      <x:c r="I158" s="79"/>
      <x:c r="J158" s="79" t="str">
        <x:v>EDIBLE</x:v>
      </x:c>
      <x:c r="K158" s="79" t="str">
        <x:v>بله</x:v>
      </x:c>
      <x:c r="L158" s="79" t="n">
        <x:v>4</x:v>
      </x:c>
      <x:c r="M158" s="79" t="n">
        <x:v>0</x:v>
      </x:c>
      <x:c r="N158" s="79" t="str">
        <x:v>MERGED</x:v>
      </x:c>
      <x:c r="O158" s="79" t="str">
        <x:v>2 ردیف مشابه با هم یکی شد</x:v>
      </x:c>
      <x:c r="P158" s="79" t="str">
        <x:v>[{"name": "نیم لیتر", "sku": "", "price": 1475000, "stock": "", "weight": 500, "weightUnit": "ml", "containerSize": "نیم لیتر", "isDefault": true}, {"name": "1 لیتر", "sku": "", "price": 2950000, "stock": "", "weight": 1000, "weightUnit": "ml", "containerSize": "1 لیتر", "isDefault": false}, {"name": "30 میلی لیتر", "sku": "", "price": 100000, "stock": "", "weight": 30, "weightUnit": "ml", "containerSize": "30 میل", "isDefault": false}, {"name": "60 میلی لیتر", "sku": "", "price": 195000, "stock": "", "weight": 60, "weightUnit": "ml", "containerSize": "60 میل", "isDefault": false}]</x:v>
      </x:c>
    </x:row>
    <x:row r="159">
      <x:c r="A159" s="79" t="str">
        <x:v>روغن فندق</x:v>
      </x:c>
      <x:c r="B159" s="79" t="str">
        <x:v>oil_hazelnut_30ml</x:v>
      </x:c>
      <x:c r="C159" s="79" t="str">
        <x:v>update_grouped_product</x:v>
      </x:c>
      <x:c r="D159" s="79" t="str">
        <x:v>170</x:v>
      </x:c>
      <x:c r="E159" s="79" t="str">
        <x:v>روغن فندق</x:v>
      </x:c>
      <x:c r="F159" s="79" t="str">
        <x:v>روغن</x:v>
      </x:c>
      <x:c r="G159" s="79" t="str">
        <x:v>6a2d446d45c164ce6f28ae30</x:v>
      </x:c>
      <x:c r="H159" s="79" t="str">
        <x:v>oil</x:v>
      </x:c>
      <x:c r="I159" s="79"/>
      <x:c r="J159" s="79" t="str">
        <x:v>EDIBLE</x:v>
      </x:c>
      <x:c r="K159" s="79" t="str">
        <x:v>بله</x:v>
      </x:c>
      <x:c r="L159" s="79" t="n">
        <x:v>2</x:v>
      </x:c>
      <x:c r="M159" s="79" t="n">
        <x:v>0</x:v>
      </x:c>
      <x:c r="N159" s="79" t="str">
        <x:v>OK</x:v>
      </x:c>
      <x:c r="O159" s="79"/>
      <x:c r="P159" s="79" t="str">
        <x:v>[{"name": "30 میلی لیتر", "sku": "", "price": 100000, "stock": "", "weight": 30, "weightUnit": "ml", "containerSize": "30 میل", "isDefault": true}, {"name": "60 میلی لیتر", "sku": "", "price": 195000, "stock": "", "weight": 60, "weightUnit": "ml", "containerSize": "60 میل", "isDefault": false}]</x:v>
      </x:c>
    </x:row>
    <x:row r="160">
      <x:c r="A160" s="79" t="str">
        <x:v>روغن لیمو</x:v>
      </x:c>
      <x:c r="B160" s="79" t="str">
        <x:v>oil_lemon_30ml</x:v>
      </x:c>
      <x:c r="C160" s="79" t="str">
        <x:v>update_grouped_product</x:v>
      </x:c>
      <x:c r="D160" s="79" t="str">
        <x:v>185</x:v>
      </x:c>
      <x:c r="E160" s="79" t="str">
        <x:v>روغن لیمو</x:v>
      </x:c>
      <x:c r="F160" s="79" t="str">
        <x:v>روغن</x:v>
      </x:c>
      <x:c r="G160" s="79" t="str">
        <x:v>6a2d446d45c164ce6f28ae30</x:v>
      </x:c>
      <x:c r="H160" s="79" t="str">
        <x:v>oil</x:v>
      </x:c>
      <x:c r="I160" s="79"/>
      <x:c r="J160" s="79" t="str">
        <x:v>EDIBLE</x:v>
      </x:c>
      <x:c r="K160" s="79" t="str">
        <x:v>بله</x:v>
      </x:c>
      <x:c r="L160" s="79" t="n">
        <x:v>2</x:v>
      </x:c>
      <x:c r="M160" s="79" t="n">
        <x:v>0</x:v>
      </x:c>
      <x:c r="N160" s="79" t="str">
        <x:v>OK</x:v>
      </x:c>
      <x:c r="O160" s="79"/>
      <x:c r="P160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</x:row>
    <x:row r="161">
      <x:c r="A161" s="79" t="str">
        <x:v>روغن ماکادمیا</x:v>
      </x:c>
      <x:c r="B161" s="79" t="str">
        <x:v>oil_macadamia_30ml</x:v>
      </x:c>
      <x:c r="C161" s="79" t="str">
        <x:v>update_grouped_product</x:v>
      </x:c>
      <x:c r="D161" s="79" t="str">
        <x:v>186</x:v>
      </x:c>
      <x:c r="E161" s="79" t="str">
        <x:v>روغن ماکادمیا</x:v>
      </x:c>
      <x:c r="F161" s="79" t="str">
        <x:v>روغن</x:v>
      </x:c>
      <x:c r="G161" s="79" t="str">
        <x:v>6a2d446d45c164ce6f28ae30</x:v>
      </x:c>
      <x:c r="H161" s="79" t="str">
        <x:v>oil</x:v>
      </x:c>
      <x:c r="I161" s="79"/>
      <x:c r="J161" s="79" t="str">
        <x:v>EDIBLE</x:v>
      </x:c>
      <x:c r="K161" s="79" t="str">
        <x:v>بله</x:v>
      </x:c>
      <x:c r="L161" s="79" t="n">
        <x:v>2</x:v>
      </x:c>
      <x:c r="M161" s="79" t="n">
        <x:v>0</x:v>
      </x:c>
      <x:c r="N161" s="79" t="str">
        <x:v>OK</x:v>
      </x:c>
      <x:c r="O161" s="79"/>
      <x:c r="P161" s="79" t="str">
        <x:v>[{"name": "30 میلی لیتر", "sku": "", "price": 100000, "stock": "", "weight": 30, "weightUnit": "ml", "containerSize": "30 میل", "isDefault": true}, {"name": "60 میلی لیتر", "sku": "", "price": 190000, "stock": "", "weight": 60, "weightUnit": "ml", "containerSize": "60 میل", "isDefault": false}]</x:v>
      </x:c>
    </x:row>
    <x:row r="162">
      <x:c r="A162" s="79" t="str">
        <x:v>روغن مورد</x:v>
      </x:c>
      <x:c r="B162" s="79" t="str">
        <x:v>oil_myrtle_30ml</x:v>
      </x:c>
      <x:c r="C162" s="79" t="str">
        <x:v>update_grouped_product</x:v>
      </x:c>
      <x:c r="D162" s="79" t="str">
        <x:v>187</x:v>
      </x:c>
      <x:c r="E162" s="79" t="str">
        <x:v>روغن مورد</x:v>
      </x:c>
      <x:c r="F162" s="79" t="str">
        <x:v>روغن</x:v>
      </x:c>
      <x:c r="G162" s="79" t="str">
        <x:v>6a2d446d45c164ce6f28ae30</x:v>
      </x:c>
      <x:c r="H162" s="79" t="str">
        <x:v>oil</x:v>
      </x:c>
      <x:c r="I162" s="79"/>
      <x:c r="J162" s="79" t="str">
        <x:v>EDIBLE</x:v>
      </x:c>
      <x:c r="K162" s="79" t="str">
        <x:v>بله</x:v>
      </x:c>
      <x:c r="L162" s="79" t="n">
        <x:v>2</x:v>
      </x:c>
      <x:c r="M162" s="79" t="n">
        <x:v>0</x:v>
      </x:c>
      <x:c r="N162" s="79" t="str">
        <x:v>OK</x:v>
      </x:c>
      <x:c r="O162" s="79"/>
      <x:c r="P162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</x:row>
    <x:row r="163">
      <x:c r="A163" s="79" t="str">
        <x:v>روغن مورینگا</x:v>
      </x:c>
      <x:c r="B163" s="79" t="str">
        <x:v>oil_moringa_30ml</x:v>
      </x:c>
      <x:c r="C163" s="79" t="str">
        <x:v>update_grouped_product</x:v>
      </x:c>
      <x:c r="D163" s="79" t="str">
        <x:v>188</x:v>
      </x:c>
      <x:c r="E163" s="79" t="str">
        <x:v>روغن مورینگا</x:v>
      </x:c>
      <x:c r="F163" s="79" t="str">
        <x:v>روغن</x:v>
      </x:c>
      <x:c r="G163" s="79" t="str">
        <x:v>6a2d446d45c164ce6f28ae30</x:v>
      </x:c>
      <x:c r="H163" s="79" t="str">
        <x:v>oil</x:v>
      </x:c>
      <x:c r="I163" s="79"/>
      <x:c r="J163" s="79" t="str">
        <x:v>EDIBLE</x:v>
      </x:c>
      <x:c r="K163" s="79" t="str">
        <x:v>بله</x:v>
      </x:c>
      <x:c r="L163" s="79" t="n">
        <x:v>2</x:v>
      </x:c>
      <x:c r="M163" s="79" t="n">
        <x:v>0</x:v>
      </x:c>
      <x:c r="N163" s="79" t="str">
        <x:v>OK</x:v>
      </x:c>
      <x:c r="O163" s="79"/>
      <x:c r="P163" s="79" t="str">
        <x:v>[{"name": "30 میلی لیتر", "sku": "", "price": 100000, "stock": "", "weight": 30, "weightUnit": "ml", "containerSize": "30 میل", "isDefault": true}, {"name": "60 میلی لیتر", "sku": "", "price": 190000, "stock": "", "weight": 60, "weightUnit": "ml", "containerSize": "60 میل", "isDefault": false}]</x:v>
      </x:c>
    </x:row>
    <x:row r="164">
      <x:c r="A164" s="79" t="str">
        <x:v>روغن میخک</x:v>
      </x:c>
      <x:c r="B164" s="79" t="str">
        <x:v>oil_clove_30ml</x:v>
      </x:c>
      <x:c r="C164" s="79" t="str">
        <x:v>update_grouped_product</x:v>
      </x:c>
      <x:c r="D164" s="79" t="str">
        <x:v>189</x:v>
      </x:c>
      <x:c r="E164" s="79" t="str">
        <x:v>روغن میخک</x:v>
      </x:c>
      <x:c r="F164" s="79" t="str">
        <x:v>روغن</x:v>
      </x:c>
      <x:c r="G164" s="79" t="str">
        <x:v>6a2d446d45c164ce6f28ae30</x:v>
      </x:c>
      <x:c r="H164" s="79" t="str">
        <x:v>oil</x:v>
      </x:c>
      <x:c r="I164" s="79"/>
      <x:c r="J164" s="79" t="str">
        <x:v>EDIBLE</x:v>
      </x:c>
      <x:c r="K164" s="79" t="str">
        <x:v>بله</x:v>
      </x:c>
      <x:c r="L164" s="79" t="n">
        <x:v>2</x:v>
      </x:c>
      <x:c r="M164" s="79" t="n">
        <x:v>0</x:v>
      </x:c>
      <x:c r="N164" s="79" t="str">
        <x:v>OK</x:v>
      </x:c>
      <x:c r="O164" s="79"/>
      <x:c r="P164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</x:row>
    <x:row r="165">
      <x:c r="A165" s="79" t="str">
        <x:v>روغن نارگیل</x:v>
      </x:c>
      <x:c r="B165" s="79" t="str">
        <x:v>coconut_oil</x:v>
      </x:c>
      <x:c r="C165" s="79" t="str">
        <x:v>update_grouped_product</x:v>
      </x:c>
      <x:c r="D165" s="79" t="str">
        <x:v>190, 191</x:v>
      </x:c>
      <x:c r="E165" s="79" t="str">
        <x:v>روغن نارگیل</x:v>
      </x:c>
      <x:c r="F165" s="79" t="str">
        <x:v>روغن</x:v>
      </x:c>
      <x:c r="G165" s="79" t="str">
        <x:v>6a2d446d45c164ce6f28ae30</x:v>
      </x:c>
      <x:c r="H165" s="79" t="str">
        <x:v>oil</x:v>
      </x:c>
      <x:c r="I165" s="79"/>
      <x:c r="J165" s="79" t="str">
        <x:v>EDIBLE</x:v>
      </x:c>
      <x:c r="K165" s="79" t="str">
        <x:v>بله</x:v>
      </x:c>
      <x:c r="L165" s="79" t="n">
        <x:v>4</x:v>
      </x:c>
      <x:c r="M165" s="79" t="n">
        <x:v>0</x:v>
      </x:c>
      <x:c r="N165" s="79" t="str">
        <x:v>MERGED</x:v>
      </x:c>
      <x:c r="O165" s="79" t="str">
        <x:v>2 ردیف مشابه با هم یکی شد</x:v>
      </x:c>
      <x:c r="P165" s="79" t="str">
        <x:v>[{"name": "نیم لیتر", "sku": "", "price": 1100000, "stock": "", "weight": 500, "weightUnit": "ml", "containerSize": "نیم لیتر", "isDefault": true}, {"name": "1 لیتر", "sku": "", "price": 2200000, "stock": "", "weight": 1000, "weightUnit": "ml", "containerSize": "1 لیتر", "isDefault": false}, {"name": "30 میلی لیتر", "sku": "", "price": 90000, "stock": "", "weight": 30, "weightUnit": "ml", "containerSize": "30 میل", "isDefault": false}, {"name": "60 میلی لیتر", "sku": "", "price": 170000, "stock": "", "weight": 60, "weightUnit": "ml", "containerSize": "60 میل", "isDefault": false}]</x:v>
      </x:c>
    </x:row>
    <x:row r="166">
      <x:c r="A166" s="79" t="str">
        <x:v>روغن هسته انگور</x:v>
      </x:c>
      <x:c r="B166" s="79" t="str">
        <x:v>grape_seed_oil_30ml</x:v>
      </x:c>
      <x:c r="C166" s="79" t="str">
        <x:v>update_grouped_product</x:v>
      </x:c>
      <x:c r="D166" s="79" t="str">
        <x:v>192</x:v>
      </x:c>
      <x:c r="E166" s="79" t="str">
        <x:v>روغن هسته انگور</x:v>
      </x:c>
      <x:c r="F166" s="79" t="str">
        <x:v>روغن</x:v>
      </x:c>
      <x:c r="G166" s="79" t="str">
        <x:v>6a2d446d45c164ce6f28ae30</x:v>
      </x:c>
      <x:c r="H166" s="79" t="str">
        <x:v>oil</x:v>
      </x:c>
      <x:c r="I166" s="79"/>
      <x:c r="J166" s="79" t="str">
        <x:v>EDIBLE</x:v>
      </x:c>
      <x:c r="K166" s="79" t="str">
        <x:v>بله</x:v>
      </x:c>
      <x:c r="L166" s="79" t="n">
        <x:v>2</x:v>
      </x:c>
      <x:c r="M166" s="79" t="n">
        <x:v>0</x:v>
      </x:c>
      <x:c r="N166" s="79" t="str">
        <x:v>OK</x:v>
      </x:c>
      <x:c r="O166" s="79"/>
      <x:c r="P166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</x:row>
    <x:row r="167">
      <x:c r="A167" s="79" t="str">
        <x:v>روغن هسته نارنج</x:v>
      </x:c>
      <x:c r="B167" s="79" t="str">
        <x:v>bitter_orange_seed_oil_30ml</x:v>
      </x:c>
      <x:c r="C167" s="79" t="str">
        <x:v>update_grouped_product</x:v>
      </x:c>
      <x:c r="D167" s="79" t="str">
        <x:v>193</x:v>
      </x:c>
      <x:c r="E167" s="79" t="str">
        <x:v>روغن هسته نارنج</x:v>
      </x:c>
      <x:c r="F167" s="79" t="str">
        <x:v>روغن</x:v>
      </x:c>
      <x:c r="G167" s="79" t="str">
        <x:v>6a2d446d45c164ce6f28ae30</x:v>
      </x:c>
      <x:c r="H167" s="79" t="str">
        <x:v>oil</x:v>
      </x:c>
      <x:c r="I167" s="79"/>
      <x:c r="J167" s="79" t="str">
        <x:v>EDIBLE</x:v>
      </x:c>
      <x:c r="K167" s="79" t="str">
        <x:v>بله</x:v>
      </x:c>
      <x:c r="L167" s="79" t="n">
        <x:v>2</x:v>
      </x:c>
      <x:c r="M167" s="79" t="n">
        <x:v>1</x:v>
      </x:c>
      <x:c r="N167" s="79" t="str">
        <x:v>MISSING_PRICE_REVIEW + 1 VARIANT_PRICE_MISSING</x:v>
      </x:c>
      <x:c r="O167" s="79" t="str">
        <x:v>یک یا چند قیمت نامشخص است</x:v>
      </x:c>
      <x:c r="P167" s="79" t="str">
        <x:v>[{"name": "30 میلی لیتر", "sku": "", "price": 65000, "stock": "", "weight": 30, "weightUnit": "ml", "containerSize": "30 میل", "isDefault": true}, {"name": "60 میلی لیتر", "sku": "", "price": null, "stock": "", "weight": 60, "weightUnit": "ml", "containerSize": "60 میل", "isDefault": false}]</x:v>
      </x:c>
    </x:row>
    <x:row r="168">
      <x:c r="A168" s="79" t="str">
        <x:v>روغن پونه</x:v>
      </x:c>
      <x:c r="B168" s="79" t="str">
        <x:v>oil_pennyroyal_30ml</x:v>
      </x:c>
      <x:c r="C168" s="79" t="str">
        <x:v>update_grouped_product</x:v>
      </x:c>
      <x:c r="D168" s="79" t="str">
        <x:v>141</x:v>
      </x:c>
      <x:c r="E168" s="79" t="str">
        <x:v>روغن پونه</x:v>
      </x:c>
      <x:c r="F168" s="79" t="str">
        <x:v>روغن</x:v>
      </x:c>
      <x:c r="G168" s="79" t="str">
        <x:v>6a2d446d45c164ce6f28ae30</x:v>
      </x:c>
      <x:c r="H168" s="79" t="str">
        <x:v>oil</x:v>
      </x:c>
      <x:c r="I168" s="79"/>
      <x:c r="J168" s="79" t="str">
        <x:v>EDIBLE</x:v>
      </x:c>
      <x:c r="K168" s="79" t="str">
        <x:v>بله</x:v>
      </x:c>
      <x:c r="L168" s="79" t="n">
        <x:v>2</x:v>
      </x:c>
      <x:c r="M168" s="79" t="n">
        <x:v>0</x:v>
      </x:c>
      <x:c r="N168" s="79" t="str">
        <x:v>OK</x:v>
      </x:c>
      <x:c r="O168" s="79"/>
      <x:c r="P168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</x:row>
    <x:row r="169">
      <x:c r="A169" s="79" t="str">
        <x:v>روغن کدو</x:v>
      </x:c>
      <x:c r="B169" s="79" t="str">
        <x:v>oil_pumpkin_30ml</x:v>
      </x:c>
      <x:c r="C169" s="79" t="str">
        <x:v>update_grouped_product</x:v>
      </x:c>
      <x:c r="D169" s="79" t="str">
        <x:v>171</x:v>
      </x:c>
      <x:c r="E169" s="79" t="str">
        <x:v>روغن کدو</x:v>
      </x:c>
      <x:c r="F169" s="79" t="str">
        <x:v>روغن</x:v>
      </x:c>
      <x:c r="G169" s="79" t="str">
        <x:v>6a2d446d45c164ce6f28ae30</x:v>
      </x:c>
      <x:c r="H169" s="79" t="str">
        <x:v>oil</x:v>
      </x:c>
      <x:c r="I169" s="79"/>
      <x:c r="J169" s="79" t="str">
        <x:v>EDIBLE</x:v>
      </x:c>
      <x:c r="K169" s="79" t="str">
        <x:v>بله</x:v>
      </x:c>
      <x:c r="L169" s="79" t="n">
        <x:v>2</x:v>
      </x:c>
      <x:c r="M169" s="79" t="n">
        <x:v>0</x:v>
      </x:c>
      <x:c r="N169" s="79" t="str">
        <x:v>OK</x:v>
      </x:c>
      <x:c r="O169" s="79"/>
      <x:c r="P169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</x:row>
    <x:row r="170">
      <x:c r="A170" s="79" t="str">
        <x:v>روغن کرچک</x:v>
      </x:c>
      <x:c r="B170" s="79" t="str">
        <x:v>castor_oil</x:v>
      </x:c>
      <x:c r="C170" s="79" t="str">
        <x:v>update_grouped_product</x:v>
      </x:c>
      <x:c r="D170" s="79" t="str">
        <x:v>172, 173</x:v>
      </x:c>
      <x:c r="E170" s="79" t="str">
        <x:v>روغن کرچک</x:v>
      </x:c>
      <x:c r="F170" s="79" t="str">
        <x:v>روغن</x:v>
      </x:c>
      <x:c r="G170" s="79" t="str">
        <x:v>6a2d446d45c164ce6f28ae30</x:v>
      </x:c>
      <x:c r="H170" s="79" t="str">
        <x:v>oil</x:v>
      </x:c>
      <x:c r="I170" s="79"/>
      <x:c r="J170" s="79" t="str">
        <x:v>EDIBLE</x:v>
      </x:c>
      <x:c r="K170" s="79" t="str">
        <x:v>بله</x:v>
      </x:c>
      <x:c r="L170" s="79" t="n">
        <x:v>4</x:v>
      </x:c>
      <x:c r="M170" s="79" t="n">
        <x:v>0</x:v>
      </x:c>
      <x:c r="N170" s="79" t="str">
        <x:v>MERGED</x:v>
      </x:c>
      <x:c r="O170" s="79" t="str">
        <x:v>2 ردیف مشابه با هم یکی شد</x:v>
      </x:c>
      <x:c r="P170" s="79" t="str">
        <x:v>[{"name": "نیم لیتر", "sku": "", "price": 500000, "stock": "", "weight": 500, "weightUnit": "ml", "containerSize": "نیم لیتر", "isDefault": true}, {"name": "1 لیتر", "sku": "", "price": 1000000, "stock": "", "weight": 1000, "weightUnit": "ml", "containerSize": "1 لیتر", "isDefault": false}, {"name": "30 میلی لیتر", "sku": "", "price": 65000, "stock": "", "weight": 30, "weightUnit": "ml", "containerSize": "30 میل", "isDefault": false}, {"name": "60 میلی لیتر", "sku": "", "price": 120000, "stock": "", "weight": 60, "weightUnit": "ml", "containerSize": "60 میل", "isDefault": false}]</x:v>
      </x:c>
    </x:row>
    <x:row r="171">
      <x:c r="A171" s="79" t="str">
        <x:v>روغن کلزا</x:v>
      </x:c>
      <x:c r="B171" s="79" t="str">
        <x:v>oil_canola_half_liter</x:v>
      </x:c>
      <x:c r="C171" s="79" t="str">
        <x:v>update_grouped_product</x:v>
      </x:c>
      <x:c r="D171" s="79" t="str">
        <x:v>174</x:v>
      </x:c>
      <x:c r="E171" s="79" t="str">
        <x:v>روغن کلزا</x:v>
      </x:c>
      <x:c r="F171" s="79" t="str">
        <x:v>روغن</x:v>
      </x:c>
      <x:c r="G171" s="79" t="str">
        <x:v>6a2d446d45c164ce6f28ae30</x:v>
      </x:c>
      <x:c r="H171" s="79" t="str">
        <x:v>oil</x:v>
      </x:c>
      <x:c r="I171" s="79"/>
      <x:c r="J171" s="79" t="str">
        <x:v>EDIBLE</x:v>
      </x:c>
      <x:c r="K171" s="79" t="str">
        <x:v>بله</x:v>
      </x:c>
      <x:c r="L171" s="79" t="n">
        <x:v>2</x:v>
      </x:c>
      <x:c r="M171" s="79" t="n">
        <x:v>0</x:v>
      </x:c>
      <x:c r="N171" s="79" t="str">
        <x:v>OK</x:v>
      </x:c>
      <x:c r="O171" s="79"/>
      <x:c r="P171" s="79" t="str">
        <x:v>[{"name": "نیم لیتر", "sku": "", "price": 400000, "stock": "", "weight": 500, "weightUnit": "ml", "containerSize": "نیم لیتر", "isDefault": true}, {"name": "1 لیتر", "sku": "", "price": 790000, "stock": "", "weight": 1000, "weightUnit": "ml", "containerSize": "1 لیتر", "isDefault": false}]</x:v>
      </x:c>
    </x:row>
    <x:row r="172">
      <x:c r="A172" s="79" t="str">
        <x:v>روغن کنجد</x:v>
      </x:c>
      <x:c r="B172" s="79" t="str">
        <x:v>sesame_oil</x:v>
      </x:c>
      <x:c r="C172" s="79" t="str">
        <x:v>update_grouped_product</x:v>
      </x:c>
      <x:c r="D172" s="79" t="str">
        <x:v>175, 176</x:v>
      </x:c>
      <x:c r="E172" s="79" t="str">
        <x:v>روغن کنجد | روغن کنجد #</x:v>
      </x:c>
      <x:c r="F172" s="79" t="str">
        <x:v>روغن</x:v>
      </x:c>
      <x:c r="G172" s="79" t="str">
        <x:v>6a2d446d45c164ce6f28ae30</x:v>
      </x:c>
      <x:c r="H172" s="79" t="str">
        <x:v>oil</x:v>
      </x:c>
      <x:c r="I172" s="79"/>
      <x:c r="J172" s="79" t="str">
        <x:v>EDIBLE</x:v>
      </x:c>
      <x:c r="K172" s="79" t="str">
        <x:v>بله</x:v>
      </x:c>
      <x:c r="L172" s="79" t="n">
        <x:v>3</x:v>
      </x:c>
      <x:c r="M172" s="79" t="n">
        <x:v>1</x:v>
      </x:c>
      <x:c r="N172" s="79" t="str">
        <x:v>MERGED + MISSING_PRICE_REVIEW + 1 VARIANT_PRICE_MISSING</x:v>
      </x:c>
      <x:c r="O172" s="79" t="str">
        <x:v>2 ردیف مشابه با هم یکی شد | یک یا چند قیمت نامشخص است</x:v>
      </x:c>
      <x:c r="P172" s="79" t="str">
        <x:v>[{"name": "نیم لیتر", "sku": "", "price": 555000, "stock": "", "weight": 500, "weightUnit": "ml", "containerSize": "نیم لیتر", "isDefault": true}, {"name": "1 لیتر", "sku": "", "price": 1100000, "stock": "", "weight": 1000, "weightUnit": "ml", "containerSize": "1 لیتر", "isDefault": false}, {"name": "کیلو", "sku": "", "price": null, "stock": "", "weight": 1, "weightUnit": "kg", "containerSize": "کیلو", "isDefault": false}]</x:v>
      </x:c>
    </x:row>
    <x:row r="173">
      <x:c r="A173" s="79" t="str">
        <x:v>روغن کنجد موضعی</x:v>
      </x:c>
      <x:c r="B173" s="79" t="str">
        <x:v>oil_sesame_topical_30ml</x:v>
      </x:c>
      <x:c r="C173" s="79" t="str">
        <x:v>update_grouped_product</x:v>
      </x:c>
      <x:c r="D173" s="79" t="str">
        <x:v>177</x:v>
      </x:c>
      <x:c r="E173" s="79" t="str">
        <x:v>روغن کنجد موضعی</x:v>
      </x:c>
      <x:c r="F173" s="79" t="str">
        <x:v>روغن</x:v>
      </x:c>
      <x:c r="G173" s="79" t="str">
        <x:v>6a2d446d45c164ce6f28ae30</x:v>
      </x:c>
      <x:c r="H173" s="79" t="str">
        <x:v>oil</x:v>
      </x:c>
      <x:c r="I173" s="79"/>
      <x:c r="J173" s="79" t="str">
        <x:v>EDIBLE</x:v>
      </x:c>
      <x:c r="K173" s="79" t="str">
        <x:v>بله</x:v>
      </x:c>
      <x:c r="L173" s="79" t="n">
        <x:v>2</x:v>
      </x:c>
      <x:c r="M173" s="79" t="n">
        <x:v>0</x:v>
      </x:c>
      <x:c r="N173" s="79" t="str">
        <x:v>OK</x:v>
      </x:c>
      <x:c r="O173" s="79"/>
      <x:c r="P173" s="79" t="str">
        <x:v>[{"name": "30 میلی لیتر", "sku": "", "price": 45000, "stock": "", "weight": 30, "weightUnit": "ml", "containerSize": "30 میل", "isDefault": true}, {"name": "60 میلی لیتر", "sku": "", "price": 80000, "stock": "", "weight": 60, "weightUnit": "ml", "containerSize": "60 میل", "isDefault": false}]</x:v>
      </x:c>
    </x:row>
    <x:row r="174">
      <x:c r="A174" s="79" t="str">
        <x:v>روغن کندر</x:v>
      </x:c>
      <x:c r="B174" s="79" t="str">
        <x:v>oil_frankincense_30ml</x:v>
      </x:c>
      <x:c r="C174" s="79" t="str">
        <x:v>update_grouped_product</x:v>
      </x:c>
      <x:c r="D174" s="79" t="str">
        <x:v>178</x:v>
      </x:c>
      <x:c r="E174" s="79" t="str">
        <x:v>روغن کندر</x:v>
      </x:c>
      <x:c r="F174" s="79" t="str">
        <x:v>روغن</x:v>
      </x:c>
      <x:c r="G174" s="79" t="str">
        <x:v>6a2d446d45c164ce6f28ae30</x:v>
      </x:c>
      <x:c r="H174" s="79" t="str">
        <x:v>oil</x:v>
      </x:c>
      <x:c r="I174" s="79"/>
      <x:c r="J174" s="79" t="str">
        <x:v>EDIBLE</x:v>
      </x:c>
      <x:c r="K174" s="79" t="str">
        <x:v>بله</x:v>
      </x:c>
      <x:c r="L174" s="79" t="n">
        <x:v>2</x:v>
      </x:c>
      <x:c r="M174" s="79" t="n">
        <x:v>0</x:v>
      </x:c>
      <x:c r="N174" s="79" t="str">
        <x:v>OK</x:v>
      </x:c>
      <x:c r="O174" s="79"/>
      <x:c r="P174" s="79" t="str">
        <x:v>[{"name": "30 میلی لیتر", "sku": "", "price": 85000, "stock": "", "weight": 30, "weightUnit": "ml", "containerSize": "30 میل", "isDefault": true}, {"name": "60 میلی لیتر", "sku": "", "price": 160000, "stock": "", "weight": 60, "weightUnit": "ml", "containerSize": "60 میل", "isDefault": false}]</x:v>
      </x:c>
    </x:row>
    <x:row r="175">
      <x:c r="A175" s="79" t="str">
        <x:v>روغن کندش</x:v>
      </x:c>
      <x:c r="B175" s="79" t="str">
        <x:v>oil_kondosh_30ml</x:v>
      </x:c>
      <x:c r="C175" s="79" t="str">
        <x:v>update_grouped_product</x:v>
      </x:c>
      <x:c r="D175" s="79" t="str">
        <x:v>179</x:v>
      </x:c>
      <x:c r="E175" s="79" t="str">
        <x:v>روغن کندش</x:v>
      </x:c>
      <x:c r="F175" s="79" t="str">
        <x:v>روغن</x:v>
      </x:c>
      <x:c r="G175" s="79" t="str">
        <x:v>6a2d446d45c164ce6f28ae30</x:v>
      </x:c>
      <x:c r="H175" s="79" t="str">
        <x:v>oil</x:v>
      </x:c>
      <x:c r="I175" s="79"/>
      <x:c r="J175" s="79" t="str">
        <x:v>EDIBLE</x:v>
      </x:c>
      <x:c r="K175" s="79" t="str">
        <x:v>بله</x:v>
      </x:c>
      <x:c r="L175" s="79" t="n">
        <x:v>2</x:v>
      </x:c>
      <x:c r="M175" s="79" t="n">
        <x:v>0</x:v>
      </x:c>
      <x:c r="N175" s="79" t="str">
        <x:v>OK</x:v>
      </x:c>
      <x:c r="O175" s="79"/>
      <x:c r="P175" s="79" t="str">
        <x:v>[{"name": "30 میلی لیتر", "sku": "", "price": 115000, "stock": "", "weight": 30, "weightUnit": "ml", "containerSize": "30 میل", "isDefault": true}, {"name": "60 میلی لیتر", "sku": "", "price": 220000, "stock": "", "weight": 60, "weightUnit": "ml", "containerSize": "60 میل", "isDefault": false}]</x:v>
      </x:c>
    </x:row>
    <x:row r="176">
      <x:c r="A176" s="79" t="str">
        <x:v>روغن کوسه</x:v>
      </x:c>
      <x:c r="B176" s="79" t="str">
        <x:v>oil_shark_30ml</x:v>
      </x:c>
      <x:c r="C176" s="79" t="str">
        <x:v>update_grouped_product</x:v>
      </x:c>
      <x:c r="D176" s="79" t="str">
        <x:v>180</x:v>
      </x:c>
      <x:c r="E176" s="79" t="str">
        <x:v>روغن کوسه</x:v>
      </x:c>
      <x:c r="F176" s="79" t="str">
        <x:v>روغن</x:v>
      </x:c>
      <x:c r="G176" s="79" t="str">
        <x:v>6a2d446d45c164ce6f28ae30</x:v>
      </x:c>
      <x:c r="H176" s="79" t="str">
        <x:v>oil</x:v>
      </x:c>
      <x:c r="I176" s="79"/>
      <x:c r="J176" s="79" t="str">
        <x:v>EDIBLE</x:v>
      </x:c>
      <x:c r="K176" s="79" t="str">
        <x:v>بله</x:v>
      </x:c>
      <x:c r="L176" s="79" t="n">
        <x:v>2</x:v>
      </x:c>
      <x:c r="M176" s="79" t="n">
        <x:v>0</x:v>
      </x:c>
      <x:c r="N176" s="79" t="str">
        <x:v>OK</x:v>
      </x:c>
      <x:c r="O176" s="79"/>
      <x:c r="P176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</x:row>
    <x:row r="177">
      <x:c r="A177" s="79" t="str">
        <x:v>روغن کوهان شتر</x:v>
      </x:c>
      <x:c r="B177" s="79" t="str">
        <x:v>oil_hump_camel_30ml</x:v>
      </x:c>
      <x:c r="C177" s="79" t="str">
        <x:v>update_grouped_product</x:v>
      </x:c>
      <x:c r="D177" s="79" t="str">
        <x:v>181</x:v>
      </x:c>
      <x:c r="E177" s="79" t="str">
        <x:v>روغن کوهان شتر</x:v>
      </x:c>
      <x:c r="F177" s="79" t="str">
        <x:v>روغن</x:v>
      </x:c>
      <x:c r="G177" s="79" t="str">
        <x:v>6a2d446d45c164ce6f28ae30</x:v>
      </x:c>
      <x:c r="H177" s="79" t="str">
        <x:v>oil</x:v>
      </x:c>
      <x:c r="I177" s="79"/>
      <x:c r="J177" s="79" t="str">
        <x:v>EDIBLE</x:v>
      </x:c>
      <x:c r="K177" s="79" t="str">
        <x:v>بله</x:v>
      </x:c>
      <x:c r="L177" s="79" t="n">
        <x:v>2</x:v>
      </x:c>
      <x:c r="M177" s="79" t="n">
        <x:v>0</x:v>
      </x:c>
      <x:c r="N177" s="79" t="str">
        <x:v>OK</x:v>
      </x:c>
      <x:c r="O177" s="79"/>
      <x:c r="P177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</x:row>
    <x:row r="178">
      <x:c r="A178" s="79" t="str">
        <x:v>روغن گردو</x:v>
      </x:c>
      <x:c r="B178" s="79" t="str">
        <x:v>oil_walnut_30ml</x:v>
      </x:c>
      <x:c r="C178" s="79" t="str">
        <x:v>update_grouped_product</x:v>
      </x:c>
      <x:c r="D178" s="79" t="str">
        <x:v>182</x:v>
      </x:c>
      <x:c r="E178" s="79" t="str">
        <x:v>روغن گردو</x:v>
      </x:c>
      <x:c r="F178" s="79" t="str">
        <x:v>روغن</x:v>
      </x:c>
      <x:c r="G178" s="79" t="str">
        <x:v>6a2d446d45c164ce6f28ae30</x:v>
      </x:c>
      <x:c r="H178" s="79" t="str">
        <x:v>oil</x:v>
      </x:c>
      <x:c r="I178" s="79"/>
      <x:c r="J178" s="79" t="str">
        <x:v>EDIBLE</x:v>
      </x:c>
      <x:c r="K178" s="79" t="str">
        <x:v>بله</x:v>
      </x:c>
      <x:c r="L178" s="79" t="n">
        <x:v>2</x:v>
      </x:c>
      <x:c r="M178" s="79" t="n">
        <x:v>0</x:v>
      </x:c>
      <x:c r="N178" s="79" t="str">
        <x:v>OK</x:v>
      </x:c>
      <x:c r="O178" s="79"/>
      <x:c r="P178" s="79" t="str">
        <x:v>[{"name": "30 میلی لیتر", "sku": "", "price": 115000, "stock": "", "weight": 30, "weightUnit": "ml", "containerSize": "30 میل", "isDefault": true}, {"name": "60 میلی لیتر", "sku": "", "price": 220000, "stock": "", "weight": 60, "weightUnit": "ml", "containerSize": "60 میل", "isDefault": false}]</x:v>
      </x:c>
    </x:row>
    <x:row r="179">
      <x:c r="A179" s="79" t="str">
        <x:v>روغن گل سرخ</x:v>
      </x:c>
      <x:c r="B179" s="79" t="str">
        <x:v>oil_flower_rose_30ml</x:v>
      </x:c>
      <x:c r="C179" s="79" t="str">
        <x:v>update_grouped_product</x:v>
      </x:c>
      <x:c r="D179" s="79" t="str">
        <x:v>183</x:v>
      </x:c>
      <x:c r="E179" s="79" t="str">
        <x:v>روغن گل سرخ</x:v>
      </x:c>
      <x:c r="F179" s="79" t="str">
        <x:v>روغن</x:v>
      </x:c>
      <x:c r="G179" s="79" t="str">
        <x:v>6a2d446d45c164ce6f28ae30</x:v>
      </x:c>
      <x:c r="H179" s="79" t="str">
        <x:v>oil</x:v>
      </x:c>
      <x:c r="I179" s="79"/>
      <x:c r="J179" s="79" t="str">
        <x:v>EDIBLE</x:v>
      </x:c>
      <x:c r="K179" s="79" t="str">
        <x:v>بله</x:v>
      </x:c>
      <x:c r="L179" s="79" t="n">
        <x:v>2</x:v>
      </x:c>
      <x:c r="M179" s="79" t="n">
        <x:v>0</x:v>
      </x:c>
      <x:c r="N179" s="79" t="str">
        <x:v>OK</x:v>
      </x:c>
      <x:c r="O179" s="79"/>
      <x:c r="P179" s="79" t="str">
        <x:v>[{"name": "30 میلی لیتر", "sku": "", "price": 90000, "stock": "", "weight": 30, "weightUnit": "ml", "containerSize": "30 میل", "isDefault": true}, {"name": "60 میلی لیتر", "sku": "", "price": 170000, "stock": "", "weight": 60, "weightUnit": "ml", "containerSize": "60 میل", "isDefault": false}]</x:v>
      </x:c>
    </x:row>
    <x:row r="180">
      <x:c r="A180" s="79" t="str">
        <x:v>روغن گلیسیرین</x:v>
      </x:c>
      <x:c r="B180" s="79" t="str">
        <x:v>oil_glycerin_30ml</x:v>
      </x:c>
      <x:c r="C180" s="79" t="str">
        <x:v>update_grouped_product</x:v>
      </x:c>
      <x:c r="D180" s="79" t="str">
        <x:v>184</x:v>
      </x:c>
      <x:c r="E180" s="79" t="str">
        <x:v>روغن گلیسیرین</x:v>
      </x:c>
      <x:c r="F180" s="79" t="str">
        <x:v>روغن</x:v>
      </x:c>
      <x:c r="G180" s="79" t="str">
        <x:v>6a2d446d45c164ce6f28ae30</x:v>
      </x:c>
      <x:c r="H180" s="79" t="str">
        <x:v>oil</x:v>
      </x:c>
      <x:c r="I180" s="79"/>
      <x:c r="J180" s="79" t="str">
        <x:v>EDIBLE</x:v>
      </x:c>
      <x:c r="K180" s="79" t="str">
        <x:v>بله</x:v>
      </x:c>
      <x:c r="L180" s="79" t="n">
        <x:v>2</x:v>
      </x:c>
      <x:c r="M180" s="79" t="n">
        <x:v>0</x:v>
      </x:c>
      <x:c r="N180" s="79" t="str">
        <x:v>OK</x:v>
      </x:c>
      <x:c r="O180" s="79"/>
      <x:c r="P180" s="79" t="str">
        <x:v>[{"name": "30 میلی لیتر", "sku": "", "price": 75000, "stock": "", "weight": 30, "weightUnit": "ml", "containerSize": "30 میل", "isDefault": true}, {"name": "60 میلی لیتر", "sku": "", "price": 140000, "stock": "", "weight": 60, "weightUnit": "ml", "containerSize": "60 میل", "isDefault": false}]</x:v>
      </x:c>
    </x:row>
    <x:row r="181">
      <x:c r="A181" s="79" t="str">
        <x:v>ارده</x:v>
      </x:c>
      <x:c r="B181" s="79" t="str">
        <x:v>tahini</x:v>
      </x:c>
      <x:c r="C181" s="79" t="str">
        <x:v>update_grouped_product</x:v>
      </x:c>
      <x:c r="D181" s="79" t="str">
        <x:v>27</x:v>
      </x:c>
      <x:c r="E181" s="79" t="str">
        <x:v>ارده</x:v>
      </x:c>
      <x:c r="F181" s="79" t="str">
        <x:v>قنادی و شیرینی</x:v>
      </x:c>
      <x:c r="G181" s="79" t="str">
        <x:v>6a3a00000000000000000003</x:v>
      </x:c>
      <x:c r="H181" s="79" t="str">
        <x:v>confectionery</x:v>
      </x:c>
      <x:c r="I181" s="79"/>
      <x:c r="J181" s="79" t="str">
        <x:v>EDIBLE</x:v>
      </x:c>
      <x:c r="K181" s="79" t="str">
        <x:v>بله</x:v>
      </x:c>
      <x:c r="L181" s="79" t="n">
        <x:v>1</x:v>
      </x:c>
      <x:c r="M181" s="79" t="n">
        <x:v>0</x:v>
      </x:c>
      <x:c r="N181" s="79" t="str">
        <x:v>OK</x:v>
      </x:c>
      <x:c r="O181" s="79"/>
      <x:c r="P181" s="79" t="str">
        <x:v>[{"name": "کیلو", "sku": "", "price": 710000, "stock": "", "weight": 1, "weightUnit": "kg", "containerSize": "کیلو", "isDefault": true}]</x:v>
      </x:c>
    </x:row>
    <x:row r="182">
      <x:c r="A182" s="79" t="str">
        <x:v>حلوا ارده</x:v>
      </x:c>
      <x:c r="B182" s="79" t="str">
        <x:v>halva_ardeh</x:v>
      </x:c>
      <x:c r="C182" s="79" t="str">
        <x:v>update_grouped_product</x:v>
      </x:c>
      <x:c r="D182" s="79" t="str">
        <x:v>103, 104</x:v>
      </x:c>
      <x:c r="E182" s="79" t="str">
        <x:v>حلوا ارده ساده | حلوا ارده پسته ای</x:v>
      </x:c>
      <x:c r="F182" s="79" t="str">
        <x:v>قنادی و شیرینی</x:v>
      </x:c>
      <x:c r="G182" s="79" t="str">
        <x:v>6a3a00000000000000000003</x:v>
      </x:c>
      <x:c r="H182" s="79" t="str">
        <x:v>confectionery</x:v>
      </x:c>
      <x:c r="I182" s="79"/>
      <x:c r="J182" s="79" t="str">
        <x:v>EDIBLE</x:v>
      </x:c>
      <x:c r="K182" s="79" t="str">
        <x:v>بله</x:v>
      </x:c>
      <x:c r="L182" s="79" t="n">
        <x:v>2</x:v>
      </x:c>
      <x:c r="M182" s="79" t="n">
        <x:v>0</x:v>
      </x:c>
      <x:c r="N182" s="79" t="str">
        <x:v>MERGED</x:v>
      </x:c>
      <x:c r="O182" s="79" t="str">
        <x:v>2 ردیف مشابه با هم یکی شد</x:v>
      </x:c>
      <x:c r="P182" s="79" t="str">
        <x:v>[{"name": "پسته‌ای - 500 گرمی", "sku": "", "price": 430000, "stock": "", "weight": 500, "weightUnit": "g", "containerSize": "500 گرمی", "isDefault": true}, {"name": "ساده - 500 گرمی", "sku": "", "price": 350000, "stock": "", "weight": 500, "weightUnit": "g", "containerSize": "500 گرمی", "isDefault": false}]</x:v>
      </x:c>
    </x:row>
    <x:row r="183">
      <x:c r="A183" s="79" t="str">
        <x:v>حلوا روغنی</x:v>
      </x:c>
      <x:c r="B183" s="79" t="str">
        <x:v>halva_oily</x:v>
      </x:c>
      <x:c r="C183" s="79" t="str">
        <x:v>update_grouped_product</x:v>
      </x:c>
      <x:c r="D183" s="79" t="str">
        <x:v>106</x:v>
      </x:c>
      <x:c r="E183" s="79" t="str">
        <x:v>حلوا روغنی</x:v>
      </x:c>
      <x:c r="F183" s="79" t="str">
        <x:v>قنادی و شیرینی</x:v>
      </x:c>
      <x:c r="G183" s="79" t="str">
        <x:v>6a3a00000000000000000003</x:v>
      </x:c>
      <x:c r="H183" s="79" t="str">
        <x:v>confectionery</x:v>
      </x:c>
      <x:c r="I183" s="79"/>
      <x:c r="J183" s="79" t="str">
        <x:v>EDIBLE</x:v>
      </x:c>
      <x:c r="K183" s="79" t="str">
        <x:v>بله</x:v>
      </x:c>
      <x:c r="L183" s="79" t="n">
        <x:v>1</x:v>
      </x:c>
      <x:c r="M183" s="79" t="n">
        <x:v>0</x:v>
      </x:c>
      <x:c r="N183" s="79" t="str">
        <x:v>OK</x:v>
      </x:c>
      <x:c r="O183" s="79" t="str">
        <x:v>دسته از «روغن» به «قنادی و شیرینی» اصلاح شد</x:v>
      </x:c>
      <x:c r="P183" s="79" t="str">
        <x:v>[{"name": "کیلو", "sku": "", "price": 350000, "stock": "", "weight": 1, "weightUnit": "kg", "containerSize": "کیلو", "isDefault": true}]</x:v>
      </x:c>
    </x:row>
    <x:row r="184">
      <x:c r="A184" s="79" t="str">
        <x:v>حلوا طنابی</x:v>
      </x:c>
      <x:c r="B184" s="79" t="str">
        <x:v>halva_rope</x:v>
      </x:c>
      <x:c r="C184" s="79" t="str">
        <x:v>update_grouped_product</x:v>
      </x:c>
      <x:c r="D184" s="79" t="str">
        <x:v>107</x:v>
      </x:c>
      <x:c r="E184" s="79" t="str">
        <x:v>حلوا طنابی</x:v>
      </x:c>
      <x:c r="F184" s="79" t="str">
        <x:v>قنادی و شیرینی</x:v>
      </x:c>
      <x:c r="G184" s="79" t="str">
        <x:v>6a3a00000000000000000003</x:v>
      </x:c>
      <x:c r="H184" s="79" t="str">
        <x:v>confectionery</x:v>
      </x:c>
      <x:c r="I184" s="79"/>
      <x:c r="J184" s="79" t="str">
        <x:v>EDIBLE</x:v>
      </x:c>
      <x:c r="K184" s="79" t="str">
        <x:v>بله</x:v>
      </x:c>
      <x:c r="L184" s="79" t="n">
        <x:v>1</x:v>
      </x:c>
      <x:c r="M184" s="79" t="n">
        <x:v>0</x:v>
      </x:c>
      <x:c r="N184" s="79" t="str">
        <x:v>OK</x:v>
      </x:c>
      <x:c r="O184" s="79"/>
      <x:c r="P184" s="79" t="str">
        <x:v>[{"name": "کیلو", "sku": "", "price": 350000, "stock": "", "weight": 1, "weightUnit": "kg", "containerSize": "کیلو", "isDefault": true}]</x:v>
      </x:c>
    </x:row>
    <x:row r="185">
      <x:c r="A185" s="79" t="str">
        <x:v>حلوا پشمکی</x:v>
      </x:c>
      <x:c r="B185" s="79" t="str">
        <x:v>halva_cotton</x:v>
      </x:c>
      <x:c r="C185" s="79" t="str">
        <x:v>update_grouped_product</x:v>
      </x:c>
      <x:c r="D185" s="79" t="str">
        <x:v>105</x:v>
      </x:c>
      <x:c r="E185" s="79" t="str">
        <x:v>حلوا پشمکی</x:v>
      </x:c>
      <x:c r="F185" s="79" t="str">
        <x:v>قنادی و شیرینی</x:v>
      </x:c>
      <x:c r="G185" s="79" t="str">
        <x:v>6a3a00000000000000000003</x:v>
      </x:c>
      <x:c r="H185" s="79" t="str">
        <x:v>confectionery</x:v>
      </x:c>
      <x:c r="I185" s="79"/>
      <x:c r="J185" s="79" t="str">
        <x:v>EDIBLE</x:v>
      </x:c>
      <x:c r="K185" s="79" t="str">
        <x:v>بله</x:v>
      </x:c>
      <x:c r="L185" s="79" t="n">
        <x:v>1</x:v>
      </x:c>
      <x:c r="M185" s="79" t="n">
        <x:v>0</x:v>
      </x:c>
      <x:c r="N185" s="79" t="str">
        <x:v>OK</x:v>
      </x:c>
      <x:c r="O185" s="79"/>
      <x:c r="P185" s="79" t="str">
        <x:v>[{"name": "کیلو", "sku": "", "price": 330000, "stock": "", "weight": 1, "weightUnit": "kg", "containerSize": "کیلو", "isDefault": true}]</x:v>
      </x:c>
    </x:row>
    <x:row r="186">
      <x:c r="A186" s="79" t="str">
        <x:v>حلوا کشی</x:v>
      </x:c>
      <x:c r="B186" s="79" t="str">
        <x:v>halva_sticky</x:v>
      </x:c>
      <x:c r="C186" s="79" t="str">
        <x:v>update_grouped_product</x:v>
      </x:c>
      <x:c r="D186" s="79" t="str">
        <x:v>108</x:v>
      </x:c>
      <x:c r="E186" s="79" t="str">
        <x:v>حلوا کشی</x:v>
      </x:c>
      <x:c r="F186" s="79" t="str">
        <x:v>قنادی و شیرینی</x:v>
      </x:c>
      <x:c r="G186" s="79" t="str">
        <x:v>6a3a00000000000000000003</x:v>
      </x:c>
      <x:c r="H186" s="79" t="str">
        <x:v>confectionery</x:v>
      </x:c>
      <x:c r="I186" s="79"/>
      <x:c r="J186" s="79" t="str">
        <x:v>EDIBLE</x:v>
      </x:c>
      <x:c r="K186" s="79" t="str">
        <x:v>بله</x:v>
      </x:c>
      <x:c r="L186" s="79" t="n">
        <x:v>1</x:v>
      </x:c>
      <x:c r="M186" s="79" t="n">
        <x:v>0</x:v>
      </x:c>
      <x:c r="N186" s="79" t="str">
        <x:v>OK</x:v>
      </x:c>
      <x:c r="O186" s="79"/>
      <x:c r="P186" s="79" t="str">
        <x:v>[{"name": "کیلو", "sku": "", "price": 330000, "stock": "", "weight": 1, "weightUnit": "kg", "containerSize": "کیلو", "isDefault": true}]</x:v>
      </x:c>
    </x:row>
    <x:row r="187">
      <x:c r="A187" s="79" t="str">
        <x:v>سفیده تخم مرغ</x:v>
      </x:c>
      <x:c r="B187" s="79" t="str">
        <x:v>egg_white</x:v>
      </x:c>
      <x:c r="C187" s="79" t="str">
        <x:v>update_grouped_product</x:v>
      </x:c>
      <x:c r="D187" s="79" t="str">
        <x:v>209</x:v>
      </x:c>
      <x:c r="E187" s="79" t="str">
        <x:v>سفیده تخم مرغ</x:v>
      </x:c>
      <x:c r="F187" s="79" t="str">
        <x:v>قنادی و شیرینی</x:v>
      </x:c>
      <x:c r="G187" s="79" t="str">
        <x:v>6a3a00000000000000000003</x:v>
      </x:c>
      <x:c r="H187" s="79" t="str">
        <x:v>confectionery</x:v>
      </x:c>
      <x:c r="I187" s="79"/>
      <x:c r="J187" s="79" t="str">
        <x:v>EDIBLE</x:v>
      </x:c>
      <x:c r="K187" s="79" t="str">
        <x:v>بله</x:v>
      </x:c>
      <x:c r="L187" s="79" t="n">
        <x:v>1</x:v>
      </x:c>
      <x:c r="M187" s="79" t="n">
        <x:v>0</x:v>
      </x:c>
      <x:c r="N187" s="79" t="str">
        <x:v>OK</x:v>
      </x:c>
      <x:c r="O187" s="79" t="str">
        <x:v>دسته از «ادویه» به «قنادی و شیرینی» اصلاح شد</x:v>
      </x:c>
      <x:c r="P187" s="79" t="str">
        <x:v>[{"name": "کیلو", "sku": "", "price": 3000000, "stock": "", "weight": 1, "weightUnit": "kg", "containerSize": "کیلو", "isDefault": true}]</x:v>
      </x:c>
    </x:row>
    <x:row r="188">
      <x:c r="A188" s="79" t="str">
        <x:v>سمنو</x:v>
      </x:c>
      <x:c r="B188" s="79" t="str">
        <x:v>samanu</x:v>
      </x:c>
      <x:c r="C188" s="79" t="str">
        <x:v>update_grouped_product</x:v>
      </x:c>
      <x:c r="D188" s="79" t="str">
        <x:v>213</x:v>
      </x:c>
      <x:c r="E188" s="79" t="str">
        <x:v>سمنو</x:v>
      </x:c>
      <x:c r="F188" s="79" t="str">
        <x:v>قنادی و شیرینی</x:v>
      </x:c>
      <x:c r="G188" s="79" t="str">
        <x:v>6a3a00000000000000000003</x:v>
      </x:c>
      <x:c r="H188" s="79" t="str">
        <x:v>confectionery</x:v>
      </x:c>
      <x:c r="I188" s="79"/>
      <x:c r="J188" s="79" t="str">
        <x:v>EDIBLE</x:v>
      </x:c>
      <x:c r="K188" s="79" t="str">
        <x:v>بله</x:v>
      </x:c>
      <x:c r="L188" s="79" t="n">
        <x:v>1</x:v>
      </x:c>
      <x:c r="M188" s="79" t="n">
        <x:v>0</x:v>
      </x:c>
      <x:c r="N188" s="79" t="str">
        <x:v>OK</x:v>
      </x:c>
      <x:c r="O188" s="79" t="str">
        <x:v>دسته از «نیاز به بررسی» به «قنادی و شیرینی» اصلاح شد</x:v>
      </x:c>
      <x:c r="P188" s="79" t="str">
        <x:v>[{"name": "کیلو", "sku": "", "price": 180000, "stock": "", "weight": 1, "weightUnit": "kg", "containerSize": "کیلو", "isDefault": true}]</x:v>
      </x:c>
    </x:row>
    <x:row r="189">
      <x:c r="A189" s="79" t="str">
        <x:v>شکر سفید</x:v>
      </x:c>
      <x:c r="B189" s="79" t="str">
        <x:v>white_sugar</x:v>
      </x:c>
      <x:c r="C189" s="79" t="str">
        <x:v>update_grouped_product</x:v>
      </x:c>
      <x:c r="D189" s="79" t="str">
        <x:v>229</x:v>
      </x:c>
      <x:c r="E189" s="79" t="str">
        <x:v>شکر سفید</x:v>
      </x:c>
      <x:c r="F189" s="79" t="str">
        <x:v>قنادی و شیرینی</x:v>
      </x:c>
      <x:c r="G189" s="79" t="str">
        <x:v>6a3a00000000000000000003</x:v>
      </x:c>
      <x:c r="H189" s="79" t="str">
        <x:v>confectionery</x:v>
      </x:c>
      <x:c r="I189" s="79"/>
      <x:c r="J189" s="79" t="str">
        <x:v>EDIBLE</x:v>
      </x:c>
      <x:c r="K189" s="79" t="str">
        <x:v>بله</x:v>
      </x:c>
      <x:c r="L189" s="79" t="n">
        <x:v>1</x:v>
      </x:c>
      <x:c r="M189" s="79" t="n">
        <x:v>1</x:v>
      </x:c>
      <x:c r="N189" s="79" t="str">
        <x:v>MISSING_PRICE_REVIEW + 1 VARIANT_PRICE_MISSING</x:v>
      </x:c>
      <x:c r="O189" s="79" t="str">
        <x:v>یک یا چند قیمت نامشخص است</x:v>
      </x:c>
      <x:c r="P189" s="79" t="str">
        <x:v>[{"name": "کیلو", "sku": "", "price": null, "stock": "", "weight": 1, "weightUnit": "kg", "containerSize": "کیلو", "isDefault": true}]</x:v>
      </x:c>
    </x:row>
    <x:row r="190">
      <x:c r="A190" s="79" t="str">
        <x:v>شکر قهوه ای</x:v>
      </x:c>
      <x:c r="B190" s="79" t="str">
        <x:v>brown_sugar</x:v>
      </x:c>
      <x:c r="C190" s="79" t="str">
        <x:v>update_grouped_product</x:v>
      </x:c>
      <x:c r="D190" s="79" t="str">
        <x:v>230</x:v>
      </x:c>
      <x:c r="E190" s="79" t="str">
        <x:v>شکر قهوه ای</x:v>
      </x:c>
      <x:c r="F190" s="79" t="str">
        <x:v>قنادی و شیرینی</x:v>
      </x:c>
      <x:c r="G190" s="79" t="str">
        <x:v>6a3a00000000000000000003</x:v>
      </x:c>
      <x:c r="H190" s="79" t="str">
        <x:v>confectionery</x:v>
      </x:c>
      <x:c r="I190" s="79"/>
      <x:c r="J190" s="79" t="str">
        <x:v>EDIBLE</x:v>
      </x:c>
      <x:c r="K190" s="79" t="str">
        <x:v>بله</x:v>
      </x:c>
      <x:c r="L190" s="79" t="n">
        <x:v>1</x:v>
      </x:c>
      <x:c r="M190" s="79" t="n">
        <x:v>0</x:v>
      </x:c>
      <x:c r="N190" s="79" t="str">
        <x:v>OK</x:v>
      </x:c>
      <x:c r="O190" s="79"/>
      <x:c r="P190" s="79" t="str">
        <x:v>[{"name": "کیلو", "sku": "", "price": 190000, "stock": "", "weight": 1, "weightUnit": "kg", "containerSize": "کیلو", "isDefault": true}]</x:v>
      </x:c>
    </x:row>
    <x:row r="191">
      <x:c r="A191" s="79" t="str">
        <x:v>شکلات تخته ای وانیلی</x:v>
      </x:c>
      <x:c r="B191" s="79" t="str">
        <x:v>vanilla_bar_chocolate</x:v>
      </x:c>
      <x:c r="C191" s="79" t="str">
        <x:v>update_grouped_product</x:v>
      </x:c>
      <x:c r="D191" s="79" t="str">
        <x:v>231</x:v>
      </x:c>
      <x:c r="E191" s="79" t="str">
        <x:v>شکلات تخته ای وانیلی</x:v>
      </x:c>
      <x:c r="F191" s="79" t="str">
        <x:v>قنادی و شیرینی</x:v>
      </x:c>
      <x:c r="G191" s="79" t="str">
        <x:v>6a3a00000000000000000003</x:v>
      </x:c>
      <x:c r="H191" s="79" t="str">
        <x:v>confectionery</x:v>
      </x:c>
      <x:c r="I191" s="79"/>
      <x:c r="J191" s="79" t="str">
        <x:v>EDIBLE</x:v>
      </x:c>
      <x:c r="K191" s="79" t="str">
        <x:v>بله</x:v>
      </x:c>
      <x:c r="L191" s="79" t="n">
        <x:v>1</x:v>
      </x:c>
      <x:c r="M191" s="79" t="n">
        <x:v>0</x:v>
      </x:c>
      <x:c r="N191" s="79" t="str">
        <x:v>OK</x:v>
      </x:c>
      <x:c r="O191" s="79"/>
      <x:c r="P191" s="79" t="str">
        <x:v>[{"name": "کیلو", "sku": "", "price": 700000, "stock": "", "weight": 1, "weightUnit": "kg", "containerSize": "کیلو", "isDefault": true}]</x:v>
      </x:c>
    </x:row>
    <x:row r="192">
      <x:c r="A192" s="79" t="str">
        <x:v>شکلات نسوز کوکی</x:v>
      </x:c>
      <x:c r="B192" s="79" t="str">
        <x:v>bake_stable_cookie_chocolate</x:v>
      </x:c>
      <x:c r="C192" s="79" t="str">
        <x:v>update_grouped_product</x:v>
      </x:c>
      <x:c r="D192" s="79" t="str">
        <x:v>233</x:v>
      </x:c>
      <x:c r="E192" s="79" t="str">
        <x:v>شکلات نسوز کوکی</x:v>
      </x:c>
      <x:c r="F192" s="79" t="str">
        <x:v>قنادی و شیرینی</x:v>
      </x:c>
      <x:c r="G192" s="79" t="str">
        <x:v>6a3a00000000000000000003</x:v>
      </x:c>
      <x:c r="H192" s="79" t="str">
        <x:v>confectionery</x:v>
      </x:c>
      <x:c r="I192" s="79"/>
      <x:c r="J192" s="79" t="str">
        <x:v>EDIBLE</x:v>
      </x:c>
      <x:c r="K192" s="79" t="str">
        <x:v>بله</x:v>
      </x:c>
      <x:c r="L192" s="79" t="n">
        <x:v>1</x:v>
      </x:c>
      <x:c r="M192" s="79" t="n">
        <x:v>0</x:v>
      </x:c>
      <x:c r="N192" s="79" t="str">
        <x:v>OK</x:v>
      </x:c>
      <x:c r="O192" s="79"/>
      <x:c r="P192" s="79" t="str">
        <x:v>[{"name": "کیلو", "sku": "", "price": 890000, "stock": "", "weight": 1, "weightUnit": "kg", "containerSize": "کیلو", "isDefault": true}]</x:v>
      </x:c>
    </x:row>
    <x:row r="193">
      <x:c r="A193" s="79" t="str">
        <x:v>شکلات چیپسی تلخ</x:v>
      </x:c>
      <x:c r="B193" s="79" t="str">
        <x:v>dark_chocolate_chips</x:v>
      </x:c>
      <x:c r="C193" s="79" t="str">
        <x:v>update_grouped_product</x:v>
      </x:c>
      <x:c r="D193" s="79" t="str">
        <x:v>232</x:v>
      </x:c>
      <x:c r="E193" s="79" t="str">
        <x:v>شکلات چیپسی تلخ</x:v>
      </x:c>
      <x:c r="F193" s="79" t="str">
        <x:v>قنادی و شیرینی</x:v>
      </x:c>
      <x:c r="G193" s="79" t="str">
        <x:v>6a3a00000000000000000003</x:v>
      </x:c>
      <x:c r="H193" s="79" t="str">
        <x:v>confectionery</x:v>
      </x:c>
      <x:c r="I193" s="79"/>
      <x:c r="J193" s="79" t="str">
        <x:v>EDIBLE</x:v>
      </x:c>
      <x:c r="K193" s="79" t="str">
        <x:v>بله</x:v>
      </x:c>
      <x:c r="L193" s="79" t="n">
        <x:v>1</x:v>
      </x:c>
      <x:c r="M193" s="79" t="n">
        <x:v>0</x:v>
      </x:c>
      <x:c r="N193" s="79" t="str">
        <x:v>OK</x:v>
      </x:c>
      <x:c r="O193" s="79"/>
      <x:c r="P193" s="79" t="str">
        <x:v>[{"name": "کیلو", "sku": "", "price": 890000, "stock": "", "weight": 1, "weightUnit": "kg", "containerSize": "کیلو", "isDefault": true}]</x:v>
      </x:c>
    </x:row>
    <x:row r="194">
      <x:c r="A194" s="79" t="str">
        <x:v>شیرخشک قنادی</x:v>
      </x:c>
      <x:c r="B194" s="79" t="str">
        <x:v>confectionery_milk_powder</x:v>
      </x:c>
      <x:c r="C194" s="79" t="str">
        <x:v>update_grouped_product</x:v>
      </x:c>
      <x:c r="D194" s="79" t="str">
        <x:v>238</x:v>
      </x:c>
      <x:c r="E194" s="79" t="str">
        <x:v>شیرخشک قنادی</x:v>
      </x:c>
      <x:c r="F194" s="79" t="str">
        <x:v>قنادی و شیرینی</x:v>
      </x:c>
      <x:c r="G194" s="79" t="str">
        <x:v>6a3a00000000000000000003</x:v>
      </x:c>
      <x:c r="H194" s="79" t="str">
        <x:v>confectionery</x:v>
      </x:c>
      <x:c r="I194" s="79"/>
      <x:c r="J194" s="79" t="str">
        <x:v>EDIBLE</x:v>
      </x:c>
      <x:c r="K194" s="79" t="str">
        <x:v>بله</x:v>
      </x:c>
      <x:c r="L194" s="79" t="n">
        <x:v>1</x:v>
      </x:c>
      <x:c r="M194" s="79" t="n">
        <x:v>0</x:v>
      </x:c>
      <x:c r="N194" s="79" t="str">
        <x:v>OK</x:v>
      </x:c>
      <x:c r="O194" s="79" t="str">
        <x:v>دسته از «نیاز به بررسی» به «قنادی و شیرینی» اصلاح شد</x:v>
      </x:c>
      <x:c r="P194" s="79" t="str">
        <x:v>[{"name": "کیلو", "sku": "", "price": 980000, "stock": "", "weight": 1, "weightUnit": "kg", "containerSize": "کیلو", "isDefault": true}]</x:v>
      </x:c>
    </x:row>
    <x:row r="195">
      <x:c r="A195" s="79" t="str">
        <x:v>شیره خرما</x:v>
      </x:c>
      <x:c r="B195" s="79" t="str">
        <x:v>date_syrup</x:v>
      </x:c>
      <x:c r="C195" s="79" t="str">
        <x:v>update_grouped_product</x:v>
      </x:c>
      <x:c r="D195" s="79" t="str">
        <x:v>244</x:v>
      </x:c>
      <x:c r="E195" s="79" t="str">
        <x:v>شیره خرما</x:v>
      </x:c>
      <x:c r="F195" s="79" t="str">
        <x:v>قنادی و شیرینی</x:v>
      </x:c>
      <x:c r="G195" s="79" t="str">
        <x:v>6a3a00000000000000000003</x:v>
      </x:c>
      <x:c r="H195" s="79" t="str">
        <x:v>confectionery</x:v>
      </x:c>
      <x:c r="I195" s="79"/>
      <x:c r="J195" s="79" t="str">
        <x:v>EDIBLE</x:v>
      </x:c>
      <x:c r="K195" s="79" t="str">
        <x:v>بله</x:v>
      </x:c>
      <x:c r="L195" s="79" t="n">
        <x:v>1</x:v>
      </x:c>
      <x:c r="M195" s="79" t="n">
        <x:v>0</x:v>
      </x:c>
      <x:c r="N195" s="79" t="str">
        <x:v>OK</x:v>
      </x:c>
      <x:c r="O195" s="79"/>
      <x:c r="P195" s="79" t="str">
        <x:v>[{"name": "500 گرمی", "sku": "", "price": 220000, "stock": "", "weight": 500, "weightUnit": "g", "containerSize": "500 گرم", "isDefault": true}]</x:v>
      </x:c>
    </x:row>
    <x:row r="196">
      <x:c r="A196" s="79" t="str">
        <x:v>عسل بهار نارنج</x:v>
      </x:c>
      <x:c r="B196" s="79" t="str">
        <x:v>orange_blossom_honey_bdvn_mvm</x:v>
      </x:c>
      <x:c r="C196" s="79" t="str">
        <x:v>update_grouped_product</x:v>
      </x:c>
      <x:c r="D196" s="79" t="str">
        <x:v>309</x:v>
      </x:c>
      <x:c r="E196" s="79" t="str">
        <x:v>عسل بهار نارنج</x:v>
      </x:c>
      <x:c r="F196" s="79" t="str">
        <x:v>قنادی و شیرینی</x:v>
      </x:c>
      <x:c r="G196" s="79" t="str">
        <x:v>6a3a00000000000000000003</x:v>
      </x:c>
      <x:c r="H196" s="79" t="str">
        <x:v>confectionery</x:v>
      </x:c>
      <x:c r="I196" s="79"/>
      <x:c r="J196" s="79" t="str">
        <x:v>EDIBLE</x:v>
      </x:c>
      <x:c r="K196" s="79" t="str">
        <x:v>بله</x:v>
      </x:c>
      <x:c r="L196" s="79" t="n">
        <x:v>2</x:v>
      </x:c>
      <x:c r="M196" s="79" t="n">
        <x:v>0</x:v>
      </x:c>
      <x:c r="N196" s="79" t="str">
        <x:v>OK</x:v>
      </x:c>
      <x:c r="O196" s="79"/>
      <x:c r="P196" s="79" t="str">
        <x:v>[{"name": "بدون موم", "sku": "", "price": 1200000, "stock": "", "weight": "", "weightUnit": "", "containerSize": "بدون موم", "isDefault": true}, {"name": "با موم", "sku": "", "price": 1300000, "stock": "", "weight": "", "weightUnit": "", "containerSize": "با موم", "isDefault": false}]</x:v>
      </x:c>
    </x:row>
    <x:row r="197">
      <x:c r="A197" s="79" t="str">
        <x:v>عسل جنگلی</x:v>
      </x:c>
      <x:c r="B197" s="79" t="str">
        <x:v>forest_honey</x:v>
      </x:c>
      <x:c r="C197" s="79" t="str">
        <x:v>update_grouped_product</x:v>
      </x:c>
      <x:c r="D197" s="79" t="str">
        <x:v>310</x:v>
      </x:c>
      <x:c r="E197" s="79" t="str">
        <x:v>عسل جنگلی</x:v>
      </x:c>
      <x:c r="F197" s="79" t="str">
        <x:v>قنادی و شیرینی</x:v>
      </x:c>
      <x:c r="G197" s="79" t="str">
        <x:v>6a3a00000000000000000003</x:v>
      </x:c>
      <x:c r="H197" s="79" t="str">
        <x:v>confectionery</x:v>
      </x:c>
      <x:c r="I197" s="79"/>
      <x:c r="J197" s="79" t="str">
        <x:v>EDIBLE</x:v>
      </x:c>
      <x:c r="K197" s="79" t="str">
        <x:v>بله</x:v>
      </x:c>
      <x:c r="L197" s="79" t="n">
        <x:v>1</x:v>
      </x:c>
      <x:c r="M197" s="79" t="n">
        <x:v>1</x:v>
      </x:c>
      <x:c r="N197" s="79" t="str">
        <x:v>MISSING_PRICE_REVIEW + 1 VARIANT_PRICE_MISSING</x:v>
      </x:c>
      <x:c r="O197" s="79" t="str">
        <x:v>یک یا چند قیمت نامشخص است</x:v>
      </x:c>
      <x:c r="P197" s="79" t="str">
        <x:v>[{"name": "کیلو", "sku": "", "price": null, "stock": "", "weight": 1, "weightUnit": "kg", "containerSize": "کیلو", "isDefault": true}]</x:v>
      </x:c>
    </x:row>
    <x:row r="198">
      <x:c r="A198" s="79" t="str">
        <x:v>عسل سیاهدانه</x:v>
      </x:c>
      <x:c r="B198" s="79" t="str">
        <x:v>black_seed_honey</x:v>
      </x:c>
      <x:c r="C198" s="79" t="str">
        <x:v>update_grouped_product</x:v>
      </x:c>
      <x:c r="D198" s="79" t="str">
        <x:v>312</x:v>
      </x:c>
      <x:c r="E198" s="79" t="str">
        <x:v>عسل سیاهدانه</x:v>
      </x:c>
      <x:c r="F198" s="79" t="str">
        <x:v>قنادی و شیرینی</x:v>
      </x:c>
      <x:c r="G198" s="79" t="str">
        <x:v>6a3a00000000000000000003</x:v>
      </x:c>
      <x:c r="H198" s="79" t="str">
        <x:v>confectionery</x:v>
      </x:c>
      <x:c r="I198" s="79"/>
      <x:c r="J198" s="79" t="str">
        <x:v>EDIBLE</x:v>
      </x:c>
      <x:c r="K198" s="79" t="str">
        <x:v>بله</x:v>
      </x:c>
      <x:c r="L198" s="79" t="n">
        <x:v>1</x:v>
      </x:c>
      <x:c r="M198" s="79" t="n">
        <x:v>1</x:v>
      </x:c>
      <x:c r="N198" s="79" t="str">
        <x:v>MISSING_PRICE_REVIEW + 1 VARIANT_PRICE_MISSING</x:v>
      </x:c>
      <x:c r="O198" s="79" t="str">
        <x:v>یک یا چند قیمت نامشخص است</x:v>
      </x:c>
      <x:c r="P198" s="79" t="str">
        <x:v>[{"name": "کیلو", "sku": "", "price": null, "stock": "", "weight": 1, "weightUnit": "kg", "containerSize": "کیلو", "isDefault": true}]</x:v>
      </x:c>
    </x:row>
    <x:row r="199">
      <x:c r="A199" s="79" t="str">
        <x:v>عسل چند گیاه</x:v>
      </x:c>
      <x:c r="B199" s="79" t="str">
        <x:v>multi_flower_honey</x:v>
      </x:c>
      <x:c r="C199" s="79" t="str">
        <x:v>update_grouped_product</x:v>
      </x:c>
      <x:c r="D199" s="79" t="str">
        <x:v>311</x:v>
      </x:c>
      <x:c r="E199" s="79" t="str">
        <x:v>عسل چند گیاه</x:v>
      </x:c>
      <x:c r="F199" s="79" t="str">
        <x:v>قنادی و شیرینی</x:v>
      </x:c>
      <x:c r="G199" s="79" t="str">
        <x:v>6a3a00000000000000000003</x:v>
      </x:c>
      <x:c r="H199" s="79" t="str">
        <x:v>confectionery</x:v>
      </x:c>
      <x:c r="I199" s="79"/>
      <x:c r="J199" s="79" t="str">
        <x:v>EDIBLE</x:v>
      </x:c>
      <x:c r="K199" s="79" t="str">
        <x:v>بله</x:v>
      </x:c>
      <x:c r="L199" s="79" t="n">
        <x:v>1</x:v>
      </x:c>
      <x:c r="M199" s="79" t="n">
        <x:v>1</x:v>
      </x:c>
      <x:c r="N199" s="79" t="str">
        <x:v>MISSING_PRICE_REVIEW + 1 VARIANT_PRICE_MISSING</x:v>
      </x:c>
      <x:c r="O199" s="79" t="str">
        <x:v>یک یا چند قیمت نامشخص است</x:v>
      </x:c>
      <x:c r="P199" s="79" t="str">
        <x:v>[{"name": "کیلو", "sku": "", "price": null, "stock": "", "weight": 1, "weightUnit": "kg", "containerSize": "کیلو", "isDefault": true}]</x:v>
      </x:c>
    </x:row>
    <x:row r="200">
      <x:c r="A200" s="79" t="str">
        <x:v>عسل کنار</x:v>
      </x:c>
      <x:c r="B200" s="79" t="str">
        <x:v>sidr_honey</x:v>
      </x:c>
      <x:c r="C200" s="79" t="str">
        <x:v>update_grouped_product</x:v>
      </x:c>
      <x:c r="D200" s="79" t="str">
        <x:v>313</x:v>
      </x:c>
      <x:c r="E200" s="79" t="str">
        <x:v>عسل کنار</x:v>
      </x:c>
      <x:c r="F200" s="79" t="str">
        <x:v>قنادی و شیرینی</x:v>
      </x:c>
      <x:c r="G200" s="79" t="str">
        <x:v>6a3a00000000000000000003</x:v>
      </x:c>
      <x:c r="H200" s="79" t="str">
        <x:v>confectionery</x:v>
      </x:c>
      <x:c r="I200" s="79"/>
      <x:c r="J200" s="79" t="str">
        <x:v>EDIBLE</x:v>
      </x:c>
      <x:c r="K200" s="79" t="str">
        <x:v>بله</x:v>
      </x:c>
      <x:c r="L200" s="79" t="n">
        <x:v>1</x:v>
      </x:c>
      <x:c r="M200" s="79" t="n">
        <x:v>0</x:v>
      </x:c>
      <x:c r="N200" s="79" t="str">
        <x:v>OK</x:v>
      </x:c>
      <x:c r="O200" s="79"/>
      <x:c r="P200" s="79" t="str">
        <x:v>[{"name": "کیلو", "sku": "", "price": 700000, "stock": "", "weight": 1, "weightUnit": "kg", "containerSize": "کیلو", "isDefault": true}]</x:v>
      </x:c>
    </x:row>
    <x:row r="201">
      <x:c r="A201" s="79" t="str">
        <x:v>عسل یونجه</x:v>
      </x:c>
      <x:c r="B201" s="79" t="str">
        <x:v>alfalfa_honey</x:v>
      </x:c>
      <x:c r="C201" s="79" t="str">
        <x:v>update_grouped_product</x:v>
      </x:c>
      <x:c r="D201" s="79" t="str">
        <x:v>314</x:v>
      </x:c>
      <x:c r="E201" s="79" t="str">
        <x:v>عسل یونجه</x:v>
      </x:c>
      <x:c r="F201" s="79" t="str">
        <x:v>قنادی و شیرینی</x:v>
      </x:c>
      <x:c r="G201" s="79" t="str">
        <x:v>6a3a00000000000000000003</x:v>
      </x:c>
      <x:c r="H201" s="79" t="str">
        <x:v>confectionery</x:v>
      </x:c>
      <x:c r="I201" s="79"/>
      <x:c r="J201" s="79" t="str">
        <x:v>EDIBLE</x:v>
      </x:c>
      <x:c r="K201" s="79" t="str">
        <x:v>بله</x:v>
      </x:c>
      <x:c r="L201" s="79" t="n">
        <x:v>1</x:v>
      </x:c>
      <x:c r="M201" s="79" t="n">
        <x:v>1</x:v>
      </x:c>
      <x:c r="N201" s="79" t="str">
        <x:v>MISSING_PRICE_REVIEW + 1 VARIANT_PRICE_MISSING</x:v>
      </x:c>
      <x:c r="O201" s="79" t="str">
        <x:v>یک یا چند قیمت نامشخص است</x:v>
      </x:c>
      <x:c r="P201" s="79" t="str">
        <x:v>[{"name": "کیلو", "sku": "", "price": null, "stock": "", "weight": 1, "weightUnit": "kg", "containerSize": "کیلو", "isDefault": true}]</x:v>
      </x:c>
    </x:row>
    <x:row r="202">
      <x:c r="A202" s="79" t="str">
        <x:v>قره قروت</x:v>
      </x:c>
      <x:c r="B202" s="79" t="str">
        <x:v>qarehqurut</x:v>
      </x:c>
      <x:c r="C202" s="79" t="str">
        <x:v>update_grouped_product</x:v>
      </x:c>
      <x:c r="D202" s="79" t="str">
        <x:v>325</x:v>
      </x:c>
      <x:c r="E202" s="79" t="str">
        <x:v>قره قروت</x:v>
      </x:c>
      <x:c r="F202" s="79" t="str">
        <x:v>قنادی و شیرینی</x:v>
      </x:c>
      <x:c r="G202" s="79" t="str">
        <x:v>6a3a00000000000000000003</x:v>
      </x:c>
      <x:c r="H202" s="79" t="str">
        <x:v>confectionery</x:v>
      </x:c>
      <x:c r="I202" s="79"/>
      <x:c r="J202" s="79" t="str">
        <x:v>EDIBLE</x:v>
      </x:c>
      <x:c r="K202" s="79" t="str">
        <x:v>بله</x:v>
      </x:c>
      <x:c r="L202" s="79" t="n">
        <x:v>1</x:v>
      </x:c>
      <x:c r="M202" s="79" t="n">
        <x:v>0</x:v>
      </x:c>
      <x:c r="N202" s="79" t="str">
        <x:v>OK</x:v>
      </x:c>
      <x:c r="O202" s="79" t="str">
        <x:v>دسته از «نیاز به بررسی» به «قنادی و شیرینی» اصلاح شد</x:v>
      </x:c>
      <x:c r="P202" s="79" t="str">
        <x:v>[{"name": "کیلو", "sku": "", "price": 250000, "stock": "", "weight": 1, "weightUnit": "kg", "containerSize": "کیلو", "isDefault": true}]</x:v>
      </x:c>
    </x:row>
    <x:row r="203">
      <x:c r="A203" s="79" t="str">
        <x:v>نوتلا ناب سرا</x:v>
      </x:c>
      <x:c r="B203" s="79" t="str">
        <x:v>nabsara_nutella</x:v>
      </x:c>
      <x:c r="C203" s="79" t="str">
        <x:v>update_grouped_product</x:v>
      </x:c>
      <x:c r="D203" s="79" t="str">
        <x:v>384, 385</x:v>
      </x:c>
      <x:c r="E203" s="79" t="str">
        <x:v>نوتلا | نوتلا ناب سرا</x:v>
      </x:c>
      <x:c r="F203" s="79" t="str">
        <x:v>قنادی و شیرینی</x:v>
      </x:c>
      <x:c r="G203" s="79" t="str">
        <x:v>6a3a00000000000000000003</x:v>
      </x:c>
      <x:c r="H203" s="79" t="str">
        <x:v>confectionery</x:v>
      </x:c>
      <x:c r="I203" s="79"/>
      <x:c r="J203" s="79" t="str">
        <x:v>EDIBLE</x:v>
      </x:c>
      <x:c r="K203" s="79" t="str">
        <x:v>بله</x:v>
      </x:c>
      <x:c r="L203" s="79" t="n">
        <x:v>3</x:v>
      </x:c>
      <x:c r="M203" s="79" t="n">
        <x:v>1</x:v>
      </x:c>
      <x:c r="N203" s="79" t="str">
        <x:v>MERGED + MISSING_PRICE_REVIEW + 1 VARIANT_PRICE_MISSING</x:v>
      </x:c>
      <x:c r="O203" s="79" t="str">
        <x:v>2 ردیف مشابه با هم یکی شد | یک یا چند قیمت نامشخص است</x:v>
      </x:c>
      <x:c r="P203" s="79" t="str">
        <x:v>[{"name": "کیلو", "sku": "", "price": null, "stock": "", "weight": 1, "weightUnit": "kg", "containerSize": "کیلو", "isDefault": true}, {"name": "کیلویی", "sku": "", "price": 1500000, "stock": "", "weight": 1, "weightUnit": "kg", "containerSize": "کیلویی", "isDefault": false}, {"name": "بسته بندی", "sku": "", "price": 260000, "stock": "", "weight": "", "weightUnit": "", "containerSize": "بسته بندی", "isDefault": false}]</x:v>
      </x:c>
    </x:row>
    <x:row r="204">
      <x:c r="A204" s="79" t="str">
        <x:v>وانیل خرسی شکری</x:v>
      </x:c>
      <x:c r="B204" s="79" t="str">
        <x:v>sugary_bear_vanilla</x:v>
      </x:c>
      <x:c r="C204" s="79" t="str">
        <x:v>update_grouped_product</x:v>
      </x:c>
      <x:c r="D204" s="79" t="str">
        <x:v>391</x:v>
      </x:c>
      <x:c r="E204" s="79" t="str">
        <x:v>وانیل خرسی شکری</x:v>
      </x:c>
      <x:c r="F204" s="79" t="str">
        <x:v>قنادی و شیرینی</x:v>
      </x:c>
      <x:c r="G204" s="79" t="str">
        <x:v>6a3a00000000000000000003</x:v>
      </x:c>
      <x:c r="H204" s="79" t="str">
        <x:v>confectionery</x:v>
      </x:c>
      <x:c r="I204" s="79"/>
      <x:c r="J204" s="79" t="str">
        <x:v>EDIBLE</x:v>
      </x:c>
      <x:c r="K204" s="79" t="str">
        <x:v>بله</x:v>
      </x:c>
      <x:c r="L204" s="79" t="n">
        <x:v>1</x:v>
      </x:c>
      <x:c r="M204" s="79" t="n">
        <x:v>0</x:v>
      </x:c>
      <x:c r="N204" s="79" t="str">
        <x:v>OK</x:v>
      </x:c>
      <x:c r="O204" s="79"/>
      <x:c r="P204" s="79" t="str">
        <x:v>[{"name": "کیلو", "sku": "", "price": 800000, "stock": "", "weight": 1, "weightUnit": "kg", "containerSize": "کیلو", "isDefault": true}]</x:v>
      </x:c>
    </x:row>
    <x:row r="205">
      <x:c r="A205" s="79" t="str">
        <x:v>پودر کشک گوسفندی</x:v>
      </x:c>
      <x:c r="B205" s="79" t="str">
        <x:v>sheep_kashk_powder</x:v>
      </x:c>
      <x:c r="C205" s="79" t="str">
        <x:v>update_grouped_product</x:v>
      </x:c>
      <x:c r="D205" s="79" t="str">
        <x:v>66</x:v>
      </x:c>
      <x:c r="E205" s="79" t="str">
        <x:v>پودر کشک گوسفندی</x:v>
      </x:c>
      <x:c r="F205" s="79" t="str">
        <x:v>قنادی و شیرینی</x:v>
      </x:c>
      <x:c r="G205" s="79" t="str">
        <x:v>6a3a00000000000000000003</x:v>
      </x:c>
      <x:c r="H205" s="79" t="str">
        <x:v>confectionery</x:v>
      </x:c>
      <x:c r="I205" s="79"/>
      <x:c r="J205" s="79" t="str">
        <x:v>EDIBLE</x:v>
      </x:c>
      <x:c r="K205" s="79" t="str">
        <x:v>بله</x:v>
      </x:c>
      <x:c r="L205" s="79" t="n">
        <x:v>1</x:v>
      </x:c>
      <x:c r="M205" s="79" t="n">
        <x:v>0</x:v>
      </x:c>
      <x:c r="N205" s="79" t="str">
        <x:v>OK</x:v>
      </x:c>
      <x:c r="O205" s="79" t="str">
        <x:v>دسته از «نیاز به بررسی» به «قنادی و شیرینی» اصلاح شد</x:v>
      </x:c>
      <x:c r="P205" s="79" t="str">
        <x:v>[{"name": "کیلو", "sku": "", "price": 1100000, "stock": "", "weight": 1, "weightUnit": "kg", "containerSize": "کیلو", "isDefault": true}]</x:v>
      </x:c>
    </x:row>
    <x:row r="206">
      <x:c r="A206" s="79" t="str">
        <x:v>کاکائو</x:v>
      </x:c>
      <x:c r="B206" s="79" t="str">
        <x:v>kakayv</x:v>
      </x:c>
      <x:c r="C206" s="79" t="str">
        <x:v>update_grouped_product</x:v>
      </x:c>
      <x:c r="D206" s="79" t="str">
        <x:v>329</x:v>
      </x:c>
      <x:c r="E206" s="79" t="str">
        <x:v>کاکائو</x:v>
      </x:c>
      <x:c r="F206" s="79" t="str">
        <x:v>قنادی و شیرینی</x:v>
      </x:c>
      <x:c r="G206" s="79" t="str">
        <x:v>6a3a00000000000000000003</x:v>
      </x:c>
      <x:c r="H206" s="79" t="str">
        <x:v>confectionery</x:v>
      </x:c>
      <x:c r="I206" s="79"/>
      <x:c r="J206" s="79" t="str">
        <x:v>EDIBLE</x:v>
      </x:c>
      <x:c r="K206" s="79" t="str">
        <x:v>بله</x:v>
      </x:c>
      <x:c r="L206" s="79" t="n">
        <x:v>1</x:v>
      </x:c>
      <x:c r="M206" s="79" t="n">
        <x:v>0</x:v>
      </x:c>
      <x:c r="N206" s="79" t="str">
        <x:v>OK</x:v>
      </x:c>
      <x:c r="O206" s="79"/>
      <x:c r="P206" s="79" t="str">
        <x:v>[{"name": "کیلو", "sku": "", "price": 3000000, "stock": "", "weight": 1, "weightUnit": "kg", "containerSize": "کیلو", "isDefault": true}]</x:v>
      </x:c>
    </x:row>
    <x:row r="207">
      <x:c r="A207" s="79" t="str">
        <x:v>کرم ارده</x:v>
      </x:c>
      <x:c r="B207" s="79" t="str">
        <x:v>tahini_cream</x:v>
      </x:c>
      <x:c r="C207" s="79" t="str">
        <x:v>update_grouped_product</x:v>
      </x:c>
      <x:c r="D207" s="79" t="str">
        <x:v>331</x:v>
      </x:c>
      <x:c r="E207" s="79" t="str">
        <x:v>کرم ارده</x:v>
      </x:c>
      <x:c r="F207" s="79" t="str">
        <x:v>قنادی و شیرینی</x:v>
      </x:c>
      <x:c r="G207" s="79" t="str">
        <x:v>6a3a00000000000000000003</x:v>
      </x:c>
      <x:c r="H207" s="79" t="str">
        <x:v>confectionery</x:v>
      </x:c>
      <x:c r="I207" s="79"/>
      <x:c r="J207" s="79" t="str">
        <x:v>EDIBLE</x:v>
      </x:c>
      <x:c r="K207" s="79" t="str">
        <x:v>بله</x:v>
      </x:c>
      <x:c r="L207" s="79" t="n">
        <x:v>1</x:v>
      </x:c>
      <x:c r="M207" s="79" t="n">
        <x:v>0</x:v>
      </x:c>
      <x:c r="N207" s="79" t="str">
        <x:v>OK</x:v>
      </x:c>
      <x:c r="O207" s="79"/>
      <x:c r="P207" s="79" t="str">
        <x:v>[{"name": "کیلو", "sku": "", "price": 900000, "stock": "", "weight": 1, "weightUnit": "kg", "containerSize": "کیلو", "isDefault": true}]</x:v>
      </x:c>
    </x:row>
    <x:row r="208">
      <x:c r="A208" s="79" t="str">
        <x:v>کلوچه زنجبیلی با شکر قهوه ای</x:v>
      </x:c>
      <x:c r="B208" s="79" t="str">
        <x:v>ginger_cookie_with_brown_sugar</x:v>
      </x:c>
      <x:c r="C208" s="79" t="str">
        <x:v>update_grouped_product</x:v>
      </x:c>
      <x:c r="D208" s="79" t="str">
        <x:v>345</x:v>
      </x:c>
      <x:c r="E208" s="79" t="str">
        <x:v>کلوچه زنجبیلی با شکر قهوه ای</x:v>
      </x:c>
      <x:c r="F208" s="79" t="str">
        <x:v>قنادی و شیرینی</x:v>
      </x:c>
      <x:c r="G208" s="79" t="str">
        <x:v>6a3a00000000000000000003</x:v>
      </x:c>
      <x:c r="H208" s="79" t="str">
        <x:v>confectionery</x:v>
      </x:c>
      <x:c r="I208" s="79"/>
      <x:c r="J208" s="79" t="str">
        <x:v>EDIBLE</x:v>
      </x:c>
      <x:c r="K208" s="79" t="str">
        <x:v>بله</x:v>
      </x:c>
      <x:c r="L208" s="79" t="n">
        <x:v>1</x:v>
      </x:c>
      <x:c r="M208" s="79" t="n">
        <x:v>0</x:v>
      </x:c>
      <x:c r="N208" s="79" t="str">
        <x:v>OK</x:v>
      </x:c>
      <x:c r="O208" s="79"/>
      <x:c r="P208" s="79" t="str">
        <x:v>[{"name": "کیلو", "sku": "", "price": 350000, "stock": "", "weight": 1, "weightUnit": "kg", "containerSize": "کیلو", "isDefault": true}]</x:v>
      </x:c>
    </x:row>
    <x:row r="209">
      <x:c r="A209" s="79" t="str">
        <x:v>کلوچه زنجبیلی با مغز خرما</x:v>
      </x:c>
      <x:c r="B209" s="79" t="str">
        <x:v>ginger_cookie_with_date_filling</x:v>
      </x:c>
      <x:c r="C209" s="79" t="str">
        <x:v>update_grouped_product</x:v>
      </x:c>
      <x:c r="D209" s="79" t="str">
        <x:v>346</x:v>
      </x:c>
      <x:c r="E209" s="79" t="str">
        <x:v>کلوچه زنجبیلی با مغز خرما</x:v>
      </x:c>
      <x:c r="F209" s="79" t="str">
        <x:v>قنادی و شیرینی</x:v>
      </x:c>
      <x:c r="G209" s="79" t="str">
        <x:v>6a3a00000000000000000003</x:v>
      </x:c>
      <x:c r="H209" s="79" t="str">
        <x:v>confectionery</x:v>
      </x:c>
      <x:c r="I209" s="79"/>
      <x:c r="J209" s="79" t="str">
        <x:v>EDIBLE</x:v>
      </x:c>
      <x:c r="K209" s="79" t="str">
        <x:v>بله</x:v>
      </x:c>
      <x:c r="L209" s="79" t="n">
        <x:v>1</x:v>
      </x:c>
      <x:c r="M209" s="79" t="n">
        <x:v>0</x:v>
      </x:c>
      <x:c r="N209" s="79" t="str">
        <x:v>OK</x:v>
      </x:c>
      <x:c r="O209" s="79"/>
      <x:c r="P209" s="79" t="str">
        <x:v>[{"name": "کیلو", "sku": "", "price": 500000, "stock": "", "weight": 1, "weightUnit": "kg", "containerSize": "کیلو", "isDefault": true}]</x:v>
      </x:c>
    </x:row>
    <x:row r="210">
      <x:c r="A210" s="79" t="str">
        <x:v>کلوچه کلمپه</x:v>
      </x:c>
      <x:c r="B210" s="79" t="str">
        <x:v>cookie_kolompeh</x:v>
      </x:c>
      <x:c r="C210" s="79" t="str">
        <x:v>update_grouped_product</x:v>
      </x:c>
      <x:c r="D210" s="79" t="str">
        <x:v>347</x:v>
      </x:c>
      <x:c r="E210" s="79" t="str">
        <x:v>کلوچه کلمپه</x:v>
      </x:c>
      <x:c r="F210" s="79" t="str">
        <x:v>قنادی و شیرینی</x:v>
      </x:c>
      <x:c r="G210" s="79" t="str">
        <x:v>6a3a00000000000000000003</x:v>
      </x:c>
      <x:c r="H210" s="79" t="str">
        <x:v>confectionery</x:v>
      </x:c>
      <x:c r="I210" s="79"/>
      <x:c r="J210" s="79" t="str">
        <x:v>EDIBLE</x:v>
      </x:c>
      <x:c r="K210" s="79" t="str">
        <x:v>بله</x:v>
      </x:c>
      <x:c r="L210" s="79" t="n">
        <x:v>1</x:v>
      </x:c>
      <x:c r="M210" s="79" t="n">
        <x:v>0</x:v>
      </x:c>
      <x:c r="N210" s="79" t="str">
        <x:v>OK</x:v>
      </x:c>
      <x:c r="O210" s="79" t="str">
        <x:v>دسته از «نیاز به بررسی» به «قنادی و شیرینی» اصلاح شد</x:v>
      </x:c>
      <x:c r="P210" s="79" t="str">
        <x:v>[{"name": "عددی", "sku": "", "price": 25000, "stock": "", "weight": "", "weightUnit": "", "containerSize": "عددی", "isDefault": true}]</x:v>
      </x:c>
    </x:row>
    <x:row r="211">
      <x:c r="A211" s="79" t="str">
        <x:v>آب زرشک</x:v>
      </x:c>
      <x:c r="B211" s="79" t="str">
        <x:v>barberry_juice</x:v>
      </x:c>
      <x:c r="C211" s="79" t="str">
        <x:v>update_grouped_product</x:v>
      </x:c>
      <x:c r="D211" s="79" t="str">
        <x:v>35</x:v>
      </x:c>
      <x:c r="E211" s="79" t="str">
        <x:v>آب زرشک</x:v>
      </x:c>
      <x:c r="F211" s="79" t="str">
        <x:v>نوشیدنی‌ها</x:v>
      </x:c>
      <x:c r="G211" s="79" t="str">
        <x:v>6a3782ffdf5573f4e676e24b</x:v>
      </x:c>
      <x:c r="H211" s="79" t="str">
        <x:v>syrup</x:v>
      </x:c>
      <x:c r="I211" s="79" t="str">
        <x:v>6a3782d7df5573f4e676e243</x:v>
      </x:c>
      <x:c r="J211" s="79" t="str">
        <x:v>EDIBLE</x:v>
      </x:c>
      <x:c r="K211" s="79" t="str">
        <x:v>بله</x:v>
      </x:c>
      <x:c r="L211" s="79" t="n">
        <x:v>1</x:v>
      </x:c>
      <x:c r="M211" s="79" t="n">
        <x:v>1</x:v>
      </x:c>
      <x:c r="N211" s="79" t="str">
        <x:v>MISSING_PRICE_REVIEW + 1 VARIANT_PRICE_MISSING</x:v>
      </x:c>
      <x:c r="O211" s="79" t="str">
        <x:v>یک یا چند قیمت نامشخص است</x:v>
      </x:c>
      <x:c r="P211" s="79" t="str">
        <x:v>[{"name": "کیلو", "sku": "", "price": null, "stock": "", "weight": 1, "weightUnit": "kg", "containerSize": "کیلو", "isDefault": true}]</x:v>
      </x:c>
    </x:row>
    <x:row r="212">
      <x:c r="A212" s="79" t="str">
        <x:v>آبغوره</x:v>
      </x:c>
      <x:c r="B212" s="79" t="str">
        <x:v>sour_grape_juice_half_liter</x:v>
      </x:c>
      <x:c r="C212" s="79" t="str">
        <x:v>update_grouped_product</x:v>
      </x:c>
      <x:c r="D212" s="79" t="str">
        <x:v>36</x:v>
      </x:c>
      <x:c r="E212" s="79" t="str">
        <x:v>آبغوره</x:v>
      </x:c>
      <x:c r="F212" s="79" t="str">
        <x:v>نوشیدنی‌ها</x:v>
      </x:c>
      <x:c r="G212" s="79" t="str">
        <x:v>6a3782ffdf5573f4e676e24b</x:v>
      </x:c>
      <x:c r="H212" s="79" t="str">
        <x:v>syrup</x:v>
      </x:c>
      <x:c r="I212" s="79" t="str">
        <x:v>6a3782d7df5573f4e676e243</x:v>
      </x:c>
      <x:c r="J212" s="79" t="str">
        <x:v>EDIBLE</x:v>
      </x:c>
      <x:c r="K212" s="79" t="str">
        <x:v>بله</x:v>
      </x:c>
      <x:c r="L212" s="79" t="n">
        <x:v>2</x:v>
      </x:c>
      <x:c r="M212" s="79" t="n">
        <x:v>0</x:v>
      </x:c>
      <x:c r="N212" s="79" t="str">
        <x:v>OK</x:v>
      </x:c>
      <x:c r="O212" s="79"/>
      <x:c r="P212" s="79" t="str">
        <x:v>[{"name": "نیم لیتر", "sku": "", "price": 110000, "stock": "", "weight": 500, "weightUnit": "ml", "containerSize": "نیم لیتر", "isDefault": true}, {"name": "1 لیتر", "sku": "", "price": 210000, "stock": "", "weight": 1000, "weightUnit": "ml", "containerSize": "1 لیتر", "isDefault": false}]</x:v>
      </x:c>
    </x:row>
    <x:row r="213">
      <x:c r="A213" s="79" t="str">
        <x:v>انبه پودر</x:v>
      </x:c>
      <x:c r="B213" s="79" t="str">
        <x:v>mango_powder</x:v>
      </x:c>
      <x:c r="C213" s="79" t="str">
        <x:v>update_grouped_product</x:v>
      </x:c>
      <x:c r="D213" s="79" t="str">
        <x:v>33</x:v>
      </x:c>
      <x:c r="E213" s="79" t="str">
        <x:v>انبه پودر</x:v>
      </x:c>
      <x:c r="F213" s="79" t="str">
        <x:v>نوشیدنی‌ها</x:v>
      </x:c>
      <x:c r="G213" s="79" t="str">
        <x:v>6a3782ffdf5573f4e676e24b</x:v>
      </x:c>
      <x:c r="H213" s="79" t="str">
        <x:v>syrup</x:v>
      </x:c>
      <x:c r="I213" s="79" t="str">
        <x:v>6a3782d7df5573f4e676e243</x:v>
      </x:c>
      <x:c r="J213" s="79" t="str">
        <x:v>EDIBLE</x:v>
      </x:c>
      <x:c r="K213" s="79" t="str">
        <x:v>بله</x:v>
      </x:c>
      <x:c r="L213" s="79" t="n">
        <x:v>1</x:v>
      </x:c>
      <x:c r="M213" s="79" t="n">
        <x:v>0</x:v>
      </x:c>
      <x:c r="N213" s="79" t="str">
        <x:v>OK</x:v>
      </x:c>
      <x:c r="O213" s="79" t="str">
        <x:v>دسته از «نیاز به بررسی» به «نوشیدنی‌ها» اصلاح شد</x:v>
      </x:c>
      <x:c r="P213" s="79" t="str">
        <x:v>[{"name": "کیلو", "sku": "", "price": 1100000, "stock": "", "weight": 1, "weightUnit": "kg", "containerSize": "کیلو", "isDefault": true}]</x:v>
      </x:c>
    </x:row>
    <x:row r="214">
      <x:c r="A214" s="79" t="str">
        <x:v>رب انار</x:v>
      </x:c>
      <x:c r="B214" s="79" t="str">
        <x:v>pomegranate_paste</x:v>
      </x:c>
      <x:c r="C214" s="79" t="str">
        <x:v>update_grouped_product</x:v>
      </x:c>
      <x:c r="D214" s="79" t="str">
        <x:v>121</x:v>
      </x:c>
      <x:c r="E214" s="79" t="str">
        <x:v>رب انار</x:v>
      </x:c>
      <x:c r="F214" s="79" t="str">
        <x:v>نوشیدنی‌ها</x:v>
      </x:c>
      <x:c r="G214" s="79" t="str">
        <x:v>6a3782ffdf5573f4e676e24b</x:v>
      </x:c>
      <x:c r="H214" s="79" t="str">
        <x:v>syrup</x:v>
      </x:c>
      <x:c r="I214" s="79" t="str">
        <x:v>6a3782d7df5573f4e676e243</x:v>
      </x:c>
      <x:c r="J214" s="79" t="str">
        <x:v>EDIBLE</x:v>
      </x:c>
      <x:c r="K214" s="79" t="str">
        <x:v>بله</x:v>
      </x:c>
      <x:c r="L214" s="79" t="n">
        <x:v>1</x:v>
      </x:c>
      <x:c r="M214" s="79" t="n">
        <x:v>0</x:v>
      </x:c>
      <x:c r="N214" s="79" t="str">
        <x:v>OK</x:v>
      </x:c>
      <x:c r="O214" s="79" t="str">
        <x:v>دسته از «نیاز به بررسی» به «نوشیدنی‌ها» اصلاح شد</x:v>
      </x:c>
      <x:c r="P214" s="79" t="str">
        <x:v>[{"name": "کیلو", "sku": "", "price": 490000, "stock": "", "weight": 1, "weightUnit": "kg", "containerSize": "کیلو", "isDefault": true}]</x:v>
      </x:c>
    </x:row>
    <x:row r="215">
      <x:c r="A215" s="79" t="str">
        <x:v>سرکه انگور</x:v>
      </x:c>
      <x:c r="B215" s="79" t="str">
        <x:v>srkh-angvr</x:v>
      </x:c>
      <x:c r="C215" s="79" t="str">
        <x:v>import_new_grouped_product</x:v>
      </x:c>
      <x:c r="D215" s="79" t="str">
        <x:v>206</x:v>
      </x:c>
      <x:c r="E215" s="79" t="str">
        <x:v>سرکه انگور</x:v>
      </x:c>
      <x:c r="F215" s="79" t="str">
        <x:v>نوشیدنی‌ها</x:v>
      </x:c>
      <x:c r="G215" s="79" t="str">
        <x:v>6a3782ffdf5573f4e676e24b</x:v>
      </x:c>
      <x:c r="H215" s="79" t="str">
        <x:v>syrup</x:v>
      </x:c>
      <x:c r="I215" s="79" t="str">
        <x:v>6a3782d7df5573f4e676e243</x:v>
      </x:c>
      <x:c r="J215" s="79" t="str">
        <x:v>EDIBLE</x:v>
      </x:c>
      <x:c r="K215" s="79" t="str">
        <x:v>بله</x:v>
      </x:c>
      <x:c r="L215" s="79" t="n">
        <x:v>2</x:v>
      </x:c>
      <x:c r="M215" s="79" t="n">
        <x:v>0</x:v>
      </x:c>
      <x:c r="N215" s="79" t="str">
        <x:v>OK</x:v>
      </x:c>
      <x:c r="O215" s="79"/>
      <x:c r="P215" s="79" t="str">
        <x:v>[{"name": "نیم کیلو", "sku": "", "price": 135000, "stock": "", "weight": 1, "weightUnit": "kg", "containerSize": "نیم کیلو", "isDefault": true}, {"name": "1کیلو", "sku": "", "price": 260000, "stock": "", "weight": 1, "weightUnit": "kg", "containerSize": "1کیلو", "isDefault": false}]</x:v>
      </x:c>
    </x:row>
    <x:row r="216">
      <x:c r="A216" s="79" t="str">
        <x:v>سرکه سیب</x:v>
      </x:c>
      <x:c r="B216" s="79" t="str">
        <x:v>srkh-syb</x:v>
      </x:c>
      <x:c r="C216" s="79" t="str">
        <x:v>import_new_grouped_product</x:v>
      </x:c>
      <x:c r="D216" s="79" t="str">
        <x:v>207</x:v>
      </x:c>
      <x:c r="E216" s="79" t="str">
        <x:v>سرکه سیب</x:v>
      </x:c>
      <x:c r="F216" s="79" t="str">
        <x:v>نوشیدنی‌ها</x:v>
      </x:c>
      <x:c r="G216" s="79" t="str">
        <x:v>6a3782ffdf5573f4e676e24b</x:v>
      </x:c>
      <x:c r="H216" s="79" t="str">
        <x:v>syrup</x:v>
      </x:c>
      <x:c r="I216" s="79" t="str">
        <x:v>6a3782d7df5573f4e676e243</x:v>
      </x:c>
      <x:c r="J216" s="79" t="str">
        <x:v>EDIBLE</x:v>
      </x:c>
      <x:c r="K216" s="79" t="str">
        <x:v>بله</x:v>
      </x:c>
      <x:c r="L216" s="79" t="n">
        <x:v>2</x:v>
      </x:c>
      <x:c r="M216" s="79" t="n">
        <x:v>0</x:v>
      </x:c>
      <x:c r="N216" s="79" t="str">
        <x:v>OK</x:v>
      </x:c>
      <x:c r="O216" s="79"/>
      <x:c r="P216" s="79" t="str">
        <x:v>[{"name": "نیم کیلو", "sku": "", "price": 130000, "stock": "", "weight": 1, "weightUnit": "kg", "containerSize": "نیم کیلو", "isDefault": true}, {"name": "1کیلو", "sku": "", "price": 250000, "stock": "", "weight": 1, "weightUnit": "kg", "containerSize": "1کیلو", "isDefault": false}]</x:v>
      </x:c>
    </x:row>
    <x:row r="217">
      <x:c r="A217" s="79" t="str">
        <x:v>شربت آلبالو</x:v>
      </x:c>
      <x:c r="B217" s="79" t="str">
        <x:v>shrbt-albalv</x:v>
      </x:c>
      <x:c r="C217" s="79" t="str">
        <x:v>import_new_grouped_product</x:v>
      </x:c>
      <x:c r="D217" s="79" t="str">
        <x:v>226</x:v>
      </x:c>
      <x:c r="E217" s="79" t="str">
        <x:v>شربت آلبالو</x:v>
      </x:c>
      <x:c r="F217" s="79" t="str">
        <x:v>نوشیدنی‌ها</x:v>
      </x:c>
      <x:c r="G217" s="79" t="str">
        <x:v>6a3782ffdf5573f4e676e24b</x:v>
      </x:c>
      <x:c r="H217" s="79" t="str">
        <x:v>syrup</x:v>
      </x:c>
      <x:c r="I217" s="79" t="str">
        <x:v>6a3782d7df5573f4e676e243</x:v>
      </x:c>
      <x:c r="J217" s="79" t="str">
        <x:v>EDIBLE</x:v>
      </x:c>
      <x:c r="K217" s="79" t="str">
        <x:v>بله</x:v>
      </x:c>
      <x:c r="L217" s="79" t="n">
        <x:v>1</x:v>
      </x:c>
      <x:c r="M217" s="79" t="n">
        <x:v>1</x:v>
      </x:c>
      <x:c r="N217" s="79" t="str">
        <x:v>MISSING_PRICE_REVIEW + 1 VARIANT_PRICE_MISSING</x:v>
      </x:c>
      <x:c r="O217" s="79" t="str">
        <x:v>یک یا چند قیمت نامشخص است</x:v>
      </x:c>
      <x:c r="P217" s="79" t="str">
        <x:v>[{"name": "کیلو", "sku": "", "price": null, "stock": "", "weight": 1, "weightUnit": "kg", "containerSize": "کیلو", "isDefault": true}]</x:v>
      </x:c>
    </x:row>
    <x:row r="218">
      <x:c r="A218" s="79" t="str">
        <x:v>شربت سرکه انگبین</x:v>
      </x:c>
      <x:c r="B218" s="79" t="str">
        <x:v>shrbt-srkh-angbyn</x:v>
      </x:c>
      <x:c r="C218" s="79" t="str">
        <x:v>import_new_grouped_product</x:v>
      </x:c>
      <x:c r="D218" s="79" t="str">
        <x:v>227</x:v>
      </x:c>
      <x:c r="E218" s="79" t="str">
        <x:v>شربت سرکه انگبین</x:v>
      </x:c>
      <x:c r="F218" s="79" t="str">
        <x:v>نوشیدنی‌ها</x:v>
      </x:c>
      <x:c r="G218" s="79" t="str">
        <x:v>6a3782ffdf5573f4e676e24b</x:v>
      </x:c>
      <x:c r="H218" s="79" t="str">
        <x:v>syrup</x:v>
      </x:c>
      <x:c r="I218" s="79" t="str">
        <x:v>6a3782d7df5573f4e676e243</x:v>
      </x:c>
      <x:c r="J218" s="79" t="str">
        <x:v>EDIBLE</x:v>
      </x:c>
      <x:c r="K218" s="79" t="str">
        <x:v>بله</x:v>
      </x:c>
      <x:c r="L218" s="79" t="n">
        <x:v>2</x:v>
      </x:c>
      <x:c r="M218" s="79" t="n">
        <x:v>0</x:v>
      </x:c>
      <x:c r="N218" s="79" t="str">
        <x:v>OK</x:v>
      </x:c>
      <x:c r="O218" s="79"/>
      <x:c r="P218" s="79" t="str">
        <x:v>[{"name": "نیم لیتر", "sku": "", "price": 250000, "stock": "", "weight": 500, "weightUnit": "ml", "containerSize": "نیم لیتر", "isDefault": true}, {"name": "1 لیتر", "sku": "", "price": 500000, "stock": "", "weight": 1000, "weightUnit": "ml", "containerSize": "1 لیتر", "isDefault": false}]</x:v>
      </x:c>
    </x:row>
    <x:row r="219">
      <x:c r="A219" s="79" t="str">
        <x:v>شربت سکنجبین</x:v>
      </x:c>
      <x:c r="B219" s="79" t="str">
        <x:v>shrbt-sknjbyn</x:v>
      </x:c>
      <x:c r="C219" s="79" t="str">
        <x:v>import_new_grouped_product</x:v>
      </x:c>
      <x:c r="D219" s="79" t="str">
        <x:v>228</x:v>
      </x:c>
      <x:c r="E219" s="79" t="str">
        <x:v>شربت سکنجبین</x:v>
      </x:c>
      <x:c r="F219" s="79" t="str">
        <x:v>نوشیدنی‌ها</x:v>
      </x:c>
      <x:c r="G219" s="79" t="str">
        <x:v>6a3782ffdf5573f4e676e24b</x:v>
      </x:c>
      <x:c r="H219" s="79" t="str">
        <x:v>syrup</x:v>
      </x:c>
      <x:c r="I219" s="79" t="str">
        <x:v>6a3782d7df5573f4e676e243</x:v>
      </x:c>
      <x:c r="J219" s="79" t="str">
        <x:v>EDIBLE</x:v>
      </x:c>
      <x:c r="K219" s="79" t="str">
        <x:v>بله</x:v>
      </x:c>
      <x:c r="L219" s="79" t="n">
        <x:v>2</x:v>
      </x:c>
      <x:c r="M219" s="79" t="n">
        <x:v>0</x:v>
      </x:c>
      <x:c r="N219" s="79" t="str">
        <x:v>OK</x:v>
      </x:c>
      <x:c r="O219" s="79"/>
      <x:c r="P219" s="79" t="str">
        <x:v>[{"name": "نیم لیتر", "sku": "", "price": 155000, "stock": "", "weight": 500, "weightUnit": "ml", "containerSize": "نیم لیتر", "isDefault": true}, {"name": "1 لیتر", "sku": "", "price": 295000, "stock": "", "weight": 1000, "weightUnit": "ml", "containerSize": "1 لیتر", "isDefault": false}]</x:v>
      </x:c>
    </x:row>
    <x:row r="220">
      <x:c r="A220" s="79" t="str">
        <x:v>شیره 3 شیره</x:v>
      </x:c>
      <x:c r="B220" s="79" t="str">
        <x:v>syrup_3_syrup</x:v>
      </x:c>
      <x:c r="C220" s="79" t="str">
        <x:v>update_grouped_product</x:v>
      </x:c>
      <x:c r="D220" s="79" t="str">
        <x:v>239</x:v>
      </x:c>
      <x:c r="E220" s="79" t="str">
        <x:v>شیره 3 شیره</x:v>
      </x:c>
      <x:c r="F220" s="79" t="str">
        <x:v>نوشیدنی‌ها</x:v>
      </x:c>
      <x:c r="G220" s="79" t="str">
        <x:v>6a3782ffdf5573f4e676e24b</x:v>
      </x:c>
      <x:c r="H220" s="79" t="str">
        <x:v>syrup</x:v>
      </x:c>
      <x:c r="I220" s="79" t="str">
        <x:v>6a3782d7df5573f4e676e243</x:v>
      </x:c>
      <x:c r="J220" s="79" t="str">
        <x:v>EDIBLE</x:v>
      </x:c>
      <x:c r="K220" s="79" t="str">
        <x:v>بله</x:v>
      </x:c>
      <x:c r="L220" s="79" t="n">
        <x:v>1</x:v>
      </x:c>
      <x:c r="M220" s="79" t="n">
        <x:v>0</x:v>
      </x:c>
      <x:c r="N220" s="79" t="str">
        <x:v>OK</x:v>
      </x:c>
      <x:c r="O220" s="79" t="str">
        <x:v>دسته از «نیاز به بررسی» به «نوشیدنی‌ها» اصلاح شد</x:v>
      </x:c>
      <x:c r="P220" s="79" t="str">
        <x:v>[{"name": "500 گرمی", "sku": "", "price": 230000, "stock": "", "weight": 500, "weightUnit": "g", "containerSize": "500 گرم", "isDefault": true}]</x:v>
      </x:c>
    </x:row>
    <x:row r="221">
      <x:c r="A221" s="79" t="str">
        <x:v>شیره 4 شیره</x:v>
      </x:c>
      <x:c r="B221" s="79" t="str">
        <x:v>syrup_4_syrup</x:v>
      </x:c>
      <x:c r="C221" s="79" t="str">
        <x:v>update_grouped_product</x:v>
      </x:c>
      <x:c r="D221" s="79" t="str">
        <x:v>240</x:v>
      </x:c>
      <x:c r="E221" s="79" t="str">
        <x:v>شیره 4 شیره</x:v>
      </x:c>
      <x:c r="F221" s="79" t="str">
        <x:v>نوشیدنی‌ها</x:v>
      </x:c>
      <x:c r="G221" s="79" t="str">
        <x:v>6a3782ffdf5573f4e676e24b</x:v>
      </x:c>
      <x:c r="H221" s="79" t="str">
        <x:v>syrup</x:v>
      </x:c>
      <x:c r="I221" s="79" t="str">
        <x:v>6a3782d7df5573f4e676e243</x:v>
      </x:c>
      <x:c r="J221" s="79" t="str">
        <x:v>EDIBLE</x:v>
      </x:c>
      <x:c r="K221" s="79" t="str">
        <x:v>بله</x:v>
      </x:c>
      <x:c r="L221" s="79" t="n">
        <x:v>1</x:v>
      </x:c>
      <x:c r="M221" s="79" t="n">
        <x:v>0</x:v>
      </x:c>
      <x:c r="N221" s="79" t="str">
        <x:v>OK</x:v>
      </x:c>
      <x:c r="O221" s="79" t="str">
        <x:v>دسته از «نیاز به بررسی» به «نوشیدنی‌ها» اصلاح شد</x:v>
      </x:c>
      <x:c r="P221" s="79" t="str">
        <x:v>[{"name": "500 گرمی", "sku": "", "price": 230000, "stock": "", "weight": 500, "weightUnit": "g", "containerSize": "500 گرم", "isDefault": true}]</x:v>
      </x:c>
    </x:row>
    <x:row r="222">
      <x:c r="A222" s="79" t="str">
        <x:v>شیره انگور</x:v>
      </x:c>
      <x:c r="B222" s="79" t="str">
        <x:v>grape_syrup</x:v>
      </x:c>
      <x:c r="C222" s="79" t="str">
        <x:v>update_grouped_product</x:v>
      </x:c>
      <x:c r="D222" s="79" t="str">
        <x:v>242</x:v>
      </x:c>
      <x:c r="E222" s="79" t="str">
        <x:v>شیره انگور</x:v>
      </x:c>
      <x:c r="F222" s="79" t="str">
        <x:v>نوشیدنی‌ها</x:v>
      </x:c>
      <x:c r="G222" s="79" t="str">
        <x:v>6a3782ffdf5573f4e676e24b</x:v>
      </x:c>
      <x:c r="H222" s="79" t="str">
        <x:v>syrup</x:v>
      </x:c>
      <x:c r="I222" s="79" t="str">
        <x:v>6a3782d7df5573f4e676e243</x:v>
      </x:c>
      <x:c r="J222" s="79" t="str">
        <x:v>EDIBLE</x:v>
      </x:c>
      <x:c r="K222" s="79" t="str">
        <x:v>بله</x:v>
      </x:c>
      <x:c r="L222" s="79" t="n">
        <x:v>1</x:v>
      </x:c>
      <x:c r="M222" s="79" t="n">
        <x:v>0</x:v>
      </x:c>
      <x:c r="N222" s="79" t="str">
        <x:v>OK</x:v>
      </x:c>
      <x:c r="O222" s="79" t="str">
        <x:v>دسته از «نیاز به بررسی» به «نوشیدنی‌ها» اصلاح شد</x:v>
      </x:c>
      <x:c r="P222" s="79" t="str">
        <x:v>[{"name": "500 گرمی", "sku": "", "price": 230000, "stock": "", "weight": 500, "weightUnit": "g", "containerSize": "500 گرم", "isDefault": true}]</x:v>
      </x:c>
    </x:row>
    <x:row r="223">
      <x:c r="A223" s="79" t="str">
        <x:v>شیره توت</x:v>
      </x:c>
      <x:c r="B223" s="79" t="str">
        <x:v>mulberry_syrup</x:v>
      </x:c>
      <x:c r="C223" s="79" t="str">
        <x:v>update_grouped_product</x:v>
      </x:c>
      <x:c r="D223" s="79" t="str">
        <x:v>243</x:v>
      </x:c>
      <x:c r="E223" s="79" t="str">
        <x:v>شیره توت</x:v>
      </x:c>
      <x:c r="F223" s="79" t="str">
        <x:v>نوشیدنی‌ها</x:v>
      </x:c>
      <x:c r="G223" s="79" t="str">
        <x:v>6a3782ffdf5573f4e676e24b</x:v>
      </x:c>
      <x:c r="H223" s="79" t="str">
        <x:v>syrup</x:v>
      </x:c>
      <x:c r="I223" s="79" t="str">
        <x:v>6a3782d7df5573f4e676e243</x:v>
      </x:c>
      <x:c r="J223" s="79" t="str">
        <x:v>EDIBLE</x:v>
      </x:c>
      <x:c r="K223" s="79" t="str">
        <x:v>بله</x:v>
      </x:c>
      <x:c r="L223" s="79" t="n">
        <x:v>1</x:v>
      </x:c>
      <x:c r="M223" s="79" t="n">
        <x:v>0</x:v>
      </x:c>
      <x:c r="N223" s="79" t="str">
        <x:v>OK</x:v>
      </x:c>
      <x:c r="O223" s="79" t="str">
        <x:v>دسته از «نیاز به بررسی» به «نوشیدنی‌ها» اصلاح شد</x:v>
      </x:c>
      <x:c r="P223" s="79" t="str">
        <x:v>[{"name": "500 گرمی", "sku": "", "price": 230000, "stock": "", "weight": 500, "weightUnit": "g", "containerSize": "500 گرم", "isDefault": true}]</x:v>
      </x:c>
    </x:row>
    <x:row r="224">
      <x:c r="A224" s="79" t="str">
        <x:v>شیره سفید</x:v>
      </x:c>
      <x:c r="B224" s="79" t="str">
        <x:v>white_syrup_500g</x:v>
      </x:c>
      <x:c r="C224" s="79" t="str">
        <x:v>update_grouped_product</x:v>
      </x:c>
      <x:c r="D224" s="79" t="str">
        <x:v>245</x:v>
      </x:c>
      <x:c r="E224" s="79" t="str">
        <x:v>شیره سفید</x:v>
      </x:c>
      <x:c r="F224" s="79" t="str">
        <x:v>نوشیدنی‌ها</x:v>
      </x:c>
      <x:c r="G224" s="79" t="str">
        <x:v>6a3782ffdf5573f4e676e24b</x:v>
      </x:c>
      <x:c r="H224" s="79" t="str">
        <x:v>syrup</x:v>
      </x:c>
      <x:c r="I224" s="79" t="str">
        <x:v>6a3782d7df5573f4e676e243</x:v>
      </x:c>
      <x:c r="J224" s="79" t="str">
        <x:v>EDIBLE</x:v>
      </x:c>
      <x:c r="K224" s="79" t="str">
        <x:v>بله</x:v>
      </x:c>
      <x:c r="L224" s="79" t="n">
        <x:v>2</x:v>
      </x:c>
      <x:c r="M224" s="79" t="n">
        <x:v>0</x:v>
      </x:c>
      <x:c r="N224" s="79" t="str">
        <x:v>OK</x:v>
      </x:c>
      <x:c r="O224" s="79" t="str">
        <x:v>دسته از «نیاز به بررسی» به «نوشیدنی‌ها» اصلاح شد</x:v>
      </x:c>
      <x:c r="P224" s="79" t="str">
        <x:v>[{"name": "500 گرمی", "sku": "", "price": 340000, "stock": "", "weight": 500, "weightUnit": "g", "containerSize": "500 گرم", "isDefault": true}, {"name": "1 کیلو", "sku": "", "price": 670000, "stock": "", "weight": 1, "weightUnit": "kg", "containerSize": "1 کیلو", "isDefault": false}]</x:v>
      </x:c>
    </x:row>
    <x:row r="225">
      <x:c r="A225" s="79" t="str">
        <x:v>شیره سیب</x:v>
      </x:c>
      <x:c r="B225" s="79" t="str">
        <x:v>apple_syrup</x:v>
      </x:c>
      <x:c r="C225" s="79" t="str">
        <x:v>update_grouped_product</x:v>
      </x:c>
      <x:c r="D225" s="79" t="str">
        <x:v>246</x:v>
      </x:c>
      <x:c r="E225" s="79" t="str">
        <x:v>شیره سیب</x:v>
      </x:c>
      <x:c r="F225" s="79" t="str">
        <x:v>نوشیدنی‌ها</x:v>
      </x:c>
      <x:c r="G225" s="79" t="str">
        <x:v>6a3782ffdf5573f4e676e24b</x:v>
      </x:c>
      <x:c r="H225" s="79" t="str">
        <x:v>syrup</x:v>
      </x:c>
      <x:c r="I225" s="79" t="str">
        <x:v>6a3782d7df5573f4e676e243</x:v>
      </x:c>
      <x:c r="J225" s="79" t="str">
        <x:v>EDIBLE</x:v>
      </x:c>
      <x:c r="K225" s="79" t="str">
        <x:v>بله</x:v>
      </x:c>
      <x:c r="L225" s="79" t="n">
        <x:v>1</x:v>
      </x:c>
      <x:c r="M225" s="79" t="n">
        <x:v>0</x:v>
      </x:c>
      <x:c r="N225" s="79" t="str">
        <x:v>OK</x:v>
      </x:c>
      <x:c r="O225" s="79" t="str">
        <x:v>دسته از «نیاز به بررسی» به «نوشیدنی‌ها» اصلاح شد</x:v>
      </x:c>
      <x:c r="P225" s="79" t="str">
        <x:v>[{"name": "500 گرمی", "sku": "", "price": 300000, "stock": "", "weight": 500, "weightUnit": "g", "containerSize": "500 گرم", "isDefault": true}]</x:v>
      </x:c>
    </x:row>
    <x:row r="226">
      <x:c r="A226" s="79" t="str">
        <x:v>عرق آویشن</x:v>
      </x:c>
      <x:c r="B226" s="79" t="str">
        <x:v>argh-avyshn</x:v>
      </x:c>
      <x:c r="C226" s="79" t="str">
        <x:v>import_new_grouped_product</x:v>
      </x:c>
      <x:c r="D226" s="79" t="str">
        <x:v>279</x:v>
      </x:c>
      <x:c r="E226" s="79" t="str">
        <x:v>عرق آویشن</x:v>
      </x:c>
      <x:c r="F226" s="79" t="str">
        <x:v>نوشیدنی‌ها</x:v>
      </x:c>
      <x:c r="G226" s="79" t="str">
        <x:v>6a3782ffdf5573f4e676e24b</x:v>
      </x:c>
      <x:c r="H226" s="79" t="str">
        <x:v>syrup</x:v>
      </x:c>
      <x:c r="I226" s="79" t="str">
        <x:v>6a3782d7df5573f4e676e243</x:v>
      </x:c>
      <x:c r="J226" s="79" t="str">
        <x:v>EDIBLE</x:v>
      </x:c>
      <x:c r="K226" s="79" t="str">
        <x:v>بله</x:v>
      </x:c>
      <x:c r="L226" s="79" t="n">
        <x:v>2</x:v>
      </x:c>
      <x:c r="M226" s="79" t="n">
        <x:v>0</x:v>
      </x:c>
      <x:c r="N226" s="79" t="str">
        <x:v>OK</x:v>
      </x:c>
      <x:c r="O226" s="79"/>
      <x:c r="P226" s="79" t="str">
        <x:v>[{"name": "نیم لیتر", "sku": "", "price": 140000, "stock": "", "weight": 500, "weightUnit": "ml", "containerSize": "نیم لیتر", "isDefault": true}, {"name": "1 لیتر", "sku": "", "price": 270000, "stock": "", "weight": 1000, "weightUnit": "ml", "containerSize": "1 لیتر", "isDefault": false}]</x:v>
      </x:c>
    </x:row>
    <x:row r="227">
      <x:c r="A227" s="79" t="str">
        <x:v>عرق اسطوخودوس</x:v>
      </x:c>
      <x:c r="B227" s="79" t="str">
        <x:v>argh-astvkhvdvs</x:v>
      </x:c>
      <x:c r="C227" s="79" t="str">
        <x:v>import_new_grouped_product</x:v>
      </x:c>
      <x:c r="D227" s="79" t="str">
        <x:v>277</x:v>
      </x:c>
      <x:c r="E227" s="79" t="str">
        <x:v>عرق اسطوخودوس</x:v>
      </x:c>
      <x:c r="F227" s="79" t="str">
        <x:v>نوشیدنی‌ها</x:v>
      </x:c>
      <x:c r="G227" s="79" t="str">
        <x:v>6a3782ffdf5573f4e676e24b</x:v>
      </x:c>
      <x:c r="H227" s="79" t="str">
        <x:v>syrup</x:v>
      </x:c>
      <x:c r="I227" s="79" t="str">
        <x:v>6a3782d7df5573f4e676e243</x:v>
      </x:c>
      <x:c r="J227" s="79" t="str">
        <x:v>EDIBLE</x:v>
      </x:c>
      <x:c r="K227" s="79" t="str">
        <x:v>بله</x:v>
      </x:c>
      <x:c r="L227" s="79" t="n">
        <x:v>2</x:v>
      </x:c>
      <x:c r="M227" s="79" t="n">
        <x:v>0</x:v>
      </x:c>
      <x:c r="N227" s="79" t="str">
        <x:v>OK</x:v>
      </x:c>
      <x:c r="O227" s="79"/>
      <x:c r="P227" s="79" t="str">
        <x:v>[{"name": "نیم لیتر", "sku": "", "price": 100000, "stock": "", "weight": 500, "weightUnit": "ml", "containerSize": "نیم لیتر", "isDefault": true}, {"name": "1 لیتر", "sku": "", "price": 190000, "stock": "", "weight": 1000, "weightUnit": "ml", "containerSize": "1 لیتر", "isDefault": false}]</x:v>
      </x:c>
    </x:row>
    <x:row r="228">
      <x:c r="A228" s="79" t="str">
        <x:v>عرق اکالیپتوس</x:v>
      </x:c>
      <x:c r="B228" s="79" t="str">
        <x:v>argh-akalyptvs</x:v>
      </x:c>
      <x:c r="C228" s="79" t="str">
        <x:v>import_new_grouped_product</x:v>
      </x:c>
      <x:c r="D228" s="79" t="str">
        <x:v>278</x:v>
      </x:c>
      <x:c r="E228" s="79" t="str">
        <x:v>عرق اکالیپتوس</x:v>
      </x:c>
      <x:c r="F228" s="79" t="str">
        <x:v>نوشیدنی‌ها</x:v>
      </x:c>
      <x:c r="G228" s="79" t="str">
        <x:v>6a3782ffdf5573f4e676e24b</x:v>
      </x:c>
      <x:c r="H228" s="79" t="str">
        <x:v>syrup</x:v>
      </x:c>
      <x:c r="I228" s="79" t="str">
        <x:v>6a3782d7df5573f4e676e243</x:v>
      </x:c>
      <x:c r="J228" s="79" t="str">
        <x:v>EDIBLE</x:v>
      </x:c>
      <x:c r="K228" s="79" t="str">
        <x:v>بله</x:v>
      </x:c>
      <x:c r="L228" s="79" t="n">
        <x:v>2</x:v>
      </x:c>
      <x:c r="M228" s="79" t="n">
        <x:v>0</x:v>
      </x:c>
      <x:c r="N228" s="79" t="str">
        <x:v>OK</x:v>
      </x:c>
      <x:c r="O228" s="79"/>
      <x:c r="P228" s="79" t="str">
        <x:v>[{"name": "نیم لیتر", "sku": "", "price": 65000, "stock": "", "weight": 500, "weightUnit": "ml", "containerSize": "نیم لیتر", "isDefault": true}, {"name": "1 لیتر", "sku": "", "price": 120000, "stock": "", "weight": 1000, "weightUnit": "ml", "containerSize": "1 لیتر", "isDefault": false}]</x:v>
      </x:c>
    </x:row>
    <x:row r="229">
      <x:c r="A229" s="79" t="str">
        <x:v>عرق بابونه</x:v>
      </x:c>
      <x:c r="B229" s="79" t="str">
        <x:v>argh-babvnh</x:v>
      </x:c>
      <x:c r="C229" s="79" t="str">
        <x:v>import_new_grouped_product</x:v>
      </x:c>
      <x:c r="D229" s="79" t="str">
        <x:v>280</x:v>
      </x:c>
      <x:c r="E229" s="79" t="str">
        <x:v>عرق بابونه</x:v>
      </x:c>
      <x:c r="F229" s="79" t="str">
        <x:v>نوشیدنی‌ها</x:v>
      </x:c>
      <x:c r="G229" s="79" t="str">
        <x:v>6a3782ffdf5573f4e676e24b</x:v>
      </x:c>
      <x:c r="H229" s="79" t="str">
        <x:v>syrup</x:v>
      </x:c>
      <x:c r="I229" s="79" t="str">
        <x:v>6a3782d7df5573f4e676e243</x:v>
      </x:c>
      <x:c r="J229" s="79" t="str">
        <x:v>EDIBLE</x:v>
      </x:c>
      <x:c r="K229" s="79" t="str">
        <x:v>بله</x:v>
      </x:c>
      <x:c r="L229" s="79" t="n">
        <x:v>2</x:v>
      </x:c>
      <x:c r="M229" s="79" t="n">
        <x:v>0</x:v>
      </x:c>
      <x:c r="N229" s="79" t="str">
        <x:v>OK</x:v>
      </x:c>
      <x:c r="O229" s="79"/>
      <x:c r="P229" s="79" t="str">
        <x:v>[{"name": "نیم لیتر", "sku": "", "price": 95000, "stock": "", "weight": 500, "weightUnit": "ml", "containerSize": "نیم لیتر", "isDefault": true}, {"name": "1 لیتر", "sku": "", "price": 180000, "stock": "", "weight": 1000, "weightUnit": "ml", "containerSize": "1 لیتر", "isDefault": false}]</x:v>
      </x:c>
    </x:row>
    <x:row r="230">
      <x:c r="A230" s="79" t="str">
        <x:v>عرق بهار نارنج</x:v>
      </x:c>
      <x:c r="B230" s="79" t="str">
        <x:v>argh-bhar-narnj</x:v>
      </x:c>
      <x:c r="C230" s="79" t="str">
        <x:v>import_new_grouped_product</x:v>
      </x:c>
      <x:c r="D230" s="79" t="str">
        <x:v>281</x:v>
      </x:c>
      <x:c r="E230" s="79" t="str">
        <x:v>عرق بهار نارنج</x:v>
      </x:c>
      <x:c r="F230" s="79" t="str">
        <x:v>نوشیدنی‌ها</x:v>
      </x:c>
      <x:c r="G230" s="79" t="str">
        <x:v>6a3782ffdf5573f4e676e24b</x:v>
      </x:c>
      <x:c r="H230" s="79" t="str">
        <x:v>syrup</x:v>
      </x:c>
      <x:c r="I230" s="79" t="str">
        <x:v>6a3782d7df5573f4e676e243</x:v>
      </x:c>
      <x:c r="J230" s="79" t="str">
        <x:v>EDIBLE</x:v>
      </x:c>
      <x:c r="K230" s="79" t="str">
        <x:v>بله</x:v>
      </x:c>
      <x:c r="L230" s="79" t="n">
        <x:v>2</x:v>
      </x:c>
      <x:c r="M230" s="79" t="n">
        <x:v>0</x:v>
      </x:c>
      <x:c r="N230" s="79" t="str">
        <x:v>OK</x:v>
      </x:c>
      <x:c r="O230" s="79"/>
      <x:c r="P230" s="79" t="str">
        <x:v>[{"name": "نیم لیتر", "sku": "", "price": 140000, "stock": "", "weight": 500, "weightUnit": "ml", "containerSize": "نیم لیتر", "isDefault": true}, {"name": "1 لیتر", "sku": "", "price": 270000, "stock": "", "weight": 1000, "weightUnit": "ml", "containerSize": "1 لیتر", "isDefault": false}]</x:v>
      </x:c>
    </x:row>
    <x:row r="231">
      <x:c r="A231" s="79" t="str">
        <x:v>عرق بولاغ اوتی</x:v>
      </x:c>
      <x:c r="B231" s="79" t="str">
        <x:v>argh-bvlagh-avty</x:v>
      </x:c>
      <x:c r="C231" s="79" t="str">
        <x:v>import_new_grouped_product</x:v>
      </x:c>
      <x:c r="D231" s="79" t="str">
        <x:v>282</x:v>
      </x:c>
      <x:c r="E231" s="79" t="str">
        <x:v>عرق بولاغ اوتی</x:v>
      </x:c>
      <x:c r="F231" s="79" t="str">
        <x:v>نوشیدنی‌ها</x:v>
      </x:c>
      <x:c r="G231" s="79" t="str">
        <x:v>6a3782ffdf5573f4e676e24b</x:v>
      </x:c>
      <x:c r="H231" s="79" t="str">
        <x:v>syrup</x:v>
      </x:c>
      <x:c r="I231" s="79" t="str">
        <x:v>6a3782d7df5573f4e676e243</x:v>
      </x:c>
      <x:c r="J231" s="79" t="str">
        <x:v>EDIBLE</x:v>
      </x:c>
      <x:c r="K231" s="79" t="str">
        <x:v>بله</x:v>
      </x:c>
      <x:c r="L231" s="79" t="n">
        <x:v>2</x:v>
      </x:c>
      <x:c r="M231" s="79" t="n">
        <x:v>0</x:v>
      </x:c>
      <x:c r="N231" s="79" t="str">
        <x:v>OK</x:v>
      </x:c>
      <x:c r="O231" s="79"/>
      <x:c r="P231" s="79" t="str">
        <x:v>[{"name": "نیم لیتر", "sku": "", "price": 70000, "stock": "", "weight": 500, "weightUnit": "ml", "containerSize": "نیم لیتر", "isDefault": true}, {"name": "1 لیتر", "sku": "", "price": 130000, "stock": "", "weight": 1000, "weightUnit": "ml", "containerSize": "1 لیتر", "isDefault": false}]</x:v>
      </x:c>
    </x:row>
    <x:row r="232">
      <x:c r="A232" s="79" t="str">
        <x:v>عرق بیدمشک</x:v>
      </x:c>
      <x:c r="B232" s="79" t="str">
        <x:v>argh-bydmshk</x:v>
      </x:c>
      <x:c r="C232" s="79" t="str">
        <x:v>import_new_grouped_product</x:v>
      </x:c>
      <x:c r="D232" s="79" t="str">
        <x:v>283</x:v>
      </x:c>
      <x:c r="E232" s="79" t="str">
        <x:v>عرق بیدمشک</x:v>
      </x:c>
      <x:c r="F232" s="79" t="str">
        <x:v>نوشیدنی‌ها</x:v>
      </x:c>
      <x:c r="G232" s="79" t="str">
        <x:v>6a3782ffdf5573f4e676e24b</x:v>
      </x:c>
      <x:c r="H232" s="79" t="str">
        <x:v>syrup</x:v>
      </x:c>
      <x:c r="I232" s="79" t="str">
        <x:v>6a3782d7df5573f4e676e243</x:v>
      </x:c>
      <x:c r="J232" s="79" t="str">
        <x:v>EDIBLE</x:v>
      </x:c>
      <x:c r="K232" s="79" t="str">
        <x:v>بله</x:v>
      </x:c>
      <x:c r="L232" s="79" t="n">
        <x:v>2</x:v>
      </x:c>
      <x:c r="M232" s="79" t="n">
        <x:v>0</x:v>
      </x:c>
      <x:c r="N232" s="79" t="str">
        <x:v>OK</x:v>
      </x:c>
      <x:c r="O232" s="79"/>
      <x:c r="P232" s="79" t="str">
        <x:v>[{"name": "نیم لیتر", "sku": "", "price": 115000, "stock": "", "weight": 500, "weightUnit": "ml", "containerSize": "نیم لیتر", "isDefault": true}, {"name": "1 لیتر", "sku": "", "price": 220000, "stock": "", "weight": 1000, "weightUnit": "ml", "containerSize": "1 لیتر", "isDefault": false}]</x:v>
      </x:c>
    </x:row>
    <x:row r="233">
      <x:c r="A233" s="79" t="str">
        <x:v>عرق خارشتر</x:v>
      </x:c>
      <x:c r="B233" s="79" t="str">
        <x:v>argh-kharshtr</x:v>
      </x:c>
      <x:c r="C233" s="79" t="str">
        <x:v>import_new_grouped_product</x:v>
      </x:c>
      <x:c r="D233" s="79" t="str">
        <x:v>286</x:v>
      </x:c>
      <x:c r="E233" s="79" t="str">
        <x:v>عرق خارشتر</x:v>
      </x:c>
      <x:c r="F233" s="79" t="str">
        <x:v>نوشیدنی‌ها</x:v>
      </x:c>
      <x:c r="G233" s="79" t="str">
        <x:v>6a3782ffdf5573f4e676e24b</x:v>
      </x:c>
      <x:c r="H233" s="79" t="str">
        <x:v>syrup</x:v>
      </x:c>
      <x:c r="I233" s="79" t="str">
        <x:v>6a3782d7df5573f4e676e243</x:v>
      </x:c>
      <x:c r="J233" s="79" t="str">
        <x:v>EDIBLE</x:v>
      </x:c>
      <x:c r="K233" s="79" t="str">
        <x:v>بله</x:v>
      </x:c>
      <x:c r="L233" s="79" t="n">
        <x:v>2</x:v>
      </x:c>
      <x:c r="M233" s="79" t="n">
        <x:v>0</x:v>
      </x:c>
      <x:c r="N233" s="79" t="str">
        <x:v>OK</x:v>
      </x:c>
      <x:c r="O233" s="79"/>
      <x:c r="P233" s="79" t="str">
        <x:v>[{"name": "نیم لیتر", "sku": "", "price": 70000, "stock": "", "weight": 500, "weightUnit": "ml", "containerSize": "نیم لیتر", "isDefault": true}, {"name": "1 لیتر", "sku": "", "price": 130000, "stock": "", "weight": 1000, "weightUnit": "ml", "containerSize": "1 لیتر", "isDefault": false}]</x:v>
      </x:c>
    </x:row>
    <x:row r="234">
      <x:c r="A234" s="79" t="str">
        <x:v>عرق دارچین</x:v>
      </x:c>
      <x:c r="B234" s="79" t="str">
        <x:v>argh-darchyn</x:v>
      </x:c>
      <x:c r="C234" s="79" t="str">
        <x:v>import_new_grouped_product</x:v>
      </x:c>
      <x:c r="D234" s="79" t="str">
        <x:v>287</x:v>
      </x:c>
      <x:c r="E234" s="79" t="str">
        <x:v>عرق دارچین</x:v>
      </x:c>
      <x:c r="F234" s="79" t="str">
        <x:v>نوشیدنی‌ها</x:v>
      </x:c>
      <x:c r="G234" s="79" t="str">
        <x:v>6a3782ffdf5573f4e676e24b</x:v>
      </x:c>
      <x:c r="H234" s="79" t="str">
        <x:v>syrup</x:v>
      </x:c>
      <x:c r="I234" s="79" t="str">
        <x:v>6a3782d7df5573f4e676e243</x:v>
      </x:c>
      <x:c r="J234" s="79" t="str">
        <x:v>EDIBLE</x:v>
      </x:c>
      <x:c r="K234" s="79" t="str">
        <x:v>بله</x:v>
      </x:c>
      <x:c r="L234" s="79" t="n">
        <x:v>2</x:v>
      </x:c>
      <x:c r="M234" s="79" t="n">
        <x:v>0</x:v>
      </x:c>
      <x:c r="N234" s="79" t="str">
        <x:v>OK</x:v>
      </x:c>
      <x:c r="O234" s="79"/>
      <x:c r="P234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</x:row>
    <x:row r="235">
      <x:c r="A235" s="79" t="str">
        <x:v>عرق رازیانه</x:v>
      </x:c>
      <x:c r="B235" s="79" t="str">
        <x:v>argh-razyanh</x:v>
      </x:c>
      <x:c r="C235" s="79" t="str">
        <x:v>import_new_grouped_product</x:v>
      </x:c>
      <x:c r="D235" s="79" t="str">
        <x:v>288</x:v>
      </x:c>
      <x:c r="E235" s="79" t="str">
        <x:v>عرق رازیانه</x:v>
      </x:c>
      <x:c r="F235" s="79" t="str">
        <x:v>نوشیدنی‌ها</x:v>
      </x:c>
      <x:c r="G235" s="79" t="str">
        <x:v>6a3782ffdf5573f4e676e24b</x:v>
      </x:c>
      <x:c r="H235" s="79" t="str">
        <x:v>syrup</x:v>
      </x:c>
      <x:c r="I235" s="79" t="str">
        <x:v>6a3782d7df5573f4e676e243</x:v>
      </x:c>
      <x:c r="J235" s="79" t="str">
        <x:v>EDIBLE</x:v>
      </x:c>
      <x:c r="K235" s="79" t="str">
        <x:v>بله</x:v>
      </x:c>
      <x:c r="L235" s="79" t="n">
        <x:v>2</x:v>
      </x:c>
      <x:c r="M235" s="79" t="n">
        <x:v>0</x:v>
      </x:c>
      <x:c r="N235" s="79" t="str">
        <x:v>OK</x:v>
      </x:c>
      <x:c r="O235" s="79"/>
      <x:c r="P235" s="79" t="str">
        <x:v>[{"name": "نیم لیتر", "sku": "", "price": 90000, "stock": "", "weight": 500, "weightUnit": "ml", "containerSize": "نیم لیتر", "isDefault": true}, {"name": "1 لیتر", "sku": "", "price": 170000, "stock": "", "weight": 1000, "weightUnit": "ml", "containerSize": "1 لیتر", "isDefault": false}]</x:v>
      </x:c>
    </x:row>
    <x:row r="236">
      <x:c r="A236" s="79" t="str">
        <x:v>عرق رزماری</x:v>
      </x:c>
      <x:c r="B236" s="79" t="str">
        <x:v>rosemary_distillate</x:v>
      </x:c>
      <x:c r="C236" s="79" t="str">
        <x:v>import_new_grouped_product</x:v>
      </x:c>
      <x:c r="D236" s="79" t="str">
        <x:v>289, 290</x:v>
      </x:c>
      <x:c r="E236" s="79" t="str">
        <x:v>عرق رزماری | عرق رزماری اسپری</x:v>
      </x:c>
      <x:c r="F236" s="79" t="str">
        <x:v>نوشیدنی‌ها</x:v>
      </x:c>
      <x:c r="G236" s="79" t="str">
        <x:v>6a3782ffdf5573f4e676e24b</x:v>
      </x:c>
      <x:c r="H236" s="79" t="str">
        <x:v>syrup</x:v>
      </x:c>
      <x:c r="I236" s="79" t="str">
        <x:v>6a3782d7df5573f4e676e243</x:v>
      </x:c>
      <x:c r="J236" s="79" t="str">
        <x:v>EDIBLE</x:v>
      </x:c>
      <x:c r="K236" s="79" t="str">
        <x:v>بله</x:v>
      </x:c>
      <x:c r="L236" s="79" t="n">
        <x:v>3</x:v>
      </x:c>
      <x:c r="M236" s="79" t="n">
        <x:v>0</x:v>
      </x:c>
      <x:c r="N236" s="79" t="str">
        <x:v>MERGED</x:v>
      </x:c>
      <x:c r="O236" s="79" t="str">
        <x:v>2 ردیف مشابه با هم یکی شد</x:v>
      </x:c>
      <x:c r="P236" s="79" t="str">
        <x:v>[{"name": "نیم لیتر", "sku": "", "price": 95000, "stock": "", "weight": 500, "weightUnit": "ml", "containerSize": "نیم لیتر", "isDefault": true}, {"name": "1 لیتر", "sku": "", "price": 180000, "stock": "", "weight": 1000, "weightUnit": "ml", "containerSize": "1 لیتر", "isDefault": false}, {"name": "اسپری - 300 میلی لیتر", "sku": "", "price": 105000, "stock": "", "weight": 300, "weightUnit": "ml", "containerSize": "300 میل", "isDefault": false}]</x:v>
      </x:c>
    </x:row>
    <x:row r="237">
      <x:c r="A237" s="79" t="str">
        <x:v>عرق زنجبیل</x:v>
      </x:c>
      <x:c r="B237" s="79" t="str">
        <x:v>argh-znjbyl</x:v>
      </x:c>
      <x:c r="C237" s="79" t="str">
        <x:v>import_new_grouped_product</x:v>
      </x:c>
      <x:c r="D237" s="79" t="str">
        <x:v>291</x:v>
      </x:c>
      <x:c r="E237" s="79" t="str">
        <x:v>عرق زنجبیل</x:v>
      </x:c>
      <x:c r="F237" s="79" t="str">
        <x:v>نوشیدنی‌ها</x:v>
      </x:c>
      <x:c r="G237" s="79" t="str">
        <x:v>6a3782ffdf5573f4e676e24b</x:v>
      </x:c>
      <x:c r="H237" s="79" t="str">
        <x:v>syrup</x:v>
      </x:c>
      <x:c r="I237" s="79" t="str">
        <x:v>6a3782d7df5573f4e676e243</x:v>
      </x:c>
      <x:c r="J237" s="79" t="str">
        <x:v>EDIBLE</x:v>
      </x:c>
      <x:c r="K237" s="79" t="str">
        <x:v>بله</x:v>
      </x:c>
      <x:c r="L237" s="79" t="n">
        <x:v>2</x:v>
      </x:c>
      <x:c r="M237" s="79" t="n">
        <x:v>0</x:v>
      </x:c>
      <x:c r="N237" s="79" t="str">
        <x:v>OK</x:v>
      </x:c>
      <x:c r="O237" s="79"/>
      <x:c r="P237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</x:row>
    <x:row r="238">
      <x:c r="A238" s="79" t="str">
        <x:v>عرق زنیان</x:v>
      </x:c>
      <x:c r="B238" s="79" t="str">
        <x:v>argh-znyan</x:v>
      </x:c>
      <x:c r="C238" s="79" t="str">
        <x:v>import_new_grouped_product</x:v>
      </x:c>
      <x:c r="D238" s="79" t="str">
        <x:v>292</x:v>
      </x:c>
      <x:c r="E238" s="79" t="str">
        <x:v>عرق زنیان</x:v>
      </x:c>
      <x:c r="F238" s="79" t="str">
        <x:v>نوشیدنی‌ها</x:v>
      </x:c>
      <x:c r="G238" s="79" t="str">
        <x:v>6a3782ffdf5573f4e676e24b</x:v>
      </x:c>
      <x:c r="H238" s="79" t="str">
        <x:v>syrup</x:v>
      </x:c>
      <x:c r="I238" s="79" t="str">
        <x:v>6a3782d7df5573f4e676e243</x:v>
      </x:c>
      <x:c r="J238" s="79" t="str">
        <x:v>EDIBLE</x:v>
      </x:c>
      <x:c r="K238" s="79" t="str">
        <x:v>بله</x:v>
      </x:c>
      <x:c r="L238" s="79" t="n">
        <x:v>2</x:v>
      </x:c>
      <x:c r="M238" s="79" t="n">
        <x:v>0</x:v>
      </x:c>
      <x:c r="N238" s="79" t="str">
        <x:v>OK</x:v>
      </x:c>
      <x:c r="O238" s="79"/>
      <x:c r="P238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</x:row>
    <x:row r="239">
      <x:c r="A239" s="79" t="str">
        <x:v>عرق زیره سبز</x:v>
      </x:c>
      <x:c r="B239" s="79" t="str">
        <x:v>argh-zyrh-sbz</x:v>
      </x:c>
      <x:c r="C239" s="79" t="str">
        <x:v>import_new_grouped_product</x:v>
      </x:c>
      <x:c r="D239" s="79" t="str">
        <x:v>293</x:v>
      </x:c>
      <x:c r="E239" s="79" t="str">
        <x:v>عرق زیره سبز</x:v>
      </x:c>
      <x:c r="F239" s="79" t="str">
        <x:v>نوشیدنی‌ها</x:v>
      </x:c>
      <x:c r="G239" s="79" t="str">
        <x:v>6a3782ffdf5573f4e676e24b</x:v>
      </x:c>
      <x:c r="H239" s="79" t="str">
        <x:v>syrup</x:v>
      </x:c>
      <x:c r="I239" s="79" t="str">
        <x:v>6a3782d7df5573f4e676e243</x:v>
      </x:c>
      <x:c r="J239" s="79" t="str">
        <x:v>EDIBLE</x:v>
      </x:c>
      <x:c r="K239" s="79" t="str">
        <x:v>بله</x:v>
      </x:c>
      <x:c r="L239" s="79" t="n">
        <x:v>2</x:v>
      </x:c>
      <x:c r="M239" s="79" t="n">
        <x:v>0</x:v>
      </x:c>
      <x:c r="N239" s="79" t="str">
        <x:v>OK</x:v>
      </x:c>
      <x:c r="O239" s="79"/>
      <x:c r="P239" s="79" t="str">
        <x:v>[{"name": "نیم لیتر", "sku": "", "price": 105000, "stock": "", "weight": 500, "weightUnit": "ml", "containerSize": "نیم لیتر", "isDefault": true}, {"name": "1 لیتر", "sku": "", "price": 200000, "stock": "", "weight": 1000, "weightUnit": "ml", "containerSize": "1 لیتر", "isDefault": false}]</x:v>
      </x:c>
    </x:row>
    <x:row r="240">
      <x:c r="A240" s="79" t="str">
        <x:v>عرق شاتره</x:v>
      </x:c>
      <x:c r="B240" s="79" t="str">
        <x:v>argh-shatrh</x:v>
      </x:c>
      <x:c r="C240" s="79" t="str">
        <x:v>import_new_grouped_product</x:v>
      </x:c>
      <x:c r="D240" s="79" t="str">
        <x:v>294</x:v>
      </x:c>
      <x:c r="E240" s="79" t="str">
        <x:v>عرق شاتره</x:v>
      </x:c>
      <x:c r="F240" s="79" t="str">
        <x:v>نوشیدنی‌ها</x:v>
      </x:c>
      <x:c r="G240" s="79" t="str">
        <x:v>6a3782ffdf5573f4e676e24b</x:v>
      </x:c>
      <x:c r="H240" s="79" t="str">
        <x:v>syrup</x:v>
      </x:c>
      <x:c r="I240" s="79" t="str">
        <x:v>6a3782d7df5573f4e676e243</x:v>
      </x:c>
      <x:c r="J240" s="79" t="str">
        <x:v>EDIBLE</x:v>
      </x:c>
      <x:c r="K240" s="79" t="str">
        <x:v>بله</x:v>
      </x:c>
      <x:c r="L240" s="79" t="n">
        <x:v>2</x:v>
      </x:c>
      <x:c r="M240" s="79" t="n">
        <x:v>0</x:v>
      </x:c>
      <x:c r="N240" s="79" t="str">
        <x:v>OK</x:v>
      </x:c>
      <x:c r="O240" s="79"/>
      <x:c r="P240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</x:row>
    <x:row r="241">
      <x:c r="A241" s="79" t="str">
        <x:v>عرق شنبلیله</x:v>
      </x:c>
      <x:c r="B241" s="79" t="str">
        <x:v>argh-shnblylh</x:v>
      </x:c>
      <x:c r="C241" s="79" t="str">
        <x:v>import_new_grouped_product</x:v>
      </x:c>
      <x:c r="D241" s="79" t="str">
        <x:v>295</x:v>
      </x:c>
      <x:c r="E241" s="79" t="str">
        <x:v>عرق شنبلیله</x:v>
      </x:c>
      <x:c r="F241" s="79" t="str">
        <x:v>نوشیدنی‌ها</x:v>
      </x:c>
      <x:c r="G241" s="79" t="str">
        <x:v>6a3782ffdf5573f4e676e24b</x:v>
      </x:c>
      <x:c r="H241" s="79" t="str">
        <x:v>syrup</x:v>
      </x:c>
      <x:c r="I241" s="79" t="str">
        <x:v>6a3782d7df5573f4e676e243</x:v>
      </x:c>
      <x:c r="J241" s="79" t="str">
        <x:v>EDIBLE</x:v>
      </x:c>
      <x:c r="K241" s="79" t="str">
        <x:v>بله</x:v>
      </x:c>
      <x:c r="L241" s="79" t="n">
        <x:v>2</x:v>
      </x:c>
      <x:c r="M241" s="79" t="n">
        <x:v>0</x:v>
      </x:c>
      <x:c r="N241" s="79" t="str">
        <x:v>OK</x:v>
      </x:c>
      <x:c r="O241" s="79"/>
      <x:c r="P241" s="79" t="str">
        <x:v>[{"name": "نیم لیتر", "sku": "", "price": 70000, "stock": "", "weight": 500, "weightUnit": "ml", "containerSize": "نیم لیتر", "isDefault": true}, {"name": "1 لیتر", "sku": "", "price": 130000, "stock": "", "weight": 1000, "weightUnit": "ml", "containerSize": "1 لیتر", "isDefault": false}]</x:v>
      </x:c>
    </x:row>
    <x:row r="242">
      <x:c r="A242" s="79" t="str">
        <x:v>عرق شوید</x:v>
      </x:c>
      <x:c r="B242" s="79" t="str">
        <x:v>argh-shvyd</x:v>
      </x:c>
      <x:c r="C242" s="79" t="str">
        <x:v>import_new_grouped_product</x:v>
      </x:c>
      <x:c r="D242" s="79" t="str">
        <x:v>296</x:v>
      </x:c>
      <x:c r="E242" s="79" t="str">
        <x:v>عرق شوید</x:v>
      </x:c>
      <x:c r="F242" s="79" t="str">
        <x:v>نوشیدنی‌ها</x:v>
      </x:c>
      <x:c r="G242" s="79" t="str">
        <x:v>6a3782ffdf5573f4e676e24b</x:v>
      </x:c>
      <x:c r="H242" s="79" t="str">
        <x:v>syrup</x:v>
      </x:c>
      <x:c r="I242" s="79" t="str">
        <x:v>6a3782d7df5573f4e676e243</x:v>
      </x:c>
      <x:c r="J242" s="79" t="str">
        <x:v>EDIBLE</x:v>
      </x:c>
      <x:c r="K242" s="79" t="str">
        <x:v>بله</x:v>
      </x:c>
      <x:c r="L242" s="79" t="n">
        <x:v>2</x:v>
      </x:c>
      <x:c r="M242" s="79" t="n">
        <x:v>0</x:v>
      </x:c>
      <x:c r="N242" s="79" t="str">
        <x:v>OK</x:v>
      </x:c>
      <x:c r="O242" s="79"/>
      <x:c r="P242" s="79" t="str">
        <x:v>[{"name": "نیم لیتر", "sku": "", "price": 70000, "stock": "", "weight": 500, "weightUnit": "ml", "containerSize": "نیم لیتر", "isDefault": true}, {"name": "1 لیتر", "sku": "", "price": 130000, "stock": "", "weight": 1000, "weightUnit": "ml", "containerSize": "1 لیتر", "isDefault": false}]</x:v>
      </x:c>
    </x:row>
    <x:row r="243">
      <x:c r="A243" s="79" t="str">
        <x:v>عرق معجون سنگ کلیه</x:v>
      </x:c>
      <x:c r="B243" s="79" t="str">
        <x:v>argh-majvn-sng-klyh</x:v>
      </x:c>
      <x:c r="C243" s="79" t="str">
        <x:v>import_new_grouped_product</x:v>
      </x:c>
      <x:c r="D243" s="79" t="str">
        <x:v>304</x:v>
      </x:c>
      <x:c r="E243" s="79" t="str">
        <x:v>عرق معجون سنگ کلیه</x:v>
      </x:c>
      <x:c r="F243" s="79" t="str">
        <x:v>نوشیدنی‌ها</x:v>
      </x:c>
      <x:c r="G243" s="79" t="str">
        <x:v>6a3782ffdf5573f4e676e24b</x:v>
      </x:c>
      <x:c r="H243" s="79" t="str">
        <x:v>syrup</x:v>
      </x:c>
      <x:c r="I243" s="79" t="str">
        <x:v>6a3782d7df5573f4e676e243</x:v>
      </x:c>
      <x:c r="J243" s="79" t="str">
        <x:v>EDIBLE</x:v>
      </x:c>
      <x:c r="K243" s="79" t="str">
        <x:v>بله</x:v>
      </x:c>
      <x:c r="L243" s="79" t="n">
        <x:v>2</x:v>
      </x:c>
      <x:c r="M243" s="79" t="n">
        <x:v>0</x:v>
      </x:c>
      <x:c r="N243" s="79" t="str">
        <x:v>OK</x:v>
      </x:c>
      <x:c r="O243" s="79"/>
      <x:c r="P243" s="79" t="str">
        <x:v>[{"name": "نیم لیتر", "sku": "", "price": 95000, "stock": "", "weight": 500, "weightUnit": "ml", "containerSize": "نیم لیتر", "isDefault": true}, {"name": "1 لیتر", "sku": "", "price": 180000, "stock": "", "weight": 1000, "weightUnit": "ml", "containerSize": "1 لیتر", "isDefault": false}]</x:v>
      </x:c>
    </x:row>
    <x:row r="244">
      <x:c r="A244" s="79" t="str">
        <x:v>عرق نعناع سنگین</x:v>
      </x:c>
      <x:c r="B244" s="79" t="str">
        <x:v>argh-nanaa-sngyn</x:v>
      </x:c>
      <x:c r="C244" s="79" t="str">
        <x:v>import_new_grouped_product</x:v>
      </x:c>
      <x:c r="D244" s="79" t="str">
        <x:v>305</x:v>
      </x:c>
      <x:c r="E244" s="79" t="str">
        <x:v>عرق نعناع سنگین</x:v>
      </x:c>
      <x:c r="F244" s="79" t="str">
        <x:v>نوشیدنی‌ها</x:v>
      </x:c>
      <x:c r="G244" s="79" t="str">
        <x:v>6a3782ffdf5573f4e676e24b</x:v>
      </x:c>
      <x:c r="H244" s="79" t="str">
        <x:v>syrup</x:v>
      </x:c>
      <x:c r="I244" s="79" t="str">
        <x:v>6a3782d7df5573f4e676e243</x:v>
      </x:c>
      <x:c r="J244" s="79" t="str">
        <x:v>EDIBLE</x:v>
      </x:c>
      <x:c r="K244" s="79" t="str">
        <x:v>بله</x:v>
      </x:c>
      <x:c r="L244" s="79" t="n">
        <x:v>2</x:v>
      </x:c>
      <x:c r="M244" s="79" t="n">
        <x:v>0</x:v>
      </x:c>
      <x:c r="N244" s="79" t="str">
        <x:v>OK</x:v>
      </x:c>
      <x:c r="O244" s="79"/>
      <x:c r="P244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</x:row>
    <x:row r="245">
      <x:c r="A245" s="79" t="str">
        <x:v>عرق نعناع فلفلی</x:v>
      </x:c>
      <x:c r="B245" s="79" t="str">
        <x:v>argh-nanaa-flfly</x:v>
      </x:c>
      <x:c r="C245" s="79" t="str">
        <x:v>import_new_grouped_product</x:v>
      </x:c>
      <x:c r="D245" s="79" t="str">
        <x:v>306</x:v>
      </x:c>
      <x:c r="E245" s="79" t="str">
        <x:v>عرق نعناع فلفلی</x:v>
      </x:c>
      <x:c r="F245" s="79" t="str">
        <x:v>نوشیدنی‌ها</x:v>
      </x:c>
      <x:c r="G245" s="79" t="str">
        <x:v>6a3782ffdf5573f4e676e24b</x:v>
      </x:c>
      <x:c r="H245" s="79" t="str">
        <x:v>syrup</x:v>
      </x:c>
      <x:c r="I245" s="79" t="str">
        <x:v>6a3782d7df5573f4e676e243</x:v>
      </x:c>
      <x:c r="J245" s="79" t="str">
        <x:v>EDIBLE</x:v>
      </x:c>
      <x:c r="K245" s="79" t="str">
        <x:v>بله</x:v>
      </x:c>
      <x:c r="L245" s="79" t="n">
        <x:v>2</x:v>
      </x:c>
      <x:c r="M245" s="79" t="n">
        <x:v>0</x:v>
      </x:c>
      <x:c r="N245" s="79" t="str">
        <x:v>OK</x:v>
      </x:c>
      <x:c r="O245" s="79" t="str">
        <x:v>دسته از «ادویه» به «نوشیدنی‌ها» اصلاح شد</x:v>
      </x:c>
      <x:c r="P245" s="79" t="str">
        <x:v>[{"name": "نیم لیتر", "sku": "", "price": 75000, "stock": "", "weight": 500, "weightUnit": "ml", "containerSize": "نیم لیتر", "isDefault": true}, {"name": "1 لیتر", "sku": "", "price": 140000, "stock": "", "weight": 1000, "weightUnit": "ml", "containerSize": "1 لیتر", "isDefault": false}]</x:v>
      </x:c>
    </x:row>
    <x:row r="246">
      <x:c r="A246" s="79" t="str">
        <x:v>عرق هل سنگین</x:v>
      </x:c>
      <x:c r="B246" s="79" t="str">
        <x:v>argh-hl-sngyn</x:v>
      </x:c>
      <x:c r="C246" s="79" t="str">
        <x:v>import_new_grouped_product</x:v>
      </x:c>
      <x:c r="D246" s="79" t="str">
        <x:v>307</x:v>
      </x:c>
      <x:c r="E246" s="79" t="str">
        <x:v>عرق هل سنگین</x:v>
      </x:c>
      <x:c r="F246" s="79" t="str">
        <x:v>نوشیدنی‌ها</x:v>
      </x:c>
      <x:c r="G246" s="79" t="str">
        <x:v>6a3782ffdf5573f4e676e24b</x:v>
      </x:c>
      <x:c r="H246" s="79" t="str">
        <x:v>syrup</x:v>
      </x:c>
      <x:c r="I246" s="79" t="str">
        <x:v>6a3782d7df5573f4e676e243</x:v>
      </x:c>
      <x:c r="J246" s="79" t="str">
        <x:v>EDIBLE</x:v>
      </x:c>
      <x:c r="K246" s="79" t="str">
        <x:v>بله</x:v>
      </x:c>
      <x:c r="L246" s="79" t="n">
        <x:v>2</x:v>
      </x:c>
      <x:c r="M246" s="79" t="n">
        <x:v>0</x:v>
      </x:c>
      <x:c r="N246" s="79" t="str">
        <x:v>OK</x:v>
      </x:c>
      <x:c r="O246" s="79"/>
      <x:c r="P246" s="79" t="str">
        <x:v>[{"name": "نیم لیتر", "sku": "", "price": 230000, "stock": "", "weight": 500, "weightUnit": "ml", "containerSize": "نیم لیتر", "isDefault": true}, {"name": "1 لیتر", "sku": "", "price": 450000, "stock": "", "weight": 1000, "weightUnit": "ml", "containerSize": "1 لیتر", "isDefault": false}]</x:v>
      </x:c>
    </x:row>
    <x:row r="247">
      <x:c r="A247" s="79" t="str">
        <x:v>عرق پونه</x:v>
      </x:c>
      <x:c r="B247" s="79" t="str">
        <x:v>argh-pvnh</x:v>
      </x:c>
      <x:c r="C247" s="79" t="str">
        <x:v>import_new_grouped_product</x:v>
      </x:c>
      <x:c r="D247" s="79" t="str">
        <x:v>284</x:v>
      </x:c>
      <x:c r="E247" s="79" t="str">
        <x:v>عرق پونه</x:v>
      </x:c>
      <x:c r="F247" s="79" t="str">
        <x:v>نوشیدنی‌ها</x:v>
      </x:c>
      <x:c r="G247" s="79" t="str">
        <x:v>6a3782ffdf5573f4e676e24b</x:v>
      </x:c>
      <x:c r="H247" s="79" t="str">
        <x:v>syrup</x:v>
      </x:c>
      <x:c r="I247" s="79" t="str">
        <x:v>6a3782d7df5573f4e676e243</x:v>
      </x:c>
      <x:c r="J247" s="79" t="str">
        <x:v>EDIBLE</x:v>
      </x:c>
      <x:c r="K247" s="79" t="str">
        <x:v>بله</x:v>
      </x:c>
      <x:c r="L247" s="79" t="n">
        <x:v>2</x:v>
      </x:c>
      <x:c r="M247" s="79" t="n">
        <x:v>0</x:v>
      </x:c>
      <x:c r="N247" s="79" t="str">
        <x:v>OK</x:v>
      </x:c>
      <x:c r="O247" s="79"/>
      <x:c r="P247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</x:row>
    <x:row r="248">
      <x:c r="A248" s="79" t="str">
        <x:v>عرق چهل گیاه</x:v>
      </x:c>
      <x:c r="B248" s="79" t="str">
        <x:v>argh-chhl-gyah</x:v>
      </x:c>
      <x:c r="C248" s="79" t="str">
        <x:v>import_new_grouped_product</x:v>
      </x:c>
      <x:c r="D248" s="79" t="str">
        <x:v>285</x:v>
      </x:c>
      <x:c r="E248" s="79" t="str">
        <x:v>عرق چهل گیاه</x:v>
      </x:c>
      <x:c r="F248" s="79" t="str">
        <x:v>نوشیدنی‌ها</x:v>
      </x:c>
      <x:c r="G248" s="79" t="str">
        <x:v>6a3782ffdf5573f4e676e24b</x:v>
      </x:c>
      <x:c r="H248" s="79" t="str">
        <x:v>syrup</x:v>
      </x:c>
      <x:c r="I248" s="79" t="str">
        <x:v>6a3782d7df5573f4e676e243</x:v>
      </x:c>
      <x:c r="J248" s="79" t="str">
        <x:v>EDIBLE</x:v>
      </x:c>
      <x:c r="K248" s="79" t="str">
        <x:v>بله</x:v>
      </x:c>
      <x:c r="L248" s="79" t="n">
        <x:v>2</x:v>
      </x:c>
      <x:c r="M248" s="79" t="n">
        <x:v>0</x:v>
      </x:c>
      <x:c r="N248" s="79" t="str">
        <x:v>OK</x:v>
      </x:c>
      <x:c r="O248" s="79"/>
      <x:c r="P248" s="79" t="str">
        <x:v>[{"name": "نیم لیتر", "sku": "", "price": 70000, "stock": "", "weight": 500, "weightUnit": "ml", "containerSize": "نیم لیتر", "isDefault": true}, {"name": "1 لیتر", "sku": "", "price": 130000, "stock": "", "weight": 1000, "weightUnit": "ml", "containerSize": "1 لیتر", "isDefault": false}]</x:v>
      </x:c>
    </x:row>
    <x:row r="249">
      <x:c r="A249" s="79" t="str">
        <x:v>عرق کاسنی</x:v>
      </x:c>
      <x:c r="B249" s="79" t="str">
        <x:v>argh-kasny</x:v>
      </x:c>
      <x:c r="C249" s="79" t="str">
        <x:v>import_new_grouped_product</x:v>
      </x:c>
      <x:c r="D249" s="79" t="str">
        <x:v>297</x:v>
      </x:c>
      <x:c r="E249" s="79" t="str">
        <x:v>عرق کاسنی</x:v>
      </x:c>
      <x:c r="F249" s="79" t="str">
        <x:v>نوشیدنی‌ها</x:v>
      </x:c>
      <x:c r="G249" s="79" t="str">
        <x:v>6a3782ffdf5573f4e676e24b</x:v>
      </x:c>
      <x:c r="H249" s="79" t="str">
        <x:v>syrup</x:v>
      </x:c>
      <x:c r="I249" s="79" t="str">
        <x:v>6a3782d7df5573f4e676e243</x:v>
      </x:c>
      <x:c r="J249" s="79" t="str">
        <x:v>EDIBLE</x:v>
      </x:c>
      <x:c r="K249" s="79" t="str">
        <x:v>بله</x:v>
      </x:c>
      <x:c r="L249" s="79" t="n">
        <x:v>2</x:v>
      </x:c>
      <x:c r="M249" s="79" t="n">
        <x:v>0</x:v>
      </x:c>
      <x:c r="N249" s="79" t="str">
        <x:v>OK</x:v>
      </x:c>
      <x:c r="O249" s="79"/>
      <x:c r="P249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</x:row>
    <x:row r="250">
      <x:c r="A250" s="79" t="str">
        <x:v>عرق کاکوتی</x:v>
      </x:c>
      <x:c r="B250" s="79" t="str">
        <x:v>argh-kakvty</x:v>
      </x:c>
      <x:c r="C250" s="79" t="str">
        <x:v>import_new_grouped_product</x:v>
      </x:c>
      <x:c r="D250" s="79" t="str">
        <x:v>298</x:v>
      </x:c>
      <x:c r="E250" s="79" t="str">
        <x:v>عرق کاکوتی</x:v>
      </x:c>
      <x:c r="F250" s="79" t="str">
        <x:v>نوشیدنی‌ها</x:v>
      </x:c>
      <x:c r="G250" s="79" t="str">
        <x:v>6a3782ffdf5573f4e676e24b</x:v>
      </x:c>
      <x:c r="H250" s="79" t="str">
        <x:v>syrup</x:v>
      </x:c>
      <x:c r="I250" s="79" t="str">
        <x:v>6a3782d7df5573f4e676e243</x:v>
      </x:c>
      <x:c r="J250" s="79" t="str">
        <x:v>EDIBLE</x:v>
      </x:c>
      <x:c r="K250" s="79" t="str">
        <x:v>بله</x:v>
      </x:c>
      <x:c r="L250" s="79" t="n">
        <x:v>2</x:v>
      </x:c>
      <x:c r="M250" s="79" t="n">
        <x:v>0</x:v>
      </x:c>
      <x:c r="N250" s="79" t="str">
        <x:v>OK</x:v>
      </x:c>
      <x:c r="O250" s="79"/>
      <x:c r="P250" s="79" t="str">
        <x:v>[{"name": "نیم لیتر", "sku": "", "price": 70000, "stock": "", "weight": 500, "weightUnit": "ml", "containerSize": "نیم لیتر", "isDefault": true}, {"name": "1 لیتر", "sku": "", "price": 130000, "stock": "", "weight": 1000, "weightUnit": "ml", "containerSize": "1 لیتر", "isDefault": false}]</x:v>
      </x:c>
    </x:row>
    <x:row r="251">
      <x:c r="A251" s="79" t="str">
        <x:v>عرق گل گاوزبان</x:v>
      </x:c>
      <x:c r="B251" s="79" t="str">
        <x:v>argh-gl-gavzban</x:v>
      </x:c>
      <x:c r="C251" s="79" t="str">
        <x:v>import_new_grouped_product</x:v>
      </x:c>
      <x:c r="D251" s="79" t="str">
        <x:v>299</x:v>
      </x:c>
      <x:c r="E251" s="79" t="str">
        <x:v>عرق گل گاوزبان</x:v>
      </x:c>
      <x:c r="F251" s="79" t="str">
        <x:v>نوشیدنی‌ها</x:v>
      </x:c>
      <x:c r="G251" s="79" t="str">
        <x:v>6a3782ffdf5573f4e676e24b</x:v>
      </x:c>
      <x:c r="H251" s="79" t="str">
        <x:v>syrup</x:v>
      </x:c>
      <x:c r="I251" s="79" t="str">
        <x:v>6a3782d7df5573f4e676e243</x:v>
      </x:c>
      <x:c r="J251" s="79" t="str">
        <x:v>EDIBLE</x:v>
      </x:c>
      <x:c r="K251" s="79" t="str">
        <x:v>بله</x:v>
      </x:c>
      <x:c r="L251" s="79" t="n">
        <x:v>2</x:v>
      </x:c>
      <x:c r="M251" s="79" t="n">
        <x:v>0</x:v>
      </x:c>
      <x:c r="N251" s="79" t="str">
        <x:v>OK</x:v>
      </x:c>
      <x:c r="O251" s="79"/>
      <x:c r="P251" s="79" t="str">
        <x:v>[{"name": "نیم لیتر", "sku": "", "price": 90000, "stock": "", "weight": 500, "weightUnit": "ml", "containerSize": "نیم لیتر", "isDefault": true}, {"name": "1 لیتر", "sku": "", "price": 170000, "stock": "", "weight": 1000, "weightUnit": "ml", "containerSize": "1 لیتر", "isDefault": false}]</x:v>
      </x:c>
    </x:row>
    <x:row r="252">
      <x:c r="A252" s="79" t="str">
        <x:v>عرق گلاب</x:v>
      </x:c>
      <x:c r="B252" s="79" t="str">
        <x:v>rose_water</x:v>
      </x:c>
      <x:c r="C252" s="79" t="str">
        <x:v>import_new_grouped_product</x:v>
      </x:c>
      <x:c r="D252" s="79" t="str">
        <x:v>300, 301, 302</x:v>
      </x:c>
      <x:c r="E252" s="79" t="str">
        <x:v>عرق گلاب ساده | عرق گلاب سنگین | عرق گلاب ویژه</x:v>
      </x:c>
      <x:c r="F252" s="79" t="str">
        <x:v>نوشیدنی‌ها</x:v>
      </x:c>
      <x:c r="G252" s="79" t="str">
        <x:v>6a3782ffdf5573f4e676e24b</x:v>
      </x:c>
      <x:c r="H252" s="79" t="str">
        <x:v>syrup</x:v>
      </x:c>
      <x:c r="I252" s="79" t="str">
        <x:v>6a3782d7df5573f4e676e243</x:v>
      </x:c>
      <x:c r="J252" s="79" t="str">
        <x:v>EDIBLE</x:v>
      </x:c>
      <x:c r="K252" s="79" t="str">
        <x:v>بله</x:v>
      </x:c>
      <x:c r="L252" s="79" t="n">
        <x:v>6</x:v>
      </x:c>
      <x:c r="M252" s="79" t="n">
        <x:v>4</x:v>
      </x:c>
      <x:c r="N252" s="79" t="str">
        <x:v>MERGED + MISSING_PRICE_REVIEW + 4 VARIANT_PRICE_MISSING</x:v>
      </x:c>
      <x:c r="O252" s="79" t="str">
        <x:v>3 ردیف مشابه با هم یکی شد | یک یا چند قیمت نامشخص است</x:v>
      </x:c>
      <x:c r="P252" s="79" t="str">
        <x:v>[{"name": "ساده - نیم لیتر", "sku": "", "price": null, "stock": "", "weight": 500, "weightUnit": "ml", "containerSize": "نیم لیتر", "isDefault": true}, {"name": "ساده - 1 لیتر", "sku": "", "price": null, "stock": "", "weight": 1000, "weightUnit": "ml", "containerSize": "1 لیتر", "isDefault": false}, {"name": "سنگین - نیم لیتر", "sku": "", "price": 195000, "stock": "", "weight": 500, "weightUnit": "ml", "containerSize": "نیم لیتر", "isDefault": false}, {"name": "سنگین - 1 لیتر", "sku": "", "price": 380000, "stock": "", "weight": 1000, "weightUnit": "ml", "containerSize": "1 لیتر", "isDefault": false}, {"name": "ویژه - نیم لیتر", "sku": "", "price": null, "stock": "", "weight": 500, "weightUnit": "ml", "containerSize": "نیم لیتر", "isDefault": false}, {"name": "ویژه - 1 لیتر", "sku": "", "price": null, "stock": "", "weight": 1000, "weightUnit": "ml", "containerSize": "1 لیتر", "isDefault": false}]</x:v>
      </x:c>
    </x:row>
    <x:row r="253">
      <x:c r="A253" s="79" t="str">
        <x:v>عرق یونجه</x:v>
      </x:c>
      <x:c r="B253" s="79" t="str">
        <x:v>argh-yvnjh</x:v>
      </x:c>
      <x:c r="C253" s="79" t="str">
        <x:v>import_new_grouped_product</x:v>
      </x:c>
      <x:c r="D253" s="79" t="str">
        <x:v>308</x:v>
      </x:c>
      <x:c r="E253" s="79" t="str">
        <x:v>عرق یونجه</x:v>
      </x:c>
      <x:c r="F253" s="79" t="str">
        <x:v>نوشیدنی‌ها</x:v>
      </x:c>
      <x:c r="G253" s="79" t="str">
        <x:v>6a3782ffdf5573f4e676e24b</x:v>
      </x:c>
      <x:c r="H253" s="79" t="str">
        <x:v>syrup</x:v>
      </x:c>
      <x:c r="I253" s="79" t="str">
        <x:v>6a3782d7df5573f4e676e243</x:v>
      </x:c>
      <x:c r="J253" s="79" t="str">
        <x:v>EDIBLE</x:v>
      </x:c>
      <x:c r="K253" s="79" t="str">
        <x:v>بله</x:v>
      </x:c>
      <x:c r="L253" s="79" t="n">
        <x:v>2</x:v>
      </x:c>
      <x:c r="M253" s="79" t="n">
        <x:v>0</x:v>
      </x:c>
      <x:c r="N253" s="79" t="str">
        <x:v>OK</x:v>
      </x:c>
      <x:c r="O253" s="79"/>
      <x:c r="P253" s="79" t="str">
        <x:v>[{"name": "نیم لیتر", "sku": "", "price": 80000, "stock": "", "weight": 500, "weightUnit": "ml", "containerSize": "نیم لیتر", "isDefault": true}, {"name": "1 لیتر", "sku": "", "price": 150000, "stock": "", "weight": 1000, "weightUnit": "ml", "containerSize": "1 لیتر", "isDefault": false}]</x:v>
      </x:c>
    </x:row>
    <x:row r="254">
      <x:c r="A254" s="79" t="str">
        <x:v>قهوه اسپرسو</x:v>
      </x:c>
      <x:c r="B254" s="79" t="str">
        <x:v>espresso_coffee_1</x:v>
      </x:c>
      <x:c r="C254" s="79" t="str">
        <x:v>update_grouped_product</x:v>
      </x:c>
      <x:c r="D254" s="79" t="str">
        <x:v>326</x:v>
      </x:c>
      <x:c r="E254" s="79" t="str">
        <x:v>قهوه اسپرسو</x:v>
      </x:c>
      <x:c r="F254" s="79" t="str">
        <x:v>نوشیدنی‌ها</x:v>
      </x:c>
      <x:c r="G254" s="79" t="str">
        <x:v>6a3782ffdf5573f4e676e24b</x:v>
      </x:c>
      <x:c r="H254" s="79" t="str">
        <x:v>syrup</x:v>
      </x:c>
      <x:c r="I254" s="79" t="str">
        <x:v>6a3782d7df5573f4e676e243</x:v>
      </x:c>
      <x:c r="J254" s="79" t="str">
        <x:v>EDIBLE</x:v>
      </x:c>
      <x:c r="K254" s="79" t="str">
        <x:v>بله</x:v>
      </x:c>
      <x:c r="L254" s="79" t="n">
        <x:v>2</x:v>
      </x:c>
      <x:c r="M254" s="79" t="n">
        <x:v>0</x:v>
      </x:c>
      <x:c r="N254" s="79" t="str">
        <x:v>OK</x:v>
      </x:c>
      <x:c r="O254" s="79" t="str">
        <x:v>دسته از «نیاز به بررسی» به «نوشیدنی‌ها» اصلاح شد</x:v>
      </x:c>
      <x:c r="P254" s="79" t="str">
        <x:v>[{"name": "کیلو", "sku": "", "price": 1850000, "stock": "", "weight": 1, "weightUnit": "kg", "containerSize": "کیلو", "isDefault": true}, {"name": "بسته ای", "sku": "", "price": 220000, "stock": "", "weight": "", "weightUnit": "", "containerSize": "بسته ای", "isDefault": false}]</x:v>
      </x:c>
    </x:row>
    <x:row r="255">
      <x:c r="A255" s="79" t="str">
        <x:v>قهوه ترک</x:v>
      </x:c>
      <x:c r="B255" s="79" t="str">
        <x:v>turkish_coffee_1</x:v>
      </x:c>
      <x:c r="C255" s="79" t="str">
        <x:v>update_grouped_product</x:v>
      </x:c>
      <x:c r="D255" s="79" t="str">
        <x:v>327</x:v>
      </x:c>
      <x:c r="E255" s="79" t="str">
        <x:v>قهوه ترک</x:v>
      </x:c>
      <x:c r="F255" s="79" t="str">
        <x:v>نوشیدنی‌ها</x:v>
      </x:c>
      <x:c r="G255" s="79" t="str">
        <x:v>6a3782ffdf5573f4e676e24b</x:v>
      </x:c>
      <x:c r="H255" s="79" t="str">
        <x:v>syrup</x:v>
      </x:c>
      <x:c r="I255" s="79" t="str">
        <x:v>6a3782d7df5573f4e676e243</x:v>
      </x:c>
      <x:c r="J255" s="79" t="str">
        <x:v>EDIBLE</x:v>
      </x:c>
      <x:c r="K255" s="79" t="str">
        <x:v>بله</x:v>
      </x:c>
      <x:c r="L255" s="79" t="n">
        <x:v>2</x:v>
      </x:c>
      <x:c r="M255" s="79" t="n">
        <x:v>0</x:v>
      </x:c>
      <x:c r="N255" s="79" t="str">
        <x:v>OK</x:v>
      </x:c>
      <x:c r="O255" s="79" t="str">
        <x:v>دسته از «نیاز به بررسی» به «نوشیدنی‌ها» اصلاح شد</x:v>
      </x:c>
      <x:c r="P255" s="79" t="str">
        <x:v>[{"name": "کیلو", "sku": "", "price": 1850000, "stock": "", "weight": 1, "weightUnit": "kg", "containerSize": "کیلو", "isDefault": true}, {"name": "بسته ای", "sku": "", "price": 220000, "stock": "", "weight": "", "weightUnit": "", "containerSize": "بسته ای", "isDefault": false}]</x:v>
      </x:c>
    </x:row>
    <x:row r="256">
      <x:c r="A256" s="79" t="str">
        <x:v>قهوه فوری</x:v>
      </x:c>
      <x:c r="B256" s="79" t="str">
        <x:v>instant_coffee</x:v>
      </x:c>
      <x:c r="C256" s="79" t="str">
        <x:v>update_grouped_product</x:v>
      </x:c>
      <x:c r="D256" s="79" t="str">
        <x:v>328</x:v>
      </x:c>
      <x:c r="E256" s="79" t="str">
        <x:v>قهوه فوری</x:v>
      </x:c>
      <x:c r="F256" s="79" t="str">
        <x:v>نوشیدنی‌ها</x:v>
      </x:c>
      <x:c r="G256" s="79" t="str">
        <x:v>6a3782ffdf5573f4e676e24b</x:v>
      </x:c>
      <x:c r="H256" s="79" t="str">
        <x:v>syrup</x:v>
      </x:c>
      <x:c r="I256" s="79" t="str">
        <x:v>6a3782d7df5573f4e676e243</x:v>
      </x:c>
      <x:c r="J256" s="79" t="str">
        <x:v>EDIBLE</x:v>
      </x:c>
      <x:c r="K256" s="79" t="str">
        <x:v>بله</x:v>
      </x:c>
      <x:c r="L256" s="79" t="n">
        <x:v>1</x:v>
      </x:c>
      <x:c r="M256" s="79" t="n">
        <x:v>0</x:v>
      </x:c>
      <x:c r="N256" s="79" t="str">
        <x:v>OK</x:v>
      </x:c>
      <x:c r="O256" s="79" t="str">
        <x:v>دسته از «نیاز به بررسی» به «نوشیدنی‌ها» اصلاح شد</x:v>
      </x:c>
      <x:c r="P256" s="79" t="str">
        <x:v>[{"name": "کیلو", "sku": "", "price": 4900000, "stock": "", "weight": 1, "weightUnit": "kg", "containerSize": "کیلو", "isDefault": true}]</x:v>
      </x:c>
    </x:row>
    <x:row r="257">
      <x:c r="A257" s="79" t="str">
        <x:v>لبو</x:v>
      </x:c>
      <x:c r="B257" s="79" t="str">
        <x:v>beetroot</x:v>
      </x:c>
      <x:c r="C257" s="79" t="str">
        <x:v>update_grouped_product</x:v>
      </x:c>
      <x:c r="D257" s="79" t="str">
        <x:v>365</x:v>
      </x:c>
      <x:c r="E257" s="79" t="str">
        <x:v>لبو</x:v>
      </x:c>
      <x:c r="F257" s="79" t="str">
        <x:v>نوشیدنی‌ها</x:v>
      </x:c>
      <x:c r="G257" s="79" t="str">
        <x:v>6a3782ffdf5573f4e676e24b</x:v>
      </x:c>
      <x:c r="H257" s="79" t="str">
        <x:v>syrup</x:v>
      </x:c>
      <x:c r="I257" s="79" t="str">
        <x:v>6a3782d7df5573f4e676e243</x:v>
      </x:c>
      <x:c r="J257" s="79" t="str">
        <x:v>EDIBLE</x:v>
      </x:c>
      <x:c r="K257" s="79" t="str">
        <x:v>بله</x:v>
      </x:c>
      <x:c r="L257" s="79" t="n">
        <x:v>1</x:v>
      </x:c>
      <x:c r="M257" s="79" t="n">
        <x:v>1</x:v>
      </x:c>
      <x:c r="N257" s="79" t="str">
        <x:v>MISSING_PRICE_REVIEW + 1 VARIANT_PRICE_MISSING</x:v>
      </x:c>
      <x:c r="O257" s="79" t="str">
        <x:v>دسته از «نیاز به بررسی» به «نوشیدنی‌ها» اصلاح شد | یک یا چند قیمت نامشخص است</x:v>
      </x:c>
      <x:c r="P257" s="79" t="str">
        <x:v>[{"name": "کیلو", "sku": "", "price": null, "stock": "", "weight": 1, "weightUnit": "kg", "containerSize": "کیلو", "isDefault": true}]</x:v>
      </x:c>
    </x:row>
    <x:row r="258">
      <x:c r="A258" s="79" t="str">
        <x:v>پودر شربت</x:v>
      </x:c>
      <x:c r="B258" s="79" t="str">
        <x:v>pvdr-shrbt</x:v>
      </x:c>
      <x:c r="C258" s="79" t="str">
        <x:v>import_new_grouped_product</x:v>
      </x:c>
      <x:c r="D258" s="79" t="str">
        <x:v>65</x:v>
      </x:c>
      <x:c r="E258" s="79" t="str">
        <x:v>پودر شربت</x:v>
      </x:c>
      <x:c r="F258" s="79" t="str">
        <x:v>نوشیدنی‌ها</x:v>
      </x:c>
      <x:c r="G258" s="79" t="str">
        <x:v>6a3782ffdf5573f4e676e24b</x:v>
      </x:c>
      <x:c r="H258" s="79" t="str">
        <x:v>syrup</x:v>
      </x:c>
      <x:c r="I258" s="79" t="str">
        <x:v>6a3782d7df5573f4e676e243</x:v>
      </x:c>
      <x:c r="J258" s="79" t="str">
        <x:v>EDIBLE</x:v>
      </x:c>
      <x:c r="K258" s="79" t="str">
        <x:v>بله</x:v>
      </x:c>
      <x:c r="L258" s="79" t="n">
        <x:v>1</x:v>
      </x:c>
      <x:c r="M258" s="79" t="n">
        <x:v>0</x:v>
      </x:c>
      <x:c r="N258" s="79" t="str">
        <x:v>OK</x:v>
      </x:c>
      <x:c r="O258" s="79"/>
      <x:c r="P258" s="79" t="str">
        <x:v>[{"name": "کیلو", "sku": "", "price": 700000, "stock": "", "weight": 1, "weightUnit": "kg", "containerSize": "کیلو", "isDefault": true}]</x:v>
      </x:c>
    </x:row>
    <x:row r="259">
      <x:c r="A259" s="79" t="str">
        <x:v>تی بگ خواب آور 7 گرمی</x:v>
      </x:c>
      <x:c r="B259" s="79" t="str">
        <x:v>ty-bg-khvab-avr-7-grmy</x:v>
      </x:c>
      <x:c r="C259" s="79" t="str">
        <x:v>import_new_grouped_product</x:v>
      </x:c>
      <x:c r="D259" s="79" t="str">
        <x:v>77</x:v>
      </x:c>
      <x:c r="E259" s="79" t="str">
        <x:v>تی بگ خواب آور 7 گرمی</x:v>
      </x:c>
      <x:c r="F259" s="79" t="str">
        <x:v>چای</x:v>
      </x:c>
      <x:c r="G259" s="79" t="str">
        <x:v>6a30f5728337d8d2af170bb3</x:v>
      </x:c>
      <x:c r="H259" s="79" t="str">
        <x:v>tea</x:v>
      </x:c>
      <x:c r="I259" s="79"/>
      <x:c r="J259" s="79" t="str">
        <x:v>EDIBLE</x:v>
      </x:c>
      <x:c r="K259" s="79" t="str">
        <x:v>بله</x:v>
      </x:c>
      <x:c r="L259" s="79" t="n">
        <x:v>2</x:v>
      </x:c>
      <x:c r="M259" s="79" t="n">
        <x:v>0</x:v>
      </x:c>
      <x:c r="N259" s="79" t="str">
        <x:v>OK</x:v>
      </x:c>
      <x:c r="O259" s="79"/>
      <x:c r="P259" s="79" t="str">
        <x:v>[{"name": "بسته", "sku": "", "price": 20000, "stock": "", "weight": "", "weightUnit": "", "containerSize": "بسته", "isDefault": true}, {"name": "کیلو", "sku": "", "price": 2800000, "stock": "", "weight": 1, "weightUnit": "kg", "containerSize": "کیلو", "isDefault": false}]</x:v>
      </x:c>
    </x:row>
    <x:row r="260">
      <x:c r="A260" s="79" t="str">
        <x:v>تی بگ ناب سرا</x:v>
      </x:c>
      <x:c r="B260" s="79" t="str">
        <x:v>ty-bg-nab-sra</x:v>
      </x:c>
      <x:c r="C260" s="79" t="str">
        <x:v>import_new_grouped_product</x:v>
      </x:c>
      <x:c r="D260" s="79" t="str">
        <x:v>78</x:v>
      </x:c>
      <x:c r="E260" s="79" t="str">
        <x:v>تی بگ ناب سرا</x:v>
      </x:c>
      <x:c r="F260" s="79" t="str">
        <x:v>چای</x:v>
      </x:c>
      <x:c r="G260" s="79" t="str">
        <x:v>6a30f5728337d8d2af170bb3</x:v>
      </x:c>
      <x:c r="H260" s="79" t="str">
        <x:v>tea</x:v>
      </x:c>
      <x:c r="I260" s="79"/>
      <x:c r="J260" s="79" t="str">
        <x:v>EDIBLE</x:v>
      </x:c>
      <x:c r="K260" s="79" t="str">
        <x:v>بله</x:v>
      </x:c>
      <x:c r="L260" s="79" t="n">
        <x:v>1</x:v>
      </x:c>
      <x:c r="M260" s="79" t="n">
        <x:v>0</x:v>
      </x:c>
      <x:c r="N260" s="79" t="str">
        <x:v>OK</x:v>
      </x:c>
      <x:c r="O260" s="79"/>
      <x:c r="P260" s="79" t="str">
        <x:v>[{"name": "بسته", "sku": "", "price": 20000, "stock": "", "weight": "", "weightUnit": "", "containerSize": "بسته", "isDefault": true}]</x:v>
      </x:c>
    </x:row>
    <x:row r="261">
      <x:c r="A261" s="79" t="str">
        <x:v>تی بگ ویتامین سی 7 گرمی</x:v>
      </x:c>
      <x:c r="B261" s="79" t="str">
        <x:v>ty-bg-vytamyn-sy-7-grmy</x:v>
      </x:c>
      <x:c r="C261" s="79" t="str">
        <x:v>import_new_grouped_product</x:v>
      </x:c>
      <x:c r="D261" s="79" t="str">
        <x:v>79</x:v>
      </x:c>
      <x:c r="E261" s="79" t="str">
        <x:v>تی بگ ویتامین سی 7 گرمی</x:v>
      </x:c>
      <x:c r="F261" s="79" t="str">
        <x:v>چای</x:v>
      </x:c>
      <x:c r="G261" s="79" t="str">
        <x:v>6a30f5728337d8d2af170bb3</x:v>
      </x:c>
      <x:c r="H261" s="79" t="str">
        <x:v>tea</x:v>
      </x:c>
      <x:c r="I261" s="79"/>
      <x:c r="J261" s="79" t="str">
        <x:v>EDIBLE</x:v>
      </x:c>
      <x:c r="K261" s="79" t="str">
        <x:v>بله</x:v>
      </x:c>
      <x:c r="L261" s="79" t="n">
        <x:v>2</x:v>
      </x:c>
      <x:c r="M261" s="79" t="n">
        <x:v>0</x:v>
      </x:c>
      <x:c r="N261" s="79" t="str">
        <x:v>OK</x:v>
      </x:c>
      <x:c r="O261" s="79"/>
      <x:c r="P261" s="79" t="str">
        <x:v>[{"name": "بسته", "sku": "", "price": 15000, "stock": "", "weight": "", "weightUnit": "", "containerSize": "بسته", "isDefault": true}, {"name": "کیلو", "sku": "", "price": 2100000, "stock": "", "weight": 1, "weightUnit": "kg", "containerSize": "کیلو", "isDefault": false}]</x:v>
      </x:c>
    </x:row>
    <x:row r="262">
      <x:c r="A262" s="79" t="str">
        <x:v>تی بگ چربی سوز 15 گرمی</x:v>
      </x:c>
      <x:c r="B262" s="79" t="str">
        <x:v>ty-bg-chrby-svz-15-grmy</x:v>
      </x:c>
      <x:c r="C262" s="79" t="str">
        <x:v>import_new_grouped_product</x:v>
      </x:c>
      <x:c r="D262" s="79" t="str">
        <x:v>76</x:v>
      </x:c>
      <x:c r="E262" s="79" t="str">
        <x:v>تی بگ چربی سوز 15 گرمی</x:v>
      </x:c>
      <x:c r="F262" s="79" t="str">
        <x:v>چای</x:v>
      </x:c>
      <x:c r="G262" s="79" t="str">
        <x:v>6a30f5728337d8d2af170bb3</x:v>
      </x:c>
      <x:c r="H262" s="79" t="str">
        <x:v>tea</x:v>
      </x:c>
      <x:c r="I262" s="79"/>
      <x:c r="J262" s="79" t="str">
        <x:v>EDIBLE</x:v>
      </x:c>
      <x:c r="K262" s="79" t="str">
        <x:v>بله</x:v>
      </x:c>
      <x:c r="L262" s="79" t="n">
        <x:v>2</x:v>
      </x:c>
      <x:c r="M262" s="79" t="n">
        <x:v>0</x:v>
      </x:c>
      <x:c r="N262" s="79" t="str">
        <x:v>OK</x:v>
      </x:c>
      <x:c r="O262" s="79"/>
      <x:c r="P262" s="79" t="str">
        <x:v>[{"name": "بسته", "sku": "", "price": 15000, "stock": "", "weight": "", "weightUnit": "", "containerSize": "بسته", "isDefault": true}, {"name": "کیلو", "sku": "", "price": 1150000, "stock": "", "weight": 1, "weightUnit": "kg", "containerSize": "کیلو", "isDefault": false}]</x:v>
      </x:c>
    </x:row>
    <x:row r="263">
      <x:c r="A263" s="79" t="str">
        <x:v>دمنوش 10 گیاه</x:v>
      </x:c>
      <x:c r="B263" s="79" t="str">
        <x:v>dmnvsh-10-gyah</x:v>
      </x:c>
      <x:c r="C263" s="79" t="str">
        <x:v>import_new_grouped_product</x:v>
      </x:c>
      <x:c r="D263" s="79" t="str">
        <x:v>117</x:v>
      </x:c>
      <x:c r="E263" s="79" t="str">
        <x:v>دمنوش 10 گیاه</x:v>
      </x:c>
      <x:c r="F263" s="79" t="str">
        <x:v>چای</x:v>
      </x:c>
      <x:c r="G263" s="79" t="str">
        <x:v>6a30f5728337d8d2af170bb3</x:v>
      </x:c>
      <x:c r="H263" s="79" t="str">
        <x:v>tea</x:v>
      </x:c>
      <x:c r="I263" s="79"/>
      <x:c r="J263" s="79" t="str">
        <x:v>EDIBLE</x:v>
      </x:c>
      <x:c r="K263" s="79" t="str">
        <x:v>بله</x:v>
      </x:c>
      <x:c r="L263" s="79" t="n">
        <x:v>1</x:v>
      </x:c>
      <x:c r="M263" s="79" t="n">
        <x:v>0</x:v>
      </x:c>
      <x:c r="N263" s="79" t="str">
        <x:v>OK</x:v>
      </x:c>
      <x:c r="O263" s="79"/>
      <x:c r="P263" s="79" t="str">
        <x:v>[{"name": "کیلو", "sku": "", "price": 120000, "stock": "", "weight": 1, "weightUnit": "kg", "containerSize": "کیلو", "isDefault": true}]</x:v>
      </x:c>
    </x:row>
    <x:row r="264">
      <x:c r="A264" s="79" t="str">
        <x:v>دمنوش آویشن</x:v>
      </x:c>
      <x:c r="B264" s="79" t="str">
        <x:v>dmnvsh-avyshn</x:v>
      </x:c>
      <x:c r="C264" s="79" t="str">
        <x:v>import_new_grouped_product</x:v>
      </x:c>
      <x:c r="D264" s="79" t="str">
        <x:v>118</x:v>
      </x:c>
      <x:c r="E264" s="79" t="str">
        <x:v>دمنوش آویشن</x:v>
      </x:c>
      <x:c r="F264" s="79" t="str">
        <x:v>چای</x:v>
      </x:c>
      <x:c r="G264" s="79" t="str">
        <x:v>6a30f5728337d8d2af170bb3</x:v>
      </x:c>
      <x:c r="H264" s="79" t="str">
        <x:v>tea</x:v>
      </x:c>
      <x:c r="I264" s="79"/>
      <x:c r="J264" s="79" t="str">
        <x:v>EDIBLE</x:v>
      </x:c>
      <x:c r="K264" s="79" t="str">
        <x:v>بله</x:v>
      </x:c>
      <x:c r="L264" s="79" t="n">
        <x:v>1</x:v>
      </x:c>
      <x:c r="M264" s="79" t="n">
        <x:v>0</x:v>
      </x:c>
      <x:c r="N264" s="79" t="str">
        <x:v>OK</x:v>
      </x:c>
      <x:c r="O264" s="79"/>
      <x:c r="P264" s="79" t="str">
        <x:v>[{"name": "کیلو", "sku": "", "price": 950000, "stock": "", "weight": 1, "weightUnit": "kg", "containerSize": "کیلو", "isDefault": true}]</x:v>
      </x:c>
    </x:row>
    <x:row r="265">
      <x:c r="A265" s="79" t="str">
        <x:v>چای انبه</x:v>
      </x:c>
      <x:c r="B265" s="79" t="str">
        <x:v>chay-anbh</x:v>
      </x:c>
      <x:c r="C265" s="79" t="str">
        <x:v>import_new_grouped_product</x:v>
      </x:c>
      <x:c r="D265" s="79" t="str">
        <x:v>86</x:v>
      </x:c>
      <x:c r="E265" s="79" t="str">
        <x:v>چای انبه</x:v>
      </x:c>
      <x:c r="F265" s="79" t="str">
        <x:v>چای</x:v>
      </x:c>
      <x:c r="G265" s="79" t="str">
        <x:v>6a30f5728337d8d2af170bb3</x:v>
      </x:c>
      <x:c r="H265" s="79" t="str">
        <x:v>tea</x:v>
      </x:c>
      <x:c r="I265" s="79"/>
      <x:c r="J265" s="79" t="str">
        <x:v>EDIBLE</x:v>
      </x:c>
      <x:c r="K265" s="79" t="str">
        <x:v>بله</x:v>
      </x:c>
      <x:c r="L265" s="79" t="n">
        <x:v>1</x:v>
      </x:c>
      <x:c r="M265" s="79" t="n">
        <x:v>0</x:v>
      </x:c>
      <x:c r="N265" s="79" t="str">
        <x:v>OK</x:v>
      </x:c>
      <x:c r="O265" s="79"/>
      <x:c r="P265" s="79" t="str">
        <x:v>[{"name": "کیلو", "sku": "", "price": 4500000, "stock": "", "weight": 1, "weightUnit": "kg", "containerSize": "کیلو", "isDefault": true}]</x:v>
      </x:c>
    </x:row>
    <x:row r="266">
      <x:c r="A266" s="79" t="str">
        <x:v>چای ترش</x:v>
      </x:c>
      <x:c r="B266" s="79" t="str">
        <x:v>hibiscus_tea</x:v>
      </x:c>
      <x:c r="C266" s="79" t="str">
        <x:v>import_new_grouped_product</x:v>
      </x:c>
      <x:c r="D266" s="79" t="str">
        <x:v>87, 88</x:v>
      </x:c>
      <x:c r="E266" s="79" t="str">
        <x:v>چای ترش ایرانی | چای ترش خارجی</x:v>
      </x:c>
      <x:c r="F266" s="79" t="str">
        <x:v>چای</x:v>
      </x:c>
      <x:c r="G266" s="79" t="str">
        <x:v>6a30f5728337d8d2af170bb3</x:v>
      </x:c>
      <x:c r="H266" s="79" t="str">
        <x:v>tea</x:v>
      </x:c>
      <x:c r="I266" s="79"/>
      <x:c r="J266" s="79" t="str">
        <x:v>EDIBLE</x:v>
      </x:c>
      <x:c r="K266" s="79" t="str">
        <x:v>بله</x:v>
      </x:c>
      <x:c r="L266" s="79" t="n">
        <x:v>2</x:v>
      </x:c>
      <x:c r="M266" s="79" t="n">
        <x:v>1</x:v>
      </x:c>
      <x:c r="N266" s="79" t="str">
        <x:v>MERGED + MISSING_PRICE_REVIEW + 1 VARIANT_PRICE_MISSING</x:v>
      </x:c>
      <x:c r="O266" s="79" t="str">
        <x:v>2 ردیف مشابه با هم یکی شد | یک یا چند قیمت نامشخص است</x:v>
      </x:c>
      <x:c r="P266" s="79" t="str">
        <x:v>[{"name": "ایرانی - کیلو", "sku": "", "price": 3250000, "stock": "", "weight": 1, "weightUnit": "kg", "containerSize": "کیلو", "isDefault": true}, {"name": "خارجی - کیلو", "sku": "", "price": null, "stock": "", "weight": 1, "weightUnit": "kg", "containerSize": "کیلو", "isDefault": false}]</x:v>
      </x:c>
    </x:row>
    <x:row r="267">
      <x:c r="A267" s="79" t="str">
        <x:v>چای توت فرنگی</x:v>
      </x:c>
      <x:c r="B267" s="79" t="str">
        <x:v>chay-tvt-frngy</x:v>
      </x:c>
      <x:c r="C267" s="79" t="str">
        <x:v>import_new_grouped_product</x:v>
      </x:c>
      <x:c r="D267" s="79" t="str">
        <x:v>89</x:v>
      </x:c>
      <x:c r="E267" s="79" t="str">
        <x:v>چای توت فرنگی</x:v>
      </x:c>
      <x:c r="F267" s="79" t="str">
        <x:v>چای</x:v>
      </x:c>
      <x:c r="G267" s="79" t="str">
        <x:v>6a30f5728337d8d2af170bb3</x:v>
      </x:c>
      <x:c r="H267" s="79" t="str">
        <x:v>tea</x:v>
      </x:c>
      <x:c r="I267" s="79"/>
      <x:c r="J267" s="79" t="str">
        <x:v>EDIBLE</x:v>
      </x:c>
      <x:c r="K267" s="79" t="str">
        <x:v>بله</x:v>
      </x:c>
      <x:c r="L267" s="79" t="n">
        <x:v>1</x:v>
      </x:c>
      <x:c r="M267" s="79" t="n">
        <x:v>0</x:v>
      </x:c>
      <x:c r="N267" s="79" t="str">
        <x:v>OK</x:v>
      </x:c>
      <x:c r="O267" s="79"/>
      <x:c r="P267" s="79" t="str">
        <x:v>[{"name": "کیلو", "sku": "", "price": 3700000, "stock": "", "weight": 1, "weightUnit": "kg", "containerSize": "کیلو", "isDefault": true}]</x:v>
      </x:c>
    </x:row>
    <x:row r="268">
      <x:c r="A268" s="79" t="str">
        <x:v>چای سبز ایرانی</x:v>
      </x:c>
      <x:c r="B268" s="79" t="str">
        <x:v>chay-sbz-ayrany</x:v>
      </x:c>
      <x:c r="C268" s="79" t="str">
        <x:v>import_new_grouped_product</x:v>
      </x:c>
      <x:c r="D268" s="79" t="str">
        <x:v>91</x:v>
      </x:c>
      <x:c r="E268" s="79" t="str">
        <x:v>چای سبز ایرانی</x:v>
      </x:c>
      <x:c r="F268" s="79" t="str">
        <x:v>چای</x:v>
      </x:c>
      <x:c r="G268" s="79" t="str">
        <x:v>6a30f5728337d8d2af170bb3</x:v>
      </x:c>
      <x:c r="H268" s="79" t="str">
        <x:v>tea</x:v>
      </x:c>
      <x:c r="I268" s="79"/>
      <x:c r="J268" s="79" t="str">
        <x:v>EDIBLE</x:v>
      </x:c>
      <x:c r="K268" s="79" t="str">
        <x:v>بله</x:v>
      </x:c>
      <x:c r="L268" s="79" t="n">
        <x:v>1</x:v>
      </x:c>
      <x:c r="M268" s="79" t="n">
        <x:v>0</x:v>
      </x:c>
      <x:c r="N268" s="79" t="str">
        <x:v>OK</x:v>
      </x:c>
      <x:c r="O268" s="79"/>
      <x:c r="P268" s="79" t="str">
        <x:v>[{"name": "کیلو", "sku": "", "price": 900000, "stock": "", "weight": 1, "weightUnit": "kg", "containerSize": "کیلو", "isDefault": true}]</x:v>
      </x:c>
    </x:row>
    <x:row r="269">
      <x:c r="A269" s="79" t="str">
        <x:v>چای ماسالا</x:v>
      </x:c>
      <x:c r="B269" s="79" t="str">
        <x:v>chay-masala</x:v>
      </x:c>
      <x:c r="C269" s="79" t="str">
        <x:v>import_new_grouped_product</x:v>
      </x:c>
      <x:c r="D269" s="79" t="str">
        <x:v>97</x:v>
      </x:c>
      <x:c r="E269" s="79" t="str">
        <x:v>چای ماسالا</x:v>
      </x:c>
      <x:c r="F269" s="79" t="str">
        <x:v>چای</x:v>
      </x:c>
      <x:c r="G269" s="79" t="str">
        <x:v>6a30f5728337d8d2af170bb3</x:v>
      </x:c>
      <x:c r="H269" s="79" t="str">
        <x:v>tea</x:v>
      </x:c>
      <x:c r="I269" s="79"/>
      <x:c r="J269" s="79" t="str">
        <x:v>EDIBLE</x:v>
      </x:c>
      <x:c r="K269" s="79" t="str">
        <x:v>بله</x:v>
      </x:c>
      <x:c r="L269" s="79" t="n">
        <x:v>1</x:v>
      </x:c>
      <x:c r="M269" s="79" t="n">
        <x:v>0</x:v>
      </x:c>
      <x:c r="N269" s="79" t="str">
        <x:v>OK</x:v>
      </x:c>
      <x:c r="O269" s="79"/>
      <x:c r="P269" s="79" t="str">
        <x:v>[{"name": "کیلو", "sku": "", "price": 1800000, "stock": "", "weight": 1, "weightUnit": "kg", "containerSize": "کیلو", "isDefault": true}]</x:v>
      </x:c>
    </x:row>
    <x:row r="270">
      <x:c r="A270" s="79" t="str">
        <x:v>چای مراکش</x:v>
      </x:c>
      <x:c r="B270" s="79" t="str">
        <x:v>chay-mraksh</x:v>
      </x:c>
      <x:c r="C270" s="79" t="str">
        <x:v>import_new_grouped_product</x:v>
      </x:c>
      <x:c r="D270" s="79" t="str">
        <x:v>98</x:v>
      </x:c>
      <x:c r="E270" s="79" t="str">
        <x:v>چای مراکش</x:v>
      </x:c>
      <x:c r="F270" s="79" t="str">
        <x:v>چای</x:v>
      </x:c>
      <x:c r="G270" s="79" t="str">
        <x:v>6a30f5728337d8d2af170bb3</x:v>
      </x:c>
      <x:c r="H270" s="79" t="str">
        <x:v>tea</x:v>
      </x:c>
      <x:c r="I270" s="79"/>
      <x:c r="J270" s="79" t="str">
        <x:v>EDIBLE</x:v>
      </x:c>
      <x:c r="K270" s="79" t="str">
        <x:v>بله</x:v>
      </x:c>
      <x:c r="L270" s="79" t="n">
        <x:v>1</x:v>
      </x:c>
      <x:c r="M270" s="79" t="n">
        <x:v>0</x:v>
      </x:c>
      <x:c r="N270" s="79" t="str">
        <x:v>OK</x:v>
      </x:c>
      <x:c r="O270" s="79"/>
      <x:c r="P270" s="79" t="str">
        <x:v>[{"name": "کیلو", "sku": "", "price": 3800000, "stock": "", "weight": 1, "weightUnit": "kg", "containerSize": "کیلو", "isDefault": true}]</x:v>
      </x:c>
    </x:row>
    <x:row r="271">
      <x:c r="A271" s="79" t="str">
        <x:v>چای میوه ای</x:v>
      </x:c>
      <x:c r="B271" s="79" t="str">
        <x:v>chay-myvh-ay</x:v>
      </x:c>
      <x:c r="C271" s="79" t="str">
        <x:v>import_new_grouped_product</x:v>
      </x:c>
      <x:c r="D271" s="79" t="str">
        <x:v>99</x:v>
      </x:c>
      <x:c r="E271" s="79" t="str">
        <x:v>چای میوه ای</x:v>
      </x:c>
      <x:c r="F271" s="79" t="str">
        <x:v>چای</x:v>
      </x:c>
      <x:c r="G271" s="79" t="str">
        <x:v>6a30f5728337d8d2af170bb3</x:v>
      </x:c>
      <x:c r="H271" s="79" t="str">
        <x:v>tea</x:v>
      </x:c>
      <x:c r="I271" s="79"/>
      <x:c r="J271" s="79" t="str">
        <x:v>EDIBLE</x:v>
      </x:c>
      <x:c r="K271" s="79" t="str">
        <x:v>بله</x:v>
      </x:c>
      <x:c r="L271" s="79" t="n">
        <x:v>1</x:v>
      </x:c>
      <x:c r="M271" s="79" t="n">
        <x:v>0</x:v>
      </x:c>
      <x:c r="N271" s="79" t="str">
        <x:v>OK</x:v>
      </x:c>
      <x:c r="O271" s="79"/>
      <x:c r="P271" s="79" t="str">
        <x:v>[{"name": "کیلو", "sku": "", "price": 670000, "stock": "", "weight": 1, "weightUnit": "kg", "containerSize": "کیلو", "isDefault": true}]</x:v>
      </x:c>
    </x:row>
    <x:row r="272">
      <x:c r="A272" s="79" t="str">
        <x:v>چای چوب</x:v>
      </x:c>
      <x:c r="B272" s="79" t="str">
        <x:v>chay-chvb</x:v>
      </x:c>
      <x:c r="C272" s="79" t="str">
        <x:v>import_new_grouped_product</x:v>
      </x:c>
      <x:c r="D272" s="79" t="str">
        <x:v>90</x:v>
      </x:c>
      <x:c r="E272" s="79" t="str">
        <x:v>چای چوب</x:v>
      </x:c>
      <x:c r="F272" s="79" t="str">
        <x:v>چای</x:v>
      </x:c>
      <x:c r="G272" s="79" t="str">
        <x:v>6a30f5728337d8d2af170bb3</x:v>
      </x:c>
      <x:c r="H272" s="79" t="str">
        <x:v>tea</x:v>
      </x:c>
      <x:c r="I272" s="79"/>
      <x:c r="J272" s="79" t="str">
        <x:v>EDIBLE</x:v>
      </x:c>
      <x:c r="K272" s="79" t="str">
        <x:v>بله</x:v>
      </x:c>
      <x:c r="L272" s="79" t="n">
        <x:v>1</x:v>
      </x:c>
      <x:c r="M272" s="79" t="n">
        <x:v>0</x:v>
      </x:c>
      <x:c r="N272" s="79" t="str">
        <x:v>OK</x:v>
      </x:c>
      <x:c r="O272" s="79"/>
      <x:c r="P272" s="79" t="str">
        <x:v>[{"name": "کیلو", "sku": "", "price": 350000, "stock": "", "weight": 1, "weightUnit": "kg", "containerSize": "کیلو", "isDefault": true}]</x:v>
      </x:c>
    </x:row>
    <x:row r="273">
      <x:c r="A273" s="79" t="str">
        <x:v>چای کرک لاته موزی</x:v>
      </x:c>
      <x:c r="B273" s="79" t="str">
        <x:v>chay-krk-lath-mvzy</x:v>
      </x:c>
      <x:c r="C273" s="79" t="str">
        <x:v>import_new_grouped_product</x:v>
      </x:c>
      <x:c r="D273" s="79" t="str">
        <x:v>94</x:v>
      </x:c>
      <x:c r="E273" s="79" t="str">
        <x:v>چای کرک لاته موزی</x:v>
      </x:c>
      <x:c r="F273" s="79" t="str">
        <x:v>چای</x:v>
      </x:c>
      <x:c r="G273" s="79" t="str">
        <x:v>6a30f5728337d8d2af170bb3</x:v>
      </x:c>
      <x:c r="H273" s="79" t="str">
        <x:v>tea</x:v>
      </x:c>
      <x:c r="I273" s="79"/>
      <x:c r="J273" s="79" t="str">
        <x:v>EDIBLE</x:v>
      </x:c>
      <x:c r="K273" s="79" t="str">
        <x:v>بله</x:v>
      </x:c>
      <x:c r="L273" s="79" t="n">
        <x:v>1</x:v>
      </x:c>
      <x:c r="M273" s="79" t="n">
        <x:v>0</x:v>
      </x:c>
      <x:c r="N273" s="79" t="str">
        <x:v>OK</x:v>
      </x:c>
      <x:c r="O273" s="79"/>
      <x:c r="P273" s="79" t="str">
        <x:v>[{"name": "کیلو", "sku": "", "price": 1590000, "stock": "", "weight": 1, "weightUnit": "kg", "containerSize": "کیلو", "isDefault": true}]</x:v>
      </x:c>
    </x:row>
    <x:row r="274">
      <x:c r="A274" s="79" t="str">
        <x:v>چای کرک هل</x:v>
      </x:c>
      <x:c r="B274" s="79" t="str">
        <x:v>chay-krk-hl</x:v>
      </x:c>
      <x:c r="C274" s="79" t="str">
        <x:v>import_new_grouped_product</x:v>
      </x:c>
      <x:c r="D274" s="79" t="str">
        <x:v>95</x:v>
      </x:c>
      <x:c r="E274" s="79" t="str">
        <x:v>چای کرک هل</x:v>
      </x:c>
      <x:c r="F274" s="79" t="str">
        <x:v>چای</x:v>
      </x:c>
      <x:c r="G274" s="79" t="str">
        <x:v>6a30f5728337d8d2af170bb3</x:v>
      </x:c>
      <x:c r="H274" s="79" t="str">
        <x:v>tea</x:v>
      </x:c>
      <x:c r="I274" s="79"/>
      <x:c r="J274" s="79" t="str">
        <x:v>EDIBLE</x:v>
      </x:c>
      <x:c r="K274" s="79" t="str">
        <x:v>بله</x:v>
      </x:c>
      <x:c r="L274" s="79" t="n">
        <x:v>1</x:v>
      </x:c>
      <x:c r="M274" s="79" t="n">
        <x:v>0</x:v>
      </x:c>
      <x:c r="N274" s="79" t="str">
        <x:v>OK</x:v>
      </x:c>
      <x:c r="O274" s="79"/>
      <x:c r="P274" s="79" t="str">
        <x:v>[{"name": "کیلو", "sku": "", "price": 1590000, "stock": "", "weight": 1, "weightUnit": "kg", "containerSize": "کیلو", "isDefault": true}]</x:v>
      </x:c>
    </x:row>
    <x:row r="275">
      <x:c r="A275" s="79" t="str">
        <x:v>چای کرک پسته زعفران</x:v>
      </x:c>
      <x:c r="B275" s="79" t="str">
        <x:v>chay-krk-psth-zafran</x:v>
      </x:c>
      <x:c r="C275" s="79" t="str">
        <x:v>import_new_grouped_product</x:v>
      </x:c>
      <x:c r="D275" s="79" t="str">
        <x:v>92</x:v>
      </x:c>
      <x:c r="E275" s="79" t="str">
        <x:v>چای کرک پسته زعفران</x:v>
      </x:c>
      <x:c r="F275" s="79" t="str">
        <x:v>چای</x:v>
      </x:c>
      <x:c r="G275" s="79" t="str">
        <x:v>6a30f5728337d8d2af170bb3</x:v>
      </x:c>
      <x:c r="H275" s="79" t="str">
        <x:v>tea</x:v>
      </x:c>
      <x:c r="I275" s="79"/>
      <x:c r="J275" s="79" t="str">
        <x:v>EDIBLE</x:v>
      </x:c>
      <x:c r="K275" s="79" t="str">
        <x:v>بله</x:v>
      </x:c>
      <x:c r="L275" s="79" t="n">
        <x:v>1</x:v>
      </x:c>
      <x:c r="M275" s="79" t="n">
        <x:v>0</x:v>
      </x:c>
      <x:c r="N275" s="79" t="str">
        <x:v>OK</x:v>
      </x:c>
      <x:c r="O275" s="79"/>
      <x:c r="P275" s="79" t="str">
        <x:v>[{"name": "کیلو", "sku": "", "price": 1850000, "stock": "", "weight": 1, "weightUnit": "kg", "containerSize": "کیلو", "isDefault": true}]</x:v>
      </x:c>
    </x:row>
    <x:row r="276">
      <x:c r="A276" s="79" t="str">
        <x:v>چای کرک کارامل</x:v>
      </x:c>
      <x:c r="B276" s="79" t="str">
        <x:v>chay-krk-karaml</x:v>
      </x:c>
      <x:c r="C276" s="79" t="str">
        <x:v>import_new_grouped_product</x:v>
      </x:c>
      <x:c r="D276" s="79" t="str">
        <x:v>93</x:v>
      </x:c>
      <x:c r="E276" s="79" t="str">
        <x:v>چای کرک کارامل</x:v>
      </x:c>
      <x:c r="F276" s="79" t="str">
        <x:v>چای</x:v>
      </x:c>
      <x:c r="G276" s="79" t="str">
        <x:v>6a30f5728337d8d2af170bb3</x:v>
      </x:c>
      <x:c r="H276" s="79" t="str">
        <x:v>tea</x:v>
      </x:c>
      <x:c r="I276" s="79"/>
      <x:c r="J276" s="79" t="str">
        <x:v>EDIBLE</x:v>
      </x:c>
      <x:c r="K276" s="79" t="str">
        <x:v>بله</x:v>
      </x:c>
      <x:c r="L276" s="79" t="n">
        <x:v>1</x:v>
      </x:c>
      <x:c r="M276" s="79" t="n">
        <x:v>0</x:v>
      </x:c>
      <x:c r="N276" s="79" t="str">
        <x:v>OK</x:v>
      </x:c>
      <x:c r="O276" s="79"/>
      <x:c r="P276" s="79" t="str">
        <x:v>[{"name": "کیلو", "sku": "", "price": 1800000, "stock": "", "weight": 1, "weightUnit": "kg", "containerSize": "کیلو", "isDefault": true}]</x:v>
      </x:c>
    </x:row>
    <x:row r="277">
      <x:c r="A277" s="79" t="str">
        <x:v>چای کوهی</x:v>
      </x:c>
      <x:c r="B277" s="79" t="str">
        <x:v>mountain_tea</x:v>
      </x:c>
      <x:c r="C277" s="79" t="str">
        <x:v>update_grouped_product</x:v>
      </x:c>
      <x:c r="D277" s="79" t="str">
        <x:v>96</x:v>
      </x:c>
      <x:c r="E277" s="79" t="str">
        <x:v>چای کوهی</x:v>
      </x:c>
      <x:c r="F277" s="79" t="str">
        <x:v>چای</x:v>
      </x:c>
      <x:c r="G277" s="79" t="str">
        <x:v>6a30f5728337d8d2af170bb3</x:v>
      </x:c>
      <x:c r="H277" s="79" t="str">
        <x:v>tea</x:v>
      </x:c>
      <x:c r="I277" s="79"/>
      <x:c r="J277" s="79" t="str">
        <x:v>EDIBLE</x:v>
      </x:c>
      <x:c r="K277" s="79" t="str">
        <x:v>بله</x:v>
      </x:c>
      <x:c r="L277" s="79" t="n">
        <x:v>1</x:v>
      </x:c>
      <x:c r="M277" s="79" t="n">
        <x:v>0</x:v>
      </x:c>
      <x:c r="N277" s="79" t="str">
        <x:v>OK</x:v>
      </x:c>
      <x:c r="O277" s="79"/>
      <x:c r="P277" s="79" t="str">
        <x:v>[{"name": "کیلو", "sku": "", "price": 710000, "stock": "", "weight": 1, "weightUnit": "kg", "containerSize": "کیلو", "isDefault": true}]</x:v>
      </x:c>
    </x:row>
    <x:row r="278">
      <x:c r="A278" s="79" t="str">
        <x:v>آویشن شیرازی</x:v>
      </x:c>
      <x:c r="B278" s="79" t="str">
        <x:v>shirazi_thyme</x:v>
      </x:c>
      <x:c r="C278" s="79" t="str">
        <x:v>update_grouped_product</x:v>
      </x:c>
      <x:c r="D278" s="79" t="str">
        <x:v>41</x:v>
      </x:c>
      <x:c r="E278" s="79" t="str">
        <x:v>آویشن شیرازی</x:v>
      </x:c>
      <x:c r="F278" s="79" t="str">
        <x:v>گیاهان دارویی</x:v>
      </x:c>
      <x:c r="G278" s="79" t="str">
        <x:v>6a3782d7df5573f4e676e243</x:v>
      </x:c>
      <x:c r="H278" s="79" t="str">
        <x:v>medicinal-plants</x:v>
      </x:c>
      <x:c r="I278" s="79"/>
      <x:c r="J278" s="79" t="str">
        <x:v>EDIBLE</x:v>
      </x:c>
      <x:c r="K278" s="79" t="str">
        <x:v>بله</x:v>
      </x:c>
      <x:c r="L278" s="79" t="n">
        <x:v>1</x:v>
      </x:c>
      <x:c r="M278" s="79" t="n">
        <x:v>0</x:v>
      </x:c>
      <x:c r="N278" s="79" t="str">
        <x:v>OK</x:v>
      </x:c>
      <x:c r="O278" s="79"/>
      <x:c r="P278" s="79" t="str">
        <x:v>[{"name": "کیلو", "sku": "", "price": 4500000, "stock": "", "weight": 1, "weightUnit": "kg", "containerSize": "کیلو", "isDefault": true}]</x:v>
      </x:c>
    </x:row>
    <x:row r="279">
      <x:c r="A279" s="79" t="str">
        <x:v>آویشن کوهی</x:v>
      </x:c>
      <x:c r="B279" s="79" t="str">
        <x:v>wild_thyme</x:v>
      </x:c>
      <x:c r="C279" s="79" t="str">
        <x:v>update_grouped_product</x:v>
      </x:c>
      <x:c r="D279" s="79" t="str">
        <x:v>42</x:v>
      </x:c>
      <x:c r="E279" s="79" t="str">
        <x:v>آویشن کوهی</x:v>
      </x:c>
      <x:c r="F279" s="79" t="str">
        <x:v>گیاهان دارویی</x:v>
      </x:c>
      <x:c r="G279" s="79" t="str">
        <x:v>6a3782d7df5573f4e676e243</x:v>
      </x:c>
      <x:c r="H279" s="79" t="str">
        <x:v>medicinal-plants</x:v>
      </x:c>
      <x:c r="I279" s="79"/>
      <x:c r="J279" s="79" t="str">
        <x:v>EDIBLE</x:v>
      </x:c>
      <x:c r="K279" s="79" t="str">
        <x:v>بله</x:v>
      </x:c>
      <x:c r="L279" s="79" t="n">
        <x:v>1</x:v>
      </x:c>
      <x:c r="M279" s="79" t="n">
        <x:v>0</x:v>
      </x:c>
      <x:c r="N279" s="79" t="str">
        <x:v>OK</x:v>
      </x:c>
      <x:c r="O279" s="79"/>
      <x:c r="P279" s="79" t="str">
        <x:v>[{"name": "کیلو", "sku": "", "price": 3900000, "stock": "", "weight": 1, "weightUnit": "kg", "containerSize": "کیلو", "isDefault": true}]</x:v>
      </x:c>
    </x:row>
    <x:row r="280">
      <x:c r="A280" s="79" t="str">
        <x:v>استویا</x:v>
      </x:c>
      <x:c r="B280" s="79" t="str">
        <x:v>stevia</x:v>
      </x:c>
      <x:c r="C280" s="79" t="str">
        <x:v>update_grouped_product</x:v>
      </x:c>
      <x:c r="D280" s="79" t="str">
        <x:v>31</x:v>
      </x:c>
      <x:c r="E280" s="79" t="str">
        <x:v>استویا</x:v>
      </x:c>
      <x:c r="F280" s="79" t="str">
        <x:v>گیاهان دارویی</x:v>
      </x:c>
      <x:c r="G280" s="79" t="str">
        <x:v>6a3782d7df5573f4e676e243</x:v>
      </x:c>
      <x:c r="H280" s="79" t="str">
        <x:v>medicinal-plants</x:v>
      </x:c>
      <x:c r="I280" s="79"/>
      <x:c r="J280" s="79" t="str">
        <x:v>EDIBLE</x:v>
      </x:c>
      <x:c r="K280" s="79" t="str">
        <x:v>بله</x:v>
      </x:c>
      <x:c r="L280" s="79" t="n">
        <x:v>1</x:v>
      </x:c>
      <x:c r="M280" s="79" t="n">
        <x:v>0</x:v>
      </x:c>
      <x:c r="N280" s="79" t="str">
        <x:v>OK</x:v>
      </x:c>
      <x:c r="O280" s="79"/>
      <x:c r="P280" s="79" t="str">
        <x:v>[{"name": "کیلو", "sku": "", "price": 2400000, "stock": "", "weight": 1, "weightUnit": "kg", "containerSize": "کیلو", "isDefault": true}]</x:v>
      </x:c>
    </x:row>
    <x:row r="281">
      <x:c r="A281" s="79" t="str">
        <x:v>اسطوخودوس</x:v>
      </x:c>
      <x:c r="B281" s="79" t="str">
        <x:v>lavender</x:v>
      </x:c>
      <x:c r="C281" s="79" t="str">
        <x:v>update_grouped_product</x:v>
      </x:c>
      <x:c r="D281" s="79" t="str">
        <x:v>32</x:v>
      </x:c>
      <x:c r="E281" s="79" t="str">
        <x:v>اسطوخودوس</x:v>
      </x:c>
      <x:c r="F281" s="79" t="str">
        <x:v>گیاهان دارویی</x:v>
      </x:c>
      <x:c r="G281" s="79" t="str">
        <x:v>6a3782d7df5573f4e676e243</x:v>
      </x:c>
      <x:c r="H281" s="79" t="str">
        <x:v>medicinal-plants</x:v>
      </x:c>
      <x:c r="I281" s="79"/>
      <x:c r="J281" s="79" t="str">
        <x:v>EDIBLE</x:v>
      </x:c>
      <x:c r="K281" s="79" t="str">
        <x:v>بله</x:v>
      </x:c>
      <x:c r="L281" s="79" t="n">
        <x:v>1</x:v>
      </x:c>
      <x:c r="M281" s="79" t="n">
        <x:v>0</x:v>
      </x:c>
      <x:c r="N281" s="79" t="str">
        <x:v>OK</x:v>
      </x:c>
      <x:c r="O281" s="79"/>
      <x:c r="P281" s="79" t="str">
        <x:v>[{"name": "کیلو", "sku": "", "price": 2800000, "stock": "", "weight": 1, "weightUnit": "kg", "containerSize": "کیلو", "isDefault": true}]</x:v>
      </x:c>
    </x:row>
    <x:row r="282">
      <x:c r="A282" s="79" t="str">
        <x:v>اسپند پودر</x:v>
      </x:c>
      <x:c r="B282" s="79" t="str">
        <x:v>espand_powder</x:v>
      </x:c>
      <x:c r="C282" s="79" t="str">
        <x:v>update_grouped_product</x:v>
      </x:c>
      <x:c r="D282" s="79" t="str">
        <x:v>28</x:v>
      </x:c>
      <x:c r="E282" s="79" t="str">
        <x:v>اسپند پودر</x:v>
      </x:c>
      <x:c r="F282" s="79" t="str">
        <x:v>گیاهان دارویی</x:v>
      </x:c>
      <x:c r="G282" s="79" t="str">
        <x:v>6a3782d7df5573f4e676e243</x:v>
      </x:c>
      <x:c r="H282" s="79" t="str">
        <x:v>medicinal-plants</x:v>
      </x:c>
      <x:c r="I282" s="79"/>
      <x:c r="J282" s="79" t="str">
        <x:v>EDIBLE</x:v>
      </x:c>
      <x:c r="K282" s="79" t="str">
        <x:v>بله</x:v>
      </x:c>
      <x:c r="L282" s="79" t="n">
        <x:v>1</x:v>
      </x:c>
      <x:c r="M282" s="79" t="n">
        <x:v>0</x:v>
      </x:c>
      <x:c r="N282" s="79" t="str">
        <x:v>OK</x:v>
      </x:c>
      <x:c r="O282" s="79"/>
      <x:c r="P282" s="79" t="str">
        <x:v>[{"name": "کیلو", "sku": "", "price": 140000, "stock": "", "weight": 1, "weightUnit": "kg", "containerSize": "کیلو", "isDefault": true}]</x:v>
      </x:c>
    </x:row>
    <x:row r="283">
      <x:c r="A283" s="79" t="str">
        <x:v>بابونه</x:v>
      </x:c>
      <x:c r="B283" s="79" t="str">
        <x:v>chamomile</x:v>
      </x:c>
      <x:c r="C283" s="79" t="str">
        <x:v>update_grouped_product</x:v>
      </x:c>
      <x:c r="D283" s="79" t="str">
        <x:v>43</x:v>
      </x:c>
      <x:c r="E283" s="79" t="str">
        <x:v>بابونه</x:v>
      </x:c>
      <x:c r="F283" s="79" t="str">
        <x:v>گیاهان دارویی</x:v>
      </x:c>
      <x:c r="G283" s="79" t="str">
        <x:v>6a3782d7df5573f4e676e243</x:v>
      </x:c>
      <x:c r="H283" s="79" t="str">
        <x:v>medicinal-plants</x:v>
      </x:c>
      <x:c r="I283" s="79"/>
      <x:c r="J283" s="79" t="str">
        <x:v>EDIBLE</x:v>
      </x:c>
      <x:c r="K283" s="79" t="str">
        <x:v>بله</x:v>
      </x:c>
      <x:c r="L283" s="79" t="n">
        <x:v>1</x:v>
      </x:c>
      <x:c r="M283" s="79" t="n">
        <x:v>0</x:v>
      </x:c>
      <x:c r="N283" s="79" t="str">
        <x:v>OK</x:v>
      </x:c>
      <x:c r="O283" s="79"/>
      <x:c r="P283" s="79" t="str">
        <x:v>[{"name": "کیلو", "sku": "", "price": 1800000, "stock": "", "weight": 1, "weightUnit": "kg", "containerSize": "کیلو", "isDefault": true}]</x:v>
      </x:c>
    </x:row>
    <x:row r="284">
      <x:c r="A284" s="79" t="str">
        <x:v>بادرنجبویه</x:v>
      </x:c>
      <x:c r="B284" s="79" t="str">
        <x:v>lemon_balm</x:v>
      </x:c>
      <x:c r="C284" s="79" t="str">
        <x:v>update_grouped_product</x:v>
      </x:c>
      <x:c r="D284" s="79" t="str">
        <x:v>46</x:v>
      </x:c>
      <x:c r="E284" s="79" t="str">
        <x:v>بادرنجبویه</x:v>
      </x:c>
      <x:c r="F284" s="79" t="str">
        <x:v>گیاهان دارویی</x:v>
      </x:c>
      <x:c r="G284" s="79" t="str">
        <x:v>6a3782d7df5573f4e676e243</x:v>
      </x:c>
      <x:c r="H284" s="79" t="str">
        <x:v>medicinal-plants</x:v>
      </x:c>
      <x:c r="I284" s="79"/>
      <x:c r="J284" s="79" t="str">
        <x:v>EDIBLE</x:v>
      </x:c>
      <x:c r="K284" s="79" t="str">
        <x:v>بله</x:v>
      </x:c>
      <x:c r="L284" s="79" t="n">
        <x:v>1</x:v>
      </x:c>
      <x:c r="M284" s="79" t="n">
        <x:v>0</x:v>
      </x:c>
      <x:c r="N284" s="79" t="str">
        <x:v>OK</x:v>
      </x:c>
      <x:c r="O284" s="79"/>
      <x:c r="P284" s="79" t="str">
        <x:v>[{"name": "کیلو", "sku": "", "price": 2900000, "stock": "", "weight": 1, "weightUnit": "kg", "containerSize": "کیلو", "isDefault": true}]</x:v>
      </x:c>
    </x:row>
    <x:row r="285">
      <x:c r="A285" s="79" t="str">
        <x:v>بادیان ستاره ای</x:v>
      </x:c>
      <x:c r="B285" s="79" t="str">
        <x:v>star_anise</x:v>
      </x:c>
      <x:c r="C285" s="79" t="str">
        <x:v>update_grouped_product</x:v>
      </x:c>
      <x:c r="D285" s="79" t="str">
        <x:v>47</x:v>
      </x:c>
      <x:c r="E285" s="79" t="str">
        <x:v>بادیان ستاره ای</x:v>
      </x:c>
      <x:c r="F285" s="79" t="str">
        <x:v>گیاهان دارویی</x:v>
      </x:c>
      <x:c r="G285" s="79" t="str">
        <x:v>6a3782d7df5573f4e676e243</x:v>
      </x:c>
      <x:c r="H285" s="79" t="str">
        <x:v>medicinal-plants</x:v>
      </x:c>
      <x:c r="I285" s="79"/>
      <x:c r="J285" s="79" t="str">
        <x:v>EDIBLE</x:v>
      </x:c>
      <x:c r="K285" s="79" t="str">
        <x:v>بله</x:v>
      </x:c>
      <x:c r="L285" s="79" t="n">
        <x:v>1</x:v>
      </x:c>
      <x:c r="M285" s="79" t="n">
        <x:v>0</x:v>
      </x:c>
      <x:c r="N285" s="79" t="str">
        <x:v>OK</x:v>
      </x:c>
      <x:c r="O285" s="79"/>
      <x:c r="P285" s="79" t="str">
        <x:v>[{"name": "کیلو", "sku": "", "price": 1950000, "stock": "", "weight": 1, "weightUnit": "kg", "containerSize": "کیلو", "isDefault": true}]</x:v>
      </x:c>
    </x:row>
    <x:row r="286">
      <x:c r="A286" s="79" t="str">
        <x:v>بارهنگ</x:v>
      </x:c>
      <x:c r="B286" s="79" t="str">
        <x:v>plantain</x:v>
      </x:c>
      <x:c r="C286" s="79" t="str">
        <x:v>update_grouped_product</x:v>
      </x:c>
      <x:c r="D286" s="79" t="str">
        <x:v>48</x:v>
      </x:c>
      <x:c r="E286" s="79" t="str">
        <x:v>بارهنگ</x:v>
      </x:c>
      <x:c r="F286" s="79" t="str">
        <x:v>گیاهان دارویی</x:v>
      </x:c>
      <x:c r="G286" s="79" t="str">
        <x:v>6a3782d7df5573f4e676e243</x:v>
      </x:c>
      <x:c r="H286" s="79" t="str">
        <x:v>medicinal-plants</x:v>
      </x:c>
      <x:c r="I286" s="79"/>
      <x:c r="J286" s="79" t="str">
        <x:v>EDIBLE</x:v>
      </x:c>
      <x:c r="K286" s="79" t="str">
        <x:v>بله</x:v>
      </x:c>
      <x:c r="L286" s="79" t="n">
        <x:v>1</x:v>
      </x:c>
      <x:c r="M286" s="79" t="n">
        <x:v>0</x:v>
      </x:c>
      <x:c r="N286" s="79" t="str">
        <x:v>OK</x:v>
      </x:c>
      <x:c r="O286" s="79"/>
      <x:c r="P286" s="79" t="str">
        <x:v>[{"name": "کیلو", "sku": "", "price": 890000, "stock": "", "weight": 1, "weightUnit": "kg", "containerSize": "کیلو", "isDefault": true}]</x:v>
      </x:c>
    </x:row>
    <x:row r="287">
      <x:c r="A287" s="79" t="str">
        <x:v>بامیه پودر</x:v>
      </x:c>
      <x:c r="B287" s="79" t="str">
        <x:v>okra_powder</x:v>
      </x:c>
      <x:c r="C287" s="79" t="str">
        <x:v>update_grouped_product</x:v>
      </x:c>
      <x:c r="D287" s="79" t="str">
        <x:v>50</x:v>
      </x:c>
      <x:c r="E287" s="79" t="str">
        <x:v>بامیه پودر</x:v>
      </x:c>
      <x:c r="F287" s="79" t="str">
        <x:v>گیاهان دارویی</x:v>
      </x:c>
      <x:c r="G287" s="79" t="str">
        <x:v>6a3782d7df5573f4e676e243</x:v>
      </x:c>
      <x:c r="H287" s="79" t="str">
        <x:v>medicinal-plants</x:v>
      </x:c>
      <x:c r="I287" s="79"/>
      <x:c r="J287" s="79" t="str">
        <x:v>EDIBLE</x:v>
      </x:c>
      <x:c r="K287" s="79" t="str">
        <x:v>بله</x:v>
      </x:c>
      <x:c r="L287" s="79" t="n">
        <x:v>1</x:v>
      </x:c>
      <x:c r="M287" s="79" t="n">
        <x:v>0</x:v>
      </x:c>
      <x:c r="N287" s="79" t="str">
        <x:v>OK</x:v>
      </x:c>
      <x:c r="O287" s="79" t="str">
        <x:v>دسته از «نیاز به بررسی» به «گیاهان دارویی» اصلاح شد</x:v>
      </x:c>
      <x:c r="P287" s="79" t="str">
        <x:v>[{"name": "کیلو", "sku": "", "price": 1250000, "stock": "", "weight": 1, "weightUnit": "kg", "containerSize": "کیلو", "isDefault": true}]</x:v>
      </x:c>
    </x:row>
    <x:row r="288">
      <x:c r="A288" s="79" t="str">
        <x:v>برگ بو</x:v>
      </x:c>
      <x:c r="B288" s="79" t="str">
        <x:v>bay_leaf</x:v>
      </x:c>
      <x:c r="C288" s="79" t="str">
        <x:v>update_grouped_product</x:v>
      </x:c>
      <x:c r="D288" s="79" t="str">
        <x:v>51</x:v>
      </x:c>
      <x:c r="E288" s="79" t="str">
        <x:v>برگ بو</x:v>
      </x:c>
      <x:c r="F288" s="79" t="str">
        <x:v>گیاهان دارویی</x:v>
      </x:c>
      <x:c r="G288" s="79" t="str">
        <x:v>6a3782d7df5573f4e676e243</x:v>
      </x:c>
      <x:c r="H288" s="79" t="str">
        <x:v>medicinal-plants</x:v>
      </x:c>
      <x:c r="I288" s="79"/>
      <x:c r="J288" s="79" t="str">
        <x:v>EDIBLE</x:v>
      </x:c>
      <x:c r="K288" s="79" t="str">
        <x:v>بله</x:v>
      </x:c>
      <x:c r="L288" s="79" t="n">
        <x:v>1</x:v>
      </x:c>
      <x:c r="M288" s="79" t="n">
        <x:v>0</x:v>
      </x:c>
      <x:c r="N288" s="79" t="str">
        <x:v>OK</x:v>
      </x:c>
      <x:c r="O288" s="79"/>
      <x:c r="P288" s="79" t="str">
        <x:v>[{"name": "کیلو", "sku": "", "price": 1500000, "stock": "", "weight": 1, "weightUnit": "kg", "containerSize": "کیلو", "isDefault": true}]</x:v>
      </x:c>
    </x:row>
    <x:row r="289">
      <x:c r="A289" s="79" t="str">
        <x:v>به خشک</x:v>
      </x:c>
      <x:c r="B289" s="79" t="str">
        <x:v>dried_quince</x:v>
      </x:c>
      <x:c r="C289" s="79" t="str">
        <x:v>update_grouped_product</x:v>
      </x:c>
      <x:c r="D289" s="79" t="str">
        <x:v>54</x:v>
      </x:c>
      <x:c r="E289" s="79" t="str">
        <x:v>به خشک</x:v>
      </x:c>
      <x:c r="F289" s="79" t="str">
        <x:v>گیاهان دارویی</x:v>
      </x:c>
      <x:c r="G289" s="79" t="str">
        <x:v>6a3782d7df5573f4e676e243</x:v>
      </x:c>
      <x:c r="H289" s="79" t="str">
        <x:v>medicinal-plants</x:v>
      </x:c>
      <x:c r="I289" s="79"/>
      <x:c r="J289" s="79" t="str">
        <x:v>EDIBLE</x:v>
      </x:c>
      <x:c r="K289" s="79" t="str">
        <x:v>بله</x:v>
      </x:c>
      <x:c r="L289" s="79" t="n">
        <x:v>1</x:v>
      </x:c>
      <x:c r="M289" s="79" t="n">
        <x:v>0</x:v>
      </x:c>
      <x:c r="N289" s="79" t="str">
        <x:v>OK</x:v>
      </x:c>
      <x:c r="O289" s="79"/>
      <x:c r="P289" s="79" t="str">
        <x:v>[{"name": "کیلو", "sku": "", "price": 650000, "stock": "", "weight": 1, "weightUnit": "kg", "containerSize": "کیلو", "isDefault": true}]</x:v>
      </x:c>
    </x:row>
    <x:row r="290">
      <x:c r="A290" s="79" t="str">
        <x:v>جدوار</x:v>
      </x:c>
      <x:c r="B290" s="79" t="str">
        <x:v>zedoary</x:v>
      </x:c>
      <x:c r="C290" s="79" t="str">
        <x:v>update_grouped_product</x:v>
      </x:c>
      <x:c r="D290" s="79" t="str">
        <x:v>80</x:v>
      </x:c>
      <x:c r="E290" s="79" t="str">
        <x:v>جدوار</x:v>
      </x:c>
      <x:c r="F290" s="79" t="str">
        <x:v>گیاهان دارویی</x:v>
      </x:c>
      <x:c r="G290" s="79" t="str">
        <x:v>6a3782d7df5573f4e676e243</x:v>
      </x:c>
      <x:c r="H290" s="79" t="str">
        <x:v>medicinal-plants</x:v>
      </x:c>
      <x:c r="I290" s="79"/>
      <x:c r="J290" s="79" t="str">
        <x:v>EDIBLE</x:v>
      </x:c>
      <x:c r="K290" s="79" t="str">
        <x:v>بله</x:v>
      </x:c>
      <x:c r="L290" s="79" t="n">
        <x:v>1</x:v>
      </x:c>
      <x:c r="M290" s="79" t="n">
        <x:v>0</x:v>
      </x:c>
      <x:c r="N290" s="79" t="str">
        <x:v>OK</x:v>
      </x:c>
      <x:c r="O290" s="79" t="str">
        <x:v>دسته از «نیاز به بررسی» به «گیاهان دارویی» اصلاح شد</x:v>
      </x:c>
      <x:c r="P290" s="79" t="str">
        <x:v>[{"name": "کیلو", "sku": "", "price": 1200000, "stock": "", "weight": 1, "weightUnit": "kg", "containerSize": "کیلو", "isDefault": true}]</x:v>
      </x:c>
    </x:row>
    <x:row r="291">
      <x:c r="A291" s="79" t="str">
        <x:v>حنا</x:v>
      </x:c>
      <x:c r="B291" s="79" t="str">
        <x:v>henna</x:v>
      </x:c>
      <x:c r="C291" s="79" t="str">
        <x:v>update_grouped_product</x:v>
      </x:c>
      <x:c r="D291" s="79" t="str">
        <x:v>109</x:v>
      </x:c>
      <x:c r="E291" s="79" t="str">
        <x:v>حنا</x:v>
      </x:c>
      <x:c r="F291" s="79" t="str">
        <x:v>گیاهان دارویی</x:v>
      </x:c>
      <x:c r="G291" s="79" t="str">
        <x:v>6a3782d7df5573f4e676e243</x:v>
      </x:c>
      <x:c r="H291" s="79" t="str">
        <x:v>medicinal-plants</x:v>
      </x:c>
      <x:c r="I291" s="79"/>
      <x:c r="J291" s="79" t="str">
        <x:v>TOPICAL</x:v>
      </x:c>
      <x:c r="K291" s="79" t="str">
        <x:v>خیر</x:v>
      </x:c>
      <x:c r="L291" s="79" t="n">
        <x:v>1</x:v>
      </x:c>
      <x:c r="M291" s="79" t="n">
        <x:v>1</x:v>
      </x:c>
      <x:c r="N291" s="79" t="str">
        <x:v>MISSING_PRICE_REVIEW + 1 VARIANT_PRICE_MISSING</x:v>
      </x:c>
      <x:c r="O291" s="79" t="str">
        <x:v>دسته قبلاً خالی/نیازمند بررسی بود؛ بر اساس ماهیت موضعی/غیرخوراکی به گیاهان دارویی منتقل شد | نوع مصرف به موضعی/غیرخوراکی اصلاح شد | یک یا چند قیمت نامشخص است</x:v>
      </x:c>
      <x:c r="P291" s="79" t="str">
        <x:v>[{"name": "کیلو", "sku": "", "price": null, "stock": "", "weight": 1, "weightUnit": "kg", "containerSize": "کیلو", "isDefault": true}]</x:v>
      </x:c>
    </x:row>
    <x:row r="292">
      <x:c r="A292" s="79" t="str">
        <x:v>حنا بی رنگ</x:v>
      </x:c>
      <x:c r="B292" s="79" t="str">
        <x:v>colorless_henna</x:v>
      </x:c>
      <x:c r="C292" s="79" t="str">
        <x:v>update_grouped_product</x:v>
      </x:c>
      <x:c r="D292" s="79" t="str">
        <x:v>110</x:v>
      </x:c>
      <x:c r="E292" s="79" t="str">
        <x:v>حنا بی رنگ</x:v>
      </x:c>
      <x:c r="F292" s="79" t="str">
        <x:v>گیاهان دارویی</x:v>
      </x:c>
      <x:c r="G292" s="79" t="str">
        <x:v>6a3782d7df5573f4e676e243</x:v>
      </x:c>
      <x:c r="H292" s="79" t="str">
        <x:v>medicinal-plants</x:v>
      </x:c>
      <x:c r="I292" s="79"/>
      <x:c r="J292" s="79" t="str">
        <x:v>TOPICAL</x:v>
      </x:c>
      <x:c r="K292" s="79" t="str">
        <x:v>خیر</x:v>
      </x:c>
      <x:c r="L292" s="79" t="n">
        <x:v>1</x:v>
      </x:c>
      <x:c r="M292" s="79" t="n">
        <x:v>0</x:v>
      </x:c>
      <x:c r="N292" s="79" t="str">
        <x:v>OK</x:v>
      </x:c>
      <x:c r="O29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292" s="79" t="str">
        <x:v>[{"name": "250 گرمی", "sku": "", "price": 150000, "stock": "", "weight": 250, "weightUnit": "g", "containerSize": "250 گرمی", "isDefault": true}]</x:v>
      </x:c>
    </x:row>
    <x:row r="293">
      <x:c r="A293" s="79" t="str">
        <x:v>خاکشیر همدان</x:v>
      </x:c>
      <x:c r="B293" s="79" t="str">
        <x:v>hamedan_flixweed</x:v>
      </x:c>
      <x:c r="C293" s="79" t="str">
        <x:v>update_grouped_product</x:v>
      </x:c>
      <x:c r="D293" s="79" t="str">
        <x:v>111</x:v>
      </x:c>
      <x:c r="E293" s="79" t="str">
        <x:v>خاکشیر همدان</x:v>
      </x:c>
      <x:c r="F293" s="79" t="str">
        <x:v>گیاهان دارویی</x:v>
      </x:c>
      <x:c r="G293" s="79" t="str">
        <x:v>6a3782d7df5573f4e676e243</x:v>
      </x:c>
      <x:c r="H293" s="79" t="str">
        <x:v>medicinal-plants</x:v>
      </x:c>
      <x:c r="I293" s="79"/>
      <x:c r="J293" s="79" t="str">
        <x:v>EDIBLE</x:v>
      </x:c>
      <x:c r="K293" s="79" t="str">
        <x:v>بله</x:v>
      </x:c>
      <x:c r="L293" s="79" t="n">
        <x:v>1</x:v>
      </x:c>
      <x:c r="M293" s="79" t="n">
        <x:v>0</x:v>
      </x:c>
      <x:c r="N293" s="79" t="str">
        <x:v>OK</x:v>
      </x:c>
      <x:c r="O293" s="79"/>
      <x:c r="P293" s="79" t="str">
        <x:v>[{"name": "کیلو", "sku": "", "price": 390000, "stock": "", "weight": 1, "weightUnit": "kg", "containerSize": "کیلو", "isDefault": true}]</x:v>
      </x:c>
    </x:row>
    <x:row r="294">
      <x:c r="A294" s="79" t="str">
        <x:v>خرفه</x:v>
      </x:c>
      <x:c r="B294" s="79" t="str">
        <x:v>purslane</x:v>
      </x:c>
      <x:c r="C294" s="79" t="str">
        <x:v>update_grouped_product</x:v>
      </x:c>
      <x:c r="D294" s="79" t="str">
        <x:v>112</x:v>
      </x:c>
      <x:c r="E294" s="79" t="str">
        <x:v>خرفه</x:v>
      </x:c>
      <x:c r="F294" s="79" t="str">
        <x:v>گیاهان دارویی</x:v>
      </x:c>
      <x:c r="G294" s="79" t="str">
        <x:v>6a3782d7df5573f4e676e243</x:v>
      </x:c>
      <x:c r="H294" s="79" t="str">
        <x:v>medicinal-plants</x:v>
      </x:c>
      <x:c r="I294" s="79"/>
      <x:c r="J294" s="79" t="str">
        <x:v>EDIBLE</x:v>
      </x:c>
      <x:c r="K294" s="79" t="str">
        <x:v>بله</x:v>
      </x:c>
      <x:c r="L294" s="79" t="n">
        <x:v>1</x:v>
      </x:c>
      <x:c r="M294" s="79" t="n">
        <x:v>0</x:v>
      </x:c>
      <x:c r="N294" s="79" t="str">
        <x:v>OK</x:v>
      </x:c>
      <x:c r="O294" s="79" t="str">
        <x:v>دسته از «نیاز به بررسی» به «گیاهان دارویی» اصلاح شد</x:v>
      </x:c>
      <x:c r="P294" s="79" t="str">
        <x:v>[{"name": "کیلو", "sku": "", "price": 700000, "stock": "", "weight": 1, "weightUnit": "kg", "containerSize": "کیلو", "isDefault": true}]</x:v>
      </x:c>
    </x:row>
    <x:row r="295">
      <x:c r="A295" s="79" t="str">
        <x:v>رازیانه</x:v>
      </x:c>
      <x:c r="B295" s="79" t="str">
        <x:v>fennel</x:v>
      </x:c>
      <x:c r="C295" s="79" t="str">
        <x:v>update_grouped_product</x:v>
      </x:c>
      <x:c r="D295" s="79" t="str">
        <x:v>120</x:v>
      </x:c>
      <x:c r="E295" s="79" t="str">
        <x:v>رازیانه</x:v>
      </x:c>
      <x:c r="F295" s="79" t="str">
        <x:v>گیاهان دارویی</x:v>
      </x:c>
      <x:c r="G295" s="79" t="str">
        <x:v>6a3782d7df5573f4e676e243</x:v>
      </x:c>
      <x:c r="H295" s="79" t="str">
        <x:v>medicinal-plants</x:v>
      </x:c>
      <x:c r="I295" s="79"/>
      <x:c r="J295" s="79" t="str">
        <x:v>EDIBLE</x:v>
      </x:c>
      <x:c r="K295" s="79" t="str">
        <x:v>بله</x:v>
      </x:c>
      <x:c r="L295" s="79" t="n">
        <x:v>1</x:v>
      </x:c>
      <x:c r="M295" s="79" t="n">
        <x:v>0</x:v>
      </x:c>
      <x:c r="N295" s="79" t="str">
        <x:v>OK</x:v>
      </x:c>
      <x:c r="O295" s="79"/>
      <x:c r="P295" s="79" t="str">
        <x:v>[{"name": "کیلو", "sku": "", "price": 740000, "stock": "", "weight": 1, "weightUnit": "kg", "containerSize": "کیلو", "isDefault": true}]</x:v>
      </x:c>
    </x:row>
    <x:row r="296">
      <x:c r="A296" s="79" t="str">
        <x:v>رزماری</x:v>
      </x:c>
      <x:c r="B296" s="79" t="str">
        <x:v>rosemary</x:v>
      </x:c>
      <x:c r="C296" s="79" t="str">
        <x:v>update_grouped_product</x:v>
      </x:c>
      <x:c r="D296" s="79" t="str">
        <x:v>122</x:v>
      </x:c>
      <x:c r="E296" s="79" t="str">
        <x:v>رزماری</x:v>
      </x:c>
      <x:c r="F296" s="79" t="str">
        <x:v>گیاهان دارویی</x:v>
      </x:c>
      <x:c r="G296" s="79" t="str">
        <x:v>6a3782d7df5573f4e676e243</x:v>
      </x:c>
      <x:c r="H296" s="79" t="str">
        <x:v>medicinal-plants</x:v>
      </x:c>
      <x:c r="I296" s="79"/>
      <x:c r="J296" s="79" t="str">
        <x:v>EDIBLE</x:v>
      </x:c>
      <x:c r="K296" s="79" t="str">
        <x:v>بله</x:v>
      </x:c>
      <x:c r="L296" s="79" t="n">
        <x:v>1</x:v>
      </x:c>
      <x:c r="M296" s="79" t="n">
        <x:v>0</x:v>
      </x:c>
      <x:c r="N296" s="79" t="str">
        <x:v>OK</x:v>
      </x:c>
      <x:c r="O296" s="79"/>
      <x:c r="P296" s="79" t="str">
        <x:v>[{"name": "برگ", "sku": "", "price": 800000, "stock": "", "weight": "", "weightUnit": "", "containerSize": "برگ", "isDefault": true}]</x:v>
      </x:c>
    </x:row>
    <x:row r="297">
      <x:c r="A297" s="79" t="str">
        <x:v>زاج</x:v>
      </x:c>
      <x:c r="B297" s="79" t="str">
        <x:v>zaj</x:v>
      </x:c>
      <x:c r="C297" s="79" t="str">
        <x:v>update_grouped_product</x:v>
      </x:c>
      <x:c r="D297" s="79" t="str">
        <x:v>194</x:v>
      </x:c>
      <x:c r="E297" s="79" t="str">
        <x:v>زاج</x:v>
      </x:c>
      <x:c r="F297" s="79" t="str">
        <x:v>گیاهان دارویی</x:v>
      </x:c>
      <x:c r="G297" s="79" t="str">
        <x:v>6a3782d7df5573f4e676e243</x:v>
      </x:c>
      <x:c r="H297" s="79" t="str">
        <x:v>medicinal-plants</x:v>
      </x:c>
      <x:c r="I297" s="79"/>
      <x:c r="J297" s="79" t="str">
        <x:v>TOPICAL</x:v>
      </x:c>
      <x:c r="K297" s="79" t="str">
        <x:v>خیر</x:v>
      </x:c>
      <x:c r="L297" s="79" t="n">
        <x:v>1</x:v>
      </x:c>
      <x:c r="M297" s="79" t="n">
        <x:v>0</x:v>
      </x:c>
      <x:c r="N297" s="79" t="str">
        <x:v>OK</x:v>
      </x:c>
      <x:c r="O297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297" s="79" t="str">
        <x:v>[{"name": "کیلو", "sku": "", "price": 500000, "stock": "", "weight": 1, "weightUnit": "kg", "containerSize": "کیلو", "isDefault": true}]</x:v>
      </x:c>
    </x:row>
    <x:row r="298">
      <x:c r="A298" s="79" t="str">
        <x:v>سدر</x:v>
      </x:c>
      <x:c r="B298" s="79" t="str">
        <x:v>sidr</x:v>
      </x:c>
      <x:c r="C298" s="79" t="str">
        <x:v>update_grouped_product</x:v>
      </x:c>
      <x:c r="D298" s="79" t="str">
        <x:v>205</x:v>
      </x:c>
      <x:c r="E298" s="79" t="str">
        <x:v>سدر</x:v>
      </x:c>
      <x:c r="F298" s="79" t="str">
        <x:v>گیاهان دارویی</x:v>
      </x:c>
      <x:c r="G298" s="79" t="str">
        <x:v>6a3782d7df5573f4e676e243</x:v>
      </x:c>
      <x:c r="H298" s="79" t="str">
        <x:v>medicinal-plants</x:v>
      </x:c>
      <x:c r="I298" s="79"/>
      <x:c r="J298" s="79" t="str">
        <x:v>TOPICAL</x:v>
      </x:c>
      <x:c r="K298" s="79" t="str">
        <x:v>خیر</x:v>
      </x:c>
      <x:c r="L298" s="79" t="n">
        <x:v>1</x:v>
      </x:c>
      <x:c r="M298" s="79" t="n">
        <x:v>0</x:v>
      </x:c>
      <x:c r="N298" s="79" t="str">
        <x:v>OK</x:v>
      </x:c>
      <x:c r="O29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298" s="79" t="str">
        <x:v>[{"name": "کیلو", "sku": "", "price": 500000, "stock": "", "weight": 1, "weightUnit": "kg", "containerSize": "کیلو", "isDefault": true}]</x:v>
      </x:c>
    </x:row>
    <x:row r="299">
      <x:c r="A299" s="79" t="str">
        <x:v>سرمه</x:v>
      </x:c>
      <x:c r="B299" s="79" t="str">
        <x:v>surma</x:v>
      </x:c>
      <x:c r="C299" s="79" t="str">
        <x:v>update_grouped_product</x:v>
      </x:c>
      <x:c r="D299" s="79" t="str">
        <x:v>208</x:v>
      </x:c>
      <x:c r="E299" s="79" t="str">
        <x:v>سرمه</x:v>
      </x:c>
      <x:c r="F299" s="79" t="str">
        <x:v>گیاهان دارویی</x:v>
      </x:c>
      <x:c r="G299" s="79" t="str">
        <x:v>6a3782d7df5573f4e676e243</x:v>
      </x:c>
      <x:c r="H299" s="79" t="str">
        <x:v>medicinal-plants</x:v>
      </x:c>
      <x:c r="I299" s="79"/>
      <x:c r="J299" s="79" t="str">
        <x:v>TOPICAL</x:v>
      </x:c>
      <x:c r="K299" s="79" t="str">
        <x:v>خیر</x:v>
      </x:c>
      <x:c r="L299" s="79" t="n">
        <x:v>1</x:v>
      </x:c>
      <x:c r="M299" s="79" t="n">
        <x:v>0</x:v>
      </x:c>
      <x:c r="N299" s="79" t="str">
        <x:v>OK</x:v>
      </x:c>
      <x:c r="O29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299" s="79" t="str">
        <x:v>[{"name": "کیلو", "sku": "", "price": 80000, "stock": "", "weight": 1, "weightUnit": "kg", "containerSize": "کیلو", "isDefault": true}]</x:v>
      </x:c>
    </x:row>
    <x:row r="300">
      <x:c r="A300" s="79" t="str">
        <x:v>سنبل الطیب</x:v>
      </x:c>
      <x:c r="B300" s="79" t="str">
        <x:v>valerian</x:v>
      </x:c>
      <x:c r="C300" s="79" t="str">
        <x:v>update_grouped_product</x:v>
      </x:c>
      <x:c r="D300" s="79" t="str">
        <x:v>214</x:v>
      </x:c>
      <x:c r="E300" s="79" t="str">
        <x:v>سنبل الطیب</x:v>
      </x:c>
      <x:c r="F300" s="79" t="str">
        <x:v>گیاهان دارویی</x:v>
      </x:c>
      <x:c r="G300" s="79" t="str">
        <x:v>6a3782d7df5573f4e676e243</x:v>
      </x:c>
      <x:c r="H300" s="79" t="str">
        <x:v>medicinal-plants</x:v>
      </x:c>
      <x:c r="I300" s="79"/>
      <x:c r="J300" s="79" t="str">
        <x:v>EDIBLE</x:v>
      </x:c>
      <x:c r="K300" s="79" t="str">
        <x:v>بله</x:v>
      </x:c>
      <x:c r="L300" s="79" t="n">
        <x:v>1</x:v>
      </x:c>
      <x:c r="M300" s="79" t="n">
        <x:v>0</x:v>
      </x:c>
      <x:c r="N300" s="79" t="str">
        <x:v>OK</x:v>
      </x:c>
      <x:c r="O300" s="79"/>
      <x:c r="P300" s="79" t="str">
        <x:v>[{"name": "کیلو", "sku": "", "price": 2600000, "stock": "", "weight": 1, "weightUnit": "kg", "containerSize": "کیلو", "isDefault": true}]</x:v>
      </x:c>
    </x:row>
    <x:row r="301">
      <x:c r="A301" s="79" t="str">
        <x:v>سیاهدانه</x:v>
      </x:c>
      <x:c r="B301" s="79" t="str">
        <x:v>black_seed</x:v>
      </x:c>
      <x:c r="C301" s="79" t="str">
        <x:v>update_grouped_product</x:v>
      </x:c>
      <x:c r="D301" s="79" t="str">
        <x:v>222</x:v>
      </x:c>
      <x:c r="E301" s="79" t="str">
        <x:v>سیاهدانه</x:v>
      </x:c>
      <x:c r="F301" s="79" t="str">
        <x:v>گیاهان دارویی</x:v>
      </x:c>
      <x:c r="G301" s="79" t="str">
        <x:v>6a3782d7df5573f4e676e243</x:v>
      </x:c>
      <x:c r="H301" s="79" t="str">
        <x:v>medicinal-plants</x:v>
      </x:c>
      <x:c r="I301" s="79"/>
      <x:c r="J301" s="79" t="str">
        <x:v>EDIBLE</x:v>
      </x:c>
      <x:c r="K301" s="79" t="str">
        <x:v>بله</x:v>
      </x:c>
      <x:c r="L301" s="79" t="n">
        <x:v>1</x:v>
      </x:c>
      <x:c r="M301" s="79" t="n">
        <x:v>0</x:v>
      </x:c>
      <x:c r="N301" s="79" t="str">
        <x:v>OK</x:v>
      </x:c>
      <x:c r="O301" s="79" t="str">
        <x:v>دسته از «نیاز به بررسی» به «گیاهان دارویی» اصلاح شد</x:v>
      </x:c>
      <x:c r="P301" s="79" t="str">
        <x:v>[{"name": "کیلو", "sku": "", "price": 1300000, "stock": "", "weight": 1, "weightUnit": "kg", "containerSize": "کیلو", "isDefault": true}]</x:v>
      </x:c>
    </x:row>
    <x:row r="302">
      <x:c r="A302" s="79" t="str">
        <x:v>شلغم پودر</x:v>
      </x:c>
      <x:c r="B302" s="79" t="str">
        <x:v>turnip_powder</x:v>
      </x:c>
      <x:c r="C302" s="79" t="str">
        <x:v>update_grouped_product</x:v>
      </x:c>
      <x:c r="D302" s="79" t="str">
        <x:v>234</x:v>
      </x:c>
      <x:c r="E302" s="79" t="str">
        <x:v>شلغم پودر</x:v>
      </x:c>
      <x:c r="F302" s="79" t="str">
        <x:v>گیاهان دارویی</x:v>
      </x:c>
      <x:c r="G302" s="79" t="str">
        <x:v>6a3782d7df5573f4e676e243</x:v>
      </x:c>
      <x:c r="H302" s="79" t="str">
        <x:v>medicinal-plants</x:v>
      </x:c>
      <x:c r="I302" s="79"/>
      <x:c r="J302" s="79" t="str">
        <x:v>EDIBLE</x:v>
      </x:c>
      <x:c r="K302" s="79" t="str">
        <x:v>بله</x:v>
      </x:c>
      <x:c r="L302" s="79" t="n">
        <x:v>1</x:v>
      </x:c>
      <x:c r="M302" s="79" t="n">
        <x:v>1</x:v>
      </x:c>
      <x:c r="N302" s="79" t="str">
        <x:v>MISSING_PRICE_REVIEW + 1 VARIANT_PRICE_MISSING</x:v>
      </x:c>
      <x:c r="O302" s="79" t="str">
        <x:v>دسته از «نیاز به بررسی» به «گیاهان دارویی» اصلاح شد | یک یا چند قیمت نامشخص است</x:v>
      </x:c>
      <x:c r="P302" s="79" t="str">
        <x:v>[{"name": "کیلو", "sku": "", "price": null, "stock": "", "weight": 1, "weightUnit": "kg", "containerSize": "کیلو", "isDefault": true}]</x:v>
      </x:c>
    </x:row>
    <x:row r="303">
      <x:c r="A303" s="79" t="str">
        <x:v>شنبلیله</x:v>
      </x:c>
      <x:c r="B303" s="79" t="str">
        <x:v>fenugreek</x:v>
      </x:c>
      <x:c r="C303" s="79" t="str">
        <x:v>update_grouped_product</x:v>
      </x:c>
      <x:c r="D303" s="79" t="str">
        <x:v>235</x:v>
      </x:c>
      <x:c r="E303" s="79" t="str">
        <x:v>شنبلیله</x:v>
      </x:c>
      <x:c r="F303" s="79" t="str">
        <x:v>گیاهان دارویی</x:v>
      </x:c>
      <x:c r="G303" s="79" t="str">
        <x:v>6a3782d7df5573f4e676e243</x:v>
      </x:c>
      <x:c r="H303" s="79" t="str">
        <x:v>medicinal-plants</x:v>
      </x:c>
      <x:c r="I303" s="79"/>
      <x:c r="J303" s="79" t="str">
        <x:v>EDIBLE</x:v>
      </x:c>
      <x:c r="K303" s="79" t="str">
        <x:v>بله</x:v>
      </x:c>
      <x:c r="L303" s="79" t="n">
        <x:v>1</x:v>
      </x:c>
      <x:c r="M303" s="79" t="n">
        <x:v>0</x:v>
      </x:c>
      <x:c r="N303" s="79" t="str">
        <x:v>OK</x:v>
      </x:c>
      <x:c r="O303" s="79"/>
      <x:c r="P303" s="79" t="str">
        <x:v>[{"name": "کیلو", "sku": "", "price": 650000, "stock": "", "weight": 1, "weightUnit": "kg", "containerSize": "کیلو", "isDefault": true}]</x:v>
      </x:c>
    </x:row>
    <x:row r="304">
      <x:c r="A304" s="79" t="str">
        <x:v>شنبلیله تخم</x:v>
      </x:c>
      <x:c r="B304" s="79" t="str">
        <x:v>fenugreek_seed</x:v>
      </x:c>
      <x:c r="C304" s="79" t="str">
        <x:v>update_grouped_product</x:v>
      </x:c>
      <x:c r="D304" s="79" t="str">
        <x:v>236</x:v>
      </x:c>
      <x:c r="E304" s="79" t="str">
        <x:v>شنبلیله تخم</x:v>
      </x:c>
      <x:c r="F304" s="79" t="str">
        <x:v>گیاهان دارویی</x:v>
      </x:c>
      <x:c r="G304" s="79" t="str">
        <x:v>6a3782d7df5573f4e676e243</x:v>
      </x:c>
      <x:c r="H304" s="79" t="str">
        <x:v>medicinal-plants</x:v>
      </x:c>
      <x:c r="I304" s="79"/>
      <x:c r="J304" s="79" t="str">
        <x:v>EDIBLE</x:v>
      </x:c>
      <x:c r="K304" s="79" t="str">
        <x:v>بله</x:v>
      </x:c>
      <x:c r="L304" s="79" t="n">
        <x:v>1</x:v>
      </x:c>
      <x:c r="M304" s="79" t="n">
        <x:v>0</x:v>
      </x:c>
      <x:c r="N304" s="79" t="str">
        <x:v>OK</x:v>
      </x:c>
      <x:c r="O304" s="79" t="str">
        <x:v>دسته از «خشکبار و آجیل» به «گیاهان دارویی» اصلاح شد</x:v>
      </x:c>
      <x:c r="P304" s="79" t="str">
        <x:v>[{"name": "کیلو", "sku": "", "price": 700000, "stock": "", "weight": 1, "weightUnit": "kg", "containerSize": "کیلو", "isDefault": true}]</x:v>
      </x:c>
    </x:row>
    <x:row r="305">
      <x:c r="A305" s="79" t="str">
        <x:v>شوید خشک</x:v>
      </x:c>
      <x:c r="B305" s="79" t="str">
        <x:v>dried_dill</x:v>
      </x:c>
      <x:c r="C305" s="79" t="str">
        <x:v>update_grouped_product</x:v>
      </x:c>
      <x:c r="D305" s="79" t="str">
        <x:v>237</x:v>
      </x:c>
      <x:c r="E305" s="79" t="str">
        <x:v>شوید خشک</x:v>
      </x:c>
      <x:c r="F305" s="79" t="str">
        <x:v>گیاهان دارویی</x:v>
      </x:c>
      <x:c r="G305" s="79" t="str">
        <x:v>6a3782d7df5573f4e676e243</x:v>
      </x:c>
      <x:c r="H305" s="79" t="str">
        <x:v>medicinal-plants</x:v>
      </x:c>
      <x:c r="I305" s="79"/>
      <x:c r="J305" s="79" t="str">
        <x:v>EDIBLE</x:v>
      </x:c>
      <x:c r="K305" s="79" t="str">
        <x:v>بله</x:v>
      </x:c>
      <x:c r="L305" s="79" t="n">
        <x:v>1</x:v>
      </x:c>
      <x:c r="M305" s="79" t="n">
        <x:v>0</x:v>
      </x:c>
      <x:c r="N305" s="79" t="str">
        <x:v>OK</x:v>
      </x:c>
      <x:c r="O305" s="79" t="str">
        <x:v>دسته از «نیاز به بررسی» به «گیاهان دارویی» اصلاح شد</x:v>
      </x:c>
      <x:c r="P305" s="79" t="str">
        <x:v>[{"name": "کیلو", "sku": "", "price": 950000, "stock": "", "weight": 1, "weightUnit": "kg", "containerSize": "کیلو", "isDefault": true}]</x:v>
      </x:c>
    </x:row>
    <x:row r="306">
      <x:c r="A306" s="79" t="str">
        <x:v>شیره شیرین بیان</x:v>
      </x:c>
      <x:c r="B306" s="79" t="str">
        <x:v>licorice_syrup</x:v>
      </x:c>
      <x:c r="C306" s="79" t="str">
        <x:v>update_grouped_product</x:v>
      </x:c>
      <x:c r="D306" s="79" t="str">
        <x:v>247</x:v>
      </x:c>
      <x:c r="E306" s="79" t="str">
        <x:v>شیره شیرین بیان</x:v>
      </x:c>
      <x:c r="F306" s="79" t="str">
        <x:v>گیاهان دارویی</x:v>
      </x:c>
      <x:c r="G306" s="79" t="str">
        <x:v>6a3782d7df5573f4e676e243</x:v>
      </x:c>
      <x:c r="H306" s="79" t="str">
        <x:v>medicinal-plants</x:v>
      </x:c>
      <x:c r="I306" s="79"/>
      <x:c r="J306" s="79" t="str">
        <x:v>EDIBLE</x:v>
      </x:c>
      <x:c r="K306" s="79" t="str">
        <x:v>بله</x:v>
      </x:c>
      <x:c r="L306" s="79" t="n">
        <x:v>1</x:v>
      </x:c>
      <x:c r="M306" s="79" t="n">
        <x:v>0</x:v>
      </x:c>
      <x:c r="N306" s="79" t="str">
        <x:v>OK</x:v>
      </x:c>
      <x:c r="O306" s="79"/>
      <x:c r="P306" s="79" t="str">
        <x:v>[{"name": "کیلو", "sku": "", "price": 1800000, "stock": "", "weight": 1, "weightUnit": "kg", "containerSize": "کیلو", "isDefault": true}]</x:v>
      </x:c>
    </x:row>
    <x:row r="307">
      <x:c r="A307" s="79" t="str">
        <x:v>شیرین بیان چوب</x:v>
      </x:c>
      <x:c r="B307" s="79" t="str">
        <x:v>licorice_root</x:v>
      </x:c>
      <x:c r="C307" s="79" t="str">
        <x:v>update_grouped_product</x:v>
      </x:c>
      <x:c r="D307" s="79" t="str">
        <x:v>248</x:v>
      </x:c>
      <x:c r="E307" s="79" t="str">
        <x:v>شیرین بیان چوب</x:v>
      </x:c>
      <x:c r="F307" s="79" t="str">
        <x:v>گیاهان دارویی</x:v>
      </x:c>
      <x:c r="G307" s="79" t="str">
        <x:v>6a3782d7df5573f4e676e243</x:v>
      </x:c>
      <x:c r="H307" s="79" t="str">
        <x:v>medicinal-plants</x:v>
      </x:c>
      <x:c r="I307" s="79"/>
      <x:c r="J307" s="79" t="str">
        <x:v>EDIBLE</x:v>
      </x:c>
      <x:c r="K307" s="79" t="str">
        <x:v>بله</x:v>
      </x:c>
      <x:c r="L307" s="79" t="n">
        <x:v>1</x:v>
      </x:c>
      <x:c r="M307" s="79" t="n">
        <x:v>0</x:v>
      </x:c>
      <x:c r="N307" s="79" t="str">
        <x:v>OK</x:v>
      </x:c>
      <x:c r="O307" s="79"/>
      <x:c r="P307" s="79" t="str">
        <x:v>[{"name": "کیلو", "sku": "", "price": 600000, "stock": "", "weight": 1, "weightUnit": "kg", "containerSize": "کیلو", "isDefault": true}]</x:v>
      </x:c>
    </x:row>
    <x:row r="308">
      <x:c r="A308" s="79" t="str">
        <x:v>صابون 7 گیاه</x:v>
      </x:c>
      <x:c r="B308" s="79" t="str">
        <x:v>soap_7_herb</x:v>
      </x:c>
      <x:c r="C308" s="79" t="str">
        <x:v>update_grouped_product</x:v>
      </x:c>
      <x:c r="D308" s="79" t="str">
        <x:v>249</x:v>
      </x:c>
      <x:c r="E308" s="79" t="str">
        <x:v>صابون 7 گیاه</x:v>
      </x:c>
      <x:c r="F308" s="79" t="str">
        <x:v>گیاهان دارویی</x:v>
      </x:c>
      <x:c r="G308" s="79" t="str">
        <x:v>6a3782d7df5573f4e676e243</x:v>
      </x:c>
      <x:c r="H308" s="79" t="str">
        <x:v>medicinal-plants</x:v>
      </x:c>
      <x:c r="I308" s="79"/>
      <x:c r="J308" s="79" t="str">
        <x:v>TOPICAL</x:v>
      </x:c>
      <x:c r="K308" s="79" t="str">
        <x:v>خیر</x:v>
      </x:c>
      <x:c r="L308" s="79" t="n">
        <x:v>1</x:v>
      </x:c>
      <x:c r="M308" s="79" t="n">
        <x:v>0</x:v>
      </x:c>
      <x:c r="N308" s="79" t="str">
        <x:v>OK</x:v>
      </x:c>
      <x:c r="O30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08" s="79" t="str">
        <x:v>[{"name": "کیلو", "sku": "", "price": 120000, "stock": "", "weight": 1, "weightUnit": "kg", "containerSize": "کیلو", "isDefault": true}]</x:v>
      </x:c>
    </x:row>
    <x:row r="309">
      <x:c r="A309" s="79" t="str">
        <x:v>صابون آرگان</x:v>
      </x:c>
      <x:c r="B309" s="79" t="str">
        <x:v>soap_argan</x:v>
      </x:c>
      <x:c r="C309" s="79" t="str">
        <x:v>update_grouped_product</x:v>
      </x:c>
      <x:c r="D309" s="79" t="str">
        <x:v>252</x:v>
      </x:c>
      <x:c r="E309" s="79" t="str">
        <x:v>صابون آرگان</x:v>
      </x:c>
      <x:c r="F309" s="79" t="str">
        <x:v>گیاهان دارویی</x:v>
      </x:c>
      <x:c r="G309" s="79" t="str">
        <x:v>6a3782d7df5573f4e676e243</x:v>
      </x:c>
      <x:c r="H309" s="79" t="str">
        <x:v>medicinal-plants</x:v>
      </x:c>
      <x:c r="I309" s="79"/>
      <x:c r="J309" s="79" t="str">
        <x:v>TOPICAL</x:v>
      </x:c>
      <x:c r="K309" s="79" t="str">
        <x:v>خیر</x:v>
      </x:c>
      <x:c r="L309" s="79" t="n">
        <x:v>1</x:v>
      </x:c>
      <x:c r="M309" s="79" t="n">
        <x:v>0</x:v>
      </x:c>
      <x:c r="N309" s="79" t="str">
        <x:v>OK</x:v>
      </x:c>
      <x:c r="O30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09" s="79" t="str">
        <x:v>[{"name": "کیلو", "sku": "", "price": 180000, "stock": "", "weight": 1, "weightUnit": "kg", "containerSize": "کیلو", "isDefault": true}]</x:v>
      </x:c>
    </x:row>
    <x:row r="310">
      <x:c r="A310" s="79" t="str">
        <x:v>صابون آلبالو</x:v>
      </x:c>
      <x:c r="B310" s="79" t="str">
        <x:v>soap_sour_cherry</x:v>
      </x:c>
      <x:c r="C310" s="79" t="str">
        <x:v>update_grouped_product</x:v>
      </x:c>
      <x:c r="D310" s="79" t="str">
        <x:v>253</x:v>
      </x:c>
      <x:c r="E310" s="79" t="str">
        <x:v>صابون آلبالو</x:v>
      </x:c>
      <x:c r="F310" s="79" t="str">
        <x:v>گیاهان دارویی</x:v>
      </x:c>
      <x:c r="G310" s="79" t="str">
        <x:v>6a3782d7df5573f4e676e243</x:v>
      </x:c>
      <x:c r="H310" s="79" t="str">
        <x:v>medicinal-plants</x:v>
      </x:c>
      <x:c r="I310" s="79"/>
      <x:c r="J310" s="79" t="str">
        <x:v>TOPICAL</x:v>
      </x:c>
      <x:c r="K310" s="79" t="str">
        <x:v>خیر</x:v>
      </x:c>
      <x:c r="L310" s="79" t="n">
        <x:v>1</x:v>
      </x:c>
      <x:c r="M310" s="79" t="n">
        <x:v>0</x:v>
      </x:c>
      <x:c r="N310" s="79" t="str">
        <x:v>OK</x:v>
      </x:c>
      <x:c r="O31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10" s="79" t="str">
        <x:v>[{"name": "کیلو", "sku": "", "price": 120000, "stock": "", "weight": 1, "weightUnit": "kg", "containerSize": "کیلو", "isDefault": true}]</x:v>
      </x:c>
    </x:row>
    <x:row r="311">
      <x:c r="A311" s="79" t="str">
        <x:v>صابون انار</x:v>
      </x:c>
      <x:c r="B311" s="79" t="str">
        <x:v>soap_pomegranate</x:v>
      </x:c>
      <x:c r="C311" s="79" t="str">
        <x:v>update_grouped_product</x:v>
      </x:c>
      <x:c r="D311" s="79" t="str">
        <x:v>250</x:v>
      </x:c>
      <x:c r="E311" s="79" t="str">
        <x:v>صابون انار</x:v>
      </x:c>
      <x:c r="F311" s="79" t="str">
        <x:v>گیاهان دارویی</x:v>
      </x:c>
      <x:c r="G311" s="79" t="str">
        <x:v>6a3782d7df5573f4e676e243</x:v>
      </x:c>
      <x:c r="H311" s="79" t="str">
        <x:v>medicinal-plants</x:v>
      </x:c>
      <x:c r="I311" s="79"/>
      <x:c r="J311" s="79" t="str">
        <x:v>TOPICAL</x:v>
      </x:c>
      <x:c r="K311" s="79" t="str">
        <x:v>خیر</x:v>
      </x:c>
      <x:c r="L311" s="79" t="n">
        <x:v>1</x:v>
      </x:c>
      <x:c r="M311" s="79" t="n">
        <x:v>0</x:v>
      </x:c>
      <x:c r="N311" s="79" t="str">
        <x:v>OK</x:v>
      </x:c>
      <x:c r="O311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11" s="79" t="str">
        <x:v>[{"name": "کیلو", "sku": "", "price": 120000, "stock": "", "weight": 1, "weightUnit": "kg", "containerSize": "کیلو", "isDefault": true}]</x:v>
      </x:c>
    </x:row>
    <x:row r="312">
      <x:c r="A312" s="79" t="str">
        <x:v>صابون انگور</x:v>
      </x:c>
      <x:c r="B312" s="79" t="str">
        <x:v>soap_grape</x:v>
      </x:c>
      <x:c r="C312" s="79" t="str">
        <x:v>update_grouped_product</x:v>
      </x:c>
      <x:c r="D312" s="79" t="str">
        <x:v>251</x:v>
      </x:c>
      <x:c r="E312" s="79" t="str">
        <x:v>صابون انگور</x:v>
      </x:c>
      <x:c r="F312" s="79" t="str">
        <x:v>گیاهان دارویی</x:v>
      </x:c>
      <x:c r="G312" s="79" t="str">
        <x:v>6a3782d7df5573f4e676e243</x:v>
      </x:c>
      <x:c r="H312" s="79" t="str">
        <x:v>medicinal-plants</x:v>
      </x:c>
      <x:c r="I312" s="79"/>
      <x:c r="J312" s="79" t="str">
        <x:v>TOPICAL</x:v>
      </x:c>
      <x:c r="K312" s="79" t="str">
        <x:v>خیر</x:v>
      </x:c>
      <x:c r="L312" s="79" t="n">
        <x:v>1</x:v>
      </x:c>
      <x:c r="M312" s="79" t="n">
        <x:v>0</x:v>
      </x:c>
      <x:c r="N312" s="79" t="str">
        <x:v>OK</x:v>
      </x:c>
      <x:c r="O31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12" s="79" t="str">
        <x:v>[{"name": "کیلو", "sku": "", "price": 120000, "stock": "", "weight": 1, "weightUnit": "kg", "containerSize": "کیلو", "isDefault": true}]</x:v>
      </x:c>
    </x:row>
    <x:row r="313">
      <x:c r="A313" s="79" t="str">
        <x:v>صابون تریاک</x:v>
      </x:c>
      <x:c r="B313" s="79" t="str">
        <x:v>soap_tryak</x:v>
      </x:c>
      <x:c r="C313" s="79" t="str">
        <x:v>update_grouped_product</x:v>
      </x:c>
      <x:c r="D313" s="79" t="str">
        <x:v>254</x:v>
      </x:c>
      <x:c r="E313" s="79" t="str">
        <x:v>صابون تریاک</x:v>
      </x:c>
      <x:c r="F313" s="79" t="str">
        <x:v>گیاهان دارویی</x:v>
      </x:c>
      <x:c r="G313" s="79" t="str">
        <x:v>6a3782d7df5573f4e676e243</x:v>
      </x:c>
      <x:c r="H313" s="79" t="str">
        <x:v>medicinal-plants</x:v>
      </x:c>
      <x:c r="I313" s="79"/>
      <x:c r="J313" s="79" t="str">
        <x:v>TOPICAL</x:v>
      </x:c>
      <x:c r="K313" s="79" t="str">
        <x:v>خیر</x:v>
      </x:c>
      <x:c r="L313" s="79" t="n">
        <x:v>1</x:v>
      </x:c>
      <x:c r="M313" s="79" t="n">
        <x:v>0</x:v>
      </x:c>
      <x:c r="N313" s="79" t="str">
        <x:v>OK</x:v>
      </x:c>
      <x:c r="O31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13" s="79" t="str">
        <x:v>[{"name": "کیلو", "sku": "", "price": 250000, "stock": "", "weight": 1, "weightUnit": "kg", "containerSize": "کیلو", "isDefault": true}]</x:v>
      </x:c>
    </x:row>
    <x:row r="314">
      <x:c r="A314" s="79" t="str">
        <x:v>صابون درخت چای</x:v>
      </x:c>
      <x:c r="B314" s="79" t="str">
        <x:v>sabvn-drkht-chay</x:v>
      </x:c>
      <x:c r="C314" s="79" t="str">
        <x:v>import_new_grouped_product</x:v>
      </x:c>
      <x:c r="D314" s="79" t="str">
        <x:v>255</x:v>
      </x:c>
      <x:c r="E314" s="79" t="str">
        <x:v>صابون درخت چای</x:v>
      </x:c>
      <x:c r="F314" s="79" t="str">
        <x:v>گیاهان دارویی</x:v>
      </x:c>
      <x:c r="G314" s="79" t="str">
        <x:v>6a3782d7df5573f4e676e243</x:v>
      </x:c>
      <x:c r="H314" s="79" t="str">
        <x:v>medicinal-plants</x:v>
      </x:c>
      <x:c r="I314" s="79"/>
      <x:c r="J314" s="79" t="str">
        <x:v>TOPICAL</x:v>
      </x:c>
      <x:c r="K314" s="79" t="str">
        <x:v>خیر</x:v>
      </x:c>
      <x:c r="L314" s="79" t="n">
        <x:v>1</x:v>
      </x:c>
      <x:c r="M314" s="79" t="n">
        <x:v>0</x:v>
      </x:c>
      <x:c r="N314" s="79" t="str">
        <x:v>OK</x:v>
      </x:c>
      <x:c r="O314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14" s="79" t="str">
        <x:v>[{"name": "کیلو", "sku": "", "price": 120000, "stock": "", "weight": 1, "weightUnit": "kg", "containerSize": "کیلو", "isDefault": true}]</x:v>
      </x:c>
    </x:row>
    <x:row r="315">
      <x:c r="A315" s="79" t="str">
        <x:v>صابون ذغال اکتیو</x:v>
      </x:c>
      <x:c r="B315" s="79" t="str">
        <x:v>soap_charcoal_active</x:v>
      </x:c>
      <x:c r="C315" s="79" t="str">
        <x:v>update_grouped_product</x:v>
      </x:c>
      <x:c r="D315" s="79" t="str">
        <x:v>256</x:v>
      </x:c>
      <x:c r="E315" s="79" t="str">
        <x:v>صابون ذغال اکتیو</x:v>
      </x:c>
      <x:c r="F315" s="79" t="str">
        <x:v>گیاهان دارویی</x:v>
      </x:c>
      <x:c r="G315" s="79" t="str">
        <x:v>6a3782d7df5573f4e676e243</x:v>
      </x:c>
      <x:c r="H315" s="79" t="str">
        <x:v>medicinal-plants</x:v>
      </x:c>
      <x:c r="I315" s="79"/>
      <x:c r="J315" s="79" t="str">
        <x:v>TOPICAL</x:v>
      </x:c>
      <x:c r="K315" s="79" t="str">
        <x:v>خیر</x:v>
      </x:c>
      <x:c r="L315" s="79" t="n">
        <x:v>1</x:v>
      </x:c>
      <x:c r="M315" s="79" t="n">
        <x:v>0</x:v>
      </x:c>
      <x:c r="N315" s="79" t="str">
        <x:v>OK</x:v>
      </x:c>
      <x:c r="O315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15" s="79" t="str">
        <x:v>[{"name": "کیلو", "sku": "", "price": 120000, "stock": "", "weight": 1, "weightUnit": "kg", "containerSize": "کیلو", "isDefault": true}]</x:v>
      </x:c>
    </x:row>
    <x:row r="316">
      <x:c r="A316" s="79" t="str">
        <x:v>صابون زردآلو</x:v>
      </x:c>
      <x:c r="B316" s="79" t="str">
        <x:v>soap_apricot</x:v>
      </x:c>
      <x:c r="C316" s="79" t="str">
        <x:v>update_grouped_product</x:v>
      </x:c>
      <x:c r="D316" s="79" t="str">
        <x:v>257</x:v>
      </x:c>
      <x:c r="E316" s="79" t="str">
        <x:v>صابون زردآلو</x:v>
      </x:c>
      <x:c r="F316" s="79" t="str">
        <x:v>گیاهان دارویی</x:v>
      </x:c>
      <x:c r="G316" s="79" t="str">
        <x:v>6a3782d7df5573f4e676e243</x:v>
      </x:c>
      <x:c r="H316" s="79" t="str">
        <x:v>medicinal-plants</x:v>
      </x:c>
      <x:c r="I316" s="79"/>
      <x:c r="J316" s="79" t="str">
        <x:v>TOPICAL</x:v>
      </x:c>
      <x:c r="K316" s="79" t="str">
        <x:v>خیر</x:v>
      </x:c>
      <x:c r="L316" s="79" t="n">
        <x:v>1</x:v>
      </x:c>
      <x:c r="M316" s="79" t="n">
        <x:v>0</x:v>
      </x:c>
      <x:c r="N316" s="79" t="str">
        <x:v>OK</x:v>
      </x:c>
      <x:c r="O316" s="79" t="str">
        <x:v>دسته از «خشکبار و آجیل» به «گیاهان دارویی» اصلاح شد | نوع مصرف به موضعی/غیرخوراکی اصلاح شد</x:v>
      </x:c>
      <x:c r="P316" s="79" t="str">
        <x:v>[{"name": "کیلو", "sku": "", "price": 120000, "stock": "", "weight": 1, "weightUnit": "kg", "containerSize": "کیلو", "isDefault": true}]</x:v>
      </x:c>
    </x:row>
    <x:row r="317">
      <x:c r="A317" s="79" t="str">
        <x:v>صابون زردچوبه</x:v>
      </x:c>
      <x:c r="B317" s="79" t="str">
        <x:v>soap_turmeric</x:v>
      </x:c>
      <x:c r="C317" s="79" t="str">
        <x:v>update_grouped_product</x:v>
      </x:c>
      <x:c r="D317" s="79" t="str">
        <x:v>258</x:v>
      </x:c>
      <x:c r="E317" s="79" t="str">
        <x:v>صابون زردچوبه</x:v>
      </x:c>
      <x:c r="F317" s="79" t="str">
        <x:v>گیاهان دارویی</x:v>
      </x:c>
      <x:c r="G317" s="79" t="str">
        <x:v>6a3782d7df5573f4e676e243</x:v>
      </x:c>
      <x:c r="H317" s="79" t="str">
        <x:v>medicinal-plants</x:v>
      </x:c>
      <x:c r="I317" s="79"/>
      <x:c r="J317" s="79" t="str">
        <x:v>TOPICAL</x:v>
      </x:c>
      <x:c r="K317" s="79" t="str">
        <x:v>خیر</x:v>
      </x:c>
      <x:c r="L317" s="79" t="n">
        <x:v>1</x:v>
      </x:c>
      <x:c r="M317" s="79" t="n">
        <x:v>0</x:v>
      </x:c>
      <x:c r="N317" s="79" t="str">
        <x:v>OK</x:v>
      </x:c>
      <x:c r="O317" s="79" t="str">
        <x:v>دسته از «ادویه» به «گیاهان دارویی» اصلاح شد | نوع مصرف به موضعی/غیرخوراکی اصلاح شد</x:v>
      </x:c>
      <x:c r="P317" s="79" t="str">
        <x:v>[{"name": "کیلو", "sku": "", "price": 120000, "stock": "", "weight": 1, "weightUnit": "kg", "containerSize": "کیلو", "isDefault": true}]</x:v>
      </x:c>
    </x:row>
    <x:row r="318">
      <x:c r="A318" s="79" t="str">
        <x:v>صابون زیتون</x:v>
      </x:c>
      <x:c r="B318" s="79" t="str">
        <x:v>soap_olive</x:v>
      </x:c>
      <x:c r="C318" s="79" t="str">
        <x:v>update_grouped_product</x:v>
      </x:c>
      <x:c r="D318" s="79" t="str">
        <x:v>259</x:v>
      </x:c>
      <x:c r="E318" s="79" t="str">
        <x:v>صابون زیتون</x:v>
      </x:c>
      <x:c r="F318" s="79" t="str">
        <x:v>گیاهان دارویی</x:v>
      </x:c>
      <x:c r="G318" s="79" t="str">
        <x:v>6a3782d7df5573f4e676e243</x:v>
      </x:c>
      <x:c r="H318" s="79" t="str">
        <x:v>medicinal-plants</x:v>
      </x:c>
      <x:c r="I318" s="79"/>
      <x:c r="J318" s="79" t="str">
        <x:v>TOPICAL</x:v>
      </x:c>
      <x:c r="K318" s="79" t="str">
        <x:v>خیر</x:v>
      </x:c>
      <x:c r="L318" s="79" t="n">
        <x:v>1</x:v>
      </x:c>
      <x:c r="M318" s="79" t="n">
        <x:v>0</x:v>
      </x:c>
      <x:c r="N318" s="79" t="str">
        <x:v>OK</x:v>
      </x:c>
      <x:c r="O31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18" s="79" t="str">
        <x:v>[{"name": "کیلو", "sku": "", "price": 120000, "stock": "", "weight": 1, "weightUnit": "kg", "containerSize": "کیلو", "isDefault": true}]</x:v>
      </x:c>
    </x:row>
    <x:row r="319">
      <x:c r="A319" s="79" t="str">
        <x:v>صابون سفیداب</x:v>
      </x:c>
      <x:c r="B319" s="79" t="str">
        <x:v>soap_sefidab</x:v>
      </x:c>
      <x:c r="C319" s="79" t="str">
        <x:v>update_grouped_product</x:v>
      </x:c>
      <x:c r="D319" s="79" t="str">
        <x:v>260</x:v>
      </x:c>
      <x:c r="E319" s="79" t="str">
        <x:v>صابون سفیداب</x:v>
      </x:c>
      <x:c r="F319" s="79" t="str">
        <x:v>گیاهان دارویی</x:v>
      </x:c>
      <x:c r="G319" s="79" t="str">
        <x:v>6a3782d7df5573f4e676e243</x:v>
      </x:c>
      <x:c r="H319" s="79" t="str">
        <x:v>medicinal-plants</x:v>
      </x:c>
      <x:c r="I319" s="79"/>
      <x:c r="J319" s="79" t="str">
        <x:v>TOPICAL</x:v>
      </x:c>
      <x:c r="K319" s="79" t="str">
        <x:v>خیر</x:v>
      </x:c>
      <x:c r="L319" s="79" t="n">
        <x:v>1</x:v>
      </x:c>
      <x:c r="M319" s="79" t="n">
        <x:v>0</x:v>
      </x:c>
      <x:c r="N319" s="79" t="str">
        <x:v>OK</x:v>
      </x:c>
      <x:c r="O31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19" s="79" t="str">
        <x:v>[{"name": "کیلو", "sku": "", "price": 90000, "stock": "", "weight": 1, "weightUnit": "kg", "containerSize": "کیلو", "isDefault": true}]</x:v>
      </x:c>
    </x:row>
    <x:row r="320">
      <x:c r="A320" s="79" t="str">
        <x:v>صابون سیاهدانه</x:v>
      </x:c>
      <x:c r="B320" s="79" t="str">
        <x:v>soap_syahdanh</x:v>
      </x:c>
      <x:c r="C320" s="79" t="str">
        <x:v>update_grouped_product</x:v>
      </x:c>
      <x:c r="D320" s="79" t="str">
        <x:v>261</x:v>
      </x:c>
      <x:c r="E320" s="79" t="str">
        <x:v>صابون سیاهدانه</x:v>
      </x:c>
      <x:c r="F320" s="79" t="str">
        <x:v>گیاهان دارویی</x:v>
      </x:c>
      <x:c r="G320" s="79" t="str">
        <x:v>6a3782d7df5573f4e676e243</x:v>
      </x:c>
      <x:c r="H320" s="79" t="str">
        <x:v>medicinal-plants</x:v>
      </x:c>
      <x:c r="I320" s="79"/>
      <x:c r="J320" s="79" t="str">
        <x:v>TOPICAL</x:v>
      </x:c>
      <x:c r="K320" s="79" t="str">
        <x:v>خیر</x:v>
      </x:c>
      <x:c r="L320" s="79" t="n">
        <x:v>1</x:v>
      </x:c>
      <x:c r="M320" s="79" t="n">
        <x:v>0</x:v>
      </x:c>
      <x:c r="N320" s="79" t="str">
        <x:v>OK</x:v>
      </x:c>
      <x:c r="O32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20" s="79" t="str">
        <x:v>[{"name": "کیلو", "sku": "", "price": 120000, "stock": "", "weight": 1, "weightUnit": "kg", "containerSize": "کیلو", "isDefault": true}]</x:v>
      </x:c>
    </x:row>
    <x:row r="321">
      <x:c r="A321" s="79" t="str">
        <x:v>صابون شیرالاغ</x:v>
      </x:c>
      <x:c r="B321" s="79" t="str">
        <x:v>soap_donkey_milk</x:v>
      </x:c>
      <x:c r="C321" s="79" t="str">
        <x:v>update_grouped_product</x:v>
      </x:c>
      <x:c r="D321" s="79" t="str">
        <x:v>262</x:v>
      </x:c>
      <x:c r="E321" s="79" t="str">
        <x:v>صابون شیرالاغ</x:v>
      </x:c>
      <x:c r="F321" s="79" t="str">
        <x:v>گیاهان دارویی</x:v>
      </x:c>
      <x:c r="G321" s="79" t="str">
        <x:v>6a3782d7df5573f4e676e243</x:v>
      </x:c>
      <x:c r="H321" s="79" t="str">
        <x:v>medicinal-plants</x:v>
      </x:c>
      <x:c r="I321" s="79"/>
      <x:c r="J321" s="79" t="str">
        <x:v>TOPICAL</x:v>
      </x:c>
      <x:c r="K321" s="79" t="str">
        <x:v>خیر</x:v>
      </x:c>
      <x:c r="L321" s="79" t="n">
        <x:v>1</x:v>
      </x:c>
      <x:c r="M321" s="79" t="n">
        <x:v>0</x:v>
      </x:c>
      <x:c r="N321" s="79" t="str">
        <x:v>OK</x:v>
      </x:c>
      <x:c r="O321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21" s="79" t="str">
        <x:v>[{"name": "کیلو", "sku": "", "price": 180000, "stock": "", "weight": 1, "weightUnit": "kg", "containerSize": "کیلو", "isDefault": true}]</x:v>
      </x:c>
    </x:row>
    <x:row r="322">
      <x:c r="A322" s="79" t="str">
        <x:v>صابون فندق</x:v>
      </x:c>
      <x:c r="B322" s="79" t="str">
        <x:v>soap_hazelnut</x:v>
      </x:c>
      <x:c r="C322" s="79" t="str">
        <x:v>update_grouped_product</x:v>
      </x:c>
      <x:c r="D322" s="79" t="str">
        <x:v>263</x:v>
      </x:c>
      <x:c r="E322" s="79" t="str">
        <x:v>صابون فندق</x:v>
      </x:c>
      <x:c r="F322" s="79" t="str">
        <x:v>گیاهان دارویی</x:v>
      </x:c>
      <x:c r="G322" s="79" t="str">
        <x:v>6a3782d7df5573f4e676e243</x:v>
      </x:c>
      <x:c r="H322" s="79" t="str">
        <x:v>medicinal-plants</x:v>
      </x:c>
      <x:c r="I322" s="79"/>
      <x:c r="J322" s="79" t="str">
        <x:v>TOPICAL</x:v>
      </x:c>
      <x:c r="K322" s="79" t="str">
        <x:v>خیر</x:v>
      </x:c>
      <x:c r="L322" s="79" t="n">
        <x:v>1</x:v>
      </x:c>
      <x:c r="M322" s="79" t="n">
        <x:v>0</x:v>
      </x:c>
      <x:c r="N322" s="79" t="str">
        <x:v>OK</x:v>
      </x:c>
      <x:c r="O322" s="79" t="str">
        <x:v>دسته از «خشکبار و آجیل» به «گیاهان دارویی» اصلاح شد | نوع مصرف به موضعی/غیرخوراکی اصلاح شد</x:v>
      </x:c>
      <x:c r="P322" s="79" t="str">
        <x:v>[{"name": "کیلو", "sku": "", "price": 120000, "stock": "", "weight": 1, "weightUnit": "kg", "containerSize": "کیلو", "isDefault": true}]</x:v>
      </x:c>
    </x:row>
    <x:row r="323">
      <x:c r="A323" s="79" t="str">
        <x:v>صابون ماکادمیا</x:v>
      </x:c>
      <x:c r="B323" s="79" t="str">
        <x:v>soap_macadamia</x:v>
      </x:c>
      <x:c r="C323" s="79" t="str">
        <x:v>update_grouped_product</x:v>
      </x:c>
      <x:c r="D323" s="79" t="str">
        <x:v>264</x:v>
      </x:c>
      <x:c r="E323" s="79" t="str">
        <x:v>صابون ماکادمیا</x:v>
      </x:c>
      <x:c r="F323" s="79" t="str">
        <x:v>گیاهان دارویی</x:v>
      </x:c>
      <x:c r="G323" s="79" t="str">
        <x:v>6a3782d7df5573f4e676e243</x:v>
      </x:c>
      <x:c r="H323" s="79" t="str">
        <x:v>medicinal-plants</x:v>
      </x:c>
      <x:c r="I323" s="79"/>
      <x:c r="J323" s="79" t="str">
        <x:v>TOPICAL</x:v>
      </x:c>
      <x:c r="K323" s="79" t="str">
        <x:v>خیر</x:v>
      </x:c>
      <x:c r="L323" s="79" t="n">
        <x:v>1</x:v>
      </x:c>
      <x:c r="M323" s="79" t="n">
        <x:v>0</x:v>
      </x:c>
      <x:c r="N323" s="79" t="str">
        <x:v>OK</x:v>
      </x:c>
      <x:c r="O32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23" s="79" t="str">
        <x:v>[{"name": "کیلو", "sku": "", "price": 180000, "stock": "", "weight": 1, "weightUnit": "kg", "containerSize": "کیلو", "isDefault": true}]</x:v>
      </x:c>
    </x:row>
    <x:row r="324">
      <x:c r="A324" s="79" t="str">
        <x:v>صمغ</x:v>
      </x:c>
      <x:c r="B324" s="79" t="str">
        <x:v>gum</x:v>
      </x:c>
      <x:c r="C324" s="79" t="str">
        <x:v>update_grouped_product</x:v>
      </x:c>
      <x:c r="D324" s="79" t="str">
        <x:v>265</x:v>
      </x:c>
      <x:c r="E324" s="79" t="str">
        <x:v>صمغ</x:v>
      </x:c>
      <x:c r="F324" s="79" t="str">
        <x:v>گیاهان دارویی</x:v>
      </x:c>
      <x:c r="G324" s="79" t="str">
        <x:v>6a3782d7df5573f4e676e243</x:v>
      </x:c>
      <x:c r="H324" s="79" t="str">
        <x:v>medicinal-plants</x:v>
      </x:c>
      <x:c r="I324" s="79"/>
      <x:c r="J324" s="79" t="str">
        <x:v>EDIBLE</x:v>
      </x:c>
      <x:c r="K324" s="79" t="str">
        <x:v>بله</x:v>
      </x:c>
      <x:c r="L324" s="79" t="n">
        <x:v>1</x:v>
      </x:c>
      <x:c r="M324" s="79" t="n">
        <x:v>0</x:v>
      </x:c>
      <x:c r="N324" s="79" t="str">
        <x:v>OK</x:v>
      </x:c>
      <x:c r="O324" s="79" t="str">
        <x:v>دسته از «نیاز به بررسی» به «گیاهان دارویی» اصلاح شد</x:v>
      </x:c>
      <x:c r="P324" s="79" t="str">
        <x:v>[{"name": "کیلو", "sku": "", "price": 500000, "stock": "", "weight": 1, "weightUnit": "kg", "containerSize": "کیلو", "isDefault": true}]</x:v>
      </x:c>
    </x:row>
    <x:row r="325">
      <x:c r="A325" s="79" t="str">
        <x:v>عرق استنشاقی</x:v>
      </x:c>
      <x:c r="B325" s="79" t="str">
        <x:v>argh-astnshaghy</x:v>
      </x:c>
      <x:c r="C325" s="79" t="str">
        <x:v>import_new_grouped_product</x:v>
      </x:c>
      <x:c r="D325" s="79" t="str">
        <x:v>276</x:v>
      </x:c>
      <x:c r="E325" s="79" t="str">
        <x:v>عرق استنشاقی</x:v>
      </x:c>
      <x:c r="F325" s="79" t="str">
        <x:v>گیاهان دارویی</x:v>
      </x:c>
      <x:c r="G325" s="79" t="str">
        <x:v>6a3782d7df5573f4e676e243</x:v>
      </x:c>
      <x:c r="H325" s="79" t="str">
        <x:v>medicinal-plants</x:v>
      </x:c>
      <x:c r="I325" s="79"/>
      <x:c r="J325" s="79" t="str">
        <x:v>TOPICAL</x:v>
      </x:c>
      <x:c r="K325" s="79" t="str">
        <x:v>خیر</x:v>
      </x:c>
      <x:c r="L325" s="79" t="n">
        <x:v>2</x:v>
      </x:c>
      <x:c r="M325" s="79" t="n">
        <x:v>0</x:v>
      </x:c>
      <x:c r="N325" s="79" t="str">
        <x:v>OK</x:v>
      </x:c>
      <x:c r="O325" s="79" t="str">
        <x:v>به دلیل مصرف استنشاقی/موضعی از نوشیدنی‌ها به گیاهان دارویی منتقل شد</x:v>
      </x:c>
      <x:c r="P325" s="79" t="str">
        <x:v>[{"name": "30 میلی لیتر", "sku": "", "price": 65000, "stock": "", "weight": 30, "weightUnit": "ml", "containerSize": "30 میل", "isDefault": true}, {"name": "60 میلی لیتر", "sku": "", "price": 120000, "stock": "", "weight": 60, "weightUnit": "ml", "containerSize": "60 میل", "isDefault": false}]</x:v>
      </x:c>
    </x:row>
    <x:row r="326">
      <x:c r="A326" s="79" t="str">
        <x:v>عرق محرک پیاز مو</x:v>
      </x:c>
      <x:c r="B326" s="79" t="str">
        <x:v>argh-mhrk-pyaz-mv</x:v>
      </x:c>
      <x:c r="C326" s="79" t="str">
        <x:v>import_new_grouped_product</x:v>
      </x:c>
      <x:c r="D326" s="79" t="str">
        <x:v>303</x:v>
      </x:c>
      <x:c r="E326" s="79" t="str">
        <x:v>عرق محرک پیاز مو</x:v>
      </x:c>
      <x:c r="F326" s="79" t="str">
        <x:v>گیاهان دارویی</x:v>
      </x:c>
      <x:c r="G326" s="79" t="str">
        <x:v>6a3782d7df5573f4e676e243</x:v>
      </x:c>
      <x:c r="H326" s="79" t="str">
        <x:v>medicinal-plants</x:v>
      </x:c>
      <x:c r="I326" s="79"/>
      <x:c r="J326" s="79" t="str">
        <x:v>TOPICAL</x:v>
      </x:c>
      <x:c r="K326" s="79" t="str">
        <x:v>خیر</x:v>
      </x:c>
      <x:c r="L326" s="79" t="n">
        <x:v>2</x:v>
      </x:c>
      <x:c r="M326" s="79" t="n">
        <x:v>0</x:v>
      </x:c>
      <x:c r="N326" s="79" t="str">
        <x:v>OK</x:v>
      </x:c>
      <x:c r="O326" s="79" t="str">
        <x:v>به دلیل مصرف استنشاقی/موضعی از نوشیدنی‌ها به گیاهان دارویی منتقل شد</x:v>
      </x:c>
      <x:c r="P326" s="79" t="str">
        <x:v>[{"name": "نیم لیتر", "sku": "", "price": 120000, "stock": "", "weight": 500, "weightUnit": "ml", "containerSize": "نیم لیتر", "isDefault": true}, {"name": "1 لیتر", "sku": "", "price": 240000, "stock": "", "weight": 1000, "weightUnit": "ml", "containerSize": "1 لیتر", "isDefault": false}]</x:v>
      </x:c>
    </x:row>
    <x:row r="327">
      <x:c r="A327" s="79" t="str">
        <x:v>عود</x:v>
      </x:c>
      <x:c r="B327" s="79" t="str">
        <x:v>incense</x:v>
      </x:c>
      <x:c r="C327" s="79" t="str">
        <x:v>update_grouped_product</x:v>
      </x:c>
      <x:c r="D327" s="79" t="str">
        <x:v>317</x:v>
      </x:c>
      <x:c r="E327" s="79" t="str">
        <x:v>عود</x:v>
      </x:c>
      <x:c r="F327" s="79" t="str">
        <x:v>گیاهان دارویی</x:v>
      </x:c>
      <x:c r="G327" s="79" t="str">
        <x:v>6a3782d7df5573f4e676e243</x:v>
      </x:c>
      <x:c r="H327" s="79" t="str">
        <x:v>medicinal-plants</x:v>
      </x:c>
      <x:c r="I327" s="79"/>
      <x:c r="J327" s="79" t="str">
        <x:v>NON_EDIBLE</x:v>
      </x:c>
      <x:c r="K327" s="79" t="str">
        <x:v>خیر</x:v>
      </x:c>
      <x:c r="L327" s="79" t="n">
        <x:v>1</x:v>
      </x:c>
      <x:c r="M327" s="79" t="n">
        <x:v>0</x:v>
      </x:c>
      <x:c r="N327" s="79" t="str">
        <x:v>OK</x:v>
      </x:c>
      <x:c r="O327" s="79" t="str">
        <x:v>دسته قبلاً خالی/نیازمند بررسی بود؛ بر اساس ماهیت موضعی/غیرخوراکی به گیاهان دارویی منتقل شد | غیرخوراکی</x:v>
      </x:c>
      <x:c r="P327" s="79" t="str">
        <x:v>[{"name": "شاخه ای", "sku": "", "price": 30000, "stock": "", "weight": "", "weightUnit": "", "containerSize": "شاخه ای", "isDefault": true}]</x:v>
      </x:c>
    </x:row>
    <x:row r="328">
      <x:c r="A328" s="79" t="str">
        <x:v>قرص کمر</x:v>
      </x:c>
      <x:c r="B328" s="79" t="str">
        <x:v>tablet_back</x:v>
      </x:c>
      <x:c r="C328" s="79" t="str">
        <x:v>update_grouped_product</x:v>
      </x:c>
      <x:c r="D328" s="79" t="str">
        <x:v>324</x:v>
      </x:c>
      <x:c r="E328" s="79" t="str">
        <x:v>قرص کمر</x:v>
      </x:c>
      <x:c r="F328" s="79" t="str">
        <x:v>گیاهان دارویی</x:v>
      </x:c>
      <x:c r="G328" s="79" t="str">
        <x:v>6a3782d7df5573f4e676e243</x:v>
      </x:c>
      <x:c r="H328" s="79" t="str">
        <x:v>medicinal-plants</x:v>
      </x:c>
      <x:c r="I328" s="79"/>
      <x:c r="J328" s="79" t="str">
        <x:v>REVIEW</x:v>
      </x:c>
      <x:c r="K328" s="79" t="str">
        <x:v>نیاز به بررسی</x:v>
      </x:c>
      <x:c r="L328" s="79" t="n">
        <x:v>1</x:v>
      </x:c>
      <x:c r="M328" s="79" t="n">
        <x:v>0</x:v>
      </x:c>
      <x:c r="N328" s="79" t="str">
        <x:v>OK</x:v>
      </x:c>
      <x:c r="O328" s="79" t="str">
        <x:v>دسته با اطمینان متوسط اصلاح شد؛ در صورت حساسیت دستی بازبینی شود | نوع مصرف نیازمند بررسی دستی</x:v>
      </x:c>
      <x:c r="P328" s="79" t="str">
        <x:v>[{"name": "کیلو", "sku": "", "price": 500000, "stock": "", "weight": 1, "weightUnit": "kg", "containerSize": "کیلو", "isDefault": true}]</x:v>
      </x:c>
    </x:row>
    <x:row r="329">
      <x:c r="A329" s="79" t="str">
        <x:v>مرزه</x:v>
      </x:c>
      <x:c r="B329" s="79" t="str">
        <x:v>savory</x:v>
      </x:c>
      <x:c r="C329" s="79" t="str">
        <x:v>update_grouped_product</x:v>
      </x:c>
      <x:c r="D329" s="79" t="str">
        <x:v>369</x:v>
      </x:c>
      <x:c r="E329" s="79" t="str">
        <x:v>مرزه</x:v>
      </x:c>
      <x:c r="F329" s="79" t="str">
        <x:v>گیاهان دارویی</x:v>
      </x:c>
      <x:c r="G329" s="79" t="str">
        <x:v>6a3782d7df5573f4e676e243</x:v>
      </x:c>
      <x:c r="H329" s="79" t="str">
        <x:v>medicinal-plants</x:v>
      </x:c>
      <x:c r="I329" s="79"/>
      <x:c r="J329" s="79" t="str">
        <x:v>EDIBLE</x:v>
      </x:c>
      <x:c r="K329" s="79" t="str">
        <x:v>بله</x:v>
      </x:c>
      <x:c r="L329" s="79" t="n">
        <x:v>1</x:v>
      </x:c>
      <x:c r="M329" s="79" t="n">
        <x:v>0</x:v>
      </x:c>
      <x:c r="N329" s="79" t="str">
        <x:v>OK</x:v>
      </x:c>
      <x:c r="O329" s="79"/>
      <x:c r="P329" s="79" t="str">
        <x:v>[{"name": "کیلو", "sku": "", "price": 850000, "stock": "", "weight": 1, "weightUnit": "kg", "containerSize": "کیلو", "isDefault": true}]</x:v>
      </x:c>
    </x:row>
    <x:row r="330">
      <x:c r="A330" s="79" t="str">
        <x:v>مصفی خون</x:v>
      </x:c>
      <x:c r="B330" s="79" t="str">
        <x:v>purifier_blood</x:v>
      </x:c>
      <x:c r="C330" s="79" t="str">
        <x:v>update_grouped_product</x:v>
      </x:c>
      <x:c r="D330" s="79" t="str">
        <x:v>370</x:v>
      </x:c>
      <x:c r="E330" s="79" t="str">
        <x:v>مصفی خون</x:v>
      </x:c>
      <x:c r="F330" s="79" t="str">
        <x:v>گیاهان دارویی</x:v>
      </x:c>
      <x:c r="G330" s="79" t="str">
        <x:v>6a3782d7df5573f4e676e243</x:v>
      </x:c>
      <x:c r="H330" s="79" t="str">
        <x:v>medicinal-plants</x:v>
      </x:c>
      <x:c r="I330" s="79"/>
      <x:c r="J330" s="79" t="str">
        <x:v>REVIEW</x:v>
      </x:c>
      <x:c r="K330" s="79" t="str">
        <x:v>نیاز به بررسی</x:v>
      </x:c>
      <x:c r="L330" s="79" t="n">
        <x:v>1</x:v>
      </x:c>
      <x:c r="M330" s="79" t="n">
        <x:v>1</x:v>
      </x:c>
      <x:c r="N330" s="79" t="str">
        <x:v>MISSING_PRICE_REVIEW + 1 VARIANT_PRICE_MISSING</x:v>
      </x:c>
      <x:c r="O330" s="79" t="str">
        <x:v>دسته با اطمینان متوسط اصلاح شد؛ در صورت حساسیت دستی بازبینی شود | نوع مصرف نیازمند بررسی دستی | یک یا چند قیمت نامشخص است</x:v>
      </x:c>
      <x:c r="P330" s="79" t="str">
        <x:v>[{"name": "کیلو", "sku": "", "price": null, "stock": "", "weight": 1, "weightUnit": "kg", "containerSize": "کیلو", "isDefault": true}]</x:v>
      </x:c>
    </x:row>
    <x:row r="331">
      <x:c r="A331" s="79" t="str">
        <x:v>نعناع خشک</x:v>
      </x:c>
      <x:c r="B331" s="79" t="str">
        <x:v>dried_mint</x:v>
      </x:c>
      <x:c r="C331" s="79" t="str">
        <x:v>update_grouped_product</x:v>
      </x:c>
      <x:c r="D331" s="79" t="str">
        <x:v>376</x:v>
      </x:c>
      <x:c r="E331" s="79" t="str">
        <x:v>نعناع خشک</x:v>
      </x:c>
      <x:c r="F331" s="79" t="str">
        <x:v>گیاهان دارویی</x:v>
      </x:c>
      <x:c r="G331" s="79" t="str">
        <x:v>6a3782d7df5573f4e676e243</x:v>
      </x:c>
      <x:c r="H331" s="79" t="str">
        <x:v>medicinal-plants</x:v>
      </x:c>
      <x:c r="I331" s="79"/>
      <x:c r="J331" s="79" t="str">
        <x:v>EDIBLE</x:v>
      </x:c>
      <x:c r="K331" s="79" t="str">
        <x:v>بله</x:v>
      </x:c>
      <x:c r="L331" s="79" t="n">
        <x:v>1</x:v>
      </x:c>
      <x:c r="M331" s="79" t="n">
        <x:v>0</x:v>
      </x:c>
      <x:c r="N331" s="79" t="str">
        <x:v>OK</x:v>
      </x:c>
      <x:c r="O331" s="79"/>
      <x:c r="P331" s="79" t="str">
        <x:v>[{"name": "کیلو", "sku": "", "price": 750000, "stock": "", "weight": 1, "weightUnit": "kg", "containerSize": "کیلو", "isDefault": true}]</x:v>
      </x:c>
    </x:row>
    <x:row r="332">
      <x:c r="A332" s="79" t="str">
        <x:v>نوره</x:v>
      </x:c>
      <x:c r="B332" s="79" t="str">
        <x:v>depilatory</x:v>
      </x:c>
      <x:c r="C332" s="79" t="str">
        <x:v>update_grouped_product</x:v>
      </x:c>
      <x:c r="D332" s="79" t="str">
        <x:v>386</x:v>
      </x:c>
      <x:c r="E332" s="79" t="str">
        <x:v>نوره</x:v>
      </x:c>
      <x:c r="F332" s="79" t="str">
        <x:v>گیاهان دارویی</x:v>
      </x:c>
      <x:c r="G332" s="79" t="str">
        <x:v>6a3782d7df5573f4e676e243</x:v>
      </x:c>
      <x:c r="H332" s="79" t="str">
        <x:v>medicinal-plants</x:v>
      </x:c>
      <x:c r="I332" s="79"/>
      <x:c r="J332" s="79" t="str">
        <x:v>TOPICAL</x:v>
      </x:c>
      <x:c r="K332" s="79" t="str">
        <x:v>خیر</x:v>
      </x:c>
      <x:c r="L332" s="79" t="n">
        <x:v>1</x:v>
      </x:c>
      <x:c r="M332" s="79" t="n">
        <x:v>0</x:v>
      </x:c>
      <x:c r="N332" s="79" t="str">
        <x:v>OK</x:v>
      </x:c>
      <x:c r="O33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32" s="79" t="str">
        <x:v>[{"name": "نیم کیلو", "sku": "", "price": 110000, "stock": "", "weight": 1, "weightUnit": "kg", "containerSize": "نیم کیلو", "isDefault": true}]</x:v>
      </x:c>
    </x:row>
    <x:row r="333">
      <x:c r="A333" s="79" t="str">
        <x:v>پماد سرد</x:v>
      </x:c>
      <x:c r="B333" s="79" t="str">
        <x:v>ointment_cold_10_gram</x:v>
      </x:c>
      <x:c r="C333" s="79" t="str">
        <x:v>update_grouped_product</x:v>
      </x:c>
      <x:c r="D333" s="79" t="str">
        <x:v>57</x:v>
      </x:c>
      <x:c r="E333" s="79" t="str">
        <x:v>پماد سرد</x:v>
      </x:c>
      <x:c r="F333" s="79" t="str">
        <x:v>گیاهان دارویی</x:v>
      </x:c>
      <x:c r="G333" s="79" t="str">
        <x:v>6a3782d7df5573f4e676e243</x:v>
      </x:c>
      <x:c r="H333" s="79" t="str">
        <x:v>medicinal-plants</x:v>
      </x:c>
      <x:c r="I333" s="79"/>
      <x:c r="J333" s="79" t="str">
        <x:v>TOPICAL</x:v>
      </x:c>
      <x:c r="K333" s="79" t="str">
        <x:v>خیر</x:v>
      </x:c>
      <x:c r="L333" s="79" t="n">
        <x:v>2</x:v>
      </x:c>
      <x:c r="M333" s="79" t="n">
        <x:v>0</x:v>
      </x:c>
      <x:c r="N333" s="79" t="str">
        <x:v>OK</x:v>
      </x:c>
      <x:c r="O33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33" s="79" t="str">
        <x:v>[{"name": "10 گرمی", "sku": "", "price": 250000, "stock": "", "weight": 10, "weightUnit": "g", "containerSize": "10 گرمی", "isDefault": true}, {"name": "20 گرمی", "sku": "", "price": 360000, "stock": "", "weight": 20, "weightUnit": "g", "containerSize": "20 گرمی", "isDefault": false}]</x:v>
      </x:c>
    </x:row>
    <x:row r="334">
      <x:c r="A334" s="79" t="str">
        <x:v>پماد سیاه</x:v>
      </x:c>
      <x:c r="B334" s="79" t="str">
        <x:v>ointment_black</x:v>
      </x:c>
      <x:c r="C334" s="79" t="str">
        <x:v>update_grouped_product</x:v>
      </x:c>
      <x:c r="D334" s="79" t="str">
        <x:v>58</x:v>
      </x:c>
      <x:c r="E334" s="79" t="str">
        <x:v>پماد سیاه</x:v>
      </x:c>
      <x:c r="F334" s="79" t="str">
        <x:v>گیاهان دارویی</x:v>
      </x:c>
      <x:c r="G334" s="79" t="str">
        <x:v>6a3782d7df5573f4e676e243</x:v>
      </x:c>
      <x:c r="H334" s="79" t="str">
        <x:v>medicinal-plants</x:v>
      </x:c>
      <x:c r="I334" s="79"/>
      <x:c r="J334" s="79" t="str">
        <x:v>TOPICAL</x:v>
      </x:c>
      <x:c r="K334" s="79" t="str">
        <x:v>خیر</x:v>
      </x:c>
      <x:c r="L334" s="79" t="n">
        <x:v>1</x:v>
      </x:c>
      <x:c r="M334" s="79" t="n">
        <x:v>0</x:v>
      </x:c>
      <x:c r="N334" s="79" t="str">
        <x:v>OK</x:v>
      </x:c>
      <x:c r="O334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34" s="79" t="str">
        <x:v>[{"name": "کیلو", "sku": "", "price": 120000, "stock": "", "weight": 1, "weightUnit": "kg", "containerSize": "کیلو", "isDefault": true}]</x:v>
      </x:c>
    </x:row>
    <x:row r="335">
      <x:c r="A335" s="79" t="str">
        <x:v>پماد لطیف</x:v>
      </x:c>
      <x:c r="B335" s="79" t="str">
        <x:v>ointment_latif_20_gram</x:v>
      </x:c>
      <x:c r="C335" s="79" t="str">
        <x:v>update_grouped_product</x:v>
      </x:c>
      <x:c r="D335" s="79" t="str">
        <x:v>60</x:v>
      </x:c>
      <x:c r="E335" s="79" t="str">
        <x:v>پماد لطیف</x:v>
      </x:c>
      <x:c r="F335" s="79" t="str">
        <x:v>گیاهان دارویی</x:v>
      </x:c>
      <x:c r="G335" s="79" t="str">
        <x:v>6a3782d7df5573f4e676e243</x:v>
      </x:c>
      <x:c r="H335" s="79" t="str">
        <x:v>medicinal-plants</x:v>
      </x:c>
      <x:c r="I335" s="79"/>
      <x:c r="J335" s="79" t="str">
        <x:v>TOPICAL</x:v>
      </x:c>
      <x:c r="K335" s="79" t="str">
        <x:v>خیر</x:v>
      </x:c>
      <x:c r="L335" s="79" t="n">
        <x:v>2</x:v>
      </x:c>
      <x:c r="M335" s="79" t="n">
        <x:v>0</x:v>
      </x:c>
      <x:c r="N335" s="79" t="str">
        <x:v>OK</x:v>
      </x:c>
      <x:c r="O335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35" s="79" t="str">
        <x:v>[{"name": "20 گرمی", "sku": "", "price": 250000, "stock": "", "weight": 20, "weightUnit": "g", "containerSize": "20 گرمی", "isDefault": true}, {"name": "30 گرمی", "sku": "", "price": 360000, "stock": "", "weight": 30, "weightUnit": "g", "containerSize": "30 گرمی", "isDefault": false}]</x:v>
      </x:c>
    </x:row>
    <x:row r="336">
      <x:c r="A336" s="79" t="str">
        <x:v>پماد گرم</x:v>
      </x:c>
      <x:c r="B336" s="79" t="str">
        <x:v>ointment_warm_10_gram</x:v>
      </x:c>
      <x:c r="C336" s="79" t="str">
        <x:v>update_grouped_product</x:v>
      </x:c>
      <x:c r="D336" s="79" t="str">
        <x:v>59</x:v>
      </x:c>
      <x:c r="E336" s="79" t="str">
        <x:v>پماد گرم</x:v>
      </x:c>
      <x:c r="F336" s="79" t="str">
        <x:v>گیاهان دارویی</x:v>
      </x:c>
      <x:c r="G336" s="79" t="str">
        <x:v>6a3782d7df5573f4e676e243</x:v>
      </x:c>
      <x:c r="H336" s="79" t="str">
        <x:v>medicinal-plants</x:v>
      </x:c>
      <x:c r="I336" s="79"/>
      <x:c r="J336" s="79" t="str">
        <x:v>TOPICAL</x:v>
      </x:c>
      <x:c r="K336" s="79" t="str">
        <x:v>خیر</x:v>
      </x:c>
      <x:c r="L336" s="79" t="n">
        <x:v>2</x:v>
      </x:c>
      <x:c r="M336" s="79" t="n">
        <x:v>0</x:v>
      </x:c>
      <x:c r="N336" s="79" t="str">
        <x:v>OK</x:v>
      </x:c>
      <x:c r="O336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36" s="79" t="str">
        <x:v>[{"name": "10 گرمی", "sku": "", "price": 250000, "stock": "", "weight": 10, "weightUnit": "g", "containerSize": "10 گرمی", "isDefault": true}, {"name": "20 گرمی", "sku": "", "price": 360000, "stock": "", "weight": 20, "weightUnit": "g", "containerSize": "20 گرمی", "isDefault": false}]</x:v>
      </x:c>
    </x:row>
    <x:row r="337">
      <x:c r="A337" s="79" t="str">
        <x:v>پمادر درد (پماد ویکس)</x:v>
      </x:c>
      <x:c r="B337" s="79" t="str">
        <x:v>pmadr_pain_10_gram</x:v>
      </x:c>
      <x:c r="C337" s="79" t="str">
        <x:v>update_grouped_product</x:v>
      </x:c>
      <x:c r="D337" s="79" t="str">
        <x:v>61</x:v>
      </x:c>
      <x:c r="E337" s="79" t="str">
        <x:v>پمادر درد (پماد ویکس)</x:v>
      </x:c>
      <x:c r="F337" s="79" t="str">
        <x:v>گیاهان دارویی</x:v>
      </x:c>
      <x:c r="G337" s="79" t="str">
        <x:v>6a3782d7df5573f4e676e243</x:v>
      </x:c>
      <x:c r="H337" s="79" t="str">
        <x:v>medicinal-plants</x:v>
      </x:c>
      <x:c r="I337" s="79"/>
      <x:c r="J337" s="79" t="str">
        <x:v>TOPICAL</x:v>
      </x:c>
      <x:c r="K337" s="79" t="str">
        <x:v>خیر</x:v>
      </x:c>
      <x:c r="L337" s="79" t="n">
        <x:v>2</x:v>
      </x:c>
      <x:c r="M337" s="79" t="n">
        <x:v>0</x:v>
      </x:c>
      <x:c r="N337" s="79" t="str">
        <x:v>OK</x:v>
      </x:c>
      <x:c r="O337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37" s="79" t="str">
        <x:v>[{"name": "10 گرمی", "sku": "", "price": 250000, "stock": "", "weight": 10, "weightUnit": "g", "containerSize": "10 گرمی", "isDefault": true}, {"name": "20 گرمی", "sku": "", "price": 360000, "stock": "", "weight": 20, "weightUnit": "g", "containerSize": "20 گرمی", "isDefault": false}]</x:v>
      </x:c>
    </x:row>
    <x:row r="338">
      <x:c r="A338" s="79" t="str">
        <x:v>پمادر درد (پماد ویکس) 55 گرمی</x:v>
      </x:c>
      <x:c r="B338" s="79" t="str">
        <x:v>pmadr_pain_55_gram</x:v>
      </x:c>
      <x:c r="C338" s="79" t="str">
        <x:v>update_grouped_product</x:v>
      </x:c>
      <x:c r="D338" s="79" t="str">
        <x:v>62</x:v>
      </x:c>
      <x:c r="E338" s="79" t="str">
        <x:v>پمادر درد (پماد ویکس) 55 گرمی</x:v>
      </x:c>
      <x:c r="F338" s="79" t="str">
        <x:v>گیاهان دارویی</x:v>
      </x:c>
      <x:c r="G338" s="79" t="str">
        <x:v>6a3782d7df5573f4e676e243</x:v>
      </x:c>
      <x:c r="H338" s="79" t="str">
        <x:v>medicinal-plants</x:v>
      </x:c>
      <x:c r="I338" s="79"/>
      <x:c r="J338" s="79" t="str">
        <x:v>TOPICAL</x:v>
      </x:c>
      <x:c r="K338" s="79" t="str">
        <x:v>خیر</x:v>
      </x:c>
      <x:c r="L338" s="79" t="n">
        <x:v>1</x:v>
      </x:c>
      <x:c r="M338" s="79" t="n">
        <x:v>0</x:v>
      </x:c>
      <x:c r="N338" s="79" t="str">
        <x:v>OK</x:v>
      </x:c>
      <x:c r="O33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P338" s="79" t="str">
        <x:v>[{"name": "55 گرمی", "sku": "", "price": 240000, "stock": "", "weight": 1, "weightUnit": "kg", "containerSize": "کیلو", "isDefault": true}]</x:v>
      </x:c>
    </x:row>
    <x:row r="339">
      <x:c r="A339" s="79" t="str">
        <x:v>پودر خربزه</x:v>
      </x:c>
      <x:c r="B339" s="79" t="str">
        <x:v>melon_powder</x:v>
      </x:c>
      <x:c r="C339" s="79" t="str">
        <x:v>update_grouped_product</x:v>
      </x:c>
      <x:c r="D339" s="79" t="str">
        <x:v>63</x:v>
      </x:c>
      <x:c r="E339" s="79" t="str">
        <x:v>پودر خربزه</x:v>
      </x:c>
      <x:c r="F339" s="79" t="str">
        <x:v>گیاهان دارویی</x:v>
      </x:c>
      <x:c r="G339" s="79" t="str">
        <x:v>6a3782d7df5573f4e676e243</x:v>
      </x:c>
      <x:c r="H339" s="79" t="str">
        <x:v>medicinal-plants</x:v>
      </x:c>
      <x:c r="I339" s="79"/>
      <x:c r="J339" s="79" t="str">
        <x:v>EDIBLE</x:v>
      </x:c>
      <x:c r="K339" s="79" t="str">
        <x:v>بله</x:v>
      </x:c>
      <x:c r="L339" s="79" t="n">
        <x:v>1</x:v>
      </x:c>
      <x:c r="M339" s="79" t="n">
        <x:v>1</x:v>
      </x:c>
      <x:c r="N339" s="79" t="str">
        <x:v>MISSING_PRICE_REVIEW + 1 VARIANT_PRICE_MISSING</x:v>
      </x:c>
      <x:c r="O339" s="79" t="str">
        <x:v>دسته از «نیاز به بررسی» به «گیاهان دارویی» اصلاح شد | یک یا چند قیمت نامشخص است</x:v>
      </x:c>
      <x:c r="P339" s="79" t="str">
        <x:v>[{"name": "کیلو", "sku": "", "price": null, "stock": "", "weight": 1, "weightUnit": "kg", "containerSize": "کیلو", "isDefault": true}]</x:v>
      </x:c>
    </x:row>
    <x:row r="340">
      <x:c r="A340" s="79" t="str">
        <x:v>پونه خشک</x:v>
      </x:c>
      <x:c r="B340" s="79" t="str">
        <x:v>pennyroyal_dried</x:v>
      </x:c>
      <x:c r="C340" s="79" t="str">
        <x:v>update_grouped_product</x:v>
      </x:c>
      <x:c r="D340" s="79" t="str">
        <x:v>67</x:v>
      </x:c>
      <x:c r="E340" s="79" t="str">
        <x:v>پونه خشک</x:v>
      </x:c>
      <x:c r="F340" s="79" t="str">
        <x:v>گیاهان دارویی</x:v>
      </x:c>
      <x:c r="G340" s="79" t="str">
        <x:v>6a3782d7df5573f4e676e243</x:v>
      </x:c>
      <x:c r="H340" s="79" t="str">
        <x:v>medicinal-plants</x:v>
      </x:c>
      <x:c r="I340" s="79"/>
      <x:c r="J340" s="79" t="str">
        <x:v>EDIBLE</x:v>
      </x:c>
      <x:c r="K340" s="79" t="str">
        <x:v>بله</x:v>
      </x:c>
      <x:c r="L340" s="79" t="n">
        <x:v>1</x:v>
      </x:c>
      <x:c r="M340" s="79" t="n">
        <x:v>0</x:v>
      </x:c>
      <x:c r="N340" s="79" t="str">
        <x:v>OK</x:v>
      </x:c>
      <x:c r="O340" s="79" t="str">
        <x:v>دسته از «نیاز به بررسی» به «گیاهان دارویی» اصلاح شد</x:v>
      </x:c>
      <x:c r="P340" s="79" t="str">
        <x:v>[{"name": "کیلو", "sku": "", "price": 700000, "stock": "", "weight": 1, "weightUnit": "kg", "containerSize": "کیلو", "isDefault": true}]</x:v>
      </x:c>
    </x:row>
    <x:row r="341">
      <x:c r="A341" s="79" t="str">
        <x:v>چوبک</x:v>
      </x:c>
      <x:c r="B341" s="79" t="str">
        <x:v>soapwort</x:v>
      </x:c>
      <x:c r="C341" s="79" t="str">
        <x:v>update_grouped_product</x:v>
      </x:c>
      <x:c r="D341" s="79" t="str">
        <x:v>101</x:v>
      </x:c>
      <x:c r="E341" s="79" t="str">
        <x:v>چوبک</x:v>
      </x:c>
      <x:c r="F341" s="79" t="str">
        <x:v>گیاهان دارویی</x:v>
      </x:c>
      <x:c r="G341" s="79" t="str">
        <x:v>6a3782d7df5573f4e676e243</x:v>
      </x:c>
      <x:c r="H341" s="79" t="str">
        <x:v>medicinal-plants</x:v>
      </x:c>
      <x:c r="I341" s="79"/>
      <x:c r="J341" s="79" t="str">
        <x:v>EDIBLE</x:v>
      </x:c>
      <x:c r="K341" s="79" t="str">
        <x:v>بله</x:v>
      </x:c>
      <x:c r="L341" s="79" t="n">
        <x:v>1</x:v>
      </x:c>
      <x:c r="M341" s="79" t="n">
        <x:v>0</x:v>
      </x:c>
      <x:c r="N341" s="79" t="str">
        <x:v>OK</x:v>
      </x:c>
      <x:c r="O341" s="79" t="str">
        <x:v>دسته از «نیاز به بررسی» به «گیاهان دارویی» اصلاح شد</x:v>
      </x:c>
      <x:c r="P341" s="79" t="str">
        <x:v>[{"name": "ریشه خشک", "sku": "", "price": 900000, "stock": "", "weight": "", "weightUnit": "", "containerSize": "ریشه خشک", "isDefault": true}]</x:v>
      </x:c>
    </x:row>
    <x:row r="342">
      <x:c r="A342" s="79" t="str">
        <x:v>کندر خوراکی</x:v>
      </x:c>
      <x:c r="B342" s="79" t="str">
        <x:v>edible_frankincense</x:v>
      </x:c>
      <x:c r="C342" s="79" t="str">
        <x:v>update_grouped_product</x:v>
      </x:c>
      <x:c r="D342" s="79" t="str">
        <x:v>353</x:v>
      </x:c>
      <x:c r="E342" s="79" t="str">
        <x:v>کندر خوراکی</x:v>
      </x:c>
      <x:c r="F342" s="79" t="str">
        <x:v>گیاهان دارویی</x:v>
      </x:c>
      <x:c r="G342" s="79" t="str">
        <x:v>6a3782d7df5573f4e676e243</x:v>
      </x:c>
      <x:c r="H342" s="79" t="str">
        <x:v>medicinal-plants</x:v>
      </x:c>
      <x:c r="I342" s="79"/>
      <x:c r="J342" s="79" t="str">
        <x:v>EDIBLE</x:v>
      </x:c>
      <x:c r="K342" s="79" t="str">
        <x:v>بله</x:v>
      </x:c>
      <x:c r="L342" s="79" t="n">
        <x:v>1</x:v>
      </x:c>
      <x:c r="M342" s="79" t="n">
        <x:v>0</x:v>
      </x:c>
      <x:c r="N342" s="79" t="str">
        <x:v>OK</x:v>
      </x:c>
      <x:c r="O342" s="79" t="str">
        <x:v>دسته از «نیاز به بررسی» به «گیاهان دارویی» اصلاح شد</x:v>
      </x:c>
      <x:c r="P342" s="79" t="str">
        <x:v>[{"name": "کیلو", "sku": "", "price": 4400000, "stock": "", "weight": 1, "weightUnit": "kg", "containerSize": "کیلو", "isDefault": true}]</x:v>
      </x:c>
    </x:row>
    <x:row r="343">
      <x:c r="A343" s="79" t="str">
        <x:v>گرده گل</x:v>
      </x:c>
      <x:c r="B343" s="79" t="str">
        <x:v>bee_pollen</x:v>
      </x:c>
      <x:c r="C343" s="79" t="str">
        <x:v>update_grouped_product</x:v>
      </x:c>
      <x:c r="D343" s="79" t="str">
        <x:v>355</x:v>
      </x:c>
      <x:c r="E343" s="79" t="str">
        <x:v>گرده گل</x:v>
      </x:c>
      <x:c r="F343" s="79" t="str">
        <x:v>گیاهان دارویی</x:v>
      </x:c>
      <x:c r="G343" s="79" t="str">
        <x:v>6a3782d7df5573f4e676e243</x:v>
      </x:c>
      <x:c r="H343" s="79" t="str">
        <x:v>medicinal-plants</x:v>
      </x:c>
      <x:c r="I343" s="79"/>
      <x:c r="J343" s="79" t="str">
        <x:v>EDIBLE</x:v>
      </x:c>
      <x:c r="K343" s="79" t="str">
        <x:v>بله</x:v>
      </x:c>
      <x:c r="L343" s="79" t="n">
        <x:v>1</x:v>
      </x:c>
      <x:c r="M343" s="79" t="n">
        <x:v>0</x:v>
      </x:c>
      <x:c r="N343" s="79" t="str">
        <x:v>OK</x:v>
      </x:c>
      <x:c r="O343" s="79" t="str">
        <x:v>دسته از «نیاز به بررسی» به «گیاهان دارویی» اصلاح شد</x:v>
      </x:c>
      <x:c r="P343" s="79" t="str">
        <x:v>[{"name": "کیلو", "sku": "", "price": 1200000, "stock": "", "weight": 1, "weightUnit": "kg", "containerSize": "کیلو", "isDefault": true}]</x:v>
      </x:c>
    </x:row>
    <x:row r="344">
      <x:c r="A344" s="79" t="str">
        <x:v>گل ختمی</x:v>
      </x:c>
      <x:c r="B344" s="79" t="str">
        <x:v>marshmallow_flower</x:v>
      </x:c>
      <x:c r="C344" s="79" t="str">
        <x:v>update_grouped_product</x:v>
      </x:c>
      <x:c r="D344" s="79" t="str">
        <x:v>357</x:v>
      </x:c>
      <x:c r="E344" s="79" t="str">
        <x:v>گل ختمی</x:v>
      </x:c>
      <x:c r="F344" s="79" t="str">
        <x:v>گیاهان دارویی</x:v>
      </x:c>
      <x:c r="G344" s="79" t="str">
        <x:v>6a3782d7df5573f4e676e243</x:v>
      </x:c>
      <x:c r="H344" s="79" t="str">
        <x:v>medicinal-plants</x:v>
      </x:c>
      <x:c r="I344" s="79"/>
      <x:c r="J344" s="79" t="str">
        <x:v>EDIBLE</x:v>
      </x:c>
      <x:c r="K344" s="79" t="str">
        <x:v>بله</x:v>
      </x:c>
      <x:c r="L344" s="79" t="n">
        <x:v>1</x:v>
      </x:c>
      <x:c r="M344" s="79" t="n">
        <x:v>0</x:v>
      </x:c>
      <x:c r="N344" s="79" t="str">
        <x:v>OK</x:v>
      </x:c>
      <x:c r="O344" s="79"/>
      <x:c r="P344" s="79" t="str">
        <x:v>[{"name": "کیلو", "sku": "", "price": 1100000, "stock": "", "weight": 1, "weightUnit": "kg", "containerSize": "کیلو", "isDefault": true}]</x:v>
      </x:c>
    </x:row>
    <x:row r="345">
      <x:c r="A345" s="79" t="str">
        <x:v>گل سرخ</x:v>
      </x:c>
      <x:c r="B345" s="79" t="str">
        <x:v>rose_flower</x:v>
      </x:c>
      <x:c r="C345" s="79" t="str">
        <x:v>update_grouped_product</x:v>
      </x:c>
      <x:c r="D345" s="79" t="str">
        <x:v>358, 359</x:v>
      </x:c>
      <x:c r="E345" s="79" t="str">
        <x:v>گل سرخ غنچه | گل سرخ پرک</x:v>
      </x:c>
      <x:c r="F345" s="79" t="str">
        <x:v>گیاهان دارویی</x:v>
      </x:c>
      <x:c r="G345" s="79" t="str">
        <x:v>6a3782d7df5573f4e676e243</x:v>
      </x:c>
      <x:c r="H345" s="79" t="str">
        <x:v>medicinal-plants</x:v>
      </x:c>
      <x:c r="I345" s="79"/>
      <x:c r="J345" s="79" t="str">
        <x:v>EDIBLE</x:v>
      </x:c>
      <x:c r="K345" s="79" t="str">
        <x:v>بله</x:v>
      </x:c>
      <x:c r="L345" s="79" t="n">
        <x:v>2</x:v>
      </x:c>
      <x:c r="M345" s="79" t="n">
        <x:v>0</x:v>
      </x:c>
      <x:c r="N345" s="79" t="str">
        <x:v>MERGED</x:v>
      </x:c>
      <x:c r="O345" s="79" t="str">
        <x:v>2 ردیف مشابه با هم یکی شد | دسته از «نیاز به بررسی» به «گیاهان دارویی» اصلاح شد</x:v>
      </x:c>
      <x:c r="P345" s="79" t="str">
        <x:v>[{"name": "پرک - کیلو", "sku": "", "price": 4500000, "stock": "", "weight": 1, "weightUnit": "kg", "containerSize": "کیلو", "isDefault": true}, {"name": "غنچه - کیلو", "sku": "", "price": 4900000, "stock": "", "weight": 1, "weightUnit": "kg", "containerSize": "کیلو", "isDefault": false}]</x:v>
      </x:c>
    </x:row>
    <x:row r="346">
      <x:c r="A346" s="79" t="str">
        <x:v>گل گاوزبان</x:v>
      </x:c>
      <x:c r="B346" s="79" t="str">
        <x:v>borage_flower</x:v>
      </x:c>
      <x:c r="C346" s="79" t="str">
        <x:v>update_grouped_product</x:v>
      </x:c>
      <x:c r="D346" s="79" t="str">
        <x:v>360</x:v>
      </x:c>
      <x:c r="E346" s="79" t="str">
        <x:v>گل گاوزبان</x:v>
      </x:c>
      <x:c r="F346" s="79" t="str">
        <x:v>گیاهان دارویی</x:v>
      </x:c>
      <x:c r="G346" s="79" t="str">
        <x:v>6a3782d7df5573f4e676e243</x:v>
      </x:c>
      <x:c r="H346" s="79" t="str">
        <x:v>medicinal-plants</x:v>
      </x:c>
      <x:c r="I346" s="79"/>
      <x:c r="J346" s="79" t="str">
        <x:v>EDIBLE</x:v>
      </x:c>
      <x:c r="K346" s="79" t="str">
        <x:v>بله</x:v>
      </x:c>
      <x:c r="L346" s="79" t="n">
        <x:v>1</x:v>
      </x:c>
      <x:c r="M346" s="79" t="n">
        <x:v>0</x:v>
      </x:c>
      <x:c r="N346" s="79" t="str">
        <x:v>OK</x:v>
      </x:c>
      <x:c r="O346" s="79"/>
      <x:c r="P346" s="79" t="str">
        <x:v>[{"name": "کیلو", "sku": "", "price": 4100000, "stock": "", "weight": 1, "weightUnit": "kg", "containerSize": "کیلو", "isDefault": true}]</x:v>
      </x:c>
    </x:row>
    <x:row r="347">
      <x:c r="A347" s="79" t="str">
        <x:v>گلرنگ</x:v>
      </x:c>
      <x:c r="B347" s="79" t="str">
        <x:v>safflower</x:v>
      </x:c>
      <x:c r="C347" s="79" t="str">
        <x:v>update_grouped_product</x:v>
      </x:c>
      <x:c r="D347" s="79" t="str">
        <x:v>362</x:v>
      </x:c>
      <x:c r="E347" s="79" t="str">
        <x:v>گلرنگ</x:v>
      </x:c>
      <x:c r="F347" s="79" t="str">
        <x:v>گیاهان دارویی</x:v>
      </x:c>
      <x:c r="G347" s="79" t="str">
        <x:v>6a3782d7df5573f4e676e243</x:v>
      </x:c>
      <x:c r="H347" s="79" t="str">
        <x:v>medicinal-plants</x:v>
      </x:c>
      <x:c r="I347" s="79"/>
      <x:c r="J347" s="79" t="str">
        <x:v>EDIBLE</x:v>
      </x:c>
      <x:c r="K347" s="79" t="str">
        <x:v>بله</x:v>
      </x:c>
      <x:c r="L347" s="79" t="n">
        <x:v>1</x:v>
      </x:c>
      <x:c r="M347" s="79" t="n">
        <x:v>0</x:v>
      </x:c>
      <x:c r="N347" s="79" t="str">
        <x:v>OK</x:v>
      </x:c>
      <x:c r="O347" s="79" t="str">
        <x:v>دسته از «نیاز به بررسی» به «گیاهان دارویی» اصلاح شد</x:v>
      </x:c>
      <x:c r="P347" s="79" t="str">
        <x:v>[{"name": "کیلو", "sku": "", "price": 3200000, "stock": "", "weight": 1, "weightUnit": "kg", "containerSize": "کیلو", "isDefault": true}]</x:v>
      </x:c>
    </x:row>
    <x:row r="348">
      <x:c r="A348" s="79" t="str">
        <x:v>آسیاب ادویه</x:v>
      </x:c>
      <x:c r="B348" s="79" t="str">
        <x:v>spice_grinder</x:v>
      </x:c>
      <x:c r="C348" s="79" t="str">
        <x:v>skip_do_not_import</x:v>
      </x:c>
      <x:c r="D348" s="79" t="str">
        <x:v>40</x:v>
      </x:c>
      <x:c r="E348" s="79" t="str">
        <x:v>آسیاب ادویه</x:v>
      </x:c>
      <x:c r="F348" s="79" t="str">
        <x:v>عدم ایمپورت</x:v>
      </x:c>
      <x:c r="G348" s="79"/>
      <x:c r="H348" s="79"/>
      <x:c r="I348" s="79"/>
      <x:c r="J348" s="79" t="str">
        <x:v>NON_PRODUCT</x:v>
      </x:c>
      <x:c r="K348" s="79" t="str">
        <x:v>خیر</x:v>
      </x:c>
      <x:c r="L348" s="79" t="n">
        <x:v>0</x:v>
      </x:c>
      <x:c r="M348" s="79" t="n">
        <x:v>0</x:v>
      </x:c>
      <x:c r="N348" s="79" t="str">
        <x:v>SKIP_NON_PRODUCT</x:v>
      </x:c>
      <x:c r="O348" s="79" t="str">
        <x:v>ملزومات/ظرف/ابزار است و چون دسته «ملزومات» حذف شده، برای سایت ایمپورت نشود.</x:v>
      </x:c>
      <x:c r="P348" s="79" t="str">
        <x:v>[]</x:v>
      </x:c>
    </x:row>
    <x:row r="349">
      <x:c r="A349" s="79" t="str">
        <x:v>ظرف 300 گرمی</x:v>
      </x:c>
      <x:c r="B349" s="79" t="str">
        <x:v>container_300_gram</x:v>
      </x:c>
      <x:c r="C349" s="79" t="str">
        <x:v>skip_do_not_import</x:v>
      </x:c>
      <x:c r="D349" s="79" t="str">
        <x:v>266</x:v>
      </x:c>
      <x:c r="E349" s="79" t="str">
        <x:v>ظرف 300 گرمی</x:v>
      </x:c>
      <x:c r="F349" s="79" t="str">
        <x:v>عدم ایمپورت</x:v>
      </x:c>
      <x:c r="G349" s="79"/>
      <x:c r="H349" s="79"/>
      <x:c r="I349" s="79"/>
      <x:c r="J349" s="79" t="str">
        <x:v>NON_PRODUCT</x:v>
      </x:c>
      <x:c r="K349" s="79" t="str">
        <x:v>خیر</x:v>
      </x:c>
      <x:c r="L349" s="79" t="n">
        <x:v>0</x:v>
      </x:c>
      <x:c r="M349" s="79" t="n">
        <x:v>0</x:v>
      </x:c>
      <x:c r="N349" s="79" t="str">
        <x:v>SKIP_NON_PRODUCT</x:v>
      </x:c>
      <x:c r="O349" s="79" t="str">
        <x:v>ملزومات/ظرف/ابزار است و چون دسته «ملزومات» حذف شده، برای سایت ایمپورت نشود.</x:v>
      </x:c>
      <x:c r="P349" s="79" t="str">
        <x:v>[]</x:v>
      </x:c>
    </x:row>
    <x:row r="350">
      <x:c r="A350" s="79" t="str">
        <x:v>ظرف اسپری</x:v>
      </x:c>
      <x:c r="B350" s="79" t="str">
        <x:v>container_spray_green</x:v>
      </x:c>
      <x:c r="C350" s="79" t="str">
        <x:v>skip_do_not_import</x:v>
      </x:c>
      <x:c r="D350" s="79" t="str">
        <x:v>267</x:v>
      </x:c>
      <x:c r="E350" s="79" t="str">
        <x:v>ظرف اسپری</x:v>
      </x:c>
      <x:c r="F350" s="79" t="str">
        <x:v>عدم ایمپورت</x:v>
      </x:c>
      <x:c r="G350" s="79"/>
      <x:c r="H350" s="79"/>
      <x:c r="I350" s="79"/>
      <x:c r="J350" s="79" t="str">
        <x:v>NON_PRODUCT</x:v>
      </x:c>
      <x:c r="K350" s="79" t="str">
        <x:v>خیر</x:v>
      </x:c>
      <x:c r="L350" s="79" t="n">
        <x:v>0</x:v>
      </x:c>
      <x:c r="M350" s="79" t="n">
        <x:v>0</x:v>
      </x:c>
      <x:c r="N350" s="79" t="str">
        <x:v>SKIP_NON_PRODUCT</x:v>
      </x:c>
      <x:c r="O350" s="79" t="str">
        <x:v>ملزومات/ظرف/ابزار است و چون دسته «ملزومات» حذف شده، برای سایت ایمپورت نشود.</x:v>
      </x:c>
      <x:c r="P350" s="79" t="str">
        <x:v>[]</x:v>
      </x:c>
    </x:row>
    <x:row r="351">
      <x:c r="A351" s="79" t="str">
        <x:v>ظرف بطری شیشه ای</x:v>
      </x:c>
      <x:c r="B351" s="79" t="str">
        <x:v>glass_bottle_container_half_liter</x:v>
      </x:c>
      <x:c r="C351" s="79" t="str">
        <x:v>skip_do_not_import</x:v>
      </x:c>
      <x:c r="D351" s="79" t="str">
        <x:v>269</x:v>
      </x:c>
      <x:c r="E351" s="79" t="str">
        <x:v>ظرف بطری شیشه ای</x:v>
      </x:c>
      <x:c r="F351" s="79" t="str">
        <x:v>عدم ایمپورت</x:v>
      </x:c>
      <x:c r="G351" s="79"/>
      <x:c r="H351" s="79"/>
      <x:c r="I351" s="79"/>
      <x:c r="J351" s="79" t="str">
        <x:v>NON_PRODUCT</x:v>
      </x:c>
      <x:c r="K351" s="79" t="str">
        <x:v>خیر</x:v>
      </x:c>
      <x:c r="L351" s="79" t="n">
        <x:v>0</x:v>
      </x:c>
      <x:c r="M351" s="79" t="n">
        <x:v>0</x:v>
      </x:c>
      <x:c r="N351" s="79" t="str">
        <x:v>SKIP_NON_PRODUCT</x:v>
      </x:c>
      <x:c r="O351" s="79" t="str">
        <x:v>ملزومات/ظرف/ابزار است و چون دسته «ملزومات» حذف شده، برای سایت ایمپورت نشود.</x:v>
      </x:c>
      <x:c r="P351" s="79" t="str">
        <x:v>[]</x:v>
      </x:c>
    </x:row>
    <x:row r="352">
      <x:c r="A352" s="79" t="str">
        <x:v>ظرف بطری پلاستیکی</x:v>
      </x:c>
      <x:c r="B352" s="79" t="str">
        <x:v>plastic_bottle_container_half_liter</x:v>
      </x:c>
      <x:c r="C352" s="79" t="str">
        <x:v>skip_do_not_import</x:v>
      </x:c>
      <x:c r="D352" s="79" t="str">
        <x:v>268</x:v>
      </x:c>
      <x:c r="E352" s="79" t="str">
        <x:v>ظرف بطری پلاستیکی</x:v>
      </x:c>
      <x:c r="F352" s="79" t="str">
        <x:v>عدم ایمپورت</x:v>
      </x:c>
      <x:c r="G352" s="79"/>
      <x:c r="H352" s="79"/>
      <x:c r="I352" s="79"/>
      <x:c r="J352" s="79" t="str">
        <x:v>NON_PRODUCT</x:v>
      </x:c>
      <x:c r="K352" s="79" t="str">
        <x:v>خیر</x:v>
      </x:c>
      <x:c r="L352" s="79" t="n">
        <x:v>0</x:v>
      </x:c>
      <x:c r="M352" s="79" t="n">
        <x:v>0</x:v>
      </x:c>
      <x:c r="N352" s="79" t="str">
        <x:v>SKIP_NON_PRODUCT</x:v>
      </x:c>
      <x:c r="O352" s="79" t="str">
        <x:v>ملزومات/ظرف/ابزار است و چون دسته «ملزومات» حذف شده، برای سایت ایمپورت نشود.</x:v>
      </x:c>
      <x:c r="P352" s="79" t="str">
        <x:v>[]</x:v>
      </x:c>
    </x:row>
    <x:row r="353">
      <x:c r="A353" s="79" t="str">
        <x:v>ظرف جار</x:v>
      </x:c>
      <x:c r="B353" s="79" t="str">
        <x:v>container_jar_jar_25</x:v>
      </x:c>
      <x:c r="C353" s="79" t="str">
        <x:v>skip_do_not_import</x:v>
      </x:c>
      <x:c r="D353" s="79" t="str">
        <x:v>270</x:v>
      </x:c>
      <x:c r="E353" s="79" t="str">
        <x:v>ظرف جار</x:v>
      </x:c>
      <x:c r="F353" s="79" t="str">
        <x:v>عدم ایمپورت</x:v>
      </x:c>
      <x:c r="G353" s="79"/>
      <x:c r="H353" s="79"/>
      <x:c r="I353" s="79"/>
      <x:c r="J353" s="79" t="str">
        <x:v>NON_PRODUCT</x:v>
      </x:c>
      <x:c r="K353" s="79" t="str">
        <x:v>خیر</x:v>
      </x:c>
      <x:c r="L353" s="79" t="n">
        <x:v>0</x:v>
      </x:c>
      <x:c r="M353" s="79" t="n">
        <x:v>0</x:v>
      </x:c>
      <x:c r="N353" s="79" t="str">
        <x:v>SKIP_NON_PRODUCT</x:v>
      </x:c>
      <x:c r="O353" s="79" t="str">
        <x:v>ملزومات/ظرف/ابزار است و چون دسته «ملزومات» حذف شده، برای سایت ایمپورت نشود.</x:v>
      </x:c>
      <x:c r="P353" s="79" t="str">
        <x:v>[]</x:v>
      </x:c>
    </x:row>
    <x:row r="354">
      <x:c r="A354" s="79" t="str">
        <x:v>ظرف جار سایز 2</x:v>
      </x:c>
      <x:c r="B354" s="79" t="str">
        <x:v>jar_container_size_2_kvchk</x:v>
      </x:c>
      <x:c r="C354" s="79" t="str">
        <x:v>skip_do_not_import</x:v>
      </x:c>
      <x:c r="D354" s="79" t="str">
        <x:v>271</x:v>
      </x:c>
      <x:c r="E354" s="79" t="str">
        <x:v>ظرف جار سایز 2</x:v>
      </x:c>
      <x:c r="F354" s="79" t="str">
        <x:v>عدم ایمپورت</x:v>
      </x:c>
      <x:c r="G354" s="79"/>
      <x:c r="H354" s="79"/>
      <x:c r="I354" s="79"/>
      <x:c r="J354" s="79" t="str">
        <x:v>NON_PRODUCT</x:v>
      </x:c>
      <x:c r="K354" s="79" t="str">
        <x:v>خیر</x:v>
      </x:c>
      <x:c r="L354" s="79" t="n">
        <x:v>0</x:v>
      </x:c>
      <x:c r="M354" s="79" t="n">
        <x:v>0</x:v>
      </x:c>
      <x:c r="N354" s="79" t="str">
        <x:v>SKIP_NON_PRODUCT</x:v>
      </x:c>
      <x:c r="O354" s="79" t="str">
        <x:v>ملزومات/ظرف/ابزار است و چون دسته «ملزومات» حذف شده، برای سایت ایمپورت نشود.</x:v>
      </x:c>
      <x:c r="P354" s="79" t="str">
        <x:v>[]</x:v>
      </x:c>
    </x:row>
    <x:row r="355">
      <x:c r="A355" s="79" t="str">
        <x:v>ظرف روغن موضعی</x:v>
      </x:c>
      <x:c r="B355" s="79" t="str">
        <x:v>topical_oil_container_30ml</x:v>
      </x:c>
      <x:c r="C355" s="79" t="str">
        <x:v>skip_do_not_import</x:v>
      </x:c>
      <x:c r="D355" s="79" t="str">
        <x:v>272</x:v>
      </x:c>
      <x:c r="E355" s="79" t="str">
        <x:v>ظرف روغن موضعی</x:v>
      </x:c>
      <x:c r="F355" s="79" t="str">
        <x:v>عدم ایمپورت</x:v>
      </x:c>
      <x:c r="G355" s="79"/>
      <x:c r="H355" s="79"/>
      <x:c r="I355" s="79"/>
      <x:c r="J355" s="79" t="str">
        <x:v>NON_PRODUCT</x:v>
      </x:c>
      <x:c r="K355" s="79" t="str">
        <x:v>خیر</x:v>
      </x:c>
      <x:c r="L355" s="79" t="n">
        <x:v>0</x:v>
      </x:c>
      <x:c r="M355" s="79" t="n">
        <x:v>0</x:v>
      </x:c>
      <x:c r="N355" s="79" t="str">
        <x:v>SKIP_NON_PRODUCT</x:v>
      </x:c>
      <x:c r="O355" s="79" t="str">
        <x:v>ملزومات/ظرف/ابزار است و چون دسته «ملزومات» حذف شده، برای سایت ایمپورت نشود.</x:v>
      </x:c>
      <x:c r="P355" s="79" t="str">
        <x:v>[]</x:v>
      </x:c>
    </x:row>
    <x:row r="356">
      <x:c r="A356" s="79" t="str">
        <x:v>ظرف سطلی یک کیلویی</x:v>
      </x:c>
      <x:c r="B356" s="79" t="str">
        <x:v>one_kilo_bucket_container</x:v>
      </x:c>
      <x:c r="C356" s="79" t="str">
        <x:v>skip_do_not_import</x:v>
      </x:c>
      <x:c r="D356" s="79" t="str">
        <x:v>273</x:v>
      </x:c>
      <x:c r="E356" s="79" t="str">
        <x:v>ظرف سطلی یک کیلویی</x:v>
      </x:c>
      <x:c r="F356" s="79" t="str">
        <x:v>عدم ایمپورت</x:v>
      </x:c>
      <x:c r="G356" s="79"/>
      <x:c r="H356" s="79"/>
      <x:c r="I356" s="79"/>
      <x:c r="J356" s="79" t="str">
        <x:v>NON_PRODUCT</x:v>
      </x:c>
      <x:c r="K356" s="79" t="str">
        <x:v>خیر</x:v>
      </x:c>
      <x:c r="L356" s="79" t="n">
        <x:v>0</x:v>
      </x:c>
      <x:c r="M356" s="79" t="n">
        <x:v>0</x:v>
      </x:c>
      <x:c r="N356" s="79" t="str">
        <x:v>SKIP_NON_PRODUCT</x:v>
      </x:c>
      <x:c r="O356" s="79" t="str">
        <x:v>ملزومات/ظرف/ابزار است و چون دسته «ملزومات» حذف شده، برای سایت ایمپورت نشود.</x:v>
      </x:c>
      <x:c r="P356" s="79" t="str">
        <x:v>[]</x:v>
      </x:c>
    </x:row>
    <x:row r="357">
      <x:c r="A357" s="79" t="str">
        <x:v>ظرف کتابی</x:v>
      </x:c>
      <x:c r="B357" s="79" t="str">
        <x:v>book_shape_container_250_gram</x:v>
      </x:c>
      <x:c r="C357" s="79" t="str">
        <x:v>skip_do_not_import</x:v>
      </x:c>
      <x:c r="D357" s="79" t="str">
        <x:v>274</x:v>
      </x:c>
      <x:c r="E357" s="79" t="str">
        <x:v>ظرف کتابی</x:v>
      </x:c>
      <x:c r="F357" s="79" t="str">
        <x:v>عدم ایمپورت</x:v>
      </x:c>
      <x:c r="G357" s="79"/>
      <x:c r="H357" s="79"/>
      <x:c r="I357" s="79"/>
      <x:c r="J357" s="79" t="str">
        <x:v>NON_PRODUCT</x:v>
      </x:c>
      <x:c r="K357" s="79" t="str">
        <x:v>خیر</x:v>
      </x:c>
      <x:c r="L357" s="79" t="n">
        <x:v>0</x:v>
      </x:c>
      <x:c r="M357" s="79" t="n">
        <x:v>0</x:v>
      </x:c>
      <x:c r="N357" s="79" t="str">
        <x:v>SKIP_NON_PRODUCT</x:v>
      </x:c>
      <x:c r="O357" s="79" t="str">
        <x:v>ملزومات/ظرف/ابزار است و چون دسته «ملزومات» حذف شده، برای سایت ایمپورت نشود.</x:v>
      </x:c>
      <x:c r="P357" s="79" t="str">
        <x:v>[]</x:v>
      </x:c>
    </x:row>
    <x:row r="358">
      <x:c r="A358" s="79" t="str">
        <x:v>ظرف کوزه ای</x:v>
      </x:c>
      <x:c r="B358" s="79" t="str">
        <x:v>jug_container_kvchk</x:v>
      </x:c>
      <x:c r="C358" s="79" t="str">
        <x:v>skip_do_not_import</x:v>
      </x:c>
      <x:c r="D358" s="79" t="str">
        <x:v>275</x:v>
      </x:c>
      <x:c r="E358" s="79" t="str">
        <x:v>ظرف کوزه ای</x:v>
      </x:c>
      <x:c r="F358" s="79" t="str">
        <x:v>عدم ایمپورت</x:v>
      </x:c>
      <x:c r="G358" s="79"/>
      <x:c r="H358" s="79"/>
      <x:c r="I358" s="79"/>
      <x:c r="J358" s="79" t="str">
        <x:v>NON_PRODUCT</x:v>
      </x:c>
      <x:c r="K358" s="79" t="str">
        <x:v>خیر</x:v>
      </x:c>
      <x:c r="L358" s="79" t="n">
        <x:v>0</x:v>
      </x:c>
      <x:c r="M358" s="79" t="n">
        <x:v>0</x:v>
      </x:c>
      <x:c r="N358" s="79" t="str">
        <x:v>SKIP_NON_PRODUCT</x:v>
      </x:c>
      <x:c r="O358" s="79" t="str">
        <x:v>ملزومات/ظرف/ابزار است و چون دسته «ملزومات» حذف شده، برای سایت ایمپورت نشود.</x:v>
      </x:c>
      <x:c r="P358" s="79" t="str">
        <x:v>[]</x:v>
      </x:c>
    </x:row>
    <x:row r="359">
      <x:c r="A359" s="79" t="str">
        <x:v>پاکت</x:v>
      </x:c>
      <x:c r="B359" s="79" t="str">
        <x:v>pouch</x:v>
      </x:c>
      <x:c r="C359" s="79" t="str">
        <x:v>skip_do_not_import</x:v>
      </x:c>
      <x:c r="D359" s="79" t="str">
        <x:v>56</x:v>
      </x:c>
      <x:c r="E359" s="79" t="str">
        <x:v>پاکت</x:v>
      </x:c>
      <x:c r="F359" s="79" t="str">
        <x:v>عدم ایمپورت</x:v>
      </x:c>
      <x:c r="G359" s="79"/>
      <x:c r="H359" s="79"/>
      <x:c r="I359" s="79"/>
      <x:c r="J359" s="79" t="str">
        <x:v>NON_PRODUCT</x:v>
      </x:c>
      <x:c r="K359" s="79" t="str">
        <x:v>خیر</x:v>
      </x:c>
      <x:c r="L359" s="79" t="n">
        <x:v>0</x:v>
      </x:c>
      <x:c r="M359" s="79" t="n">
        <x:v>0</x:v>
      </x:c>
      <x:c r="N359" s="79" t="str">
        <x:v>SKIP_NON_PRODUCT</x:v>
      </x:c>
      <x:c r="O359" s="79" t="str">
        <x:v>ملزومات/ظرف/ابزار است و چون دسته «ملزومات» حذف شده، برای سایت ایمپورت نشود.</x:v>
      </x:c>
      <x:c r="P359" s="79" t="str">
        <x:v>[]</x:v>
      </x:c>
    </x:row>
    <x:row r="360">
      <x:c r="A360" s="79" t="str">
        <x:v>کپسول خالی</x:v>
      </x:c>
      <x:c r="B360" s="79" t="str">
        <x:v>empty_capsule</x:v>
      </x:c>
      <x:c r="C360" s="79" t="str">
        <x:v>skip_do_not_import</x:v>
      </x:c>
      <x:c r="D360" s="79" t="str">
        <x:v>330</x:v>
      </x:c>
      <x:c r="E360" s="79" t="str">
        <x:v>کپسول خالی</x:v>
      </x:c>
      <x:c r="F360" s="79" t="str">
        <x:v>عدم ایمپورت</x:v>
      </x:c>
      <x:c r="G360" s="79"/>
      <x:c r="H360" s="79"/>
      <x:c r="I360" s="79"/>
      <x:c r="J360" s="79" t="str">
        <x:v>NON_PRODUCT</x:v>
      </x:c>
      <x:c r="K360" s="79" t="str">
        <x:v>خیر</x:v>
      </x:c>
      <x:c r="L360" s="79" t="n">
        <x:v>0</x:v>
      </x:c>
      <x:c r="M360" s="79" t="n">
        <x:v>0</x:v>
      </x:c>
      <x:c r="N360" s="79" t="str">
        <x:v>SKIP_NON_PRODUCT</x:v>
      </x:c>
      <x:c r="O360" s="79" t="str">
        <x:v>ملزومات/ظرف/ابزار است و چون دسته «ملزومات» حذف شده، برای سایت ایمپورت نشود.</x:v>
      </x:c>
      <x:c r="P360" s="79" t="str">
        <x:v>[]</x:v>
      </x:c>
    </x:row>
  </x:sheetData>
  <x:conditionalFormatting sqref="C2:C360">
    <x:cfRule type="expression" dxfId="15" priority="1">
      <x:formula>C2="skip_do_not_import"</x:formula>
    </x:cfRule>
  </x:conditionalFormatting>
  <x:conditionalFormatting sqref="N2:N360">
    <x:cfRule type="expression" dxfId="16" priority="2">
      <x:formula>ISNUMBER(SEARCH("MERGED",N2))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fa070df58d4c0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2" hidden="0" customWidth="1"/>
    <x:col min="4" max="4" width="32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2" hidden="0" customWidth="1"/>
    <x:col min="15" max="15" width="34" hidden="0" customWidth="1"/>
    <x:col min="16" max="16" width="70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122" t="str">
        <x:v>source_row</x:v>
      </x:c>
      <x:c r="B1" s="122" t="str">
        <x:v>site_product_id</x:v>
      </x:c>
      <x:c r="C1" s="122" t="str">
        <x:v>original_name</x:v>
      </x:c>
      <x:c r="D1" s="122" t="str">
        <x:v>canonical_product_name</x:v>
      </x:c>
      <x:c r="E1" s="122" t="str">
        <x:v>merge_group_id</x:v>
      </x:c>
      <x:c r="F1" s="122" t="str">
        <x:v>variant_prefix</x:v>
      </x:c>
      <x:c r="G1" s="122" t="str">
        <x:v>final_action</x:v>
      </x:c>
      <x:c r="H1" s="122" t="str">
        <x:v>final_category_name</x:v>
      </x:c>
      <x:c r="I1" s="122" t="str">
        <x:v>final_category_id</x:v>
      </x:c>
      <x:c r="J1" s="122" t="str">
        <x:v>final_category_slug</x:v>
      </x:c>
      <x:c r="K1" s="122" t="str">
        <x:v>final_usageType</x:v>
      </x:c>
      <x:c r="L1" s="122" t="str">
        <x:v>final_edible</x:v>
      </x:c>
      <x:c r="M1" s="122" t="str">
        <x:v>issue_status</x:v>
      </x:c>
      <x:c r="N1" s="122" t="str">
        <x:v>final_note</x:v>
      </x:c>
      <x:c r="O1" s="122" t="str">
        <x:v>matched_in_site</x:v>
      </x:c>
      <x:c r="P1" s="122" t="str">
        <x:v>old_category</x:v>
      </x:c>
      <x:c r="Q1" s="122" t="str">
        <x:v>old_category_id</x:v>
      </x:c>
      <x:c r="R1" s="122" t="str">
        <x:v>variant_1_name</x:v>
      </x:c>
      <x:c r="S1" s="122" t="str">
        <x:v>variant_1_price_toman</x:v>
      </x:c>
      <x:c r="T1" s="122" t="str">
        <x:v>variant_2_name</x:v>
      </x:c>
      <x:c r="U1" s="122" t="str">
        <x:v>variant_2_price_toman</x:v>
      </x:c>
    </x:row>
    <x:row r="2">
      <x:c r="A2" s="79" t="n">
        <x:v>4</x:v>
      </x:c>
      <x:c r="B2" s="79" t="str">
        <x:v>NS-0001-1</x:v>
      </x:c>
      <x:c r="C2" s="79" t="str">
        <x:v>ادویه استیک</x:v>
      </x:c>
      <x:c r="D2" s="79" t="str">
        <x:v>ادویه استیک</x:v>
      </x:c>
      <x:c r="E2" s="79" t="str">
        <x:v>single_4</x:v>
      </x:c>
      <x:c r="F2" s="79"/>
      <x:c r="G2" s="79" t="str">
        <x:v>canonical_group_row</x:v>
      </x:c>
      <x:c r="H2" s="79" t="str">
        <x:v>ادویه</x:v>
      </x:c>
      <x:c r="I2" s="79" t="str">
        <x:v>6a3781e4df5573f4e676e226</x:v>
      </x:c>
      <x:c r="J2" s="79" t="str">
        <x:v>spice</x:v>
      </x:c>
      <x:c r="K2" s="79" t="str">
        <x:v>EDIBLE</x:v>
      </x:c>
      <x:c r="L2" s="79" t="str">
        <x:v>بله</x:v>
      </x:c>
      <x:c r="M2" s="79" t="str">
        <x:v>OK</x:v>
      </x:c>
      <x:c r="N2" s="79"/>
      <x:c r="O2" s="79" t="str">
        <x:v>بله</x:v>
      </x:c>
      <x:c r="P2" s="79" t="str">
        <x:v>ادویه</x:v>
      </x:c>
      <x:c r="Q2" s="79" t="str">
        <x:v>6a3781e4df5573f4e676e226</x:v>
      </x:c>
      <x:c r="R2" s="79" t="str">
        <x:v>کیلو</x:v>
      </x:c>
      <x:c r="S2" s="79" t="n">
        <x:v>1150000</x:v>
      </x:c>
      <x:c r="T2" s="79"/>
      <x:c r="U2" s="79"/>
    </x:row>
    <x:row r="3">
      <x:c r="A3" s="79" t="n">
        <x:v>5</x:v>
      </x:c>
      <x:c r="B3" s="79" t="str">
        <x:v>NS-0002-1</x:v>
      </x:c>
      <x:c r="C3" s="79" t="str">
        <x:v>ادویه الویه</x:v>
      </x:c>
      <x:c r="D3" s="79" t="str">
        <x:v>ادویه الویه</x:v>
      </x:c>
      <x:c r="E3" s="79" t="str">
        <x:v>single_5</x:v>
      </x:c>
      <x:c r="F3" s="79"/>
      <x:c r="G3" s="79" t="str">
        <x:v>canonical_group_row</x:v>
      </x:c>
      <x:c r="H3" s="79" t="str">
        <x:v>ادویه</x:v>
      </x:c>
      <x:c r="I3" s="79" t="str">
        <x:v>6a3781e4df5573f4e676e226</x:v>
      </x:c>
      <x:c r="J3" s="79" t="str">
        <x:v>spice</x:v>
      </x:c>
      <x:c r="K3" s="79" t="str">
        <x:v>EDIBLE</x:v>
      </x:c>
      <x:c r="L3" s="79" t="str">
        <x:v>بله</x:v>
      </x:c>
      <x:c r="M3" s="79" t="str">
        <x:v>OK</x:v>
      </x:c>
      <x:c r="N3" s="79"/>
      <x:c r="O3" s="79" t="str">
        <x:v>بله</x:v>
      </x:c>
      <x:c r="P3" s="79" t="str">
        <x:v>ادویه</x:v>
      </x:c>
      <x:c r="Q3" s="79" t="str">
        <x:v>6a3781e4df5573f4e676e226</x:v>
      </x:c>
      <x:c r="R3" s="79" t="str">
        <x:v>کیلو</x:v>
      </x:c>
      <x:c r="S3" s="79" t="n">
        <x:v>800000</x:v>
      </x:c>
      <x:c r="T3" s="79"/>
      <x:c r="U3" s="79"/>
    </x:row>
    <x:row r="4">
      <x:c r="A4" s="79" t="n">
        <x:v>6</x:v>
      </x:c>
      <x:c r="B4" s="79" t="str">
        <x:v>NS-0003-1</x:v>
      </x:c>
      <x:c r="C4" s="79" t="str">
        <x:v>ادویه آبگوشتی</x:v>
      </x:c>
      <x:c r="D4" s="79" t="str">
        <x:v>ادویه آبگوشتی</x:v>
      </x:c>
      <x:c r="E4" s="79" t="str">
        <x:v>single_6</x:v>
      </x:c>
      <x:c r="F4" s="79"/>
      <x:c r="G4" s="79" t="str">
        <x:v>canonical_group_row</x:v>
      </x:c>
      <x:c r="H4" s="79" t="str">
        <x:v>ادویه</x:v>
      </x:c>
      <x:c r="I4" s="79" t="str">
        <x:v>6a3781e4df5573f4e676e226</x:v>
      </x:c>
      <x:c r="J4" s="79" t="str">
        <x:v>spice</x:v>
      </x:c>
      <x:c r="K4" s="79" t="str">
        <x:v>EDIBLE</x:v>
      </x:c>
      <x:c r="L4" s="79" t="str">
        <x:v>بله</x:v>
      </x:c>
      <x:c r="M4" s="79" t="str">
        <x:v>OK</x:v>
      </x:c>
      <x:c r="N4" s="79"/>
      <x:c r="O4" s="79" t="str">
        <x:v>بله</x:v>
      </x:c>
      <x:c r="P4" s="79" t="str">
        <x:v>ادویه</x:v>
      </x:c>
      <x:c r="Q4" s="79" t="str">
        <x:v>6a3781e4df5573f4e676e226</x:v>
      </x:c>
      <x:c r="R4" s="79" t="str">
        <x:v>کیلو</x:v>
      </x:c>
      <x:c r="S4" s="79" t="n">
        <x:v>600000</x:v>
      </x:c>
      <x:c r="T4" s="79"/>
      <x:c r="U4" s="79"/>
    </x:row>
    <x:row r="5">
      <x:c r="A5" s="79" t="n">
        <x:v>7</x:v>
      </x:c>
      <x:c r="B5" s="79" t="str">
        <x:v>NS-0004-1</x:v>
      </x:c>
      <x:c r="C5" s="79" t="str">
        <x:v>ادویه پلویی</x:v>
      </x:c>
      <x:c r="D5" s="79" t="str">
        <x:v>ادویه پلویی</x:v>
      </x:c>
      <x:c r="E5" s="79" t="str">
        <x:v>single_7</x:v>
      </x:c>
      <x:c r="F5" s="79"/>
      <x:c r="G5" s="79" t="str">
        <x:v>canonical_group_row</x:v>
      </x:c>
      <x:c r="H5" s="79" t="str">
        <x:v>ادویه</x:v>
      </x:c>
      <x:c r="I5" s="79" t="str">
        <x:v>6a3781e4df5573f4e676e226</x:v>
      </x:c>
      <x:c r="J5" s="79" t="str">
        <x:v>spice</x:v>
      </x:c>
      <x:c r="K5" s="79" t="str">
        <x:v>EDIBLE</x:v>
      </x:c>
      <x:c r="L5" s="79" t="str">
        <x:v>بله</x:v>
      </x:c>
      <x:c r="M5" s="79" t="str">
        <x:v>OK</x:v>
      </x:c>
      <x:c r="N5" s="79"/>
      <x:c r="O5" s="79" t="str">
        <x:v>بله</x:v>
      </x:c>
      <x:c r="P5" s="79" t="str">
        <x:v>ادویه</x:v>
      </x:c>
      <x:c r="Q5" s="79" t="str">
        <x:v>6a3781e4df5573f4e676e226</x:v>
      </x:c>
      <x:c r="R5" s="79" t="str">
        <x:v>کیلو</x:v>
      </x:c>
      <x:c r="S5" s="79" t="n">
        <x:v>700000</x:v>
      </x:c>
      <x:c r="T5" s="79"/>
      <x:c r="U5" s="79"/>
    </x:row>
    <x:row r="6">
      <x:c r="A6" s="79" t="n">
        <x:v>8</x:v>
      </x:c>
      <x:c r="B6" s="79" t="str">
        <x:v>NS-0005-1</x:v>
      </x:c>
      <x:c r="C6" s="79" t="str">
        <x:v>ادویه پنیر فرانسه</x:v>
      </x:c>
      <x:c r="D6" s="79" t="str">
        <x:v>ادویه پنیر فرانسه</x:v>
      </x:c>
      <x:c r="E6" s="79" t="str">
        <x:v>single_8</x:v>
      </x:c>
      <x:c r="F6" s="79"/>
      <x:c r="G6" s="79" t="str">
        <x:v>canonical_group_row</x:v>
      </x:c>
      <x:c r="H6" s="79" t="str">
        <x:v>ادویه</x:v>
      </x:c>
      <x:c r="I6" s="79" t="str">
        <x:v>6a3781e4df5573f4e676e226</x:v>
      </x:c>
      <x:c r="J6" s="79" t="str">
        <x:v>spice</x:v>
      </x:c>
      <x:c r="K6" s="79" t="str">
        <x:v>EDIBLE</x:v>
      </x:c>
      <x:c r="L6" s="79" t="str">
        <x:v>بله</x:v>
      </x:c>
      <x:c r="M6" s="79" t="str">
        <x:v>OK</x:v>
      </x:c>
      <x:c r="N6" s="79"/>
      <x:c r="O6" s="79" t="str">
        <x:v>بله</x:v>
      </x:c>
      <x:c r="P6" s="79" t="str">
        <x:v>ادویه</x:v>
      </x:c>
      <x:c r="Q6" s="79" t="str">
        <x:v>6a3781e4df5573f4e676e226</x:v>
      </x:c>
      <x:c r="R6" s="79" t="str">
        <x:v>کیلو</x:v>
      </x:c>
      <x:c r="S6" s="79" t="n">
        <x:v>1100000</x:v>
      </x:c>
      <x:c r="T6" s="79"/>
      <x:c r="U6" s="79"/>
    </x:row>
    <x:row r="7">
      <x:c r="A7" s="79" t="n">
        <x:v>9</x:v>
      </x:c>
      <x:c r="B7" s="79" t="str">
        <x:v>NS-0006-1</x:v>
      </x:c>
      <x:c r="C7" s="79" t="str">
        <x:v>ادویه پیاز و سبزیجات</x:v>
      </x:c>
      <x:c r="D7" s="79" t="str">
        <x:v>ادویه پیاز و سبزیجات</x:v>
      </x:c>
      <x:c r="E7" s="79" t="str">
        <x:v>single_9</x:v>
      </x:c>
      <x:c r="F7" s="79"/>
      <x:c r="G7" s="79" t="str">
        <x:v>canonical_group_row</x:v>
      </x:c>
      <x:c r="H7" s="79" t="str">
        <x:v>ادویه</x:v>
      </x:c>
      <x:c r="I7" s="79" t="str">
        <x:v>6a3781e4df5573f4e676e226</x:v>
      </x:c>
      <x:c r="J7" s="79" t="str">
        <x:v>spice</x:v>
      </x:c>
      <x:c r="K7" s="79" t="str">
        <x:v>EDIBLE</x:v>
      </x:c>
      <x:c r="L7" s="79" t="str">
        <x:v>بله</x:v>
      </x:c>
      <x:c r="M7" s="79" t="str">
        <x:v>OK</x:v>
      </x:c>
      <x:c r="N7" s="79"/>
      <x:c r="O7" s="79" t="str">
        <x:v>بله</x:v>
      </x:c>
      <x:c r="P7" s="79" t="str">
        <x:v>ادویه</x:v>
      </x:c>
      <x:c r="Q7" s="79" t="str">
        <x:v>6a3781e4df5573f4e676e226</x:v>
      </x:c>
      <x:c r="R7" s="79" t="str">
        <x:v>کیلو</x:v>
      </x:c>
      <x:c r="S7" s="79" t="n">
        <x:v>800000</x:v>
      </x:c>
      <x:c r="T7" s="79"/>
      <x:c r="U7" s="79"/>
    </x:row>
    <x:row r="8">
      <x:c r="A8" s="79" t="n">
        <x:v>10</x:v>
      </x:c>
      <x:c r="B8" s="79" t="str">
        <x:v>NS-0007-1</x:v>
      </x:c>
      <x:c r="C8" s="79" t="str">
        <x:v>ادویه ترشی</x:v>
      </x:c>
      <x:c r="D8" s="79" t="str">
        <x:v>ادویه ترشی</x:v>
      </x:c>
      <x:c r="E8" s="79" t="str">
        <x:v>single_10</x:v>
      </x:c>
      <x:c r="F8" s="79"/>
      <x:c r="G8" s="79" t="str">
        <x:v>canonical_group_row</x:v>
      </x:c>
      <x:c r="H8" s="79" t="str">
        <x:v>ادویه</x:v>
      </x:c>
      <x:c r="I8" s="79" t="str">
        <x:v>6a3781e4df5573f4e676e226</x:v>
      </x:c>
      <x:c r="J8" s="79" t="str">
        <x:v>spice</x:v>
      </x:c>
      <x:c r="K8" s="79" t="str">
        <x:v>EDIBLE</x:v>
      </x:c>
      <x:c r="L8" s="79" t="str">
        <x:v>بله</x:v>
      </x:c>
      <x:c r="M8" s="79" t="str">
        <x:v>OK</x:v>
      </x:c>
      <x:c r="N8" s="79"/>
      <x:c r="O8" s="79" t="str">
        <x:v>بله</x:v>
      </x:c>
      <x:c r="P8" s="79" t="str">
        <x:v>ادویه</x:v>
      </x:c>
      <x:c r="Q8" s="79" t="str">
        <x:v>6a3781e4df5573f4e676e226</x:v>
      </x:c>
      <x:c r="R8" s="79" t="str">
        <x:v>کیلو</x:v>
      </x:c>
      <x:c r="S8" s="79" t="n">
        <x:v>850000</x:v>
      </x:c>
      <x:c r="T8" s="79"/>
      <x:c r="U8" s="79"/>
    </x:row>
    <x:row r="9">
      <x:c r="A9" s="79" t="n">
        <x:v>11</x:v>
      </x:c>
      <x:c r="B9" s="79" t="str">
        <x:v>NS-0008-1</x:v>
      </x:c>
      <x:c r="C9" s="79" t="str">
        <x:v>ادویه تند</x:v>
      </x:c>
      <x:c r="D9" s="79" t="str">
        <x:v>ادویه تند</x:v>
      </x:c>
      <x:c r="E9" s="79" t="str">
        <x:v>single_11</x:v>
      </x:c>
      <x:c r="F9" s="79"/>
      <x:c r="G9" s="79" t="str">
        <x:v>canonical_group_row</x:v>
      </x:c>
      <x:c r="H9" s="79" t="str">
        <x:v>ادویه</x:v>
      </x:c>
      <x:c r="I9" s="79" t="str">
        <x:v>6a3781e4df5573f4e676e226</x:v>
      </x:c>
      <x:c r="J9" s="79" t="str">
        <x:v>spice</x:v>
      </x:c>
      <x:c r="K9" s="79" t="str">
        <x:v>EDIBLE</x:v>
      </x:c>
      <x:c r="L9" s="79" t="str">
        <x:v>بله</x:v>
      </x:c>
      <x:c r="M9" s="79" t="str">
        <x:v>OK</x:v>
      </x:c>
      <x:c r="N9" s="79"/>
      <x:c r="O9" s="79" t="str">
        <x:v>بله</x:v>
      </x:c>
      <x:c r="P9" s="79" t="str">
        <x:v>ادویه</x:v>
      </x:c>
      <x:c r="Q9" s="79" t="str">
        <x:v>6a3781e4df5573f4e676e226</x:v>
      </x:c>
      <x:c r="R9" s="79" t="str">
        <x:v>کیلو</x:v>
      </x:c>
      <x:c r="S9" s="79" t="n">
        <x:v>750000</x:v>
      </x:c>
      <x:c r="T9" s="79"/>
      <x:c r="U9" s="79"/>
    </x:row>
    <x:row r="10">
      <x:c r="A10" s="79" t="n">
        <x:v>12</x:v>
      </x:c>
      <x:c r="B10" s="79" t="str">
        <x:v>NS-0009-1</x:v>
      </x:c>
      <x:c r="C10" s="79" t="str">
        <x:v>ادویه چدار</x:v>
      </x:c>
      <x:c r="D10" s="79" t="str">
        <x:v>ادویه چدار</x:v>
      </x:c>
      <x:c r="E10" s="79" t="str">
        <x:v>single_12</x:v>
      </x:c>
      <x:c r="F10" s="79"/>
      <x:c r="G10" s="79" t="str">
        <x:v>canonical_group_row</x:v>
      </x:c>
      <x:c r="H10" s="79" t="str">
        <x:v>ادویه</x:v>
      </x:c>
      <x:c r="I10" s="79" t="str">
        <x:v>6a3781e4df5573f4e676e226</x:v>
      </x:c>
      <x:c r="J10" s="79" t="str">
        <x:v>spice</x:v>
      </x:c>
      <x:c r="K10" s="79" t="str">
        <x:v>EDIBLE</x:v>
      </x:c>
      <x:c r="L10" s="79" t="str">
        <x:v>بله</x:v>
      </x:c>
      <x:c r="M10" s="79" t="str">
        <x:v>OK</x:v>
      </x:c>
      <x:c r="N10" s="79"/>
      <x:c r="O10" s="79" t="str">
        <x:v>بله</x:v>
      </x:c>
      <x:c r="P10" s="79" t="str">
        <x:v>ادویه</x:v>
      </x:c>
      <x:c r="Q10" s="79" t="str">
        <x:v>6a3781e4df5573f4e676e226</x:v>
      </x:c>
      <x:c r="R10" s="79" t="str">
        <x:v>کیلو</x:v>
      </x:c>
      <x:c r="S10" s="79" t="n">
        <x:v>800000</x:v>
      </x:c>
      <x:c r="T10" s="79"/>
      <x:c r="U10" s="79"/>
    </x:row>
    <x:row r="11">
      <x:c r="A11" s="79" t="n">
        <x:v>13</x:v>
      </x:c>
      <x:c r="B11" s="79" t="str">
        <x:v>NS-0010-1</x:v>
      </x:c>
      <x:c r="C11" s="79" t="str">
        <x:v>ادویه دود</x:v>
      </x:c>
      <x:c r="D11" s="79" t="str">
        <x:v>ادویه دود</x:v>
      </x:c>
      <x:c r="E11" s="79" t="str">
        <x:v>single_13</x:v>
      </x:c>
      <x:c r="F11" s="79"/>
      <x:c r="G11" s="79" t="str">
        <x:v>canonical_group_row</x:v>
      </x:c>
      <x:c r="H11" s="79" t="str">
        <x:v>ادویه</x:v>
      </x:c>
      <x:c r="I11" s="79" t="str">
        <x:v>6a3781e4df5573f4e676e226</x:v>
      </x:c>
      <x:c r="J11" s="79" t="str">
        <x:v>spice</x:v>
      </x:c>
      <x:c r="K11" s="79" t="str">
        <x:v>EDIBLE</x:v>
      </x:c>
      <x:c r="L11" s="79" t="str">
        <x:v>بله</x:v>
      </x:c>
      <x:c r="M11" s="79" t="str">
        <x:v>OK</x:v>
      </x:c>
      <x:c r="N11" s="79"/>
      <x:c r="O11" s="79" t="str">
        <x:v>بله</x:v>
      </x:c>
      <x:c r="P11" s="79" t="str">
        <x:v>ادویه</x:v>
      </x:c>
      <x:c r="Q11" s="79" t="str">
        <x:v>6a3781e4df5573f4e676e226</x:v>
      </x:c>
      <x:c r="R11" s="79" t="str">
        <x:v>کیلو</x:v>
      </x:c>
      <x:c r="S11" s="79" t="n">
        <x:v>1100000</x:v>
      </x:c>
      <x:c r="T11" s="79"/>
      <x:c r="U11" s="79"/>
    </x:row>
    <x:row r="12">
      <x:c r="A12" s="79" t="n">
        <x:v>14</x:v>
      </x:c>
      <x:c r="B12" s="79" t="str">
        <x:v>NS-0011-1</x:v>
      </x:c>
      <x:c r="C12" s="79" t="str">
        <x:v>ادویه سالاد ایتالیایی</x:v>
      </x:c>
      <x:c r="D12" s="79" t="str">
        <x:v>ادویه سالاد ایتالیایی</x:v>
      </x:c>
      <x:c r="E12" s="79" t="str">
        <x:v>single_14</x:v>
      </x:c>
      <x:c r="F12" s="79"/>
      <x:c r="G12" s="79" t="str">
        <x:v>canonical_group_row</x:v>
      </x:c>
      <x:c r="H12" s="79" t="str">
        <x:v>ادویه</x:v>
      </x:c>
      <x:c r="I12" s="79" t="str">
        <x:v>6a3781e4df5573f4e676e226</x:v>
      </x:c>
      <x:c r="J12" s="79" t="str">
        <x:v>spice</x:v>
      </x:c>
      <x:c r="K12" s="79" t="str">
        <x:v>EDIBLE</x:v>
      </x:c>
      <x:c r="L12" s="79" t="str">
        <x:v>بله</x:v>
      </x:c>
      <x:c r="M12" s="79" t="str">
        <x:v>OK</x:v>
      </x:c>
      <x:c r="N12" s="79"/>
      <x:c r="O12" s="79" t="str">
        <x:v>بله</x:v>
      </x:c>
      <x:c r="P12" s="79" t="str">
        <x:v>ادویه</x:v>
      </x:c>
      <x:c r="Q12" s="79" t="str">
        <x:v>6a3781e4df5573f4e676e226</x:v>
      </x:c>
      <x:c r="R12" s="79" t="str">
        <x:v>کیلو</x:v>
      </x:c>
      <x:c r="S12" s="79" t="n">
        <x:v>800000</x:v>
      </x:c>
      <x:c r="T12" s="79"/>
      <x:c r="U12" s="79"/>
    </x:row>
    <x:row r="13">
      <x:c r="A13" s="79" t="n">
        <x:v>15</x:v>
      </x:c>
      <x:c r="B13" s="79" t="str">
        <x:v>NS-0012-1</x:v>
      </x:c>
      <x:c r="C13" s="79" t="str">
        <x:v>ادویه سس سزار</x:v>
      </x:c>
      <x:c r="D13" s="79" t="str">
        <x:v>ادویه سس سزار</x:v>
      </x:c>
      <x:c r="E13" s="79" t="str">
        <x:v>single_15</x:v>
      </x:c>
      <x:c r="F13" s="79"/>
      <x:c r="G13" s="79" t="str">
        <x:v>canonical_group_row</x:v>
      </x:c>
      <x:c r="H13" s="79" t="str">
        <x:v>ادویه</x:v>
      </x:c>
      <x:c r="I13" s="79" t="str">
        <x:v>6a3781e4df5573f4e676e226</x:v>
      </x:c>
      <x:c r="J13" s="79" t="str">
        <x:v>spice</x:v>
      </x:c>
      <x:c r="K13" s="79" t="str">
        <x:v>EDIBLE</x:v>
      </x:c>
      <x:c r="L13" s="79" t="str">
        <x:v>بله</x:v>
      </x:c>
      <x:c r="M13" s="79" t="str">
        <x:v>OK</x:v>
      </x:c>
      <x:c r="N13" s="79"/>
      <x:c r="O13" s="79" t="str">
        <x:v>بله</x:v>
      </x:c>
      <x:c r="P13" s="79" t="str">
        <x:v>ادویه</x:v>
      </x:c>
      <x:c r="Q13" s="79" t="str">
        <x:v>6a3781e4df5573f4e676e226</x:v>
      </x:c>
      <x:c r="R13" s="79" t="str">
        <x:v>کیلو</x:v>
      </x:c>
      <x:c r="S13" s="79" t="n">
        <x:v>850000</x:v>
      </x:c>
      <x:c r="T13" s="79"/>
      <x:c r="U13" s="79"/>
    </x:row>
    <x:row r="14">
      <x:c r="A14" s="79" t="n">
        <x:v>16</x:v>
      </x:c>
      <x:c r="B14" s="79" t="str">
        <x:v>NS-0013-1</x:v>
      </x:c>
      <x:c r="C14" s="79" t="str">
        <x:v>ادویه سیب پنیری</x:v>
      </x:c>
      <x:c r="D14" s="79" t="str">
        <x:v>ادویه سیب پنیری</x:v>
      </x:c>
      <x:c r="E14" s="79" t="str">
        <x:v>single_16</x:v>
      </x:c>
      <x:c r="F14" s="79"/>
      <x:c r="G14" s="79" t="str">
        <x:v>canonical_group_row</x:v>
      </x:c>
      <x:c r="H14" s="79" t="str">
        <x:v>ادویه</x:v>
      </x:c>
      <x:c r="I14" s="79" t="str">
        <x:v>6a3781e4df5573f4e676e226</x:v>
      </x:c>
      <x:c r="J14" s="79" t="str">
        <x:v>spice</x:v>
      </x:c>
      <x:c r="K14" s="79" t="str">
        <x:v>EDIBLE</x:v>
      </x:c>
      <x:c r="L14" s="79" t="str">
        <x:v>بله</x:v>
      </x:c>
      <x:c r="M14" s="79" t="str">
        <x:v>OK</x:v>
      </x:c>
      <x:c r="N14" s="79"/>
      <x:c r="O14" s="79" t="str">
        <x:v>بله</x:v>
      </x:c>
      <x:c r="P14" s="79" t="str">
        <x:v>ادویه</x:v>
      </x:c>
      <x:c r="Q14" s="79" t="str">
        <x:v>6a3781e4df5573f4e676e226</x:v>
      </x:c>
      <x:c r="R14" s="79" t="str">
        <x:v>کیلو</x:v>
      </x:c>
      <x:c r="S14" s="79" t="n">
        <x:v>1100000</x:v>
      </x:c>
      <x:c r="T14" s="79"/>
      <x:c r="U14" s="79"/>
    </x:row>
    <x:row r="15">
      <x:c r="A15" s="79" t="n">
        <x:v>17</x:v>
      </x:c>
      <x:c r="B15" s="79" t="str">
        <x:v>NS-0014-1</x:v>
      </x:c>
      <x:c r="C15" s="79" t="str">
        <x:v>ادویه سیر و کره</x:v>
      </x:c>
      <x:c r="D15" s="79" t="str">
        <x:v>ادویه سیر و کره</x:v>
      </x:c>
      <x:c r="E15" s="79" t="str">
        <x:v>single_17</x:v>
      </x:c>
      <x:c r="F15" s="79"/>
      <x:c r="G15" s="79" t="str">
        <x:v>canonical_group_row</x:v>
      </x:c>
      <x:c r="H15" s="79" t="str">
        <x:v>ادویه</x:v>
      </x:c>
      <x:c r="I15" s="79" t="str">
        <x:v>6a3781e4df5573f4e676e226</x:v>
      </x:c>
      <x:c r="J15" s="79" t="str">
        <x:v>spice</x:v>
      </x:c>
      <x:c r="K15" s="79" t="str">
        <x:v>EDIBLE</x:v>
      </x:c>
      <x:c r="L15" s="79" t="str">
        <x:v>بله</x:v>
      </x:c>
      <x:c r="M15" s="79" t="str">
        <x:v>OK</x:v>
      </x:c>
      <x:c r="N15" s="79"/>
      <x:c r="O15" s="79" t="str">
        <x:v>بله</x:v>
      </x:c>
      <x:c r="P15" s="79" t="str">
        <x:v>ادویه</x:v>
      </x:c>
      <x:c r="Q15" s="79" t="str">
        <x:v>6a3781e4df5573f4e676e226</x:v>
      </x:c>
      <x:c r="R15" s="79" t="str">
        <x:v>کیلو</x:v>
      </x:c>
      <x:c r="S15" s="79" t="n">
        <x:v>800000</x:v>
      </x:c>
      <x:c r="T15" s="79"/>
      <x:c r="U15" s="79"/>
    </x:row>
    <x:row r="16">
      <x:c r="A16" s="79" t="n">
        <x:v>18</x:v>
      </x:c>
      <x:c r="B16" s="79" t="str">
        <x:v>NS-0015-1</x:v>
      </x:c>
      <x:c r="C16" s="79" t="str">
        <x:v>ادویه عربی</x:v>
      </x:c>
      <x:c r="D16" s="79" t="str">
        <x:v>ادویه عربی</x:v>
      </x:c>
      <x:c r="E16" s="79" t="str">
        <x:v>single_18</x:v>
      </x:c>
      <x:c r="F16" s="79"/>
      <x:c r="G16" s="79" t="str">
        <x:v>canonical_group_row</x:v>
      </x:c>
      <x:c r="H16" s="79" t="str">
        <x:v>ادویه</x:v>
      </x:c>
      <x:c r="I16" s="79" t="str">
        <x:v>6a3781e4df5573f4e676e226</x:v>
      </x:c>
      <x:c r="J16" s="79" t="str">
        <x:v>spice</x:v>
      </x:c>
      <x:c r="K16" s="79" t="str">
        <x:v>EDIBLE</x:v>
      </x:c>
      <x:c r="L16" s="79" t="str">
        <x:v>بله</x:v>
      </x:c>
      <x:c r="M16" s="79" t="str">
        <x:v>OK</x:v>
      </x:c>
      <x:c r="N16" s="79"/>
      <x:c r="O16" s="79" t="str">
        <x:v>بله</x:v>
      </x:c>
      <x:c r="P16" s="79" t="str">
        <x:v>ادویه</x:v>
      </x:c>
      <x:c r="Q16" s="79" t="str">
        <x:v>6a3781e4df5573f4e676e226</x:v>
      </x:c>
      <x:c r="R16" s="79" t="str">
        <x:v>کیلو</x:v>
      </x:c>
      <x:c r="S16" s="79" t="n">
        <x:v>190000</x:v>
      </x:c>
      <x:c r="T16" s="79"/>
      <x:c r="U16" s="79"/>
    </x:row>
    <x:row r="17">
      <x:c r="A17" s="79" t="n">
        <x:v>19</x:v>
      </x:c>
      <x:c r="B17" s="79" t="str">
        <x:v>NS-0016-1</x:v>
      </x:c>
      <x:c r="C17" s="79" t="str">
        <x:v>ادویه فلافل</x:v>
      </x:c>
      <x:c r="D17" s="79" t="str">
        <x:v>ادویه فلافل</x:v>
      </x:c>
      <x:c r="E17" s="79" t="str">
        <x:v>single_19</x:v>
      </x:c>
      <x:c r="F17" s="79"/>
      <x:c r="G17" s="79" t="str">
        <x:v>canonical_group_row</x:v>
      </x:c>
      <x:c r="H17" s="79" t="str">
        <x:v>ادویه</x:v>
      </x:c>
      <x:c r="I17" s="79" t="str">
        <x:v>6a3781e4df5573f4e676e226</x:v>
      </x:c>
      <x:c r="J17" s="79" t="str">
        <x:v>spice</x:v>
      </x:c>
      <x:c r="K17" s="79" t="str">
        <x:v>EDIBLE</x:v>
      </x:c>
      <x:c r="L17" s="79" t="str">
        <x:v>بله</x:v>
      </x:c>
      <x:c r="M17" s="79" t="str">
        <x:v>OK</x:v>
      </x:c>
      <x:c r="N17" s="79"/>
      <x:c r="O17" s="79" t="str">
        <x:v>بله</x:v>
      </x:c>
      <x:c r="P17" s="79" t="str">
        <x:v>ادویه</x:v>
      </x:c>
      <x:c r="Q17" s="79" t="str">
        <x:v>6a3781e4df5573f4e676e226</x:v>
      </x:c>
      <x:c r="R17" s="79" t="str">
        <x:v>کیلو</x:v>
      </x:c>
      <x:c r="S17" s="79" t="n">
        <x:v>850000</x:v>
      </x:c>
      <x:c r="T17" s="79"/>
      <x:c r="U17" s="79"/>
    </x:row>
    <x:row r="18">
      <x:c r="A18" s="79" t="n">
        <x:v>20</x:v>
      </x:c>
      <x:c r="B18" s="79" t="str">
        <x:v>NS-0017-1</x:v>
      </x:c>
      <x:c r="C18" s="79" t="str">
        <x:v>ادویه قرمه سبزی</x:v>
      </x:c>
      <x:c r="D18" s="79" t="str">
        <x:v>ادویه قرمه سبزی</x:v>
      </x:c>
      <x:c r="E18" s="79" t="str">
        <x:v>single_20</x:v>
      </x:c>
      <x:c r="F18" s="79"/>
      <x:c r="G18" s="79" t="str">
        <x:v>canonical_group_row</x:v>
      </x:c>
      <x:c r="H18" s="79" t="str">
        <x:v>ادویه</x:v>
      </x:c>
      <x:c r="I18" s="79" t="str">
        <x:v>6a3781e4df5573f4e676e226</x:v>
      </x:c>
      <x:c r="J18" s="79" t="str">
        <x:v>spice</x:v>
      </x:c>
      <x:c r="K18" s="79" t="str">
        <x:v>EDIBLE</x:v>
      </x:c>
      <x:c r="L18" s="79" t="str">
        <x:v>بله</x:v>
      </x:c>
      <x:c r="M18" s="79" t="str">
        <x:v>OK</x:v>
      </x:c>
      <x:c r="N18" s="79"/>
      <x:c r="O18" s="79" t="str">
        <x:v>بله</x:v>
      </x:c>
      <x:c r="P18" s="79" t="str">
        <x:v>ادویه</x:v>
      </x:c>
      <x:c r="Q18" s="79" t="str">
        <x:v>6a3781e4df5573f4e676e226</x:v>
      </x:c>
      <x:c r="R18" s="79" t="str">
        <x:v>کیلو</x:v>
      </x:c>
      <x:c r="S18" s="79" t="n">
        <x:v>950000</x:v>
      </x:c>
      <x:c r="T18" s="79"/>
      <x:c r="U18" s="79"/>
    </x:row>
    <x:row r="19">
      <x:c r="A19" s="79" t="n">
        <x:v>21</x:v>
      </x:c>
      <x:c r="B19" s="79" t="str">
        <x:v>NS-0018-1</x:v>
      </x:c>
      <x:c r="C19" s="79" t="str">
        <x:v>ادویه کاچی</x:v>
      </x:c>
      <x:c r="D19" s="79" t="str">
        <x:v>ادویه کاچی</x:v>
      </x:c>
      <x:c r="E19" s="79" t="str">
        <x:v>single_21</x:v>
      </x:c>
      <x:c r="F19" s="79"/>
      <x:c r="G19" s="79" t="str">
        <x:v>canonical_group_row</x:v>
      </x:c>
      <x:c r="H19" s="79" t="str">
        <x:v>ادویه</x:v>
      </x:c>
      <x:c r="I19" s="79" t="str">
        <x:v>6a3781e4df5573f4e676e226</x:v>
      </x:c>
      <x:c r="J19" s="79" t="str">
        <x:v>spice</x:v>
      </x:c>
      <x:c r="K19" s="79" t="str">
        <x:v>EDIBLE</x:v>
      </x:c>
      <x:c r="L19" s="79" t="str">
        <x:v>بله</x:v>
      </x:c>
      <x:c r="M19" s="79" t="str">
        <x:v>OK</x:v>
      </x:c>
      <x:c r="N19" s="79"/>
      <x:c r="O19" s="79" t="str">
        <x:v>بله</x:v>
      </x:c>
      <x:c r="P19" s="79" t="str">
        <x:v>ادویه</x:v>
      </x:c>
      <x:c r="Q19" s="79" t="str">
        <x:v>6a3781e4df5573f4e676e226</x:v>
      </x:c>
      <x:c r="R19" s="79" t="str">
        <x:v>کیلو</x:v>
      </x:c>
      <x:c r="S19" s="79" t="n">
        <x:v>700000</x:v>
      </x:c>
      <x:c r="T19" s="79"/>
      <x:c r="U19" s="79"/>
    </x:row>
    <x:row r="20">
      <x:c r="A20" s="79" t="n">
        <x:v>22</x:v>
      </x:c>
      <x:c r="B20" s="79" t="str">
        <x:v>NS-0019-1</x:v>
      </x:c>
      <x:c r="C20" s="79" t="str">
        <x:v>ادویه کاری</x:v>
      </x:c>
      <x:c r="D20" s="79" t="str">
        <x:v>ادویه کاری</x:v>
      </x:c>
      <x:c r="E20" s="79" t="str">
        <x:v>single_22</x:v>
      </x:c>
      <x:c r="F20" s="79"/>
      <x:c r="G20" s="79" t="str">
        <x:v>canonical_group_row</x:v>
      </x:c>
      <x:c r="H20" s="79" t="str">
        <x:v>ادویه</x:v>
      </x:c>
      <x:c r="I20" s="79" t="str">
        <x:v>6a3781e4df5573f4e676e226</x:v>
      </x:c>
      <x:c r="J20" s="79" t="str">
        <x:v>spice</x:v>
      </x:c>
      <x:c r="K20" s="79" t="str">
        <x:v>EDIBLE</x:v>
      </x:c>
      <x:c r="L20" s="79" t="str">
        <x:v>بله</x:v>
      </x:c>
      <x:c r="M20" s="79" t="str">
        <x:v>OK</x:v>
      </x:c>
      <x:c r="N20" s="79"/>
      <x:c r="O20" s="79" t="str">
        <x:v>بله</x:v>
      </x:c>
      <x:c r="P20" s="79" t="str">
        <x:v>ادویه</x:v>
      </x:c>
      <x:c r="Q20" s="79" t="str">
        <x:v>6a3781e4df5573f4e676e226</x:v>
      </x:c>
      <x:c r="R20" s="79" t="str">
        <x:v>کیلو</x:v>
      </x:c>
      <x:c r="S20" s="79" t="n">
        <x:v>850000</x:v>
      </x:c>
      <x:c r="T20" s="79"/>
      <x:c r="U20" s="79"/>
    </x:row>
    <x:row r="21">
      <x:c r="A21" s="79" t="n">
        <x:v>23</x:v>
      </x:c>
      <x:c r="B21" s="79" t="str">
        <x:v>NS-0020-1</x:v>
      </x:c>
      <x:c r="C21" s="79" t="str">
        <x:v>ادویه کره</x:v>
      </x:c>
      <x:c r="D21" s="79" t="str">
        <x:v>ادویه کره</x:v>
      </x:c>
      <x:c r="E21" s="79" t="str">
        <x:v>single_23</x:v>
      </x:c>
      <x:c r="F21" s="79"/>
      <x:c r="G21" s="79" t="str">
        <x:v>canonical_group_row</x:v>
      </x:c>
      <x:c r="H21" s="79" t="str">
        <x:v>ادویه</x:v>
      </x:c>
      <x:c r="I21" s="79" t="str">
        <x:v>6a3781e4df5573f4e676e226</x:v>
      </x:c>
      <x:c r="J21" s="79" t="str">
        <x:v>spice</x:v>
      </x:c>
      <x:c r="K21" s="79" t="str">
        <x:v>EDIBLE</x:v>
      </x:c>
      <x:c r="L21" s="79" t="str">
        <x:v>بله</x:v>
      </x:c>
      <x:c r="M21" s="79" t="str">
        <x:v>OK</x:v>
      </x:c>
      <x:c r="N21" s="79"/>
      <x:c r="O21" s="79" t="str">
        <x:v>بله</x:v>
      </x:c>
      <x:c r="P21" s="79" t="str">
        <x:v>ادویه</x:v>
      </x:c>
      <x:c r="Q21" s="79" t="str">
        <x:v>6a3781e4df5573f4e676e226</x:v>
      </x:c>
      <x:c r="R21" s="79" t="str">
        <x:v>کیلو</x:v>
      </x:c>
      <x:c r="S21" s="79" t="n">
        <x:v>1100000</x:v>
      </x:c>
      <x:c r="T21" s="79"/>
      <x:c r="U21" s="79"/>
    </x:row>
    <x:row r="22">
      <x:c r="A22" s="79" t="n">
        <x:v>24</x:v>
      </x:c>
      <x:c r="B22" s="79" t="str">
        <x:v>NS-0021-1</x:v>
      </x:c>
      <x:c r="C22" s="79" t="str">
        <x:v>ادویه لیمو فلفلی</x:v>
      </x:c>
      <x:c r="D22" s="79" t="str">
        <x:v>ادویه لیمو فلفلی</x:v>
      </x:c>
      <x:c r="E22" s="79" t="str">
        <x:v>single_24</x:v>
      </x:c>
      <x:c r="F22" s="79"/>
      <x:c r="G22" s="79" t="str">
        <x:v>canonical_group_row</x:v>
      </x:c>
      <x:c r="H22" s="79" t="str">
        <x:v>ادویه</x:v>
      </x:c>
      <x:c r="I22" s="79" t="str">
        <x:v>6a3781e4df5573f4e676e226</x:v>
      </x:c>
      <x:c r="J22" s="79" t="str">
        <x:v>spice</x:v>
      </x:c>
      <x:c r="K22" s="79" t="str">
        <x:v>EDIBLE</x:v>
      </x:c>
      <x:c r="L22" s="79" t="str">
        <x:v>بله</x:v>
      </x:c>
      <x:c r="M22" s="79" t="str">
        <x:v>OK</x:v>
      </x:c>
      <x:c r="N22" s="79"/>
      <x:c r="O22" s="79" t="str">
        <x:v>بله</x:v>
      </x:c>
      <x:c r="P22" s="79" t="str">
        <x:v>ادویه</x:v>
      </x:c>
      <x:c r="Q22" s="79" t="str">
        <x:v>6a3781e4df5573f4e676e226</x:v>
      </x:c>
      <x:c r="R22" s="79" t="str">
        <x:v>کیلو</x:v>
      </x:c>
      <x:c r="S22" s="79" t="n">
        <x:v>800000</x:v>
      </x:c>
      <x:c r="T22" s="79"/>
      <x:c r="U22" s="79"/>
    </x:row>
    <x:row r="23">
      <x:c r="A23" s="79" t="n">
        <x:v>25</x:v>
      </x:c>
      <x:c r="B23" s="79" t="str">
        <x:v>NS-0022-1</x:v>
      </x:c>
      <x:c r="C23" s="79" t="str">
        <x:v>ادویه ماهی</x:v>
      </x:c>
      <x:c r="D23" s="79" t="str">
        <x:v>ادویه ماهی</x:v>
      </x:c>
      <x:c r="E23" s="79" t="str">
        <x:v>single_25</x:v>
      </x:c>
      <x:c r="F23" s="79"/>
      <x:c r="G23" s="79" t="str">
        <x:v>canonical_group_row</x:v>
      </x:c>
      <x:c r="H23" s="79" t="str">
        <x:v>ادویه</x:v>
      </x:c>
      <x:c r="I23" s="79" t="str">
        <x:v>6a3781e4df5573f4e676e226</x:v>
      </x:c>
      <x:c r="J23" s="79" t="str">
        <x:v>spice</x:v>
      </x:c>
      <x:c r="K23" s="79" t="str">
        <x:v>EDIBLE</x:v>
      </x:c>
      <x:c r="L23" s="79" t="str">
        <x:v>بله</x:v>
      </x:c>
      <x:c r="M23" s="79" t="str">
        <x:v>OK</x:v>
      </x:c>
      <x:c r="N23" s="79"/>
      <x:c r="O23" s="79" t="str">
        <x:v>بله</x:v>
      </x:c>
      <x:c r="P23" s="79" t="str">
        <x:v>ادویه</x:v>
      </x:c>
      <x:c r="Q23" s="79" t="str">
        <x:v>6a3781e4df5573f4e676e226</x:v>
      </x:c>
      <x:c r="R23" s="79" t="str">
        <x:v>کیلو</x:v>
      </x:c>
      <x:c r="S23" s="79" t="n">
        <x:v>900000</x:v>
      </x:c>
      <x:c r="T23" s="79"/>
      <x:c r="U23" s="79"/>
    </x:row>
    <x:row r="24">
      <x:c r="A24" s="79" t="n">
        <x:v>26</x:v>
      </x:c>
      <x:c r="B24" s="79" t="str">
        <x:v>NS-0023-1</x:v>
      </x:c>
      <x:c r="C24" s="79" t="str">
        <x:v>ادویه مرغ</x:v>
      </x:c>
      <x:c r="D24" s="79" t="str">
        <x:v>ادویه مرغ</x:v>
      </x:c>
      <x:c r="E24" s="79" t="str">
        <x:v>single_26</x:v>
      </x:c>
      <x:c r="F24" s="79"/>
      <x:c r="G24" s="79" t="str">
        <x:v>canonical_group_row</x:v>
      </x:c>
      <x:c r="H24" s="79" t="str">
        <x:v>ادویه</x:v>
      </x:c>
      <x:c r="I24" s="79" t="str">
        <x:v>6a3781e4df5573f4e676e226</x:v>
      </x:c>
      <x:c r="J24" s="79" t="str">
        <x:v>spice</x:v>
      </x:c>
      <x:c r="K24" s="79" t="str">
        <x:v>EDIBLE</x:v>
      </x:c>
      <x:c r="L24" s="79" t="str">
        <x:v>بله</x:v>
      </x:c>
      <x:c r="M24" s="79" t="str">
        <x:v>OK</x:v>
      </x:c>
      <x:c r="N24" s="79"/>
      <x:c r="O24" s="79" t="str">
        <x:v>بله</x:v>
      </x:c>
      <x:c r="P24" s="79" t="str">
        <x:v>ادویه</x:v>
      </x:c>
      <x:c r="Q24" s="79" t="str">
        <x:v>6a3781e4df5573f4e676e226</x:v>
      </x:c>
      <x:c r="R24" s="79" t="str">
        <x:v>کیلو</x:v>
      </x:c>
      <x:c r="S24" s="79" t="n">
        <x:v>950000</x:v>
      </x:c>
      <x:c r="T24" s="79"/>
      <x:c r="U24" s="79"/>
    </x:row>
    <x:row r="25">
      <x:c r="A25" s="79" t="n">
        <x:v>27</x:v>
      </x:c>
      <x:c r="B25" s="79" t="str">
        <x:v>NS-0024-1</x:v>
      </x:c>
      <x:c r="C25" s="79" t="str">
        <x:v>ارده</x:v>
      </x:c>
      <x:c r="D25" s="79" t="str">
        <x:v>ارده</x:v>
      </x:c>
      <x:c r="E25" s="79" t="str">
        <x:v>single_27</x:v>
      </x:c>
      <x:c r="F25" s="79"/>
      <x:c r="G25" s="79" t="str">
        <x:v>canonical_group_row</x:v>
      </x:c>
      <x:c r="H25" s="79" t="str">
        <x:v>قنادی و شیرینی</x:v>
      </x:c>
      <x:c r="I25" s="79" t="str">
        <x:v>6a3a00000000000000000003</x:v>
      </x:c>
      <x:c r="J25" s="79" t="str">
        <x:v>confectionery</x:v>
      </x:c>
      <x:c r="K25" s="79" t="str">
        <x:v>EDIBLE</x:v>
      </x:c>
      <x:c r="L25" s="79" t="str">
        <x:v>بله</x:v>
      </x:c>
      <x:c r="M25" s="79" t="str">
        <x:v>OK</x:v>
      </x:c>
      <x:c r="N25" s="79"/>
      <x:c r="O25" s="79" t="str">
        <x:v>بله</x:v>
      </x:c>
      <x:c r="P25" s="79" t="str">
        <x:v>قنادی و شیرینی</x:v>
      </x:c>
      <x:c r="Q25" s="79" t="str">
        <x:v>6a3a00000000000000000003</x:v>
      </x:c>
      <x:c r="R25" s="79" t="str">
        <x:v>کیلو</x:v>
      </x:c>
      <x:c r="S25" s="79" t="n">
        <x:v>710000</x:v>
      </x:c>
      <x:c r="T25" s="79"/>
      <x:c r="U25" s="79"/>
    </x:row>
    <x:row r="26">
      <x:c r="A26" s="79" t="n">
        <x:v>28</x:v>
      </x:c>
      <x:c r="B26" s="79" t="str">
        <x:v>NS-0025-1</x:v>
      </x:c>
      <x:c r="C26" s="79" t="str">
        <x:v>اسپند پودر</x:v>
      </x:c>
      <x:c r="D26" s="79" t="str">
        <x:v>اسپند پودر</x:v>
      </x:c>
      <x:c r="E26" s="79" t="str">
        <x:v>single_28</x:v>
      </x:c>
      <x:c r="F26" s="79"/>
      <x:c r="G26" s="79" t="str">
        <x:v>canonical_group_row</x:v>
      </x:c>
      <x:c r="H26" s="79" t="str">
        <x:v>گیاهان دارویی</x:v>
      </x:c>
      <x:c r="I26" s="79" t="str">
        <x:v>6a3782d7df5573f4e676e243</x:v>
      </x:c>
      <x:c r="J26" s="79" t="str">
        <x:v>medicinal-plants</x:v>
      </x:c>
      <x:c r="K26" s="79" t="str">
        <x:v>EDIBLE</x:v>
      </x:c>
      <x:c r="L26" s="79" t="str">
        <x:v>بله</x:v>
      </x:c>
      <x:c r="M26" s="79" t="str">
        <x:v>OK</x:v>
      </x:c>
      <x:c r="N26" s="79"/>
      <x:c r="O26" s="79" t="str">
        <x:v>بله</x:v>
      </x:c>
      <x:c r="P26" s="79" t="str">
        <x:v>گیاهان دارویی</x:v>
      </x:c>
      <x:c r="Q26" s="79" t="str">
        <x:v>6a3782d7df5573f4e676e243</x:v>
      </x:c>
      <x:c r="R26" s="79" t="str">
        <x:v>کیلو</x:v>
      </x:c>
      <x:c r="S26" s="79" t="n">
        <x:v>140000</x:v>
      </x:c>
      <x:c r="T26" s="79"/>
      <x:c r="U26" s="79"/>
    </x:row>
    <x:row r="27">
      <x:c r="A27" s="79" t="n">
        <x:v>29</x:v>
      </x:c>
      <x:c r="B27" s="79" t="str">
        <x:v>NS-0026-1</x:v>
      </x:c>
      <x:c r="C27" s="79" t="str">
        <x:v>اسپند تخم</x:v>
      </x:c>
      <x:c r="D27" s="79" t="str">
        <x:v>اسپند تخم</x:v>
      </x:c>
      <x:c r="E27" s="79" t="str">
        <x:v>single_29</x:v>
      </x:c>
      <x:c r="F27" s="79"/>
      <x:c r="G27" s="79" t="str">
        <x:v>canonical_group_row</x:v>
      </x:c>
      <x:c r="H27" s="79" t="str">
        <x:v>خشکبار و آجیل</x:v>
      </x:c>
      <x:c r="I27" s="79" t="str">
        <x:v>6a37810ddf5573f4e676e201</x:v>
      </x:c>
      <x:c r="J27" s="79" t="str">
        <x:v>dried-fruits-nuts</x:v>
      </x:c>
      <x:c r="K27" s="79" t="str">
        <x:v>EDIBLE</x:v>
      </x:c>
      <x:c r="L27" s="79" t="str">
        <x:v>بله</x:v>
      </x:c>
      <x:c r="M27" s="79" t="str">
        <x:v>OK</x:v>
      </x:c>
      <x:c r="N27" s="79"/>
      <x:c r="O27" s="79" t="str">
        <x:v>بله</x:v>
      </x:c>
      <x:c r="P27" s="79" t="str">
        <x:v>خشکبار و آجیل</x:v>
      </x:c>
      <x:c r="Q27" s="79" t="str">
        <x:v>6a37810ddf5573f4e676e201</x:v>
      </x:c>
      <x:c r="R27" s="79" t="str">
        <x:v>کیلو</x:v>
      </x:c>
      <x:c r="S27" s="79" t="n">
        <x:v>200000</x:v>
      </x:c>
      <x:c r="T27" s="79"/>
      <x:c r="U27" s="79"/>
    </x:row>
    <x:row r="28">
      <x:c r="A28" s="79" t="n">
        <x:v>30</x:v>
      </x:c>
      <x:c r="B28" s="79" t="str">
        <x:v>NS-0027-1</x:v>
      </x:c>
      <x:c r="C28" s="79" t="str">
        <x:v>اسپند نخودی</x:v>
      </x:c>
      <x:c r="D28" s="79" t="str">
        <x:v>اسپند نخودی</x:v>
      </x:c>
      <x:c r="E28" s="79" t="str">
        <x:v>single_30</x:v>
      </x:c>
      <x:c r="F28" s="79"/>
      <x:c r="G28" s="79" t="str">
        <x:v>canonical_group_row</x:v>
      </x:c>
      <x:c r="H28" s="79" t="str">
        <x:v>حبوبات و غلات</x:v>
      </x:c>
      <x:c r="I28" s="79" t="str">
        <x:v>6a3a00000000000000000002</x:v>
      </x:c>
      <x:c r="J28" s="79" t="str">
        <x:v>legumes-grains</x:v>
      </x:c>
      <x:c r="K28" s="79" t="str">
        <x:v>EDIBLE</x:v>
      </x:c>
      <x:c r="L28" s="79" t="str">
        <x:v>بله</x:v>
      </x:c>
      <x:c r="M28" s="79" t="str">
        <x:v>OK</x:v>
      </x:c>
      <x:c r="N28" s="79"/>
      <x:c r="O28" s="79" t="str">
        <x:v>بله</x:v>
      </x:c>
      <x:c r="P28" s="79" t="str">
        <x:v>حبوبات و غلات</x:v>
      </x:c>
      <x:c r="Q28" s="79" t="str">
        <x:v>6a3a00000000000000000002</x:v>
      </x:c>
      <x:c r="R28" s="79" t="str">
        <x:v>کیلو</x:v>
      </x:c>
      <x:c r="S28" s="79" t="n">
        <x:v>180000</x:v>
      </x:c>
      <x:c r="T28" s="79"/>
      <x:c r="U28" s="79"/>
    </x:row>
    <x:row r="29">
      <x:c r="A29" s="79" t="n">
        <x:v>31</x:v>
      </x:c>
      <x:c r="B29" s="79" t="str">
        <x:v>NS-0028-1</x:v>
      </x:c>
      <x:c r="C29" s="79" t="str">
        <x:v>استویا</x:v>
      </x:c>
      <x:c r="D29" s="79" t="str">
        <x:v>استویا</x:v>
      </x:c>
      <x:c r="E29" s="79" t="str">
        <x:v>single_31</x:v>
      </x:c>
      <x:c r="F29" s="79"/>
      <x:c r="G29" s="79" t="str">
        <x:v>canonical_group_row</x:v>
      </x:c>
      <x:c r="H29" s="79" t="str">
        <x:v>گیاهان دارویی</x:v>
      </x:c>
      <x:c r="I29" s="79" t="str">
        <x:v>6a3782d7df5573f4e676e243</x:v>
      </x:c>
      <x:c r="J29" s="79" t="str">
        <x:v>medicinal-plants</x:v>
      </x:c>
      <x:c r="K29" s="79" t="str">
        <x:v>EDIBLE</x:v>
      </x:c>
      <x:c r="L29" s="79" t="str">
        <x:v>بله</x:v>
      </x:c>
      <x:c r="M29" s="79" t="str">
        <x:v>OK</x:v>
      </x:c>
      <x:c r="N29" s="79"/>
      <x:c r="O29" s="79" t="str">
        <x:v>بله</x:v>
      </x:c>
      <x:c r="P29" s="79" t="str">
        <x:v>گیاهان دارویی</x:v>
      </x:c>
      <x:c r="Q29" s="79" t="str">
        <x:v>6a3782d7df5573f4e676e243</x:v>
      </x:c>
      <x:c r="R29" s="79" t="str">
        <x:v>کیلو</x:v>
      </x:c>
      <x:c r="S29" s="79" t="n">
        <x:v>2400000</x:v>
      </x:c>
      <x:c r="T29" s="79"/>
      <x:c r="U29" s="79"/>
    </x:row>
    <x:row r="30">
      <x:c r="A30" s="79" t="n">
        <x:v>32</x:v>
      </x:c>
      <x:c r="B30" s="79" t="str">
        <x:v>NS-0029-1</x:v>
      </x:c>
      <x:c r="C30" s="79" t="str">
        <x:v>اسطوخودوس</x:v>
      </x:c>
      <x:c r="D30" s="79" t="str">
        <x:v>اسطوخودوس</x:v>
      </x:c>
      <x:c r="E30" s="79" t="str">
        <x:v>single_32</x:v>
      </x:c>
      <x:c r="F30" s="79"/>
      <x:c r="G30" s="79" t="str">
        <x:v>canonical_group_row</x:v>
      </x:c>
      <x:c r="H30" s="79" t="str">
        <x:v>گیاهان دارویی</x:v>
      </x:c>
      <x:c r="I30" s="79" t="str">
        <x:v>6a3782d7df5573f4e676e243</x:v>
      </x:c>
      <x:c r="J30" s="79" t="str">
        <x:v>medicinal-plants</x:v>
      </x:c>
      <x:c r="K30" s="79" t="str">
        <x:v>EDIBLE</x:v>
      </x:c>
      <x:c r="L30" s="79" t="str">
        <x:v>بله</x:v>
      </x:c>
      <x:c r="M30" s="79" t="str">
        <x:v>OK</x:v>
      </x:c>
      <x:c r="N30" s="79"/>
      <x:c r="O30" s="79" t="str">
        <x:v>بله</x:v>
      </x:c>
      <x:c r="P30" s="79" t="str">
        <x:v>گیاهان دارویی</x:v>
      </x:c>
      <x:c r="Q30" s="79" t="str">
        <x:v>6a3782d7df5573f4e676e243</x:v>
      </x:c>
      <x:c r="R30" s="79" t="str">
        <x:v>کیلو</x:v>
      </x:c>
      <x:c r="S30" s="79" t="n">
        <x:v>2800000</x:v>
      </x:c>
      <x:c r="T30" s="79"/>
      <x:c r="U30" s="79"/>
    </x:row>
    <x:row r="31">
      <x:c r="A31" s="79" t="n">
        <x:v>33</x:v>
      </x:c>
      <x:c r="B31" s="79" t="str">
        <x:v>NS-0030-1</x:v>
      </x:c>
      <x:c r="C31" s="79" t="str">
        <x:v>انبه پودر</x:v>
      </x:c>
      <x:c r="D31" s="79" t="str">
        <x:v>انبه پودر</x:v>
      </x:c>
      <x:c r="E31" s="79" t="str">
        <x:v>single_33</x:v>
      </x:c>
      <x:c r="F31" s="79"/>
      <x:c r="G31" s="79" t="str">
        <x:v>canonical_group_row</x:v>
      </x:c>
      <x:c r="H31" s="79" t="str">
        <x:v>نوشیدنی‌ها</x:v>
      </x:c>
      <x:c r="I31" s="79" t="str">
        <x:v>6a3782ffdf5573f4e676e24b</x:v>
      </x:c>
      <x:c r="J31" s="79" t="str">
        <x:v>syrup</x:v>
      </x:c>
      <x:c r="K31" s="79" t="str">
        <x:v>EDIBLE</x:v>
      </x:c>
      <x:c r="L31" s="79" t="str">
        <x:v>بله</x:v>
      </x:c>
      <x:c r="M31" s="79" t="str">
        <x:v>OK</x:v>
      </x:c>
      <x:c r="N31" s="79" t="str">
        <x:v>دسته از «نیاز به بررسی» به «نوشیدنی‌ها» اصلاح شد</x:v>
      </x:c>
      <x:c r="O31" s="79" t="str">
        <x:v>بله</x:v>
      </x:c>
      <x:c r="P31" s="79" t="str">
        <x:v>نیاز به بررسی</x:v>
      </x:c>
      <x:c r="Q31" s="79"/>
      <x:c r="R31" s="79" t="str">
        <x:v>کیلو</x:v>
      </x:c>
      <x:c r="S31" s="79" t="n">
        <x:v>1100000</x:v>
      </x:c>
      <x:c r="T31" s="79"/>
      <x:c r="U31" s="79"/>
    </x:row>
    <x:row r="32">
      <x:c r="A32" s="79" t="n">
        <x:v>34</x:v>
      </x:c>
      <x:c r="B32" s="79" t="str">
        <x:v>NS-0031-1</x:v>
      </x:c>
      <x:c r="C32" s="79" t="str">
        <x:v>انجیر خشک</x:v>
      </x:c>
      <x:c r="D32" s="79" t="str">
        <x:v>انجیر خشک</x:v>
      </x:c>
      <x:c r="E32" s="79" t="str">
        <x:v>single_34</x:v>
      </x:c>
      <x:c r="F32" s="79"/>
      <x:c r="G32" s="79" t="str">
        <x:v>canonical_group_row</x:v>
      </x:c>
      <x:c r="H32" s="79" t="str">
        <x:v>خشکبار و آجیل</x:v>
      </x:c>
      <x:c r="I32" s="79" t="str">
        <x:v>6a37810ddf5573f4e676e201</x:v>
      </x:c>
      <x:c r="J32" s="79" t="str">
        <x:v>dried-fruits-nuts</x:v>
      </x:c>
      <x:c r="K32" s="79" t="str">
        <x:v>EDIBLE</x:v>
      </x:c>
      <x:c r="L32" s="79" t="str">
        <x:v>بله</x:v>
      </x:c>
      <x:c r="M32" s="79" t="str">
        <x:v>OK</x:v>
      </x:c>
      <x:c r="N32" s="79"/>
      <x:c r="O32" s="79" t="str">
        <x:v>بله</x:v>
      </x:c>
      <x:c r="P32" s="79" t="str">
        <x:v>خشکبار و آجیل</x:v>
      </x:c>
      <x:c r="Q32" s="79" t="str">
        <x:v>6a37810ddf5573f4e676e201</x:v>
      </x:c>
      <x:c r="R32" s="79" t="str">
        <x:v>کیلو</x:v>
      </x:c>
      <x:c r="S32" s="79" t="n">
        <x:v>400000</x:v>
      </x:c>
      <x:c r="T32" s="79"/>
      <x:c r="U32" s="79"/>
    </x:row>
    <x:row r="33">
      <x:c r="A33" s="79" t="n">
        <x:v>35</x:v>
      </x:c>
      <x:c r="B33" s="79" t="str">
        <x:v>NS-0032-1</x:v>
      </x:c>
      <x:c r="C33" s="79" t="str">
        <x:v>آب زرشک</x:v>
      </x:c>
      <x:c r="D33" s="79" t="str">
        <x:v>آب زرشک</x:v>
      </x:c>
      <x:c r="E33" s="79" t="str">
        <x:v>single_35</x:v>
      </x:c>
      <x:c r="F33" s="79"/>
      <x:c r="G33" s="79" t="str">
        <x:v>canonical_group_row</x:v>
      </x:c>
      <x:c r="H33" s="79" t="str">
        <x:v>نوشیدنی‌ها</x:v>
      </x:c>
      <x:c r="I33" s="79" t="str">
        <x:v>6a3782ffdf5573f4e676e24b</x:v>
      </x:c>
      <x:c r="J33" s="79" t="str">
        <x:v>syrup</x:v>
      </x:c>
      <x:c r="K33" s="79" t="str">
        <x:v>EDIBLE</x:v>
      </x:c>
      <x:c r="L33" s="79" t="str">
        <x:v>بله</x:v>
      </x:c>
      <x:c r="M33" s="79" t="str">
        <x:v>MISSING_PRICE_REVIEW</x:v>
      </x:c>
      <x:c r="N33" s="79" t="str">
        <x:v>یک یا چند قیمت نامشخص است</x:v>
      </x:c>
      <x:c r="O33" s="79" t="str">
        <x:v>بله</x:v>
      </x:c>
      <x:c r="P33" s="79" t="str">
        <x:v>نوشیدنی‌ها</x:v>
      </x:c>
      <x:c r="Q33" s="79" t="str">
        <x:v>6a3782ffdf5573f4e676e24b</x:v>
      </x:c>
      <x:c r="R33" s="79" t="str">
        <x:v>کیلو</x:v>
      </x:c>
      <x:c r="S33" s="79"/>
      <x:c r="T33" s="79"/>
      <x:c r="U33" s="79"/>
    </x:row>
    <x:row r="34">
      <x:c r="A34" s="79" t="n">
        <x:v>36</x:v>
      </x:c>
      <x:c r="B34" s="79" t="str">
        <x:v>NS-0033-1</x:v>
      </x:c>
      <x:c r="C34" s="79" t="str">
        <x:v>آبغوره</x:v>
      </x:c>
      <x:c r="D34" s="79" t="str">
        <x:v>آبغوره</x:v>
      </x:c>
      <x:c r="E34" s="79" t="str">
        <x:v>single_36</x:v>
      </x:c>
      <x:c r="F34" s="79"/>
      <x:c r="G34" s="79" t="str">
        <x:v>canonical_group_row</x:v>
      </x:c>
      <x:c r="H34" s="79" t="str">
        <x:v>نوشیدنی‌ها</x:v>
      </x:c>
      <x:c r="I34" s="79" t="str">
        <x:v>6a3782ffdf5573f4e676e24b</x:v>
      </x:c>
      <x:c r="J34" s="79" t="str">
        <x:v>syrup</x:v>
      </x:c>
      <x:c r="K34" s="79" t="str">
        <x:v>EDIBLE</x:v>
      </x:c>
      <x:c r="L34" s="79" t="str">
        <x:v>بله</x:v>
      </x:c>
      <x:c r="M34" s="79" t="str">
        <x:v>OK</x:v>
      </x:c>
      <x:c r="N34" s="79"/>
      <x:c r="O34" s="79" t="str">
        <x:v>بله</x:v>
      </x:c>
      <x:c r="P34" s="79" t="str">
        <x:v>نوشیدنی‌ها</x:v>
      </x:c>
      <x:c r="Q34" s="79" t="str">
        <x:v>6a3782ffdf5573f4e676e24b</x:v>
      </x:c>
      <x:c r="R34" s="79" t="str">
        <x:v>نیم لیتر</x:v>
      </x:c>
      <x:c r="S34" s="79" t="n">
        <x:v>110000</x:v>
      </x:c>
      <x:c r="T34" s="79" t="str">
        <x:v>1 لیتر</x:v>
      </x:c>
      <x:c r="U34" s="79" t="n">
        <x:v>210000</x:v>
      </x:c>
    </x:row>
    <x:row r="35">
      <x:c r="A35" s="79" t="n">
        <x:v>37</x:v>
      </x:c>
      <x:c r="B35" s="79" t="str">
        <x:v>NS-0034-1</x:v>
      </x:c>
      <x:c r="C35" s="79" t="str">
        <x:v>آرد برنج</x:v>
      </x:c>
      <x:c r="D35" s="79" t="str">
        <x:v>آرد برنج</x:v>
      </x:c>
      <x:c r="E35" s="79" t="str">
        <x:v>single_37</x:v>
      </x:c>
      <x:c r="F35" s="79"/>
      <x:c r="G35" s="79" t="str">
        <x:v>canonical_group_row</x:v>
      </x:c>
      <x:c r="H35" s="79" t="str">
        <x:v>آرد و قنادی</x:v>
      </x:c>
      <x:c r="I35" s="79" t="str">
        <x:v>6a3a00000000000000000004</x:v>
      </x:c>
      <x:c r="J35" s="79" t="str">
        <x:v>flour-confectionery</x:v>
      </x:c>
      <x:c r="K35" s="79" t="str">
        <x:v>EDIBLE</x:v>
      </x:c>
      <x:c r="L35" s="79" t="str">
        <x:v>بله</x:v>
      </x:c>
      <x:c r="M35" s="79" t="str">
        <x:v>OK</x:v>
      </x:c>
      <x:c r="N35" s="79"/>
      <x:c r="O35" s="79" t="str">
        <x:v>بله</x:v>
      </x:c>
      <x:c r="P35" s="79" t="str">
        <x:v>آرد و قنادی</x:v>
      </x:c>
      <x:c r="Q35" s="79" t="str">
        <x:v>6a3a00000000000000000004</x:v>
      </x:c>
      <x:c r="R35" s="79" t="str">
        <x:v>کیلو</x:v>
      </x:c>
      <x:c r="S35" s="79" t="n">
        <x:v>295000</x:v>
      </x:c>
      <x:c r="T35" s="79"/>
      <x:c r="U35" s="79"/>
    </x:row>
    <x:row r="36">
      <x:c r="A36" s="79" t="n">
        <x:v>38</x:v>
      </x:c>
      <x:c r="B36" s="79" t="str">
        <x:v>NS-0035-1</x:v>
      </x:c>
      <x:c r="C36" s="79" t="str">
        <x:v>آرد سوخاری</x:v>
      </x:c>
      <x:c r="D36" s="79" t="str">
        <x:v>آرد سوخاری</x:v>
      </x:c>
      <x:c r="E36" s="79" t="str">
        <x:v>single_38</x:v>
      </x:c>
      <x:c r="F36" s="79"/>
      <x:c r="G36" s="79" t="str">
        <x:v>canonical_group_row</x:v>
      </x:c>
      <x:c r="H36" s="79" t="str">
        <x:v>آرد و قنادی</x:v>
      </x:c>
      <x:c r="I36" s="79" t="str">
        <x:v>6a3a00000000000000000004</x:v>
      </x:c>
      <x:c r="J36" s="79" t="str">
        <x:v>flour-confectionery</x:v>
      </x:c>
      <x:c r="K36" s="79" t="str">
        <x:v>EDIBLE</x:v>
      </x:c>
      <x:c r="L36" s="79" t="str">
        <x:v>بله</x:v>
      </x:c>
      <x:c r="M36" s="79" t="str">
        <x:v>OK</x:v>
      </x:c>
      <x:c r="N36" s="79"/>
      <x:c r="O36" s="79" t="str">
        <x:v>بله</x:v>
      </x:c>
      <x:c r="P36" s="79" t="str">
        <x:v>آرد و قنادی</x:v>
      </x:c>
      <x:c r="Q36" s="79" t="str">
        <x:v>6a3a00000000000000000004</x:v>
      </x:c>
      <x:c r="R36" s="79" t="str">
        <x:v>کیلو</x:v>
      </x:c>
      <x:c r="S36" s="79" t="n">
        <x:v>270000</x:v>
      </x:c>
      <x:c r="T36" s="79"/>
      <x:c r="U36" s="79"/>
    </x:row>
    <x:row r="37">
      <x:c r="A37" s="79" t="n">
        <x:v>39</x:v>
      </x:c>
      <x:c r="B37" s="79" t="str">
        <x:v>NS-0036-1</x:v>
      </x:c>
      <x:c r="C37" s="79" t="str">
        <x:v>آرد نخودچی</x:v>
      </x:c>
      <x:c r="D37" s="79" t="str">
        <x:v>آرد نخودچی</x:v>
      </x:c>
      <x:c r="E37" s="79" t="str">
        <x:v>single_39</x:v>
      </x:c>
      <x:c r="F37" s="79"/>
      <x:c r="G37" s="79" t="str">
        <x:v>canonical_group_row</x:v>
      </x:c>
      <x:c r="H37" s="79" t="str">
        <x:v>آرد و قنادی</x:v>
      </x:c>
      <x:c r="I37" s="79" t="str">
        <x:v>6a3a00000000000000000004</x:v>
      </x:c>
      <x:c r="J37" s="79" t="str">
        <x:v>flour-confectionery</x:v>
      </x:c>
      <x:c r="K37" s="79" t="str">
        <x:v>EDIBLE</x:v>
      </x:c>
      <x:c r="L37" s="79" t="str">
        <x:v>بله</x:v>
      </x:c>
      <x:c r="M37" s="79" t="str">
        <x:v>OK</x:v>
      </x:c>
      <x:c r="N37" s="79"/>
      <x:c r="O37" s="79" t="str">
        <x:v>بله</x:v>
      </x:c>
      <x:c r="P37" s="79" t="str">
        <x:v>آرد و قنادی</x:v>
      </x:c>
      <x:c r="Q37" s="79" t="str">
        <x:v>6a3a00000000000000000004</x:v>
      </x:c>
      <x:c r="R37" s="79" t="str">
        <x:v>کیلو</x:v>
      </x:c>
      <x:c r="S37" s="79" t="n">
        <x:v>390000</x:v>
      </x:c>
      <x:c r="T37" s="79"/>
      <x:c r="U37" s="79"/>
    </x:row>
    <x:row r="38">
      <x:c r="A38" s="79" t="n">
        <x:v>40</x:v>
      </x:c>
      <x:c r="B38" s="79" t="str">
        <x:v>NS-0037-1</x:v>
      </x:c>
      <x:c r="C38" s="79" t="str">
        <x:v>آسیاب ادویه</x:v>
      </x:c>
      <x:c r="D38" s="79" t="str">
        <x:v>آسیاب ادویه</x:v>
      </x:c>
      <x:c r="E38" s="79" t="str">
        <x:v>single_40</x:v>
      </x:c>
      <x:c r="F38" s="79"/>
      <x:c r="G38" s="79" t="str">
        <x:v>skip_do_not_import</x:v>
      </x:c>
      <x:c r="H38" s="79" t="str">
        <x:v>عدم ایمپورت</x:v>
      </x:c>
      <x:c r="I38" s="79"/>
      <x:c r="J38" s="79" t="str">
        <x:v>SKIP</x:v>
      </x:c>
      <x:c r="K38" s="79" t="str">
        <x:v>NON_PRODUCT</x:v>
      </x:c>
      <x:c r="L38" s="79" t="str">
        <x:v>خیر</x:v>
      </x:c>
      <x:c r="M38" s="79" t="str">
        <x:v>SKIP_NON_PRODUCT</x:v>
      </x:c>
      <x:c r="N38" s="79" t="str">
        <x:v>ملزومات/ظرف/ابزار است و چون دسته «ملزومات» حذف شده، برای سایت ایمپورت نشود.</x:v>
      </x:c>
      <x:c r="O38" s="79" t="str">
        <x:v>بله</x:v>
      </x:c>
      <x:c r="P38" s="79" t="str">
        <x:v>نیاز به بررسی</x:v>
      </x:c>
      <x:c r="Q38" s="79"/>
      <x:c r="R38" s="79" t="str">
        <x:v>کیلویی</x:v>
      </x:c>
      <x:c r="S38" s="79" t="n">
        <x:v>50000</x:v>
      </x:c>
      <x:c r="T38" s="79"/>
      <x:c r="U38" s="79"/>
    </x:row>
    <x:row r="39">
      <x:c r="A39" s="79" t="n">
        <x:v>41</x:v>
      </x:c>
      <x:c r="B39" s="79" t="str">
        <x:v>NS-0038-1</x:v>
      </x:c>
      <x:c r="C39" s="79" t="str">
        <x:v>آویشن شیرازی</x:v>
      </x:c>
      <x:c r="D39" s="79" t="str">
        <x:v>آویشن شیرازی</x:v>
      </x:c>
      <x:c r="E39" s="79" t="str">
        <x:v>single_41</x:v>
      </x:c>
      <x:c r="F39" s="79"/>
      <x:c r="G39" s="79" t="str">
        <x:v>canonical_group_row</x:v>
      </x:c>
      <x:c r="H39" s="79" t="str">
        <x:v>گیاهان دارویی</x:v>
      </x:c>
      <x:c r="I39" s="79" t="str">
        <x:v>6a3782d7df5573f4e676e243</x:v>
      </x:c>
      <x:c r="J39" s="79" t="str">
        <x:v>medicinal-plants</x:v>
      </x:c>
      <x:c r="K39" s="79" t="str">
        <x:v>EDIBLE</x:v>
      </x:c>
      <x:c r="L39" s="79" t="str">
        <x:v>بله</x:v>
      </x:c>
      <x:c r="M39" s="79" t="str">
        <x:v>OK</x:v>
      </x:c>
      <x:c r="N39" s="79"/>
      <x:c r="O39" s="79" t="str">
        <x:v>بله</x:v>
      </x:c>
      <x:c r="P39" s="79" t="str">
        <x:v>گیاهان دارویی</x:v>
      </x:c>
      <x:c r="Q39" s="79" t="str">
        <x:v>6a3782d7df5573f4e676e243</x:v>
      </x:c>
      <x:c r="R39" s="79" t="str">
        <x:v>کیلو</x:v>
      </x:c>
      <x:c r="S39" s="79" t="n">
        <x:v>4500000</x:v>
      </x:c>
      <x:c r="T39" s="79"/>
      <x:c r="U39" s="79"/>
    </x:row>
    <x:row r="40">
      <x:c r="A40" s="79" t="n">
        <x:v>42</x:v>
      </x:c>
      <x:c r="B40" s="79" t="str">
        <x:v>NS-0039-1</x:v>
      </x:c>
      <x:c r="C40" s="79" t="str">
        <x:v>آویشن کوهی</x:v>
      </x:c>
      <x:c r="D40" s="79" t="str">
        <x:v>آویشن کوهی</x:v>
      </x:c>
      <x:c r="E40" s="79" t="str">
        <x:v>single_42</x:v>
      </x:c>
      <x:c r="F40" s="79"/>
      <x:c r="G40" s="79" t="str">
        <x:v>canonical_group_row</x:v>
      </x:c>
      <x:c r="H40" s="79" t="str">
        <x:v>گیاهان دارویی</x:v>
      </x:c>
      <x:c r="I40" s="79" t="str">
        <x:v>6a3782d7df5573f4e676e243</x:v>
      </x:c>
      <x:c r="J40" s="79" t="str">
        <x:v>medicinal-plants</x:v>
      </x:c>
      <x:c r="K40" s="79" t="str">
        <x:v>EDIBLE</x:v>
      </x:c>
      <x:c r="L40" s="79" t="str">
        <x:v>بله</x:v>
      </x:c>
      <x:c r="M40" s="79" t="str">
        <x:v>OK</x:v>
      </x:c>
      <x:c r="N40" s="79"/>
      <x:c r="O40" s="79" t="str">
        <x:v>بله</x:v>
      </x:c>
      <x:c r="P40" s="79" t="str">
        <x:v>گیاهان دارویی</x:v>
      </x:c>
      <x:c r="Q40" s="79" t="str">
        <x:v>6a3782d7df5573f4e676e243</x:v>
      </x:c>
      <x:c r="R40" s="79" t="str">
        <x:v>کیلو</x:v>
      </x:c>
      <x:c r="S40" s="79" t="n">
        <x:v>3900000</x:v>
      </x:c>
      <x:c r="T40" s="79"/>
      <x:c r="U40" s="79"/>
    </x:row>
    <x:row r="41">
      <x:c r="A41" s="79" t="n">
        <x:v>43</x:v>
      </x:c>
      <x:c r="B41" s="79" t="str">
        <x:v>NS-0040-1</x:v>
      </x:c>
      <x:c r="C41" s="79" t="str">
        <x:v>بابونه</x:v>
      </x:c>
      <x:c r="D41" s="79" t="str">
        <x:v>بابونه</x:v>
      </x:c>
      <x:c r="E41" s="79" t="str">
        <x:v>single_43</x:v>
      </x:c>
      <x:c r="F41" s="79"/>
      <x:c r="G41" s="79" t="str">
        <x:v>canonical_group_row</x:v>
      </x:c>
      <x:c r="H41" s="79" t="str">
        <x:v>گیاهان دارویی</x:v>
      </x:c>
      <x:c r="I41" s="79" t="str">
        <x:v>6a3782d7df5573f4e676e243</x:v>
      </x:c>
      <x:c r="J41" s="79" t="str">
        <x:v>medicinal-plants</x:v>
      </x:c>
      <x:c r="K41" s="79" t="str">
        <x:v>EDIBLE</x:v>
      </x:c>
      <x:c r="L41" s="79" t="str">
        <x:v>بله</x:v>
      </x:c>
      <x:c r="M41" s="79" t="str">
        <x:v>OK</x:v>
      </x:c>
      <x:c r="N41" s="79"/>
      <x:c r="O41" s="79" t="str">
        <x:v>بله</x:v>
      </x:c>
      <x:c r="P41" s="79" t="str">
        <x:v>گیاهان دارویی</x:v>
      </x:c>
      <x:c r="Q41" s="79" t="str">
        <x:v>6a3782d7df5573f4e676e243</x:v>
      </x:c>
      <x:c r="R41" s="79" t="str">
        <x:v>کیلو</x:v>
      </x:c>
      <x:c r="S41" s="79" t="n">
        <x:v>1800000</x:v>
      </x:c>
      <x:c r="T41" s="79"/>
      <x:c r="U41" s="79"/>
    </x:row>
    <x:row r="42">
      <x:c r="A42" s="79" t="n">
        <x:v>44</x:v>
      </x:c>
      <x:c r="B42" s="79" t="str">
        <x:v>NS-0041-1</x:v>
      </x:c>
      <x:c r="C42" s="79" t="str">
        <x:v>بادام زمینی</x:v>
      </x:c>
      <x:c r="D42" s="79" t="str">
        <x:v>بادام زمینی</x:v>
      </x:c>
      <x:c r="E42" s="79" t="str">
        <x:v>grp_peanut</x:v>
      </x:c>
      <x:c r="F42" s="79" t="str">
        <x:v>معمولی</x:v>
      </x:c>
      <x:c r="G42" s="79" t="str">
        <x:v>canonical_group_row</x:v>
      </x:c>
      <x:c r="H42" s="79" t="str">
        <x:v>خشکبار و آجیل</x:v>
      </x:c>
      <x:c r="I42" s="79" t="str">
        <x:v>6a37810ddf5573f4e676e201</x:v>
      </x:c>
      <x:c r="J42" s="79" t="str">
        <x:v>dried-fruits-nuts</x:v>
      </x:c>
      <x:c r="K42" s="79" t="str">
        <x:v>EDIBLE</x:v>
      </x:c>
      <x:c r="L42" s="79" t="str">
        <x:v>بله</x:v>
      </x:c>
      <x:c r="M42" s="79" t="str">
        <x:v>MERGED</x:v>
      </x:c>
      <x:c r="N42" s="79"/>
      <x:c r="O42" s="79" t="str">
        <x:v>بله</x:v>
      </x:c>
      <x:c r="P42" s="79" t="str">
        <x:v>خشکبار و آجیل</x:v>
      </x:c>
      <x:c r="Q42" s="79" t="str">
        <x:v>6a37810ddf5573f4e676e201</x:v>
      </x:c>
      <x:c r="R42" s="79" t="str">
        <x:v>کیلو</x:v>
      </x:c>
      <x:c r="S42" s="79" t="n">
        <x:v>660000</x:v>
      </x:c>
      <x:c r="T42" s="79"/>
      <x:c r="U42" s="79"/>
    </x:row>
    <x:row r="43">
      <x:c r="A43" s="79" t="n">
        <x:v>45</x:v>
      </x:c>
      <x:c r="B43" s="79" t="str">
        <x:v>NS-0042-1</x:v>
      </x:c>
      <x:c r="C43" s="79" t="str">
        <x:v>بادام زمینی آستانه</x:v>
      </x:c>
      <x:c r="D43" s="79" t="str">
        <x:v>بادام زمینی</x:v>
      </x:c>
      <x:c r="E43" s="79" t="str">
        <x:v>grp_peanut</x:v>
      </x:c>
      <x:c r="F43" s="79" t="str">
        <x:v>آستانه</x:v>
      </x:c>
      <x:c r="G43" s="79" t="str">
        <x:v>merge_into_canonical_group</x:v>
      </x:c>
      <x:c r="H43" s="79" t="str">
        <x:v>خشکبار و آجیل</x:v>
      </x:c>
      <x:c r="I43" s="79" t="str">
        <x:v>6a37810ddf5573f4e676e201</x:v>
      </x:c>
      <x:c r="J43" s="79" t="str">
        <x:v>dried-fruits-nuts</x:v>
      </x:c>
      <x:c r="K43" s="79" t="str">
        <x:v>EDIBLE</x:v>
      </x:c>
      <x:c r="L43" s="79" t="str">
        <x:v>بله</x:v>
      </x:c>
      <x:c r="M43" s="79" t="str">
        <x:v>MERGED + MISSING_PRICE_REVIEW</x:v>
      </x:c>
      <x:c r="N43" s="79" t="str">
        <x:v>یک یا چند قیمت نامشخص است</x:v>
      </x:c>
      <x:c r="O43" s="79" t="str">
        <x:v>بله</x:v>
      </x:c>
      <x:c r="P43" s="79" t="str">
        <x:v>خشکبار و آجیل</x:v>
      </x:c>
      <x:c r="Q43" s="79" t="str">
        <x:v>6a37810ddf5573f4e676e201</x:v>
      </x:c>
      <x:c r="R43" s="79" t="str">
        <x:v>کیلو</x:v>
      </x:c>
      <x:c r="S43" s="79"/>
      <x:c r="T43" s="79"/>
      <x:c r="U43" s="79"/>
    </x:row>
    <x:row r="44">
      <x:c r="A44" s="79" t="n">
        <x:v>46</x:v>
      </x:c>
      <x:c r="B44" s="79" t="str">
        <x:v>NS-0043-1</x:v>
      </x:c>
      <x:c r="C44" s="79" t="str">
        <x:v>بادرنجبویه</x:v>
      </x:c>
      <x:c r="D44" s="79" t="str">
        <x:v>بادرنجبویه</x:v>
      </x:c>
      <x:c r="E44" s="79" t="str">
        <x:v>single_46</x:v>
      </x:c>
      <x:c r="F44" s="79"/>
      <x:c r="G44" s="79" t="str">
        <x:v>canonical_group_row</x:v>
      </x:c>
      <x:c r="H44" s="79" t="str">
        <x:v>گیاهان دارویی</x:v>
      </x:c>
      <x:c r="I44" s="79" t="str">
        <x:v>6a3782d7df5573f4e676e243</x:v>
      </x:c>
      <x:c r="J44" s="79" t="str">
        <x:v>medicinal-plants</x:v>
      </x:c>
      <x:c r="K44" s="79" t="str">
        <x:v>EDIBLE</x:v>
      </x:c>
      <x:c r="L44" s="79" t="str">
        <x:v>بله</x:v>
      </x:c>
      <x:c r="M44" s="79" t="str">
        <x:v>OK</x:v>
      </x:c>
      <x:c r="N44" s="79"/>
      <x:c r="O44" s="79" t="str">
        <x:v>بله</x:v>
      </x:c>
      <x:c r="P44" s="79" t="str">
        <x:v>گیاهان دارویی</x:v>
      </x:c>
      <x:c r="Q44" s="79" t="str">
        <x:v>6a3782d7df5573f4e676e243</x:v>
      </x:c>
      <x:c r="R44" s="79" t="str">
        <x:v>کیلو</x:v>
      </x:c>
      <x:c r="S44" s="79" t="n">
        <x:v>2900000</x:v>
      </x:c>
      <x:c r="T44" s="79"/>
      <x:c r="U44" s="79"/>
    </x:row>
    <x:row r="45">
      <x:c r="A45" s="79" t="n">
        <x:v>47</x:v>
      </x:c>
      <x:c r="B45" s="79" t="str">
        <x:v>NS-0044-1</x:v>
      </x:c>
      <x:c r="C45" s="79" t="str">
        <x:v>بادیان ستاره ای</x:v>
      </x:c>
      <x:c r="D45" s="79" t="str">
        <x:v>بادیان ستاره ای</x:v>
      </x:c>
      <x:c r="E45" s="79" t="str">
        <x:v>single_47</x:v>
      </x:c>
      <x:c r="F45" s="79"/>
      <x:c r="G45" s="79" t="str">
        <x:v>canonical_group_row</x:v>
      </x:c>
      <x:c r="H45" s="79" t="str">
        <x:v>گیاهان دارویی</x:v>
      </x:c>
      <x:c r="I45" s="79" t="str">
        <x:v>6a3782d7df5573f4e676e243</x:v>
      </x:c>
      <x:c r="J45" s="79" t="str">
        <x:v>medicinal-plants</x:v>
      </x:c>
      <x:c r="K45" s="79" t="str">
        <x:v>EDIBLE</x:v>
      </x:c>
      <x:c r="L45" s="79" t="str">
        <x:v>بله</x:v>
      </x:c>
      <x:c r="M45" s="79" t="str">
        <x:v>OK</x:v>
      </x:c>
      <x:c r="N45" s="79"/>
      <x:c r="O45" s="79" t="str">
        <x:v>بله</x:v>
      </x:c>
      <x:c r="P45" s="79" t="str">
        <x:v>گیاهان دارویی</x:v>
      </x:c>
      <x:c r="Q45" s="79" t="str">
        <x:v>6a3782d7df5573f4e676e243</x:v>
      </x:c>
      <x:c r="R45" s="79" t="str">
        <x:v>کیلو</x:v>
      </x:c>
      <x:c r="S45" s="79" t="n">
        <x:v>1950000</x:v>
      </x:c>
      <x:c r="T45" s="79"/>
      <x:c r="U45" s="79"/>
    </x:row>
    <x:row r="46">
      <x:c r="A46" s="79" t="n">
        <x:v>48</x:v>
      </x:c>
      <x:c r="B46" s="79" t="str">
        <x:v>NS-0045-1</x:v>
      </x:c>
      <x:c r="C46" s="79" t="str">
        <x:v>بارهنگ</x:v>
      </x:c>
      <x:c r="D46" s="79" t="str">
        <x:v>بارهنگ</x:v>
      </x:c>
      <x:c r="E46" s="79" t="str">
        <x:v>single_48</x:v>
      </x:c>
      <x:c r="F46" s="79"/>
      <x:c r="G46" s="79" t="str">
        <x:v>canonical_group_row</x:v>
      </x:c>
      <x:c r="H46" s="79" t="str">
        <x:v>گیاهان دارویی</x:v>
      </x:c>
      <x:c r="I46" s="79" t="str">
        <x:v>6a3782d7df5573f4e676e243</x:v>
      </x:c>
      <x:c r="J46" s="79" t="str">
        <x:v>medicinal-plants</x:v>
      </x:c>
      <x:c r="K46" s="79" t="str">
        <x:v>EDIBLE</x:v>
      </x:c>
      <x:c r="L46" s="79" t="str">
        <x:v>بله</x:v>
      </x:c>
      <x:c r="M46" s="79" t="str">
        <x:v>OK</x:v>
      </x:c>
      <x:c r="N46" s="79"/>
      <x:c r="O46" s="79" t="str">
        <x:v>بله</x:v>
      </x:c>
      <x:c r="P46" s="79" t="str">
        <x:v>گیاهان دارویی</x:v>
      </x:c>
      <x:c r="Q46" s="79" t="str">
        <x:v>6a3782d7df5573f4e676e243</x:v>
      </x:c>
      <x:c r="R46" s="79" t="str">
        <x:v>کیلو</x:v>
      </x:c>
      <x:c r="S46" s="79" t="n">
        <x:v>890000</x:v>
      </x:c>
      <x:c r="T46" s="79"/>
      <x:c r="U46" s="79"/>
    </x:row>
    <x:row r="47">
      <x:c r="A47" s="79" t="n">
        <x:v>49</x:v>
      </x:c>
      <x:c r="B47" s="79" t="str">
        <x:v>NS-0046-1</x:v>
      </x:c>
      <x:c r="C47" s="79" t="str">
        <x:v>باقلا خشک</x:v>
      </x:c>
      <x:c r="D47" s="79" t="str">
        <x:v>باقلا خشک</x:v>
      </x:c>
      <x:c r="E47" s="79" t="str">
        <x:v>single_49</x:v>
      </x:c>
      <x:c r="F47" s="79"/>
      <x:c r="G47" s="79" t="str">
        <x:v>canonical_group_row</x:v>
      </x:c>
      <x:c r="H47" s="79" t="str">
        <x:v>حبوبات و غلات</x:v>
      </x:c>
      <x:c r="I47" s="79" t="str">
        <x:v>6a3a00000000000000000002</x:v>
      </x:c>
      <x:c r="J47" s="79" t="str">
        <x:v>legumes-grains</x:v>
      </x:c>
      <x:c r="K47" s="79" t="str">
        <x:v>EDIBLE</x:v>
      </x:c>
      <x:c r="L47" s="79" t="str">
        <x:v>بله</x:v>
      </x:c>
      <x:c r="M47" s="79" t="str">
        <x:v>OK</x:v>
      </x:c>
      <x:c r="N47" s="79"/>
      <x:c r="O47" s="79" t="str">
        <x:v>بله</x:v>
      </x:c>
      <x:c r="P47" s="79" t="str">
        <x:v>حبوبات و غلات</x:v>
      </x:c>
      <x:c r="Q47" s="79" t="str">
        <x:v>6a3a00000000000000000002</x:v>
      </x:c>
      <x:c r="R47" s="79" t="str">
        <x:v>کیلو</x:v>
      </x:c>
      <x:c r="S47" s="79" t="n">
        <x:v>140000</x:v>
      </x:c>
      <x:c r="T47" s="79"/>
      <x:c r="U47" s="79"/>
    </x:row>
    <x:row r="48">
      <x:c r="A48" s="79" t="n">
        <x:v>50</x:v>
      </x:c>
      <x:c r="B48" s="79" t="str">
        <x:v>NS-0047-1</x:v>
      </x:c>
      <x:c r="C48" s="79" t="str">
        <x:v>بامیه پودر</x:v>
      </x:c>
      <x:c r="D48" s="79" t="str">
        <x:v>بامیه پودر</x:v>
      </x:c>
      <x:c r="E48" s="79" t="str">
        <x:v>single_50</x:v>
      </x:c>
      <x:c r="F48" s="79"/>
      <x:c r="G48" s="79" t="str">
        <x:v>canonical_group_row</x:v>
      </x:c>
      <x:c r="H48" s="79" t="str">
        <x:v>گیاهان دارویی</x:v>
      </x:c>
      <x:c r="I48" s="79" t="str">
        <x:v>6a3782d7df5573f4e676e243</x:v>
      </x:c>
      <x:c r="J48" s="79" t="str">
        <x:v>medicinal-plants</x:v>
      </x:c>
      <x:c r="K48" s="79" t="str">
        <x:v>EDIBLE</x:v>
      </x:c>
      <x:c r="L48" s="79" t="str">
        <x:v>بله</x:v>
      </x:c>
      <x:c r="M48" s="79" t="str">
        <x:v>OK</x:v>
      </x:c>
      <x:c r="N48" s="79" t="str">
        <x:v>دسته از «نیاز به بررسی» به «گیاهان دارویی» اصلاح شد</x:v>
      </x:c>
      <x:c r="O48" s="79" t="str">
        <x:v>بله</x:v>
      </x:c>
      <x:c r="P48" s="79" t="str">
        <x:v>نیاز به بررسی</x:v>
      </x:c>
      <x:c r="Q48" s="79"/>
      <x:c r="R48" s="79" t="str">
        <x:v>کیلو</x:v>
      </x:c>
      <x:c r="S48" s="79" t="n">
        <x:v>1250000</x:v>
      </x:c>
      <x:c r="T48" s="79"/>
      <x:c r="U48" s="79"/>
    </x:row>
    <x:row r="49">
      <x:c r="A49" s="79" t="n">
        <x:v>51</x:v>
      </x:c>
      <x:c r="B49" s="79" t="str">
        <x:v>NS-0048-1</x:v>
      </x:c>
      <x:c r="C49" s="79" t="str">
        <x:v>برگ بو</x:v>
      </x:c>
      <x:c r="D49" s="79" t="str">
        <x:v>برگ بو</x:v>
      </x:c>
      <x:c r="E49" s="79" t="str">
        <x:v>single_51</x:v>
      </x:c>
      <x:c r="F49" s="79"/>
      <x:c r="G49" s="79" t="str">
        <x:v>canonical_group_row</x:v>
      </x:c>
      <x:c r="H49" s="79" t="str">
        <x:v>گیاهان دارویی</x:v>
      </x:c>
      <x:c r="I49" s="79" t="str">
        <x:v>6a3782d7df5573f4e676e243</x:v>
      </x:c>
      <x:c r="J49" s="79" t="str">
        <x:v>medicinal-plants</x:v>
      </x:c>
      <x:c r="K49" s="79" t="str">
        <x:v>EDIBLE</x:v>
      </x:c>
      <x:c r="L49" s="79" t="str">
        <x:v>بله</x:v>
      </x:c>
      <x:c r="M49" s="79" t="str">
        <x:v>OK</x:v>
      </x:c>
      <x:c r="N49" s="79"/>
      <x:c r="O49" s="79" t="str">
        <x:v>بله</x:v>
      </x:c>
      <x:c r="P49" s="79" t="str">
        <x:v>گیاهان دارویی</x:v>
      </x:c>
      <x:c r="Q49" s="79" t="str">
        <x:v>6a3782d7df5573f4e676e243</x:v>
      </x:c>
      <x:c r="R49" s="79" t="str">
        <x:v>کیلو</x:v>
      </x:c>
      <x:c r="S49" s="79" t="n">
        <x:v>1500000</x:v>
      </x:c>
      <x:c r="T49" s="79"/>
      <x:c r="U49" s="79"/>
    </x:row>
    <x:row r="50">
      <x:c r="A50" s="79" t="n">
        <x:v>52</x:v>
      </x:c>
      <x:c r="B50" s="79" t="str">
        <x:v>NS-0049-1</x:v>
      </x:c>
      <x:c r="C50" s="79" t="str">
        <x:v>بکینگ پودر</x:v>
      </x:c>
      <x:c r="D50" s="79" t="str">
        <x:v>بکینگ پودر</x:v>
      </x:c>
      <x:c r="E50" s="79" t="str">
        <x:v>single_52</x:v>
      </x:c>
      <x:c r="F50" s="79"/>
      <x:c r="G50" s="79" t="str">
        <x:v>canonical_group_row</x:v>
      </x:c>
      <x:c r="H50" s="79" t="str">
        <x:v>آرد و قنادی</x:v>
      </x:c>
      <x:c r="I50" s="79" t="str">
        <x:v>6a3a00000000000000000004</x:v>
      </x:c>
      <x:c r="J50" s="79" t="str">
        <x:v>flour-confectionery</x:v>
      </x:c>
      <x:c r="K50" s="79" t="str">
        <x:v>EDIBLE</x:v>
      </x:c>
      <x:c r="L50" s="79" t="str">
        <x:v>بله</x:v>
      </x:c>
      <x:c r="M50" s="79" t="str">
        <x:v>OK</x:v>
      </x:c>
      <x:c r="N50" s="79"/>
      <x:c r="O50" s="79" t="str">
        <x:v>بله</x:v>
      </x:c>
      <x:c r="P50" s="79" t="str">
        <x:v>آرد و قنادی</x:v>
      </x:c>
      <x:c r="Q50" s="79" t="str">
        <x:v>6a3a00000000000000000004</x:v>
      </x:c>
      <x:c r="R50" s="79" t="str">
        <x:v>کیلو</x:v>
      </x:c>
      <x:c r="S50" s="79" t="n">
        <x:v>610000</x:v>
      </x:c>
      <x:c r="T50" s="79"/>
      <x:c r="U50" s="79"/>
    </x:row>
    <x:row r="51">
      <x:c r="A51" s="79" t="n">
        <x:v>53</x:v>
      </x:c>
      <x:c r="B51" s="79" t="str">
        <x:v>NS-0050-1</x:v>
      </x:c>
      <x:c r="C51" s="79" t="str">
        <x:v>بلوط</x:v>
      </x:c>
      <x:c r="D51" s="79" t="str">
        <x:v>بلوط</x:v>
      </x:c>
      <x:c r="E51" s="79" t="str">
        <x:v>single_53</x:v>
      </x:c>
      <x:c r="F51" s="79"/>
      <x:c r="G51" s="79" t="str">
        <x:v>canonical_group_row</x:v>
      </x:c>
      <x:c r="H51" s="79" t="str">
        <x:v>خشکبار و آجیل</x:v>
      </x:c>
      <x:c r="I51" s="79" t="str">
        <x:v>6a37810ddf5573f4e676e201</x:v>
      </x:c>
      <x:c r="J51" s="79" t="str">
        <x:v>dried-fruits-nuts</x:v>
      </x:c>
      <x:c r="K51" s="79" t="str">
        <x:v>EDIBLE</x:v>
      </x:c>
      <x:c r="L51" s="79" t="str">
        <x:v>بله</x:v>
      </x:c>
      <x:c r="M51" s="79" t="str">
        <x:v>OK</x:v>
      </x:c>
      <x:c r="N51" s="79" t="str">
        <x:v>دسته از «نیاز به بررسی» به «خشکبار و آجیل» اصلاح شد</x:v>
      </x:c>
      <x:c r="O51" s="79" t="str">
        <x:v>بله</x:v>
      </x:c>
      <x:c r="P51" s="79" t="str">
        <x:v>نیاز به بررسی</x:v>
      </x:c>
      <x:c r="Q51" s="79"/>
      <x:c r="R51" s="79" t="str">
        <x:v>کیلو</x:v>
      </x:c>
      <x:c r="S51" s="79" t="n">
        <x:v>800000</x:v>
      </x:c>
      <x:c r="T51" s="79"/>
      <x:c r="U51" s="79"/>
    </x:row>
    <x:row r="52">
      <x:c r="A52" s="79" t="n">
        <x:v>54</x:v>
      </x:c>
      <x:c r="B52" s="79" t="str">
        <x:v>NS-0051-1</x:v>
      </x:c>
      <x:c r="C52" s="79" t="str">
        <x:v>به خشک</x:v>
      </x:c>
      <x:c r="D52" s="79" t="str">
        <x:v>به خشک</x:v>
      </x:c>
      <x:c r="E52" s="79" t="str">
        <x:v>single_54</x:v>
      </x:c>
      <x:c r="F52" s="79"/>
      <x:c r="G52" s="79" t="str">
        <x:v>canonical_group_row</x:v>
      </x:c>
      <x:c r="H52" s="79" t="str">
        <x:v>گیاهان دارویی</x:v>
      </x:c>
      <x:c r="I52" s="79" t="str">
        <x:v>6a3782d7df5573f4e676e243</x:v>
      </x:c>
      <x:c r="J52" s="79" t="str">
        <x:v>medicinal-plants</x:v>
      </x:c>
      <x:c r="K52" s="79" t="str">
        <x:v>EDIBLE</x:v>
      </x:c>
      <x:c r="L52" s="79" t="str">
        <x:v>بله</x:v>
      </x:c>
      <x:c r="M52" s="79" t="str">
        <x:v>OK</x:v>
      </x:c>
      <x:c r="N52" s="79"/>
      <x:c r="O52" s="79" t="str">
        <x:v>بله</x:v>
      </x:c>
      <x:c r="P52" s="79" t="str">
        <x:v>گیاهان دارویی</x:v>
      </x:c>
      <x:c r="Q52" s="79" t="str">
        <x:v>6a3782d7df5573f4e676e243</x:v>
      </x:c>
      <x:c r="R52" s="79" t="str">
        <x:v>کیلو</x:v>
      </x:c>
      <x:c r="S52" s="79" t="n">
        <x:v>650000</x:v>
      </x:c>
      <x:c r="T52" s="79"/>
      <x:c r="U52" s="79"/>
    </x:row>
    <x:row r="53">
      <x:c r="A53" s="79" t="n">
        <x:v>55</x:v>
      </x:c>
      <x:c r="B53" s="79" t="str">
        <x:v>NS-0052-1</x:v>
      </x:c>
      <x:c r="C53" s="79" t="str">
        <x:v>پاپریکا</x:v>
      </x:c>
      <x:c r="D53" s="79" t="str">
        <x:v>پاپریکا</x:v>
      </x:c>
      <x:c r="E53" s="79" t="str">
        <x:v>single_55</x:v>
      </x:c>
      <x:c r="F53" s="79"/>
      <x:c r="G53" s="79" t="str">
        <x:v>canonical_group_row</x:v>
      </x:c>
      <x:c r="H53" s="79" t="str">
        <x:v>ادویه</x:v>
      </x:c>
      <x:c r="I53" s="79" t="str">
        <x:v>6a3781e4df5573f4e676e226</x:v>
      </x:c>
      <x:c r="J53" s="79" t="str">
        <x:v>spice</x:v>
      </x:c>
      <x:c r="K53" s="79" t="str">
        <x:v>EDIBLE</x:v>
      </x:c>
      <x:c r="L53" s="79" t="str">
        <x:v>بله</x:v>
      </x:c>
      <x:c r="M53" s="79" t="str">
        <x:v>OK</x:v>
      </x:c>
      <x:c r="N53" s="79"/>
      <x:c r="O53" s="79" t="str">
        <x:v>بله</x:v>
      </x:c>
      <x:c r="P53" s="79" t="str">
        <x:v>ادویه</x:v>
      </x:c>
      <x:c r="Q53" s="79" t="str">
        <x:v>6a3781e4df5573f4e676e226</x:v>
      </x:c>
      <x:c r="R53" s="79" t="str">
        <x:v>کیلو</x:v>
      </x:c>
      <x:c r="S53" s="79" t="n">
        <x:v>990000</x:v>
      </x:c>
      <x:c r="T53" s="79"/>
      <x:c r="U53" s="79"/>
    </x:row>
    <x:row r="54">
      <x:c r="A54" s="79" t="n">
        <x:v>56</x:v>
      </x:c>
      <x:c r="B54" s="79" t="str">
        <x:v>NS-0053-1</x:v>
      </x:c>
      <x:c r="C54" s="79" t="str">
        <x:v>پاکت</x:v>
      </x:c>
      <x:c r="D54" s="79" t="str">
        <x:v>پاکت</x:v>
      </x:c>
      <x:c r="E54" s="79" t="str">
        <x:v>single_56</x:v>
      </x:c>
      <x:c r="F54" s="79"/>
      <x:c r="G54" s="79" t="str">
        <x:v>skip_do_not_import</x:v>
      </x:c>
      <x:c r="H54" s="79" t="str">
        <x:v>عدم ایمپورت</x:v>
      </x:c>
      <x:c r="I54" s="79"/>
      <x:c r="J54" s="79" t="str">
        <x:v>SKIP</x:v>
      </x:c>
      <x:c r="K54" s="79" t="str">
        <x:v>NON_PRODUCT</x:v>
      </x:c>
      <x:c r="L54" s="79" t="str">
        <x:v>خیر</x:v>
      </x:c>
      <x:c r="M54" s="79" t="str">
        <x:v>SKIP_NON_PRODUCT</x:v>
      </x:c>
      <x:c r="N54" s="79" t="str">
        <x:v>ملزومات/ظرف/ابزار است و چون دسته «ملزومات» حذف شده، برای سایت ایمپورت نشود.</x:v>
      </x:c>
      <x:c r="O54" s="79" t="str">
        <x:v>بله</x:v>
      </x:c>
      <x:c r="P54" s="79" t="str">
        <x:v>نیاز به بررسی</x:v>
      </x:c>
      <x:c r="Q54" s="79"/>
      <x:c r="R54" s="79" t="str">
        <x:v>کیلویی</x:v>
      </x:c>
      <x:c r="S54" s="79" t="n">
        <x:v>700000</x:v>
      </x:c>
      <x:c r="T54" s="79"/>
      <x:c r="U54" s="79"/>
    </x:row>
    <x:row r="55">
      <x:c r="A55" s="79" t="n">
        <x:v>57</x:v>
      </x:c>
      <x:c r="B55" s="79" t="str">
        <x:v>NS-0054-1</x:v>
      </x:c>
      <x:c r="C55" s="79" t="str">
        <x:v>پماد سرد</x:v>
      </x:c>
      <x:c r="D55" s="79" t="str">
        <x:v>پماد سرد</x:v>
      </x:c>
      <x:c r="E55" s="79" t="str">
        <x:v>single_57</x:v>
      </x:c>
      <x:c r="F55" s="79"/>
      <x:c r="G55" s="79" t="str">
        <x:v>canonical_group_row</x:v>
      </x:c>
      <x:c r="H55" s="79" t="str">
        <x:v>گیاهان دارویی</x:v>
      </x:c>
      <x:c r="I55" s="79" t="str">
        <x:v>6a3782d7df5573f4e676e243</x:v>
      </x:c>
      <x:c r="J55" s="79" t="str">
        <x:v>medicinal-plants</x:v>
      </x:c>
      <x:c r="K55" s="79" t="str">
        <x:v>TOPICAL</x:v>
      </x:c>
      <x:c r="L55" s="79" t="str">
        <x:v>خیر</x:v>
      </x:c>
      <x:c r="M55" s="79" t="str">
        <x:v>OK</x:v>
      </x:c>
      <x:c r="N55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55" s="79" t="str">
        <x:v>بله</x:v>
      </x:c>
      <x:c r="P55" s="79" t="str">
        <x:v>نیاز به بررسی</x:v>
      </x:c>
      <x:c r="Q55" s="79"/>
      <x:c r="R55" s="79" t="str">
        <x:v>10 گرمی</x:v>
      </x:c>
      <x:c r="S55" s="79" t="n">
        <x:v>250000</x:v>
      </x:c>
      <x:c r="T55" s="79" t="str">
        <x:v>20 گرمی</x:v>
      </x:c>
      <x:c r="U55" s="79" t="n">
        <x:v>360000</x:v>
      </x:c>
    </x:row>
    <x:row r="56">
      <x:c r="A56" s="79" t="n">
        <x:v>58</x:v>
      </x:c>
      <x:c r="B56" s="79" t="str">
        <x:v>NS-0055-1</x:v>
      </x:c>
      <x:c r="C56" s="79" t="str">
        <x:v>پماد سیاه</x:v>
      </x:c>
      <x:c r="D56" s="79" t="str">
        <x:v>پماد سیاه</x:v>
      </x:c>
      <x:c r="E56" s="79" t="str">
        <x:v>single_58</x:v>
      </x:c>
      <x:c r="F56" s="79"/>
      <x:c r="G56" s="79" t="str">
        <x:v>canonical_group_row</x:v>
      </x:c>
      <x:c r="H56" s="79" t="str">
        <x:v>گیاهان دارویی</x:v>
      </x:c>
      <x:c r="I56" s="79" t="str">
        <x:v>6a3782d7df5573f4e676e243</x:v>
      </x:c>
      <x:c r="J56" s="79" t="str">
        <x:v>medicinal-plants</x:v>
      </x:c>
      <x:c r="K56" s="79" t="str">
        <x:v>TOPICAL</x:v>
      </x:c>
      <x:c r="L56" s="79" t="str">
        <x:v>خیر</x:v>
      </x:c>
      <x:c r="M56" s="79" t="str">
        <x:v>OK</x:v>
      </x:c>
      <x:c r="N56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56" s="79" t="str">
        <x:v>بله</x:v>
      </x:c>
      <x:c r="P56" s="79" t="str">
        <x:v>نیاز به بررسی</x:v>
      </x:c>
      <x:c r="Q56" s="79"/>
      <x:c r="R56" s="79" t="str">
        <x:v>کیلو</x:v>
      </x:c>
      <x:c r="S56" s="79" t="n">
        <x:v>120000</x:v>
      </x:c>
      <x:c r="T56" s="79"/>
      <x:c r="U56" s="79"/>
    </x:row>
    <x:row r="57">
      <x:c r="A57" s="79" t="n">
        <x:v>59</x:v>
      </x:c>
      <x:c r="B57" s="79" t="str">
        <x:v>NS-0056-1</x:v>
      </x:c>
      <x:c r="C57" s="79" t="str">
        <x:v>پماد گرم</x:v>
      </x:c>
      <x:c r="D57" s="79" t="str">
        <x:v>پماد گرم</x:v>
      </x:c>
      <x:c r="E57" s="79" t="str">
        <x:v>single_59</x:v>
      </x:c>
      <x:c r="F57" s="79"/>
      <x:c r="G57" s="79" t="str">
        <x:v>canonical_group_row</x:v>
      </x:c>
      <x:c r="H57" s="79" t="str">
        <x:v>گیاهان دارویی</x:v>
      </x:c>
      <x:c r="I57" s="79" t="str">
        <x:v>6a3782d7df5573f4e676e243</x:v>
      </x:c>
      <x:c r="J57" s="79" t="str">
        <x:v>medicinal-plants</x:v>
      </x:c>
      <x:c r="K57" s="79" t="str">
        <x:v>TOPICAL</x:v>
      </x:c>
      <x:c r="L57" s="79" t="str">
        <x:v>خیر</x:v>
      </x:c>
      <x:c r="M57" s="79" t="str">
        <x:v>OK</x:v>
      </x:c>
      <x:c r="N57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57" s="79" t="str">
        <x:v>بله</x:v>
      </x:c>
      <x:c r="P57" s="79" t="str">
        <x:v>نیاز به بررسی</x:v>
      </x:c>
      <x:c r="Q57" s="79"/>
      <x:c r="R57" s="79" t="str">
        <x:v>10 گرمی</x:v>
      </x:c>
      <x:c r="S57" s="79" t="n">
        <x:v>250000</x:v>
      </x:c>
      <x:c r="T57" s="79" t="str">
        <x:v>20 گرمی</x:v>
      </x:c>
      <x:c r="U57" s="79" t="n">
        <x:v>360000</x:v>
      </x:c>
    </x:row>
    <x:row r="58">
      <x:c r="A58" s="79" t="n">
        <x:v>60</x:v>
      </x:c>
      <x:c r="B58" s="79" t="str">
        <x:v>NS-0057-1</x:v>
      </x:c>
      <x:c r="C58" s="79" t="str">
        <x:v>پماد لطیف</x:v>
      </x:c>
      <x:c r="D58" s="79" t="str">
        <x:v>پماد لطیف</x:v>
      </x:c>
      <x:c r="E58" s="79" t="str">
        <x:v>single_60</x:v>
      </x:c>
      <x:c r="F58" s="79"/>
      <x:c r="G58" s="79" t="str">
        <x:v>canonical_group_row</x:v>
      </x:c>
      <x:c r="H58" s="79" t="str">
        <x:v>گیاهان دارویی</x:v>
      </x:c>
      <x:c r="I58" s="79" t="str">
        <x:v>6a3782d7df5573f4e676e243</x:v>
      </x:c>
      <x:c r="J58" s="79" t="str">
        <x:v>medicinal-plants</x:v>
      </x:c>
      <x:c r="K58" s="79" t="str">
        <x:v>TOPICAL</x:v>
      </x:c>
      <x:c r="L58" s="79" t="str">
        <x:v>خیر</x:v>
      </x:c>
      <x:c r="M58" s="79" t="str">
        <x:v>OK</x:v>
      </x:c>
      <x:c r="N5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58" s="79" t="str">
        <x:v>بله</x:v>
      </x:c>
      <x:c r="P58" s="79" t="str">
        <x:v>نیاز به بررسی</x:v>
      </x:c>
      <x:c r="Q58" s="79"/>
      <x:c r="R58" s="79" t="str">
        <x:v>20 گرمی</x:v>
      </x:c>
      <x:c r="S58" s="79" t="n">
        <x:v>250000</x:v>
      </x:c>
      <x:c r="T58" s="79" t="str">
        <x:v>30 گرمی</x:v>
      </x:c>
      <x:c r="U58" s="79" t="n">
        <x:v>360000</x:v>
      </x:c>
    </x:row>
    <x:row r="59">
      <x:c r="A59" s="79" t="n">
        <x:v>61</x:v>
      </x:c>
      <x:c r="B59" s="79" t="str">
        <x:v>NS-0058-1</x:v>
      </x:c>
      <x:c r="C59" s="79" t="str">
        <x:v>پمادر درد (پماد ویکس)</x:v>
      </x:c>
      <x:c r="D59" s="79" t="str">
        <x:v>پمادر درد (پماد ویکس)</x:v>
      </x:c>
      <x:c r="E59" s="79" t="str">
        <x:v>single_61</x:v>
      </x:c>
      <x:c r="F59" s="79"/>
      <x:c r="G59" s="79" t="str">
        <x:v>canonical_group_row</x:v>
      </x:c>
      <x:c r="H59" s="79" t="str">
        <x:v>گیاهان دارویی</x:v>
      </x:c>
      <x:c r="I59" s="79" t="str">
        <x:v>6a3782d7df5573f4e676e243</x:v>
      </x:c>
      <x:c r="J59" s="79" t="str">
        <x:v>medicinal-plants</x:v>
      </x:c>
      <x:c r="K59" s="79" t="str">
        <x:v>TOPICAL</x:v>
      </x:c>
      <x:c r="L59" s="79" t="str">
        <x:v>خیر</x:v>
      </x:c>
      <x:c r="M59" s="79" t="str">
        <x:v>OK</x:v>
      </x:c>
      <x:c r="N5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59" s="79" t="str">
        <x:v>بله</x:v>
      </x:c>
      <x:c r="P59" s="79" t="str">
        <x:v>نیاز به بررسی</x:v>
      </x:c>
      <x:c r="Q59" s="79"/>
      <x:c r="R59" s="79" t="str">
        <x:v>10 گرمی</x:v>
      </x:c>
      <x:c r="S59" s="79" t="n">
        <x:v>250000</x:v>
      </x:c>
      <x:c r="T59" s="79" t="str">
        <x:v>20 گرمی</x:v>
      </x:c>
      <x:c r="U59" s="79" t="n">
        <x:v>360000</x:v>
      </x:c>
    </x:row>
    <x:row r="60">
      <x:c r="A60" s="79" t="n">
        <x:v>62</x:v>
      </x:c>
      <x:c r="B60" s="79" t="str">
        <x:v>NS-0059-1</x:v>
      </x:c>
      <x:c r="C60" s="79" t="str">
        <x:v>پمادر درد (پماد ویکس) 55 گرمی</x:v>
      </x:c>
      <x:c r="D60" s="79" t="str">
        <x:v>پمادر درد (پماد ویکس) 55 گرمی</x:v>
      </x:c>
      <x:c r="E60" s="79" t="str">
        <x:v>single_62</x:v>
      </x:c>
      <x:c r="F60" s="79"/>
      <x:c r="G60" s="79" t="str">
        <x:v>canonical_group_row</x:v>
      </x:c>
      <x:c r="H60" s="79" t="str">
        <x:v>گیاهان دارویی</x:v>
      </x:c>
      <x:c r="I60" s="79" t="str">
        <x:v>6a3782d7df5573f4e676e243</x:v>
      </x:c>
      <x:c r="J60" s="79" t="str">
        <x:v>medicinal-plants</x:v>
      </x:c>
      <x:c r="K60" s="79" t="str">
        <x:v>TOPICAL</x:v>
      </x:c>
      <x:c r="L60" s="79" t="str">
        <x:v>خیر</x:v>
      </x:c>
      <x:c r="M60" s="79" t="str">
        <x:v>OK</x:v>
      </x:c>
      <x:c r="N6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60" s="79" t="str">
        <x:v>بله</x:v>
      </x:c>
      <x:c r="P60" s="79" t="str">
        <x:v>نیاز به بررسی</x:v>
      </x:c>
      <x:c r="Q60" s="79"/>
      <x:c r="R60" s="79" t="str">
        <x:v>کیلو</x:v>
      </x:c>
      <x:c r="S60" s="79" t="n">
        <x:v>240000</x:v>
      </x:c>
      <x:c r="T60" s="79"/>
      <x:c r="U60" s="79"/>
    </x:row>
    <x:row r="61">
      <x:c r="A61" s="79" t="n">
        <x:v>63</x:v>
      </x:c>
      <x:c r="B61" s="79" t="str">
        <x:v>NS-0060-1</x:v>
      </x:c>
      <x:c r="C61" s="79" t="str">
        <x:v>پودر خربزه</x:v>
      </x:c>
      <x:c r="D61" s="79" t="str">
        <x:v>پودر خربزه</x:v>
      </x:c>
      <x:c r="E61" s="79" t="str">
        <x:v>single_63</x:v>
      </x:c>
      <x:c r="F61" s="79"/>
      <x:c r="G61" s="79" t="str">
        <x:v>canonical_group_row</x:v>
      </x:c>
      <x:c r="H61" s="79" t="str">
        <x:v>گیاهان دارویی</x:v>
      </x:c>
      <x:c r="I61" s="79" t="str">
        <x:v>6a3782d7df5573f4e676e243</x:v>
      </x:c>
      <x:c r="J61" s="79" t="str">
        <x:v>medicinal-plants</x:v>
      </x:c>
      <x:c r="K61" s="79" t="str">
        <x:v>EDIBLE</x:v>
      </x:c>
      <x:c r="L61" s="79" t="str">
        <x:v>بله</x:v>
      </x:c>
      <x:c r="M61" s="79" t="str">
        <x:v>MISSING_PRICE_REVIEW</x:v>
      </x:c>
      <x:c r="N61" s="79" t="str">
        <x:v>دسته از «نیاز به بررسی» به «گیاهان دارویی» اصلاح شد | یک یا چند قیمت نامشخص است</x:v>
      </x:c>
      <x:c r="O61" s="79" t="str">
        <x:v>بله</x:v>
      </x:c>
      <x:c r="P61" s="79" t="str">
        <x:v>نیاز به بررسی</x:v>
      </x:c>
      <x:c r="Q61" s="79"/>
      <x:c r="R61" s="79" t="str">
        <x:v>کیلو</x:v>
      </x:c>
      <x:c r="S61" s="79"/>
      <x:c r="T61" s="79"/>
      <x:c r="U61" s="79"/>
    </x:row>
    <x:row r="62">
      <x:c r="A62" s="79" t="n">
        <x:v>64</x:v>
      </x:c>
      <x:c r="B62" s="79" t="str">
        <x:v>NS-0061-1</x:v>
      </x:c>
      <x:c r="C62" s="79" t="str">
        <x:v>پودر سوخاری دانه درشت نارنجی</x:v>
      </x:c>
      <x:c r="D62" s="79" t="str">
        <x:v>پودر سوخاری دانه درشت نارنجی</x:v>
      </x:c>
      <x:c r="E62" s="79" t="str">
        <x:v>single_64</x:v>
      </x:c>
      <x:c r="F62" s="79"/>
      <x:c r="G62" s="79" t="str">
        <x:v>canonical_group_row</x:v>
      </x:c>
      <x:c r="H62" s="79" t="str">
        <x:v>آرد و قنادی</x:v>
      </x:c>
      <x:c r="I62" s="79" t="str">
        <x:v>6a3a00000000000000000004</x:v>
      </x:c>
      <x:c r="J62" s="79" t="str">
        <x:v>flour-confectionery</x:v>
      </x:c>
      <x:c r="K62" s="79" t="str">
        <x:v>EDIBLE</x:v>
      </x:c>
      <x:c r="L62" s="79" t="str">
        <x:v>بله</x:v>
      </x:c>
      <x:c r="M62" s="79" t="str">
        <x:v>OK</x:v>
      </x:c>
      <x:c r="N62" s="79" t="str">
        <x:v>دسته از «نیاز به بررسی» به «آرد و قنادی» اصلاح شد</x:v>
      </x:c>
      <x:c r="O62" s="79" t="str">
        <x:v>بله</x:v>
      </x:c>
      <x:c r="P62" s="79" t="str">
        <x:v>نیاز به بررسی</x:v>
      </x:c>
      <x:c r="Q62" s="79"/>
      <x:c r="R62" s="79" t="str">
        <x:v>کیلو</x:v>
      </x:c>
      <x:c r="S62" s="79" t="n">
        <x:v>320000</x:v>
      </x:c>
      <x:c r="T62" s="79"/>
      <x:c r="U62" s="79"/>
    </x:row>
    <x:row r="63">
      <x:c r="A63" s="79" t="n">
        <x:v>65</x:v>
      </x:c>
      <x:c r="B63" s="79"/>
      <x:c r="C63" s="79" t="str">
        <x:v>پودر شربت</x:v>
      </x:c>
      <x:c r="D63" s="79" t="str">
        <x:v>پودر شربت</x:v>
      </x:c>
      <x:c r="E63" s="79" t="str">
        <x:v>single_65</x:v>
      </x:c>
      <x:c r="F63" s="79"/>
      <x:c r="G63" s="79" t="str">
        <x:v>canonical_group_row</x:v>
      </x:c>
      <x:c r="H63" s="79" t="str">
        <x:v>نوشیدنی‌ها</x:v>
      </x:c>
      <x:c r="I63" s="79" t="str">
        <x:v>6a3782ffdf5573f4e676e24b</x:v>
      </x:c>
      <x:c r="J63" s="79" t="str">
        <x:v>syrup</x:v>
      </x:c>
      <x:c r="K63" s="79" t="str">
        <x:v>EDIBLE</x:v>
      </x:c>
      <x:c r="L63" s="79" t="str">
        <x:v>بله</x:v>
      </x:c>
      <x:c r="M63" s="79" t="str">
        <x:v>OK</x:v>
      </x:c>
      <x:c r="N63" s="79"/>
      <x:c r="O63" s="79" t="str">
        <x:v>خیر</x:v>
      </x:c>
      <x:c r="P63" s="79" t="str">
        <x:v>نوشیدنی‌ها</x:v>
      </x:c>
      <x:c r="Q63" s="79" t="str">
        <x:v>6a3782ffdf5573f4e676e24b</x:v>
      </x:c>
      <x:c r="R63" s="79" t="str">
        <x:v>کیلو</x:v>
      </x:c>
      <x:c r="S63" s="79" t="n">
        <x:v>700000</x:v>
      </x:c>
      <x:c r="T63" s="79"/>
      <x:c r="U63" s="79"/>
    </x:row>
    <x:row r="64">
      <x:c r="A64" s="79" t="n">
        <x:v>66</x:v>
      </x:c>
      <x:c r="B64" s="79" t="str">
        <x:v>NS-0063-1</x:v>
      </x:c>
      <x:c r="C64" s="79" t="str">
        <x:v>پودر کشک گوسفندی</x:v>
      </x:c>
      <x:c r="D64" s="79" t="str">
        <x:v>پودر کشک گوسفندی</x:v>
      </x:c>
      <x:c r="E64" s="79" t="str">
        <x:v>single_66</x:v>
      </x:c>
      <x:c r="F64" s="79"/>
      <x:c r="G64" s="79" t="str">
        <x:v>canonical_group_row</x:v>
      </x:c>
      <x:c r="H64" s="79" t="str">
        <x:v>قنادی و شیرینی</x:v>
      </x:c>
      <x:c r="I64" s="79" t="str">
        <x:v>6a3a00000000000000000003</x:v>
      </x:c>
      <x:c r="J64" s="79" t="str">
        <x:v>confectionery</x:v>
      </x:c>
      <x:c r="K64" s="79" t="str">
        <x:v>EDIBLE</x:v>
      </x:c>
      <x:c r="L64" s="79" t="str">
        <x:v>بله</x:v>
      </x:c>
      <x:c r="M64" s="79" t="str">
        <x:v>OK</x:v>
      </x:c>
      <x:c r="N64" s="79" t="str">
        <x:v>دسته از «نیاز به بررسی» به «قنادی و شیرینی» اصلاح شد</x:v>
      </x:c>
      <x:c r="O64" s="79" t="str">
        <x:v>بله</x:v>
      </x:c>
      <x:c r="P64" s="79" t="str">
        <x:v>نیاز به بررسی</x:v>
      </x:c>
      <x:c r="Q64" s="79"/>
      <x:c r="R64" s="79" t="str">
        <x:v>کیلو</x:v>
      </x:c>
      <x:c r="S64" s="79" t="n">
        <x:v>1100000</x:v>
      </x:c>
      <x:c r="T64" s="79"/>
      <x:c r="U64" s="79"/>
    </x:row>
    <x:row r="65">
      <x:c r="A65" s="79" t="n">
        <x:v>67</x:v>
      </x:c>
      <x:c r="B65" s="79" t="str">
        <x:v>NS-0064-1</x:v>
      </x:c>
      <x:c r="C65" s="79" t="str">
        <x:v>پونه خشک</x:v>
      </x:c>
      <x:c r="D65" s="79" t="str">
        <x:v>پونه خشک</x:v>
      </x:c>
      <x:c r="E65" s="79" t="str">
        <x:v>single_67</x:v>
      </x:c>
      <x:c r="F65" s="79"/>
      <x:c r="G65" s="79" t="str">
        <x:v>canonical_group_row</x:v>
      </x:c>
      <x:c r="H65" s="79" t="str">
        <x:v>گیاهان دارویی</x:v>
      </x:c>
      <x:c r="I65" s="79" t="str">
        <x:v>6a3782d7df5573f4e676e243</x:v>
      </x:c>
      <x:c r="J65" s="79" t="str">
        <x:v>medicinal-plants</x:v>
      </x:c>
      <x:c r="K65" s="79" t="str">
        <x:v>EDIBLE</x:v>
      </x:c>
      <x:c r="L65" s="79" t="str">
        <x:v>بله</x:v>
      </x:c>
      <x:c r="M65" s="79" t="str">
        <x:v>OK</x:v>
      </x:c>
      <x:c r="N65" s="79" t="str">
        <x:v>دسته از «نیاز به بررسی» به «گیاهان دارویی» اصلاح شد</x:v>
      </x:c>
      <x:c r="O65" s="79" t="str">
        <x:v>بله</x:v>
      </x:c>
      <x:c r="P65" s="79" t="str">
        <x:v>نیاز به بررسی</x:v>
      </x:c>
      <x:c r="Q65" s="79"/>
      <x:c r="R65" s="79" t="str">
        <x:v>کیلو</x:v>
      </x:c>
      <x:c r="S65" s="79" t="n">
        <x:v>700000</x:v>
      </x:c>
      <x:c r="T65" s="79"/>
      <x:c r="U65" s="79"/>
    </x:row>
    <x:row r="66">
      <x:c r="A66" s="79" t="n">
        <x:v>68</x:v>
      </x:c>
      <x:c r="B66" s="79" t="str">
        <x:v>NS-0065-1</x:v>
      </x:c>
      <x:c r="C66" s="79" t="str">
        <x:v>پیاز پودر</x:v>
      </x:c>
      <x:c r="D66" s="79" t="str">
        <x:v>پیاز پودر</x:v>
      </x:c>
      <x:c r="E66" s="79" t="str">
        <x:v>single_68</x:v>
      </x:c>
      <x:c r="F66" s="79"/>
      <x:c r="G66" s="79" t="str">
        <x:v>canonical_group_row</x:v>
      </x:c>
      <x:c r="H66" s="79" t="str">
        <x:v>ادویه</x:v>
      </x:c>
      <x:c r="I66" s="79" t="str">
        <x:v>6a3781e4df5573f4e676e226</x:v>
      </x:c>
      <x:c r="J66" s="79" t="str">
        <x:v>spice</x:v>
      </x:c>
      <x:c r="K66" s="79" t="str">
        <x:v>EDIBLE</x:v>
      </x:c>
      <x:c r="L66" s="79" t="str">
        <x:v>بله</x:v>
      </x:c>
      <x:c r="M66" s="79" t="str">
        <x:v>OK</x:v>
      </x:c>
      <x:c r="N66" s="79"/>
      <x:c r="O66" s="79" t="str">
        <x:v>بله</x:v>
      </x:c>
      <x:c r="P66" s="79" t="str">
        <x:v>ادویه</x:v>
      </x:c>
      <x:c r="Q66" s="79" t="str">
        <x:v>6a3781e4df5573f4e676e226</x:v>
      </x:c>
      <x:c r="R66" s="79" t="str">
        <x:v>کیلو</x:v>
      </x:c>
      <x:c r="S66" s="79" t="n">
        <x:v>700000</x:v>
      </x:c>
      <x:c r="T66" s="79"/>
      <x:c r="U66" s="79"/>
    </x:row>
    <x:row r="67">
      <x:c r="A67" s="79" t="n">
        <x:v>69</x:v>
      </x:c>
      <x:c r="B67" s="79" t="str">
        <x:v>NS-0066-1</x:v>
      </x:c>
      <x:c r="C67" s="79" t="str">
        <x:v>تخم ریحان</x:v>
      </x:c>
      <x:c r="D67" s="79" t="str">
        <x:v>تخم ریحان</x:v>
      </x:c>
      <x:c r="E67" s="79" t="str">
        <x:v>single_69</x:v>
      </x:c>
      <x:c r="F67" s="79"/>
      <x:c r="G67" s="79" t="str">
        <x:v>canonical_group_row</x:v>
      </x:c>
      <x:c r="H67" s="79" t="str">
        <x:v>خشکبار و آجیل</x:v>
      </x:c>
      <x:c r="I67" s="79" t="str">
        <x:v>6a37810ddf5573f4e676e201</x:v>
      </x:c>
      <x:c r="J67" s="79" t="str">
        <x:v>dried-fruits-nuts</x:v>
      </x:c>
      <x:c r="K67" s="79" t="str">
        <x:v>EDIBLE</x:v>
      </x:c>
      <x:c r="L67" s="79" t="str">
        <x:v>بله</x:v>
      </x:c>
      <x:c r="M67" s="79" t="str">
        <x:v>OK</x:v>
      </x:c>
      <x:c r="N67" s="79"/>
      <x:c r="O67" s="79" t="str">
        <x:v>بله</x:v>
      </x:c>
      <x:c r="P67" s="79" t="str">
        <x:v>خشکبار و آجیل</x:v>
      </x:c>
      <x:c r="Q67" s="79" t="str">
        <x:v>6a37810ddf5573f4e676e201</x:v>
      </x:c>
      <x:c r="R67" s="79" t="str">
        <x:v>کیلو</x:v>
      </x:c>
      <x:c r="S67" s="79" t="n">
        <x:v>550000</x:v>
      </x:c>
      <x:c r="T67" s="79"/>
      <x:c r="U67" s="79"/>
    </x:row>
    <x:row r="68">
      <x:c r="A68" s="79" t="n">
        <x:v>70</x:v>
      </x:c>
      <x:c r="B68" s="79"/>
      <x:c r="C68" s="79" t="str">
        <x:v>تخم شربتی</x:v>
      </x:c>
      <x:c r="D68" s="79" t="str">
        <x:v>تخم شربتی</x:v>
      </x:c>
      <x:c r="E68" s="79" t="str">
        <x:v>single_70</x:v>
      </x:c>
      <x:c r="F68" s="79"/>
      <x:c r="G68" s="79" t="str">
        <x:v>canonical_group_row</x:v>
      </x:c>
      <x:c r="H68" s="79" t="str">
        <x:v>خشکبار و آجیل</x:v>
      </x:c>
      <x:c r="I68" s="79" t="str">
        <x:v>6a37810ddf5573f4e676e201</x:v>
      </x:c>
      <x:c r="J68" s="79" t="str">
        <x:v>dried-fruits-nuts</x:v>
      </x:c>
      <x:c r="K68" s="79" t="str">
        <x:v>EDIBLE</x:v>
      </x:c>
      <x:c r="L68" s="79" t="str">
        <x:v>بله</x:v>
      </x:c>
      <x:c r="M68" s="79" t="str">
        <x:v>OK</x:v>
      </x:c>
      <x:c r="N68" s="79"/>
      <x:c r="O68" s="79" t="str">
        <x:v>خیر</x:v>
      </x:c>
      <x:c r="P68" s="79" t="str">
        <x:v>خشکبار و آجیل</x:v>
      </x:c>
      <x:c r="Q68" s="79" t="str">
        <x:v>6a37810ddf5573f4e676e201</x:v>
      </x:c>
      <x:c r="R68" s="79" t="str">
        <x:v>کیلو</x:v>
      </x:c>
      <x:c r="S68" s="79" t="n">
        <x:v>890000</x:v>
      </x:c>
      <x:c r="T68" s="79"/>
      <x:c r="U68" s="79"/>
    </x:row>
    <x:row r="69">
      <x:c r="A69" s="79" t="n">
        <x:v>71</x:v>
      </x:c>
      <x:c r="B69" s="79" t="str">
        <x:v>NS-0068-1</x:v>
      </x:c>
      <x:c r="C69" s="79" t="str">
        <x:v>تخم کتان</x:v>
      </x:c>
      <x:c r="D69" s="79" t="str">
        <x:v>تخم کتان</x:v>
      </x:c>
      <x:c r="E69" s="79" t="str">
        <x:v>single_71</x:v>
      </x:c>
      <x:c r="F69" s="79"/>
      <x:c r="G69" s="79" t="str">
        <x:v>canonical_group_row</x:v>
      </x:c>
      <x:c r="H69" s="79" t="str">
        <x:v>خشکبار و آجیل</x:v>
      </x:c>
      <x:c r="I69" s="79" t="str">
        <x:v>6a37810ddf5573f4e676e201</x:v>
      </x:c>
      <x:c r="J69" s="79" t="str">
        <x:v>dried-fruits-nuts</x:v>
      </x:c>
      <x:c r="K69" s="79" t="str">
        <x:v>EDIBLE</x:v>
      </x:c>
      <x:c r="L69" s="79" t="str">
        <x:v>بله</x:v>
      </x:c>
      <x:c r="M69" s="79" t="str">
        <x:v>OK</x:v>
      </x:c>
      <x:c r="N69" s="79"/>
      <x:c r="O69" s="79" t="str">
        <x:v>بله</x:v>
      </x:c>
      <x:c r="P69" s="79" t="str">
        <x:v>خشکبار و آجیل</x:v>
      </x:c>
      <x:c r="Q69" s="79" t="str">
        <x:v>6a37810ddf5573f4e676e201</x:v>
      </x:c>
      <x:c r="R69" s="79" t="str">
        <x:v>کیلو</x:v>
      </x:c>
      <x:c r="S69" s="79" t="n">
        <x:v>400000</x:v>
      </x:c>
      <x:c r="T69" s="79"/>
      <x:c r="U69" s="79"/>
    </x:row>
    <x:row r="70">
      <x:c r="A70" s="79" t="n">
        <x:v>72</x:v>
      </x:c>
      <x:c r="B70" s="79" t="str">
        <x:v>NS-0069-1</x:v>
      </x:c>
      <x:c r="C70" s="79" t="str">
        <x:v>تخم مغز آفتابگردان</x:v>
      </x:c>
      <x:c r="D70" s="79" t="str">
        <x:v>تخم مغز آفتابگردان</x:v>
      </x:c>
      <x:c r="E70" s="79" t="str">
        <x:v>single_72</x:v>
      </x:c>
      <x:c r="F70" s="79"/>
      <x:c r="G70" s="79" t="str">
        <x:v>canonical_group_row</x:v>
      </x:c>
      <x:c r="H70" s="79" t="str">
        <x:v>خشکبار و آجیل</x:v>
      </x:c>
      <x:c r="I70" s="79" t="str">
        <x:v>6a37810ddf5573f4e676e201</x:v>
      </x:c>
      <x:c r="J70" s="79" t="str">
        <x:v>dried-fruits-nuts</x:v>
      </x:c>
      <x:c r="K70" s="79" t="str">
        <x:v>EDIBLE</x:v>
      </x:c>
      <x:c r="L70" s="79" t="str">
        <x:v>بله</x:v>
      </x:c>
      <x:c r="M70" s="79" t="str">
        <x:v>OK</x:v>
      </x:c>
      <x:c r="N70" s="79"/>
      <x:c r="O70" s="79" t="str">
        <x:v>بله</x:v>
      </x:c>
      <x:c r="P70" s="79" t="str">
        <x:v>خشکبار و آجیل</x:v>
      </x:c>
      <x:c r="Q70" s="79" t="str">
        <x:v>6a37810ddf5573f4e676e201</x:v>
      </x:c>
      <x:c r="R70" s="79" t="str">
        <x:v>کیلو</x:v>
      </x:c>
      <x:c r="S70" s="79" t="n">
        <x:v>1100000</x:v>
      </x:c>
      <x:c r="T70" s="79"/>
      <x:c r="U70" s="79"/>
    </x:row>
    <x:row r="71">
      <x:c r="A71" s="79" t="n">
        <x:v>73</x:v>
      </x:c>
      <x:c r="B71" s="79" t="str">
        <x:v>NS-0070-1</x:v>
      </x:c>
      <x:c r="C71" s="79" t="str">
        <x:v>تخم مغز کدو</x:v>
      </x:c>
      <x:c r="D71" s="79" t="str">
        <x:v>تخم مغز کدو</x:v>
      </x:c>
      <x:c r="E71" s="79" t="str">
        <x:v>single_73</x:v>
      </x:c>
      <x:c r="F71" s="79"/>
      <x:c r="G71" s="79" t="str">
        <x:v>canonical_group_row</x:v>
      </x:c>
      <x:c r="H71" s="79" t="str">
        <x:v>خشکبار و آجیل</x:v>
      </x:c>
      <x:c r="I71" s="79" t="str">
        <x:v>6a37810ddf5573f4e676e201</x:v>
      </x:c>
      <x:c r="J71" s="79" t="str">
        <x:v>dried-fruits-nuts</x:v>
      </x:c>
      <x:c r="K71" s="79" t="str">
        <x:v>EDIBLE</x:v>
      </x:c>
      <x:c r="L71" s="79" t="str">
        <x:v>بله</x:v>
      </x:c>
      <x:c r="M71" s="79" t="str">
        <x:v>OK</x:v>
      </x:c>
      <x:c r="N71" s="79"/>
      <x:c r="O71" s="79" t="str">
        <x:v>بله</x:v>
      </x:c>
      <x:c r="P71" s="79" t="str">
        <x:v>خشکبار و آجیل</x:v>
      </x:c>
      <x:c r="Q71" s="79" t="str">
        <x:v>6a37810ddf5573f4e676e201</x:v>
      </x:c>
      <x:c r="R71" s="79" t="str">
        <x:v>کیلو</x:v>
      </x:c>
      <x:c r="S71" s="79" t="n">
        <x:v>1800000</x:v>
      </x:c>
      <x:c r="T71" s="79"/>
      <x:c r="U71" s="79"/>
    </x:row>
    <x:row r="72">
      <x:c r="A72" s="79" t="n">
        <x:v>74</x:v>
      </x:c>
      <x:c r="B72" s="79" t="str">
        <x:v>NS-0071-1</x:v>
      </x:c>
      <x:c r="C72" s="79" t="str">
        <x:v>تمرهندی</x:v>
      </x:c>
      <x:c r="D72" s="79" t="str">
        <x:v>تمرهندی</x:v>
      </x:c>
      <x:c r="E72" s="79" t="str">
        <x:v>single_74</x:v>
      </x:c>
      <x:c r="F72" s="79"/>
      <x:c r="G72" s="79" t="str">
        <x:v>canonical_group_row</x:v>
      </x:c>
      <x:c r="H72" s="79" t="str">
        <x:v>خشکبار و آجیل</x:v>
      </x:c>
      <x:c r="I72" s="79" t="str">
        <x:v>6a37810ddf5573f4e676e201</x:v>
      </x:c>
      <x:c r="J72" s="79" t="str">
        <x:v>dried-fruits-nuts</x:v>
      </x:c>
      <x:c r="K72" s="79" t="str">
        <x:v>EDIBLE</x:v>
      </x:c>
      <x:c r="L72" s="79" t="str">
        <x:v>بله</x:v>
      </x:c>
      <x:c r="M72" s="79" t="str">
        <x:v>OK</x:v>
      </x:c>
      <x:c r="N72" s="79" t="str">
        <x:v>دسته از «نیاز به بررسی» به «خشکبار و آجیل» اصلاح شد</x:v>
      </x:c>
      <x:c r="O72" s="79" t="str">
        <x:v>بله</x:v>
      </x:c>
      <x:c r="P72" s="79" t="str">
        <x:v>نیاز به بررسی</x:v>
      </x:c>
      <x:c r="Q72" s="79"/>
      <x:c r="R72" s="79" t="str">
        <x:v>کیلو</x:v>
      </x:c>
      <x:c r="S72" s="79" t="n">
        <x:v>130000</x:v>
      </x:c>
      <x:c r="T72" s="79"/>
      <x:c r="U72" s="79"/>
    </x:row>
    <x:row r="73">
      <x:c r="A73" s="79" t="n">
        <x:v>75</x:v>
      </x:c>
      <x:c r="B73" s="79" t="str">
        <x:v>NS-0072-1</x:v>
      </x:c>
      <x:c r="C73" s="79" t="str">
        <x:v>توت خشک</x:v>
      </x:c>
      <x:c r="D73" s="79" t="str">
        <x:v>توت خشک</x:v>
      </x:c>
      <x:c r="E73" s="79" t="str">
        <x:v>single_75</x:v>
      </x:c>
      <x:c r="F73" s="79"/>
      <x:c r="G73" s="79" t="str">
        <x:v>canonical_group_row</x:v>
      </x:c>
      <x:c r="H73" s="79" t="str">
        <x:v>خشکبار و آجیل</x:v>
      </x:c>
      <x:c r="I73" s="79" t="str">
        <x:v>6a37810ddf5573f4e676e201</x:v>
      </x:c>
      <x:c r="J73" s="79" t="str">
        <x:v>dried-fruits-nuts</x:v>
      </x:c>
      <x:c r="K73" s="79" t="str">
        <x:v>EDIBLE</x:v>
      </x:c>
      <x:c r="L73" s="79" t="str">
        <x:v>بله</x:v>
      </x:c>
      <x:c r="M73" s="79" t="str">
        <x:v>MISSING_PRICE_REVIEW</x:v>
      </x:c>
      <x:c r="N73" s="79" t="str">
        <x:v>یک یا چند قیمت نامشخص است</x:v>
      </x:c>
      <x:c r="O73" s="79" t="str">
        <x:v>بله</x:v>
      </x:c>
      <x:c r="P73" s="79" t="str">
        <x:v>خشکبار و آجیل</x:v>
      </x:c>
      <x:c r="Q73" s="79" t="str">
        <x:v>6a37810ddf5573f4e676e201</x:v>
      </x:c>
      <x:c r="R73" s="79" t="str">
        <x:v>کیلو</x:v>
      </x:c>
      <x:c r="S73" s="79"/>
      <x:c r="T73" s="79"/>
      <x:c r="U73" s="79"/>
    </x:row>
    <x:row r="74">
      <x:c r="A74" s="79" t="n">
        <x:v>76</x:v>
      </x:c>
      <x:c r="B74" s="79"/>
      <x:c r="C74" s="79" t="str">
        <x:v>تی بگ چربی سوز 15 گرمی</x:v>
      </x:c>
      <x:c r="D74" s="79" t="str">
        <x:v>تی بگ چربی سوز 15 گرمی</x:v>
      </x:c>
      <x:c r="E74" s="79" t="str">
        <x:v>single_76</x:v>
      </x:c>
      <x:c r="F74" s="79"/>
      <x:c r="G74" s="79" t="str">
        <x:v>canonical_group_row</x:v>
      </x:c>
      <x:c r="H74" s="79" t="str">
        <x:v>چای</x:v>
      </x:c>
      <x:c r="I74" s="79" t="str">
        <x:v>6a30f5728337d8d2af170bb3</x:v>
      </x:c>
      <x:c r="J74" s="79" t="str">
        <x:v>tea</x:v>
      </x:c>
      <x:c r="K74" s="79" t="str">
        <x:v>EDIBLE</x:v>
      </x:c>
      <x:c r="L74" s="79" t="str">
        <x:v>بله</x:v>
      </x:c>
      <x:c r="M74" s="79" t="str">
        <x:v>OK</x:v>
      </x:c>
      <x:c r="N74" s="79"/>
      <x:c r="O74" s="79" t="str">
        <x:v>خیر</x:v>
      </x:c>
      <x:c r="P74" s="79" t="str">
        <x:v>چای</x:v>
      </x:c>
      <x:c r="Q74" s="79" t="str">
        <x:v>6a30f5728337d8d2af170bb3</x:v>
      </x:c>
      <x:c r="R74" s="79" t="str">
        <x:v>بسته</x:v>
      </x:c>
      <x:c r="S74" s="79" t="n">
        <x:v>15000</x:v>
      </x:c>
      <x:c r="T74" s="79" t="str">
        <x:v>کیلو</x:v>
      </x:c>
      <x:c r="U74" s="79" t="n">
        <x:v>1150000</x:v>
      </x:c>
    </x:row>
    <x:row r="75">
      <x:c r="A75" s="79" t="n">
        <x:v>77</x:v>
      </x:c>
      <x:c r="B75" s="79"/>
      <x:c r="C75" s="79" t="str">
        <x:v>تی بگ خواب آور 7 گرمی</x:v>
      </x:c>
      <x:c r="D75" s="79" t="str">
        <x:v>تی بگ خواب آور 7 گرمی</x:v>
      </x:c>
      <x:c r="E75" s="79" t="str">
        <x:v>single_77</x:v>
      </x:c>
      <x:c r="F75" s="79"/>
      <x:c r="G75" s="79" t="str">
        <x:v>canonical_group_row</x:v>
      </x:c>
      <x:c r="H75" s="79" t="str">
        <x:v>چای</x:v>
      </x:c>
      <x:c r="I75" s="79" t="str">
        <x:v>6a30f5728337d8d2af170bb3</x:v>
      </x:c>
      <x:c r="J75" s="79" t="str">
        <x:v>tea</x:v>
      </x:c>
      <x:c r="K75" s="79" t="str">
        <x:v>EDIBLE</x:v>
      </x:c>
      <x:c r="L75" s="79" t="str">
        <x:v>بله</x:v>
      </x:c>
      <x:c r="M75" s="79" t="str">
        <x:v>OK</x:v>
      </x:c>
      <x:c r="N75" s="79"/>
      <x:c r="O75" s="79" t="str">
        <x:v>خیر</x:v>
      </x:c>
      <x:c r="P75" s="79" t="str">
        <x:v>چای</x:v>
      </x:c>
      <x:c r="Q75" s="79" t="str">
        <x:v>6a30f5728337d8d2af170bb3</x:v>
      </x:c>
      <x:c r="R75" s="79" t="str">
        <x:v>بسته</x:v>
      </x:c>
      <x:c r="S75" s="79" t="n">
        <x:v>20000</x:v>
      </x:c>
      <x:c r="T75" s="79" t="str">
        <x:v>کیلو</x:v>
      </x:c>
      <x:c r="U75" s="79" t="n">
        <x:v>2800000</x:v>
      </x:c>
    </x:row>
    <x:row r="76">
      <x:c r="A76" s="79" t="n">
        <x:v>78</x:v>
      </x:c>
      <x:c r="B76" s="79"/>
      <x:c r="C76" s="79" t="str">
        <x:v>تی بگ ناب سرا</x:v>
      </x:c>
      <x:c r="D76" s="79" t="str">
        <x:v>تی بگ ناب سرا</x:v>
      </x:c>
      <x:c r="E76" s="79" t="str">
        <x:v>single_78</x:v>
      </x:c>
      <x:c r="F76" s="79"/>
      <x:c r="G76" s="79" t="str">
        <x:v>canonical_group_row</x:v>
      </x:c>
      <x:c r="H76" s="79" t="str">
        <x:v>چای</x:v>
      </x:c>
      <x:c r="I76" s="79" t="str">
        <x:v>6a30f5728337d8d2af170bb3</x:v>
      </x:c>
      <x:c r="J76" s="79" t="str">
        <x:v>tea</x:v>
      </x:c>
      <x:c r="K76" s="79" t="str">
        <x:v>EDIBLE</x:v>
      </x:c>
      <x:c r="L76" s="79" t="str">
        <x:v>بله</x:v>
      </x:c>
      <x:c r="M76" s="79" t="str">
        <x:v>OK</x:v>
      </x:c>
      <x:c r="N76" s="79"/>
      <x:c r="O76" s="79" t="str">
        <x:v>خیر</x:v>
      </x:c>
      <x:c r="P76" s="79" t="str">
        <x:v>چای</x:v>
      </x:c>
      <x:c r="Q76" s="79" t="str">
        <x:v>6a30f5728337d8d2af170bb3</x:v>
      </x:c>
      <x:c r="R76" s="79" t="str">
        <x:v>بسته</x:v>
      </x:c>
      <x:c r="S76" s="79" t="n">
        <x:v>20000</x:v>
      </x:c>
      <x:c r="T76" s="79"/>
      <x:c r="U76" s="79"/>
    </x:row>
    <x:row r="77">
      <x:c r="A77" s="79" t="n">
        <x:v>79</x:v>
      </x:c>
      <x:c r="B77" s="79"/>
      <x:c r="C77" s="79" t="str">
        <x:v>تی بگ ویتامین سی 7 گرمی</x:v>
      </x:c>
      <x:c r="D77" s="79" t="str">
        <x:v>تی بگ ویتامین سی 7 گرمی</x:v>
      </x:c>
      <x:c r="E77" s="79" t="str">
        <x:v>single_79</x:v>
      </x:c>
      <x:c r="F77" s="79"/>
      <x:c r="G77" s="79" t="str">
        <x:v>canonical_group_row</x:v>
      </x:c>
      <x:c r="H77" s="79" t="str">
        <x:v>چای</x:v>
      </x:c>
      <x:c r="I77" s="79" t="str">
        <x:v>6a30f5728337d8d2af170bb3</x:v>
      </x:c>
      <x:c r="J77" s="79" t="str">
        <x:v>tea</x:v>
      </x:c>
      <x:c r="K77" s="79" t="str">
        <x:v>EDIBLE</x:v>
      </x:c>
      <x:c r="L77" s="79" t="str">
        <x:v>بله</x:v>
      </x:c>
      <x:c r="M77" s="79" t="str">
        <x:v>OK</x:v>
      </x:c>
      <x:c r="N77" s="79"/>
      <x:c r="O77" s="79" t="str">
        <x:v>خیر</x:v>
      </x:c>
      <x:c r="P77" s="79" t="str">
        <x:v>چای</x:v>
      </x:c>
      <x:c r="Q77" s="79" t="str">
        <x:v>6a30f5728337d8d2af170bb3</x:v>
      </x:c>
      <x:c r="R77" s="79" t="str">
        <x:v>بسته</x:v>
      </x:c>
      <x:c r="S77" s="79" t="n">
        <x:v>15000</x:v>
      </x:c>
      <x:c r="T77" s="79" t="str">
        <x:v>کیلو</x:v>
      </x:c>
      <x:c r="U77" s="79" t="n">
        <x:v>2100000</x:v>
      </x:c>
    </x:row>
    <x:row r="78">
      <x:c r="A78" s="79" t="n">
        <x:v>80</x:v>
      </x:c>
      <x:c r="B78" s="79" t="str">
        <x:v>NS-0077-1</x:v>
      </x:c>
      <x:c r="C78" s="79" t="str">
        <x:v>جدوار</x:v>
      </x:c>
      <x:c r="D78" s="79" t="str">
        <x:v>جدوار</x:v>
      </x:c>
      <x:c r="E78" s="79" t="str">
        <x:v>single_80</x:v>
      </x:c>
      <x:c r="F78" s="79"/>
      <x:c r="G78" s="79" t="str">
        <x:v>canonical_group_row</x:v>
      </x:c>
      <x:c r="H78" s="79" t="str">
        <x:v>گیاهان دارویی</x:v>
      </x:c>
      <x:c r="I78" s="79" t="str">
        <x:v>6a3782d7df5573f4e676e243</x:v>
      </x:c>
      <x:c r="J78" s="79" t="str">
        <x:v>medicinal-plants</x:v>
      </x:c>
      <x:c r="K78" s="79" t="str">
        <x:v>EDIBLE</x:v>
      </x:c>
      <x:c r="L78" s="79" t="str">
        <x:v>بله</x:v>
      </x:c>
      <x:c r="M78" s="79" t="str">
        <x:v>OK</x:v>
      </x:c>
      <x:c r="N78" s="79" t="str">
        <x:v>دسته از «نیاز به بررسی» به «گیاهان دارویی» اصلاح شد</x:v>
      </x:c>
      <x:c r="O78" s="79" t="str">
        <x:v>بله</x:v>
      </x:c>
      <x:c r="P78" s="79" t="str">
        <x:v>نیاز به بررسی</x:v>
      </x:c>
      <x:c r="Q78" s="79"/>
      <x:c r="R78" s="79" t="str">
        <x:v>کیلو</x:v>
      </x:c>
      <x:c r="S78" s="79" t="n">
        <x:v>1200000</x:v>
      </x:c>
      <x:c r="T78" s="79"/>
      <x:c r="U78" s="79"/>
    </x:row>
    <x:row r="79">
      <x:c r="A79" s="79" t="n">
        <x:v>81</x:v>
      </x:c>
      <x:c r="B79" s="79" t="str">
        <x:v>NS-0078-1</x:v>
      </x:c>
      <x:c r="C79" s="79" t="str">
        <x:v>جو دوسر پرک خارجی</x:v>
      </x:c>
      <x:c r="D79" s="79" t="str">
        <x:v>جو دوسر پرک خارجی</x:v>
      </x:c>
      <x:c r="E79" s="79" t="str">
        <x:v>single_81</x:v>
      </x:c>
      <x:c r="F79" s="79"/>
      <x:c r="G79" s="79" t="str">
        <x:v>canonical_group_row</x:v>
      </x:c>
      <x:c r="H79" s="79" t="str">
        <x:v>حبوبات و غلات</x:v>
      </x:c>
      <x:c r="I79" s="79" t="str">
        <x:v>6a3a00000000000000000002</x:v>
      </x:c>
      <x:c r="J79" s="79" t="str">
        <x:v>legumes-grains</x:v>
      </x:c>
      <x:c r="K79" s="79" t="str">
        <x:v>EDIBLE</x:v>
      </x:c>
      <x:c r="L79" s="79" t="str">
        <x:v>بله</x:v>
      </x:c>
      <x:c r="M79" s="79" t="str">
        <x:v>OK</x:v>
      </x:c>
      <x:c r="N79" s="79"/>
      <x:c r="O79" s="79" t="str">
        <x:v>بله</x:v>
      </x:c>
      <x:c r="P79" s="79" t="str">
        <x:v>حبوبات و غلات</x:v>
      </x:c>
      <x:c r="Q79" s="79" t="str">
        <x:v>6a3a00000000000000000002</x:v>
      </x:c>
      <x:c r="R79" s="79" t="str">
        <x:v>کیلو</x:v>
      </x:c>
      <x:c r="S79" s="79" t="n">
        <x:v>490000</x:v>
      </x:c>
      <x:c r="T79" s="79"/>
      <x:c r="U79" s="79"/>
    </x:row>
    <x:row r="80">
      <x:c r="A80" s="79" t="n">
        <x:v>82</x:v>
      </x:c>
      <x:c r="B80" s="79" t="str">
        <x:v>NS-0079-1</x:v>
      </x:c>
      <x:c r="C80" s="79" t="str">
        <x:v>جوانه گندم</x:v>
      </x:c>
      <x:c r="D80" s="79" t="str">
        <x:v>جوانه گندم</x:v>
      </x:c>
      <x:c r="E80" s="79" t="str">
        <x:v>single_82</x:v>
      </x:c>
      <x:c r="F80" s="79"/>
      <x:c r="G80" s="79" t="str">
        <x:v>canonical_group_row</x:v>
      </x:c>
      <x:c r="H80" s="79" t="str">
        <x:v>حبوبات و غلات</x:v>
      </x:c>
      <x:c r="I80" s="79" t="str">
        <x:v>6a3a00000000000000000002</x:v>
      </x:c>
      <x:c r="J80" s="79" t="str">
        <x:v>legumes-grains</x:v>
      </x:c>
      <x:c r="K80" s="79" t="str">
        <x:v>EDIBLE</x:v>
      </x:c>
      <x:c r="L80" s="79" t="str">
        <x:v>بله</x:v>
      </x:c>
      <x:c r="M80" s="79" t="str">
        <x:v>OK</x:v>
      </x:c>
      <x:c r="N80" s="79"/>
      <x:c r="O80" s="79" t="str">
        <x:v>بله</x:v>
      </x:c>
      <x:c r="P80" s="79" t="str">
        <x:v>حبوبات و غلات</x:v>
      </x:c>
      <x:c r="Q80" s="79" t="str">
        <x:v>6a3a00000000000000000002</x:v>
      </x:c>
      <x:c r="R80" s="79" t="str">
        <x:v>پودر</x:v>
      </x:c>
      <x:c r="S80" s="79" t="n">
        <x:v>340000</x:v>
      </x:c>
      <x:c r="T80" s="79" t="str">
        <x:v>تازه</x:v>
      </x:c>
      <x:c r="U80" s="79" t="n">
        <x:v>110000</x:v>
      </x:c>
    </x:row>
    <x:row r="81">
      <x:c r="A81" s="79" t="n">
        <x:v>83</x:v>
      </x:c>
      <x:c r="B81" s="79" t="str">
        <x:v>NS-0080-1</x:v>
      </x:c>
      <x:c r="C81" s="79" t="str">
        <x:v>جوز هندی</x:v>
      </x:c>
      <x:c r="D81" s="79" t="str">
        <x:v>جوز هندی</x:v>
      </x:c>
      <x:c r="E81" s="79" t="str">
        <x:v>single_83</x:v>
      </x:c>
      <x:c r="F81" s="79"/>
      <x:c r="G81" s="79" t="str">
        <x:v>canonical_group_row</x:v>
      </x:c>
      <x:c r="H81" s="79" t="str">
        <x:v>ادویه</x:v>
      </x:c>
      <x:c r="I81" s="79" t="str">
        <x:v>6a3781e4df5573f4e676e226</x:v>
      </x:c>
      <x:c r="J81" s="79" t="str">
        <x:v>spice</x:v>
      </x:c>
      <x:c r="K81" s="79" t="str">
        <x:v>EDIBLE</x:v>
      </x:c>
      <x:c r="L81" s="79" t="str">
        <x:v>بله</x:v>
      </x:c>
      <x:c r="M81" s="79" t="str">
        <x:v>OK</x:v>
      </x:c>
      <x:c r="N81" s="79"/>
      <x:c r="O81" s="79" t="str">
        <x:v>بله</x:v>
      </x:c>
      <x:c r="P81" s="79" t="str">
        <x:v>ادویه</x:v>
      </x:c>
      <x:c r="Q81" s="79" t="str">
        <x:v>6a3781e4df5573f4e676e226</x:v>
      </x:c>
      <x:c r="R81" s="79" t="str">
        <x:v>کیلو</x:v>
      </x:c>
      <x:c r="S81" s="79" t="n">
        <x:v>3800000</x:v>
      </x:c>
      <x:c r="T81" s="79"/>
      <x:c r="U81" s="79"/>
    </x:row>
    <x:row r="82">
      <x:c r="A82" s="79" t="n">
        <x:v>84</x:v>
      </x:c>
      <x:c r="B82" s="79" t="str">
        <x:v>NS-0081-1</x:v>
      </x:c>
      <x:c r="C82" s="79" t="str">
        <x:v>جوش شیرین</x:v>
      </x:c>
      <x:c r="D82" s="79" t="str">
        <x:v>جوش شیرین</x:v>
      </x:c>
      <x:c r="E82" s="79" t="str">
        <x:v>single_84</x:v>
      </x:c>
      <x:c r="F82" s="79"/>
      <x:c r="G82" s="79" t="str">
        <x:v>canonical_group_row</x:v>
      </x:c>
      <x:c r="H82" s="79" t="str">
        <x:v>حبوبات و غلات</x:v>
      </x:c>
      <x:c r="I82" s="79" t="str">
        <x:v>6a3a00000000000000000002</x:v>
      </x:c>
      <x:c r="J82" s="79" t="str">
        <x:v>legumes-grains</x:v>
      </x:c>
      <x:c r="K82" s="79" t="str">
        <x:v>EDIBLE</x:v>
      </x:c>
      <x:c r="L82" s="79" t="str">
        <x:v>بله</x:v>
      </x:c>
      <x:c r="M82" s="79" t="str">
        <x:v>OK</x:v>
      </x:c>
      <x:c r="N82" s="79"/>
      <x:c r="O82" s="79" t="str">
        <x:v>بله</x:v>
      </x:c>
      <x:c r="P82" s="79" t="str">
        <x:v>حبوبات و غلات</x:v>
      </x:c>
      <x:c r="Q82" s="79" t="str">
        <x:v>6a3a00000000000000000002</x:v>
      </x:c>
      <x:c r="R82" s="79" t="str">
        <x:v>کیلو</x:v>
      </x:c>
      <x:c r="S82" s="79" t="n">
        <x:v>180000</x:v>
      </x:c>
      <x:c r="T82" s="79"/>
      <x:c r="U82" s="79"/>
    </x:row>
    <x:row r="83">
      <x:c r="A83" s="79" t="n">
        <x:v>85</x:v>
      </x:c>
      <x:c r="B83" s="79" t="str">
        <x:v>NS-0082-1</x:v>
      </x:c>
      <x:c r="C83" s="79" t="str">
        <x:v>جوهر لیمو</x:v>
      </x:c>
      <x:c r="D83" s="79" t="str">
        <x:v>جوهر لیمو</x:v>
      </x:c>
      <x:c r="E83" s="79" t="str">
        <x:v>single_85</x:v>
      </x:c>
      <x:c r="F83" s="79"/>
      <x:c r="G83" s="79" t="str">
        <x:v>canonical_group_row</x:v>
      </x:c>
      <x:c r="H83" s="79" t="str">
        <x:v>ادویه</x:v>
      </x:c>
      <x:c r="I83" s="79" t="str">
        <x:v>6a3781e4df5573f4e676e226</x:v>
      </x:c>
      <x:c r="J83" s="79" t="str">
        <x:v>spice</x:v>
      </x:c>
      <x:c r="K83" s="79" t="str">
        <x:v>EDIBLE</x:v>
      </x:c>
      <x:c r="L83" s="79" t="str">
        <x:v>بله</x:v>
      </x:c>
      <x:c r="M83" s="79" t="str">
        <x:v>OK</x:v>
      </x:c>
      <x:c r="N83" s="79"/>
      <x:c r="O83" s="79" t="str">
        <x:v>بله</x:v>
      </x:c>
      <x:c r="P83" s="79" t="str">
        <x:v>ادویه</x:v>
      </x:c>
      <x:c r="Q83" s="79" t="str">
        <x:v>6a3781e4df5573f4e676e226</x:v>
      </x:c>
      <x:c r="R83" s="79" t="str">
        <x:v>کیلو</x:v>
      </x:c>
      <x:c r="S83" s="79" t="n">
        <x:v>580000</x:v>
      </x:c>
      <x:c r="T83" s="79"/>
      <x:c r="U83" s="79"/>
    </x:row>
    <x:row r="84">
      <x:c r="A84" s="79" t="n">
        <x:v>86</x:v>
      </x:c>
      <x:c r="B84" s="79"/>
      <x:c r="C84" s="79" t="str">
        <x:v>چای انبه</x:v>
      </x:c>
      <x:c r="D84" s="79" t="str">
        <x:v>چای انبه</x:v>
      </x:c>
      <x:c r="E84" s="79" t="str">
        <x:v>single_86</x:v>
      </x:c>
      <x:c r="F84" s="79"/>
      <x:c r="G84" s="79" t="str">
        <x:v>canonical_group_row</x:v>
      </x:c>
      <x:c r="H84" s="79" t="str">
        <x:v>چای</x:v>
      </x:c>
      <x:c r="I84" s="79" t="str">
        <x:v>6a30f5728337d8d2af170bb3</x:v>
      </x:c>
      <x:c r="J84" s="79" t="str">
        <x:v>tea</x:v>
      </x:c>
      <x:c r="K84" s="79" t="str">
        <x:v>EDIBLE</x:v>
      </x:c>
      <x:c r="L84" s="79" t="str">
        <x:v>بله</x:v>
      </x:c>
      <x:c r="M84" s="79" t="str">
        <x:v>OK</x:v>
      </x:c>
      <x:c r="N84" s="79"/>
      <x:c r="O84" s="79" t="str">
        <x:v>خیر</x:v>
      </x:c>
      <x:c r="P84" s="79" t="str">
        <x:v>چای</x:v>
      </x:c>
      <x:c r="Q84" s="79" t="str">
        <x:v>6a30f5728337d8d2af170bb3</x:v>
      </x:c>
      <x:c r="R84" s="79" t="str">
        <x:v>کیلو</x:v>
      </x:c>
      <x:c r="S84" s="79" t="n">
        <x:v>4500000</x:v>
      </x:c>
      <x:c r="T84" s="79"/>
      <x:c r="U84" s="79"/>
    </x:row>
    <x:row r="85">
      <x:c r="A85" s="79" t="n">
        <x:v>87</x:v>
      </x:c>
      <x:c r="B85" s="79"/>
      <x:c r="C85" s="79" t="str">
        <x:v>چای ترش ایرانی</x:v>
      </x:c>
      <x:c r="D85" s="79" t="str">
        <x:v>چای ترش</x:v>
      </x:c>
      <x:c r="E85" s="79" t="str">
        <x:v>grp_hibiscus_tea</x:v>
      </x:c>
      <x:c r="F85" s="79" t="str">
        <x:v>ایرانی</x:v>
      </x:c>
      <x:c r="G85" s="79" t="str">
        <x:v>canonical_group_row</x:v>
      </x:c>
      <x:c r="H85" s="79" t="str">
        <x:v>چای</x:v>
      </x:c>
      <x:c r="I85" s="79" t="str">
        <x:v>6a30f5728337d8d2af170bb3</x:v>
      </x:c>
      <x:c r="J85" s="79" t="str">
        <x:v>tea</x:v>
      </x:c>
      <x:c r="K85" s="79" t="str">
        <x:v>EDIBLE</x:v>
      </x:c>
      <x:c r="L85" s="79" t="str">
        <x:v>بله</x:v>
      </x:c>
      <x:c r="M85" s="79" t="str">
        <x:v>MERGED</x:v>
      </x:c>
      <x:c r="N85" s="79"/>
      <x:c r="O85" s="79" t="str">
        <x:v>خیر</x:v>
      </x:c>
      <x:c r="P85" s="79" t="str">
        <x:v>چای</x:v>
      </x:c>
      <x:c r="Q85" s="79" t="str">
        <x:v>6a30f5728337d8d2af170bb3</x:v>
      </x:c>
      <x:c r="R85" s="79" t="str">
        <x:v>کیلو</x:v>
      </x:c>
      <x:c r="S85" s="79" t="n">
        <x:v>3250000</x:v>
      </x:c>
      <x:c r="T85" s="79"/>
      <x:c r="U85" s="79"/>
    </x:row>
    <x:row r="86">
      <x:c r="A86" s="79" t="n">
        <x:v>88</x:v>
      </x:c>
      <x:c r="B86" s="79"/>
      <x:c r="C86" s="79" t="str">
        <x:v>چای ترش خارجی</x:v>
      </x:c>
      <x:c r="D86" s="79" t="str">
        <x:v>چای ترش</x:v>
      </x:c>
      <x:c r="E86" s="79" t="str">
        <x:v>grp_hibiscus_tea</x:v>
      </x:c>
      <x:c r="F86" s="79" t="str">
        <x:v>خارجی</x:v>
      </x:c>
      <x:c r="G86" s="79" t="str">
        <x:v>merge_into_canonical_group</x:v>
      </x:c>
      <x:c r="H86" s="79" t="str">
        <x:v>چای</x:v>
      </x:c>
      <x:c r="I86" s="79" t="str">
        <x:v>6a30f5728337d8d2af170bb3</x:v>
      </x:c>
      <x:c r="J86" s="79" t="str">
        <x:v>tea</x:v>
      </x:c>
      <x:c r="K86" s="79" t="str">
        <x:v>EDIBLE</x:v>
      </x:c>
      <x:c r="L86" s="79" t="str">
        <x:v>بله</x:v>
      </x:c>
      <x:c r="M86" s="79" t="str">
        <x:v>MERGED + MISSING_PRICE_REVIEW</x:v>
      </x:c>
      <x:c r="N86" s="79" t="str">
        <x:v>یک یا چند قیمت نامشخص است</x:v>
      </x:c>
      <x:c r="O86" s="79" t="str">
        <x:v>خیر</x:v>
      </x:c>
      <x:c r="P86" s="79" t="str">
        <x:v>چای</x:v>
      </x:c>
      <x:c r="Q86" s="79" t="str">
        <x:v>6a30f5728337d8d2af170bb3</x:v>
      </x:c>
      <x:c r="R86" s="79" t="str">
        <x:v>کیلو</x:v>
      </x:c>
      <x:c r="S86" s="79"/>
      <x:c r="T86" s="79"/>
      <x:c r="U86" s="79"/>
    </x:row>
    <x:row r="87">
      <x:c r="A87" s="79" t="n">
        <x:v>89</x:v>
      </x:c>
      <x:c r="B87" s="79"/>
      <x:c r="C87" s="79" t="str">
        <x:v>چای توت فرنگی</x:v>
      </x:c>
      <x:c r="D87" s="79" t="str">
        <x:v>چای توت فرنگی</x:v>
      </x:c>
      <x:c r="E87" s="79" t="str">
        <x:v>single_89</x:v>
      </x:c>
      <x:c r="F87" s="79"/>
      <x:c r="G87" s="79" t="str">
        <x:v>canonical_group_row</x:v>
      </x:c>
      <x:c r="H87" s="79" t="str">
        <x:v>چای</x:v>
      </x:c>
      <x:c r="I87" s="79" t="str">
        <x:v>6a30f5728337d8d2af170bb3</x:v>
      </x:c>
      <x:c r="J87" s="79" t="str">
        <x:v>tea</x:v>
      </x:c>
      <x:c r="K87" s="79" t="str">
        <x:v>EDIBLE</x:v>
      </x:c>
      <x:c r="L87" s="79" t="str">
        <x:v>بله</x:v>
      </x:c>
      <x:c r="M87" s="79" t="str">
        <x:v>OK</x:v>
      </x:c>
      <x:c r="N87" s="79"/>
      <x:c r="O87" s="79" t="str">
        <x:v>خیر</x:v>
      </x:c>
      <x:c r="P87" s="79" t="str">
        <x:v>چای</x:v>
      </x:c>
      <x:c r="Q87" s="79" t="str">
        <x:v>6a30f5728337d8d2af170bb3</x:v>
      </x:c>
      <x:c r="R87" s="79" t="str">
        <x:v>کیلو</x:v>
      </x:c>
      <x:c r="S87" s="79" t="n">
        <x:v>3700000</x:v>
      </x:c>
      <x:c r="T87" s="79"/>
      <x:c r="U87" s="79"/>
    </x:row>
    <x:row r="88">
      <x:c r="A88" s="79" t="n">
        <x:v>90</x:v>
      </x:c>
      <x:c r="B88" s="79"/>
      <x:c r="C88" s="79" t="str">
        <x:v>چای چوب</x:v>
      </x:c>
      <x:c r="D88" s="79" t="str">
        <x:v>چای چوب</x:v>
      </x:c>
      <x:c r="E88" s="79" t="str">
        <x:v>single_90</x:v>
      </x:c>
      <x:c r="F88" s="79"/>
      <x:c r="G88" s="79" t="str">
        <x:v>canonical_group_row</x:v>
      </x:c>
      <x:c r="H88" s="79" t="str">
        <x:v>چای</x:v>
      </x:c>
      <x:c r="I88" s="79" t="str">
        <x:v>6a30f5728337d8d2af170bb3</x:v>
      </x:c>
      <x:c r="J88" s="79" t="str">
        <x:v>tea</x:v>
      </x:c>
      <x:c r="K88" s="79" t="str">
        <x:v>EDIBLE</x:v>
      </x:c>
      <x:c r="L88" s="79" t="str">
        <x:v>بله</x:v>
      </x:c>
      <x:c r="M88" s="79" t="str">
        <x:v>OK</x:v>
      </x:c>
      <x:c r="N88" s="79"/>
      <x:c r="O88" s="79" t="str">
        <x:v>خیر</x:v>
      </x:c>
      <x:c r="P88" s="79" t="str">
        <x:v>چای</x:v>
      </x:c>
      <x:c r="Q88" s="79" t="str">
        <x:v>6a30f5728337d8d2af170bb3</x:v>
      </x:c>
      <x:c r="R88" s="79" t="str">
        <x:v>کیلو</x:v>
      </x:c>
      <x:c r="S88" s="79" t="n">
        <x:v>350000</x:v>
      </x:c>
      <x:c r="T88" s="79"/>
      <x:c r="U88" s="79"/>
    </x:row>
    <x:row r="89">
      <x:c r="A89" s="79" t="n">
        <x:v>91</x:v>
      </x:c>
      <x:c r="B89" s="79"/>
      <x:c r="C89" s="79" t="str">
        <x:v>چای سبز ایرانی</x:v>
      </x:c>
      <x:c r="D89" s="79" t="str">
        <x:v>چای سبز ایرانی</x:v>
      </x:c>
      <x:c r="E89" s="79" t="str">
        <x:v>single_91</x:v>
      </x:c>
      <x:c r="F89" s="79"/>
      <x:c r="G89" s="79" t="str">
        <x:v>canonical_group_row</x:v>
      </x:c>
      <x:c r="H89" s="79" t="str">
        <x:v>چای</x:v>
      </x:c>
      <x:c r="I89" s="79" t="str">
        <x:v>6a30f5728337d8d2af170bb3</x:v>
      </x:c>
      <x:c r="J89" s="79" t="str">
        <x:v>tea</x:v>
      </x:c>
      <x:c r="K89" s="79" t="str">
        <x:v>EDIBLE</x:v>
      </x:c>
      <x:c r="L89" s="79" t="str">
        <x:v>بله</x:v>
      </x:c>
      <x:c r="M89" s="79" t="str">
        <x:v>OK</x:v>
      </x:c>
      <x:c r="N89" s="79"/>
      <x:c r="O89" s="79" t="str">
        <x:v>خیر</x:v>
      </x:c>
      <x:c r="P89" s="79" t="str">
        <x:v>چای</x:v>
      </x:c>
      <x:c r="Q89" s="79" t="str">
        <x:v>6a30f5728337d8d2af170bb3</x:v>
      </x:c>
      <x:c r="R89" s="79" t="str">
        <x:v>کیلو</x:v>
      </x:c>
      <x:c r="S89" s="79" t="n">
        <x:v>900000</x:v>
      </x:c>
      <x:c r="T89" s="79"/>
      <x:c r="U89" s="79"/>
    </x:row>
    <x:row r="90">
      <x:c r="A90" s="79" t="n">
        <x:v>92</x:v>
      </x:c>
      <x:c r="B90" s="79"/>
      <x:c r="C90" s="79" t="str">
        <x:v>چای کرک پسته زعفران</x:v>
      </x:c>
      <x:c r="D90" s="79" t="str">
        <x:v>چای کرک پسته زعفران</x:v>
      </x:c>
      <x:c r="E90" s="79" t="str">
        <x:v>single_92</x:v>
      </x:c>
      <x:c r="F90" s="79"/>
      <x:c r="G90" s="79" t="str">
        <x:v>canonical_group_row</x:v>
      </x:c>
      <x:c r="H90" s="79" t="str">
        <x:v>چای</x:v>
      </x:c>
      <x:c r="I90" s="79" t="str">
        <x:v>6a30f5728337d8d2af170bb3</x:v>
      </x:c>
      <x:c r="J90" s="79" t="str">
        <x:v>tea</x:v>
      </x:c>
      <x:c r="K90" s="79" t="str">
        <x:v>EDIBLE</x:v>
      </x:c>
      <x:c r="L90" s="79" t="str">
        <x:v>بله</x:v>
      </x:c>
      <x:c r="M90" s="79" t="str">
        <x:v>OK</x:v>
      </x:c>
      <x:c r="N90" s="79"/>
      <x:c r="O90" s="79" t="str">
        <x:v>خیر</x:v>
      </x:c>
      <x:c r="P90" s="79" t="str">
        <x:v>چای</x:v>
      </x:c>
      <x:c r="Q90" s="79" t="str">
        <x:v>6a30f5728337d8d2af170bb3</x:v>
      </x:c>
      <x:c r="R90" s="79" t="str">
        <x:v>کیلو</x:v>
      </x:c>
      <x:c r="S90" s="79" t="n">
        <x:v>1850000</x:v>
      </x:c>
      <x:c r="T90" s="79"/>
      <x:c r="U90" s="79"/>
    </x:row>
    <x:row r="91">
      <x:c r="A91" s="79" t="n">
        <x:v>93</x:v>
      </x:c>
      <x:c r="B91" s="79"/>
      <x:c r="C91" s="79" t="str">
        <x:v>چای کرک کارامل</x:v>
      </x:c>
      <x:c r="D91" s="79" t="str">
        <x:v>چای کرک کارامل</x:v>
      </x:c>
      <x:c r="E91" s="79" t="str">
        <x:v>single_93</x:v>
      </x:c>
      <x:c r="F91" s="79"/>
      <x:c r="G91" s="79" t="str">
        <x:v>canonical_group_row</x:v>
      </x:c>
      <x:c r="H91" s="79" t="str">
        <x:v>چای</x:v>
      </x:c>
      <x:c r="I91" s="79" t="str">
        <x:v>6a30f5728337d8d2af170bb3</x:v>
      </x:c>
      <x:c r="J91" s="79" t="str">
        <x:v>tea</x:v>
      </x:c>
      <x:c r="K91" s="79" t="str">
        <x:v>EDIBLE</x:v>
      </x:c>
      <x:c r="L91" s="79" t="str">
        <x:v>بله</x:v>
      </x:c>
      <x:c r="M91" s="79" t="str">
        <x:v>OK</x:v>
      </x:c>
      <x:c r="N91" s="79"/>
      <x:c r="O91" s="79" t="str">
        <x:v>خیر</x:v>
      </x:c>
      <x:c r="P91" s="79" t="str">
        <x:v>چای</x:v>
      </x:c>
      <x:c r="Q91" s="79" t="str">
        <x:v>6a30f5728337d8d2af170bb3</x:v>
      </x:c>
      <x:c r="R91" s="79" t="str">
        <x:v>کیلو</x:v>
      </x:c>
      <x:c r="S91" s="79" t="n">
        <x:v>1800000</x:v>
      </x:c>
      <x:c r="T91" s="79"/>
      <x:c r="U91" s="79"/>
    </x:row>
    <x:row r="92">
      <x:c r="A92" s="79" t="n">
        <x:v>94</x:v>
      </x:c>
      <x:c r="B92" s="79"/>
      <x:c r="C92" s="79" t="str">
        <x:v>چای کرک لاته موزی</x:v>
      </x:c>
      <x:c r="D92" s="79" t="str">
        <x:v>چای کرک لاته موزی</x:v>
      </x:c>
      <x:c r="E92" s="79" t="str">
        <x:v>single_94</x:v>
      </x:c>
      <x:c r="F92" s="79"/>
      <x:c r="G92" s="79" t="str">
        <x:v>canonical_group_row</x:v>
      </x:c>
      <x:c r="H92" s="79" t="str">
        <x:v>چای</x:v>
      </x:c>
      <x:c r="I92" s="79" t="str">
        <x:v>6a30f5728337d8d2af170bb3</x:v>
      </x:c>
      <x:c r="J92" s="79" t="str">
        <x:v>tea</x:v>
      </x:c>
      <x:c r="K92" s="79" t="str">
        <x:v>EDIBLE</x:v>
      </x:c>
      <x:c r="L92" s="79" t="str">
        <x:v>بله</x:v>
      </x:c>
      <x:c r="M92" s="79" t="str">
        <x:v>OK</x:v>
      </x:c>
      <x:c r="N92" s="79"/>
      <x:c r="O92" s="79" t="str">
        <x:v>خیر</x:v>
      </x:c>
      <x:c r="P92" s="79" t="str">
        <x:v>چای</x:v>
      </x:c>
      <x:c r="Q92" s="79" t="str">
        <x:v>6a30f5728337d8d2af170bb3</x:v>
      </x:c>
      <x:c r="R92" s="79" t="str">
        <x:v>کیلو</x:v>
      </x:c>
      <x:c r="S92" s="79" t="n">
        <x:v>1590000</x:v>
      </x:c>
      <x:c r="T92" s="79"/>
      <x:c r="U92" s="79"/>
    </x:row>
    <x:row r="93">
      <x:c r="A93" s="79" t="n">
        <x:v>95</x:v>
      </x:c>
      <x:c r="B93" s="79"/>
      <x:c r="C93" s="79" t="str">
        <x:v>چای کرک هل</x:v>
      </x:c>
      <x:c r="D93" s="79" t="str">
        <x:v>چای کرک هل</x:v>
      </x:c>
      <x:c r="E93" s="79" t="str">
        <x:v>single_95</x:v>
      </x:c>
      <x:c r="F93" s="79"/>
      <x:c r="G93" s="79" t="str">
        <x:v>canonical_group_row</x:v>
      </x:c>
      <x:c r="H93" s="79" t="str">
        <x:v>چای</x:v>
      </x:c>
      <x:c r="I93" s="79" t="str">
        <x:v>6a30f5728337d8d2af170bb3</x:v>
      </x:c>
      <x:c r="J93" s="79" t="str">
        <x:v>tea</x:v>
      </x:c>
      <x:c r="K93" s="79" t="str">
        <x:v>EDIBLE</x:v>
      </x:c>
      <x:c r="L93" s="79" t="str">
        <x:v>بله</x:v>
      </x:c>
      <x:c r="M93" s="79" t="str">
        <x:v>OK</x:v>
      </x:c>
      <x:c r="N93" s="79"/>
      <x:c r="O93" s="79" t="str">
        <x:v>خیر</x:v>
      </x:c>
      <x:c r="P93" s="79" t="str">
        <x:v>چای</x:v>
      </x:c>
      <x:c r="Q93" s="79" t="str">
        <x:v>6a30f5728337d8d2af170bb3</x:v>
      </x:c>
      <x:c r="R93" s="79" t="str">
        <x:v>کیلو</x:v>
      </x:c>
      <x:c r="S93" s="79" t="n">
        <x:v>1590000</x:v>
      </x:c>
      <x:c r="T93" s="79"/>
      <x:c r="U93" s="79"/>
    </x:row>
    <x:row r="94">
      <x:c r="A94" s="79" t="n">
        <x:v>96</x:v>
      </x:c>
      <x:c r="B94" s="79" t="str">
        <x:v>NS-0093-1</x:v>
      </x:c>
      <x:c r="C94" s="79" t="str">
        <x:v>چای کوهی</x:v>
      </x:c>
      <x:c r="D94" s="79" t="str">
        <x:v>چای کوهی</x:v>
      </x:c>
      <x:c r="E94" s="79" t="str">
        <x:v>single_96</x:v>
      </x:c>
      <x:c r="F94" s="79"/>
      <x:c r="G94" s="79" t="str">
        <x:v>canonical_group_row</x:v>
      </x:c>
      <x:c r="H94" s="79" t="str">
        <x:v>چای</x:v>
      </x:c>
      <x:c r="I94" s="79" t="str">
        <x:v>6a30f5728337d8d2af170bb3</x:v>
      </x:c>
      <x:c r="J94" s="79" t="str">
        <x:v>tea</x:v>
      </x:c>
      <x:c r="K94" s="79" t="str">
        <x:v>EDIBLE</x:v>
      </x:c>
      <x:c r="L94" s="79" t="str">
        <x:v>بله</x:v>
      </x:c>
      <x:c r="M94" s="79" t="str">
        <x:v>OK</x:v>
      </x:c>
      <x:c r="N94" s="79"/>
      <x:c r="O94" s="79" t="str">
        <x:v>بله</x:v>
      </x:c>
      <x:c r="P94" s="79" t="str">
        <x:v>چای</x:v>
      </x:c>
      <x:c r="Q94" s="79" t="str">
        <x:v>6a30f5728337d8d2af170bb3</x:v>
      </x:c>
      <x:c r="R94" s="79" t="str">
        <x:v>کیلو</x:v>
      </x:c>
      <x:c r="S94" s="79" t="n">
        <x:v>710000</x:v>
      </x:c>
      <x:c r="T94" s="79"/>
      <x:c r="U94" s="79"/>
    </x:row>
    <x:row r="95">
      <x:c r="A95" s="79" t="n">
        <x:v>97</x:v>
      </x:c>
      <x:c r="B95" s="79"/>
      <x:c r="C95" s="79" t="str">
        <x:v>چای ماسالا</x:v>
      </x:c>
      <x:c r="D95" s="79" t="str">
        <x:v>چای ماسالا</x:v>
      </x:c>
      <x:c r="E95" s="79" t="str">
        <x:v>single_97</x:v>
      </x:c>
      <x:c r="F95" s="79"/>
      <x:c r="G95" s="79" t="str">
        <x:v>canonical_group_row</x:v>
      </x:c>
      <x:c r="H95" s="79" t="str">
        <x:v>چای</x:v>
      </x:c>
      <x:c r="I95" s="79" t="str">
        <x:v>6a30f5728337d8d2af170bb3</x:v>
      </x:c>
      <x:c r="J95" s="79" t="str">
        <x:v>tea</x:v>
      </x:c>
      <x:c r="K95" s="79" t="str">
        <x:v>EDIBLE</x:v>
      </x:c>
      <x:c r="L95" s="79" t="str">
        <x:v>بله</x:v>
      </x:c>
      <x:c r="M95" s="79" t="str">
        <x:v>OK</x:v>
      </x:c>
      <x:c r="N95" s="79"/>
      <x:c r="O95" s="79" t="str">
        <x:v>خیر</x:v>
      </x:c>
      <x:c r="P95" s="79" t="str">
        <x:v>چای</x:v>
      </x:c>
      <x:c r="Q95" s="79" t="str">
        <x:v>6a30f5728337d8d2af170bb3</x:v>
      </x:c>
      <x:c r="R95" s="79" t="str">
        <x:v>کیلو</x:v>
      </x:c>
      <x:c r="S95" s="79" t="n">
        <x:v>1800000</x:v>
      </x:c>
      <x:c r="T95" s="79"/>
      <x:c r="U95" s="79"/>
    </x:row>
    <x:row r="96">
      <x:c r="A96" s="79" t="n">
        <x:v>98</x:v>
      </x:c>
      <x:c r="B96" s="79"/>
      <x:c r="C96" s="79" t="str">
        <x:v>چای مراکش</x:v>
      </x:c>
      <x:c r="D96" s="79" t="str">
        <x:v>چای مراکش</x:v>
      </x:c>
      <x:c r="E96" s="79" t="str">
        <x:v>single_98</x:v>
      </x:c>
      <x:c r="F96" s="79"/>
      <x:c r="G96" s="79" t="str">
        <x:v>canonical_group_row</x:v>
      </x:c>
      <x:c r="H96" s="79" t="str">
        <x:v>چای</x:v>
      </x:c>
      <x:c r="I96" s="79" t="str">
        <x:v>6a30f5728337d8d2af170bb3</x:v>
      </x:c>
      <x:c r="J96" s="79" t="str">
        <x:v>tea</x:v>
      </x:c>
      <x:c r="K96" s="79" t="str">
        <x:v>EDIBLE</x:v>
      </x:c>
      <x:c r="L96" s="79" t="str">
        <x:v>بله</x:v>
      </x:c>
      <x:c r="M96" s="79" t="str">
        <x:v>OK</x:v>
      </x:c>
      <x:c r="N96" s="79"/>
      <x:c r="O96" s="79" t="str">
        <x:v>خیر</x:v>
      </x:c>
      <x:c r="P96" s="79" t="str">
        <x:v>چای</x:v>
      </x:c>
      <x:c r="Q96" s="79" t="str">
        <x:v>6a30f5728337d8d2af170bb3</x:v>
      </x:c>
      <x:c r="R96" s="79" t="str">
        <x:v>کیلو</x:v>
      </x:c>
      <x:c r="S96" s="79" t="n">
        <x:v>3800000</x:v>
      </x:c>
      <x:c r="T96" s="79"/>
      <x:c r="U96" s="79"/>
    </x:row>
    <x:row r="97">
      <x:c r="A97" s="79" t="n">
        <x:v>99</x:v>
      </x:c>
      <x:c r="B97" s="79"/>
      <x:c r="C97" s="79" t="str">
        <x:v>چای میوه ای</x:v>
      </x:c>
      <x:c r="D97" s="79" t="str">
        <x:v>چای میوه ای</x:v>
      </x:c>
      <x:c r="E97" s="79" t="str">
        <x:v>single_99</x:v>
      </x:c>
      <x:c r="F97" s="79"/>
      <x:c r="G97" s="79" t="str">
        <x:v>canonical_group_row</x:v>
      </x:c>
      <x:c r="H97" s="79" t="str">
        <x:v>چای</x:v>
      </x:c>
      <x:c r="I97" s="79" t="str">
        <x:v>6a30f5728337d8d2af170bb3</x:v>
      </x:c>
      <x:c r="J97" s="79" t="str">
        <x:v>tea</x:v>
      </x:c>
      <x:c r="K97" s="79" t="str">
        <x:v>EDIBLE</x:v>
      </x:c>
      <x:c r="L97" s="79" t="str">
        <x:v>بله</x:v>
      </x:c>
      <x:c r="M97" s="79" t="str">
        <x:v>OK</x:v>
      </x:c>
      <x:c r="N97" s="79"/>
      <x:c r="O97" s="79" t="str">
        <x:v>خیر</x:v>
      </x:c>
      <x:c r="P97" s="79" t="str">
        <x:v>چای</x:v>
      </x:c>
      <x:c r="Q97" s="79" t="str">
        <x:v>6a30f5728337d8d2af170bb3</x:v>
      </x:c>
      <x:c r="R97" s="79" t="str">
        <x:v>کیلو</x:v>
      </x:c>
      <x:c r="S97" s="79" t="n">
        <x:v>670000</x:v>
      </x:c>
      <x:c r="T97" s="79"/>
      <x:c r="U97" s="79"/>
    </x:row>
    <x:row r="98">
      <x:c r="A98" s="79" t="n">
        <x:v>100</x:v>
      </x:c>
      <x:c r="B98" s="79" t="str">
        <x:v>NS-0097-1</x:v>
      </x:c>
      <x:c r="C98" s="79" t="str">
        <x:v>چهار تخم</x:v>
      </x:c>
      <x:c r="D98" s="79" t="str">
        <x:v>چهار تخم</x:v>
      </x:c>
      <x:c r="E98" s="79" t="str">
        <x:v>single_100</x:v>
      </x:c>
      <x:c r="F98" s="79"/>
      <x:c r="G98" s="79" t="str">
        <x:v>canonical_group_row</x:v>
      </x:c>
      <x:c r="H98" s="79" t="str">
        <x:v>خشکبار و آجیل</x:v>
      </x:c>
      <x:c r="I98" s="79" t="str">
        <x:v>6a37810ddf5573f4e676e201</x:v>
      </x:c>
      <x:c r="J98" s="79" t="str">
        <x:v>dried-fruits-nuts</x:v>
      </x:c>
      <x:c r="K98" s="79" t="str">
        <x:v>EDIBLE</x:v>
      </x:c>
      <x:c r="L98" s="79" t="str">
        <x:v>بله</x:v>
      </x:c>
      <x:c r="M98" s="79" t="str">
        <x:v>OK</x:v>
      </x:c>
      <x:c r="N98" s="79"/>
      <x:c r="O98" s="79" t="str">
        <x:v>بله</x:v>
      </x:c>
      <x:c r="P98" s="79" t="str">
        <x:v>خشکبار و آجیل</x:v>
      </x:c>
      <x:c r="Q98" s="79" t="str">
        <x:v>6a37810ddf5573f4e676e201</x:v>
      </x:c>
      <x:c r="R98" s="79" t="str">
        <x:v>کیلو</x:v>
      </x:c>
      <x:c r="S98" s="79" t="n">
        <x:v>950000</x:v>
      </x:c>
      <x:c r="T98" s="79"/>
      <x:c r="U98" s="79"/>
    </x:row>
    <x:row r="99">
      <x:c r="A99" s="79" t="n">
        <x:v>101</x:v>
      </x:c>
      <x:c r="B99" s="79" t="str">
        <x:v>NS-0098-1</x:v>
      </x:c>
      <x:c r="C99" s="79" t="str">
        <x:v>چوبک</x:v>
      </x:c>
      <x:c r="D99" s="79" t="str">
        <x:v>چوبک</x:v>
      </x:c>
      <x:c r="E99" s="79" t="str">
        <x:v>single_101</x:v>
      </x:c>
      <x:c r="F99" s="79"/>
      <x:c r="G99" s="79" t="str">
        <x:v>canonical_group_row</x:v>
      </x:c>
      <x:c r="H99" s="79" t="str">
        <x:v>گیاهان دارویی</x:v>
      </x:c>
      <x:c r="I99" s="79" t="str">
        <x:v>6a3782d7df5573f4e676e243</x:v>
      </x:c>
      <x:c r="J99" s="79" t="str">
        <x:v>medicinal-plants</x:v>
      </x:c>
      <x:c r="K99" s="79" t="str">
        <x:v>EDIBLE</x:v>
      </x:c>
      <x:c r="L99" s="79" t="str">
        <x:v>بله</x:v>
      </x:c>
      <x:c r="M99" s="79" t="str">
        <x:v>OK</x:v>
      </x:c>
      <x:c r="N99" s="79" t="str">
        <x:v>دسته از «نیاز به بررسی» به «گیاهان دارویی» اصلاح شد</x:v>
      </x:c>
      <x:c r="O99" s="79" t="str">
        <x:v>بله</x:v>
      </x:c>
      <x:c r="P99" s="79" t="str">
        <x:v>نیاز به بررسی</x:v>
      </x:c>
      <x:c r="Q99" s="79"/>
      <x:c r="R99" s="79" t="str">
        <x:v>ریشه خشک</x:v>
      </x:c>
      <x:c r="S99" s="79" t="n">
        <x:v>900000</x:v>
      </x:c>
      <x:c r="T99" s="79"/>
      <x:c r="U99" s="79"/>
    </x:row>
    <x:row r="100">
      <x:c r="A100" s="79" t="n">
        <x:v>102</x:v>
      </x:c>
      <x:c r="B100" s="79" t="str">
        <x:v>NS-0099-1</x:v>
      </x:c>
      <x:c r="C100" s="79" t="str">
        <x:v>چیاسید</x:v>
      </x:c>
      <x:c r="D100" s="79" t="str">
        <x:v>چیاسید</x:v>
      </x:c>
      <x:c r="E100" s="79" t="str">
        <x:v>single_102</x:v>
      </x:c>
      <x:c r="F100" s="79"/>
      <x:c r="G100" s="79" t="str">
        <x:v>canonical_group_row</x:v>
      </x:c>
      <x:c r="H100" s="79" t="str">
        <x:v>خشکبار و آجیل</x:v>
      </x:c>
      <x:c r="I100" s="79" t="str">
        <x:v>6a37810ddf5573f4e676e201</x:v>
      </x:c>
      <x:c r="J100" s="79" t="str">
        <x:v>dried-fruits-nuts</x:v>
      </x:c>
      <x:c r="K100" s="79" t="str">
        <x:v>EDIBLE</x:v>
      </x:c>
      <x:c r="L100" s="79" t="str">
        <x:v>بله</x:v>
      </x:c>
      <x:c r="M100" s="79" t="str">
        <x:v>OK</x:v>
      </x:c>
      <x:c r="N100" s="79" t="str">
        <x:v>دسته از «نیاز به بررسی» به «خشکبار و آجیل» اصلاح شد</x:v>
      </x:c>
      <x:c r="O100" s="79" t="str">
        <x:v>بله</x:v>
      </x:c>
      <x:c r="P100" s="79" t="str">
        <x:v>نیاز به بررسی</x:v>
      </x:c>
      <x:c r="Q100" s="79"/>
      <x:c r="R100" s="79" t="str">
        <x:v>کیلو</x:v>
      </x:c>
      <x:c r="S100" s="79" t="n">
        <x:v>1100000</x:v>
      </x:c>
      <x:c r="T100" s="79"/>
      <x:c r="U100" s="79"/>
    </x:row>
    <x:row r="101">
      <x:c r="A101" s="79" t="n">
        <x:v>103</x:v>
      </x:c>
      <x:c r="B101" s="79" t="str">
        <x:v>NS-0100-1</x:v>
      </x:c>
      <x:c r="C101" s="79" t="str">
        <x:v>حلوا ارده پسته ای</x:v>
      </x:c>
      <x:c r="D101" s="79" t="str">
        <x:v>حلوا ارده</x:v>
      </x:c>
      <x:c r="E101" s="79" t="str">
        <x:v>grp_halva_ardeh</x:v>
      </x:c>
      <x:c r="F101" s="79" t="str">
        <x:v>پسته‌ای</x:v>
      </x:c>
      <x:c r="G101" s="79" t="str">
        <x:v>canonical_group_row</x:v>
      </x:c>
      <x:c r="H101" s="79" t="str">
        <x:v>قنادی و شیرینی</x:v>
      </x:c>
      <x:c r="I101" s="79" t="str">
        <x:v>6a3a00000000000000000003</x:v>
      </x:c>
      <x:c r="J101" s="79" t="str">
        <x:v>confectionery</x:v>
      </x:c>
      <x:c r="K101" s="79" t="str">
        <x:v>EDIBLE</x:v>
      </x:c>
      <x:c r="L101" s="79" t="str">
        <x:v>بله</x:v>
      </x:c>
      <x:c r="M101" s="79" t="str">
        <x:v>MERGED</x:v>
      </x:c>
      <x:c r="N101" s="79"/>
      <x:c r="O101" s="79" t="str">
        <x:v>بله</x:v>
      </x:c>
      <x:c r="P101" s="79" t="str">
        <x:v>قنادی و شیرینی</x:v>
      </x:c>
      <x:c r="Q101" s="79" t="str">
        <x:v>6a3a00000000000000000003</x:v>
      </x:c>
      <x:c r="R101" s="79" t="str">
        <x:v>500 گرمی</x:v>
      </x:c>
      <x:c r="S101" s="79" t="n">
        <x:v>430000</x:v>
      </x:c>
      <x:c r="T101" s="79"/>
      <x:c r="U101" s="79"/>
    </x:row>
    <x:row r="102">
      <x:c r="A102" s="79" t="n">
        <x:v>104</x:v>
      </x:c>
      <x:c r="B102" s="79" t="str">
        <x:v>NS-0101-1</x:v>
      </x:c>
      <x:c r="C102" s="79" t="str">
        <x:v>حلوا ارده ساده</x:v>
      </x:c>
      <x:c r="D102" s="79" t="str">
        <x:v>حلوا ارده</x:v>
      </x:c>
      <x:c r="E102" s="79" t="str">
        <x:v>grp_halva_ardeh</x:v>
      </x:c>
      <x:c r="F102" s="79" t="str">
        <x:v>ساده</x:v>
      </x:c>
      <x:c r="G102" s="79" t="str">
        <x:v>merge_into_canonical_group</x:v>
      </x:c>
      <x:c r="H102" s="79" t="str">
        <x:v>قنادی و شیرینی</x:v>
      </x:c>
      <x:c r="I102" s="79" t="str">
        <x:v>6a3a00000000000000000003</x:v>
      </x:c>
      <x:c r="J102" s="79" t="str">
        <x:v>confectionery</x:v>
      </x:c>
      <x:c r="K102" s="79" t="str">
        <x:v>EDIBLE</x:v>
      </x:c>
      <x:c r="L102" s="79" t="str">
        <x:v>بله</x:v>
      </x:c>
      <x:c r="M102" s="79" t="str">
        <x:v>MERGED</x:v>
      </x:c>
      <x:c r="N102" s="79"/>
      <x:c r="O102" s="79" t="str">
        <x:v>بله</x:v>
      </x:c>
      <x:c r="P102" s="79" t="str">
        <x:v>قنادی و شیرینی</x:v>
      </x:c>
      <x:c r="Q102" s="79" t="str">
        <x:v>6a3a00000000000000000003</x:v>
      </x:c>
      <x:c r="R102" s="79" t="str">
        <x:v>500 گرمی</x:v>
      </x:c>
      <x:c r="S102" s="79" t="n">
        <x:v>350000</x:v>
      </x:c>
      <x:c r="T102" s="79"/>
      <x:c r="U102" s="79"/>
    </x:row>
    <x:row r="103">
      <x:c r="A103" s="79" t="n">
        <x:v>105</x:v>
      </x:c>
      <x:c r="B103" s="79" t="str">
        <x:v>NS-0102-1</x:v>
      </x:c>
      <x:c r="C103" s="79" t="str">
        <x:v>حلوا پشمکی</x:v>
      </x:c>
      <x:c r="D103" s="79" t="str">
        <x:v>حلوا پشمکی</x:v>
      </x:c>
      <x:c r="E103" s="79" t="str">
        <x:v>single_105</x:v>
      </x:c>
      <x:c r="F103" s="79"/>
      <x:c r="G103" s="79" t="str">
        <x:v>canonical_group_row</x:v>
      </x:c>
      <x:c r="H103" s="79" t="str">
        <x:v>قنادی و شیرینی</x:v>
      </x:c>
      <x:c r="I103" s="79" t="str">
        <x:v>6a3a00000000000000000003</x:v>
      </x:c>
      <x:c r="J103" s="79" t="str">
        <x:v>confectionery</x:v>
      </x:c>
      <x:c r="K103" s="79" t="str">
        <x:v>EDIBLE</x:v>
      </x:c>
      <x:c r="L103" s="79" t="str">
        <x:v>بله</x:v>
      </x:c>
      <x:c r="M103" s="79" t="str">
        <x:v>OK</x:v>
      </x:c>
      <x:c r="N103" s="79"/>
      <x:c r="O103" s="79" t="str">
        <x:v>بله</x:v>
      </x:c>
      <x:c r="P103" s="79" t="str">
        <x:v>قنادی و شیرینی</x:v>
      </x:c>
      <x:c r="Q103" s="79" t="str">
        <x:v>6a3a00000000000000000003</x:v>
      </x:c>
      <x:c r="R103" s="79" t="str">
        <x:v>کیلو</x:v>
      </x:c>
      <x:c r="S103" s="79" t="n">
        <x:v>330000</x:v>
      </x:c>
      <x:c r="T103" s="79"/>
      <x:c r="U103" s="79"/>
    </x:row>
    <x:row r="104">
      <x:c r="A104" s="79" t="n">
        <x:v>106</x:v>
      </x:c>
      <x:c r="B104" s="79" t="str">
        <x:v>NS-0103-1</x:v>
      </x:c>
      <x:c r="C104" s="79" t="str">
        <x:v>حلوا روغنی</x:v>
      </x:c>
      <x:c r="D104" s="79" t="str">
        <x:v>حلوا روغنی</x:v>
      </x:c>
      <x:c r="E104" s="79" t="str">
        <x:v>single_106</x:v>
      </x:c>
      <x:c r="F104" s="79"/>
      <x:c r="G104" s="79" t="str">
        <x:v>canonical_group_row</x:v>
      </x:c>
      <x:c r="H104" s="79" t="str">
        <x:v>قنادی و شیرینی</x:v>
      </x:c>
      <x:c r="I104" s="79" t="str">
        <x:v>6a3a00000000000000000003</x:v>
      </x:c>
      <x:c r="J104" s="79" t="str">
        <x:v>confectionery</x:v>
      </x:c>
      <x:c r="K104" s="79" t="str">
        <x:v>EDIBLE</x:v>
      </x:c>
      <x:c r="L104" s="79" t="str">
        <x:v>بله</x:v>
      </x:c>
      <x:c r="M104" s="79" t="str">
        <x:v>OK</x:v>
      </x:c>
      <x:c r="N104" s="79" t="str">
        <x:v>دسته از «روغن» به «قنادی و شیرینی» اصلاح شد</x:v>
      </x:c>
      <x:c r="O104" s="79" t="str">
        <x:v>بله</x:v>
      </x:c>
      <x:c r="P104" s="79" t="str">
        <x:v>روغن</x:v>
      </x:c>
      <x:c r="Q104" s="79" t="str">
        <x:v>6a2d446d45c164ce6f28ae30</x:v>
      </x:c>
      <x:c r="R104" s="79" t="str">
        <x:v>کیلو</x:v>
      </x:c>
      <x:c r="S104" s="79" t="n">
        <x:v>350000</x:v>
      </x:c>
      <x:c r="T104" s="79"/>
      <x:c r="U104" s="79"/>
    </x:row>
    <x:row r="105">
      <x:c r="A105" s="79" t="n">
        <x:v>107</x:v>
      </x:c>
      <x:c r="B105" s="79" t="str">
        <x:v>NS-0104-1</x:v>
      </x:c>
      <x:c r="C105" s="79" t="str">
        <x:v>حلوا طنابی</x:v>
      </x:c>
      <x:c r="D105" s="79" t="str">
        <x:v>حلوا طنابی</x:v>
      </x:c>
      <x:c r="E105" s="79" t="str">
        <x:v>single_107</x:v>
      </x:c>
      <x:c r="F105" s="79"/>
      <x:c r="G105" s="79" t="str">
        <x:v>canonical_group_row</x:v>
      </x:c>
      <x:c r="H105" s="79" t="str">
        <x:v>قنادی و شیرینی</x:v>
      </x:c>
      <x:c r="I105" s="79" t="str">
        <x:v>6a3a00000000000000000003</x:v>
      </x:c>
      <x:c r="J105" s="79" t="str">
        <x:v>confectionery</x:v>
      </x:c>
      <x:c r="K105" s="79" t="str">
        <x:v>EDIBLE</x:v>
      </x:c>
      <x:c r="L105" s="79" t="str">
        <x:v>بله</x:v>
      </x:c>
      <x:c r="M105" s="79" t="str">
        <x:v>OK</x:v>
      </x:c>
      <x:c r="N105" s="79"/>
      <x:c r="O105" s="79" t="str">
        <x:v>بله</x:v>
      </x:c>
      <x:c r="P105" s="79" t="str">
        <x:v>قنادی و شیرینی</x:v>
      </x:c>
      <x:c r="Q105" s="79" t="str">
        <x:v>6a3a00000000000000000003</x:v>
      </x:c>
      <x:c r="R105" s="79" t="str">
        <x:v>کیلو</x:v>
      </x:c>
      <x:c r="S105" s="79" t="n">
        <x:v>350000</x:v>
      </x:c>
      <x:c r="T105" s="79"/>
      <x:c r="U105" s="79"/>
    </x:row>
    <x:row r="106">
      <x:c r="A106" s="79" t="n">
        <x:v>108</x:v>
      </x:c>
      <x:c r="B106" s="79" t="str">
        <x:v>NS-0105-1</x:v>
      </x:c>
      <x:c r="C106" s="79" t="str">
        <x:v>حلوا کشی</x:v>
      </x:c>
      <x:c r="D106" s="79" t="str">
        <x:v>حلوا کشی</x:v>
      </x:c>
      <x:c r="E106" s="79" t="str">
        <x:v>single_108</x:v>
      </x:c>
      <x:c r="F106" s="79"/>
      <x:c r="G106" s="79" t="str">
        <x:v>canonical_group_row</x:v>
      </x:c>
      <x:c r="H106" s="79" t="str">
        <x:v>قنادی و شیرینی</x:v>
      </x:c>
      <x:c r="I106" s="79" t="str">
        <x:v>6a3a00000000000000000003</x:v>
      </x:c>
      <x:c r="J106" s="79" t="str">
        <x:v>confectionery</x:v>
      </x:c>
      <x:c r="K106" s="79" t="str">
        <x:v>EDIBLE</x:v>
      </x:c>
      <x:c r="L106" s="79" t="str">
        <x:v>بله</x:v>
      </x:c>
      <x:c r="M106" s="79" t="str">
        <x:v>OK</x:v>
      </x:c>
      <x:c r="N106" s="79"/>
      <x:c r="O106" s="79" t="str">
        <x:v>بله</x:v>
      </x:c>
      <x:c r="P106" s="79" t="str">
        <x:v>قنادی و شیرینی</x:v>
      </x:c>
      <x:c r="Q106" s="79" t="str">
        <x:v>6a3a00000000000000000003</x:v>
      </x:c>
      <x:c r="R106" s="79" t="str">
        <x:v>کیلو</x:v>
      </x:c>
      <x:c r="S106" s="79" t="n">
        <x:v>330000</x:v>
      </x:c>
      <x:c r="T106" s="79"/>
      <x:c r="U106" s="79"/>
    </x:row>
    <x:row r="107">
      <x:c r="A107" s="79" t="n">
        <x:v>109</x:v>
      </x:c>
      <x:c r="B107" s="79" t="str">
        <x:v>NS-0106-1</x:v>
      </x:c>
      <x:c r="C107" s="79" t="str">
        <x:v>حنا</x:v>
      </x:c>
      <x:c r="D107" s="79" t="str">
        <x:v>حنا</x:v>
      </x:c>
      <x:c r="E107" s="79" t="str">
        <x:v>single_109</x:v>
      </x:c>
      <x:c r="F107" s="79"/>
      <x:c r="G107" s="79" t="str">
        <x:v>canonical_group_row</x:v>
      </x:c>
      <x:c r="H107" s="79" t="str">
        <x:v>گیاهان دارویی</x:v>
      </x:c>
      <x:c r="I107" s="79" t="str">
        <x:v>6a3782d7df5573f4e676e243</x:v>
      </x:c>
      <x:c r="J107" s="79" t="str">
        <x:v>medicinal-plants</x:v>
      </x:c>
      <x:c r="K107" s="79" t="str">
        <x:v>TOPICAL</x:v>
      </x:c>
      <x:c r="L107" s="79" t="str">
        <x:v>خیر</x:v>
      </x:c>
      <x:c r="M107" s="79" t="str">
        <x:v>MISSING_PRICE_REVIEW</x:v>
      </x:c>
      <x:c r="N107" s="79" t="str">
        <x:v>دسته قبلاً خالی/نیازمند بررسی بود؛ بر اساس ماهیت موضعی/غیرخوراکی به گیاهان دارویی منتقل شد | نوع مصرف به موضعی/غیرخوراکی اصلاح شد | یک یا چند قیمت نامشخص است</x:v>
      </x:c>
      <x:c r="O107" s="79" t="str">
        <x:v>بله</x:v>
      </x:c>
      <x:c r="P107" s="79" t="str">
        <x:v>نیاز به بررسی</x:v>
      </x:c>
      <x:c r="Q107" s="79"/>
      <x:c r="R107" s="79" t="str">
        <x:v>کیلو</x:v>
      </x:c>
      <x:c r="S107" s="79"/>
      <x:c r="T107" s="79"/>
      <x:c r="U107" s="79"/>
    </x:row>
    <x:row r="108">
      <x:c r="A108" s="79" t="n">
        <x:v>110</x:v>
      </x:c>
      <x:c r="B108" s="79" t="str">
        <x:v>NS-0107-1</x:v>
      </x:c>
      <x:c r="C108" s="79" t="str">
        <x:v>حنا بی رنگ</x:v>
      </x:c>
      <x:c r="D108" s="79" t="str">
        <x:v>حنا بی رنگ</x:v>
      </x:c>
      <x:c r="E108" s="79" t="str">
        <x:v>single_110</x:v>
      </x:c>
      <x:c r="F108" s="79"/>
      <x:c r="G108" s="79" t="str">
        <x:v>canonical_group_row</x:v>
      </x:c>
      <x:c r="H108" s="79" t="str">
        <x:v>گیاهان دارویی</x:v>
      </x:c>
      <x:c r="I108" s="79" t="str">
        <x:v>6a3782d7df5573f4e676e243</x:v>
      </x:c>
      <x:c r="J108" s="79" t="str">
        <x:v>medicinal-plants</x:v>
      </x:c>
      <x:c r="K108" s="79" t="str">
        <x:v>TOPICAL</x:v>
      </x:c>
      <x:c r="L108" s="79" t="str">
        <x:v>خیر</x:v>
      </x:c>
      <x:c r="M108" s="79" t="str">
        <x:v>OK</x:v>
      </x:c>
      <x:c r="N10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108" s="79" t="str">
        <x:v>بله</x:v>
      </x:c>
      <x:c r="P108" s="79" t="str">
        <x:v>نیاز به بررسی</x:v>
      </x:c>
      <x:c r="Q108" s="79"/>
      <x:c r="R108" s="79" t="str">
        <x:v>250 گرمی</x:v>
      </x:c>
      <x:c r="S108" s="79" t="n">
        <x:v>150000</x:v>
      </x:c>
      <x:c r="T108" s="79"/>
      <x:c r="U108" s="79"/>
    </x:row>
    <x:row r="109">
      <x:c r="A109" s="79" t="n">
        <x:v>111</x:v>
      </x:c>
      <x:c r="B109" s="79" t="str">
        <x:v>NS-0108-1</x:v>
      </x:c>
      <x:c r="C109" s="79" t="str">
        <x:v>خاکشیر همدان</x:v>
      </x:c>
      <x:c r="D109" s="79" t="str">
        <x:v>خاکشیر همدان</x:v>
      </x:c>
      <x:c r="E109" s="79" t="str">
        <x:v>single_111</x:v>
      </x:c>
      <x:c r="F109" s="79"/>
      <x:c r="G109" s="79" t="str">
        <x:v>canonical_group_row</x:v>
      </x:c>
      <x:c r="H109" s="79" t="str">
        <x:v>گیاهان دارویی</x:v>
      </x:c>
      <x:c r="I109" s="79" t="str">
        <x:v>6a3782d7df5573f4e676e243</x:v>
      </x:c>
      <x:c r="J109" s="79" t="str">
        <x:v>medicinal-plants</x:v>
      </x:c>
      <x:c r="K109" s="79" t="str">
        <x:v>EDIBLE</x:v>
      </x:c>
      <x:c r="L109" s="79" t="str">
        <x:v>بله</x:v>
      </x:c>
      <x:c r="M109" s="79" t="str">
        <x:v>OK</x:v>
      </x:c>
      <x:c r="N109" s="79"/>
      <x:c r="O109" s="79" t="str">
        <x:v>بله</x:v>
      </x:c>
      <x:c r="P109" s="79" t="str">
        <x:v>گیاهان دارویی</x:v>
      </x:c>
      <x:c r="Q109" s="79" t="str">
        <x:v>6a3782d7df5573f4e676e243</x:v>
      </x:c>
      <x:c r="R109" s="79" t="str">
        <x:v>کیلو</x:v>
      </x:c>
      <x:c r="S109" s="79" t="n">
        <x:v>390000</x:v>
      </x:c>
      <x:c r="T109" s="79"/>
      <x:c r="U109" s="79"/>
    </x:row>
    <x:row r="110">
      <x:c r="A110" s="79" t="n">
        <x:v>112</x:v>
      </x:c>
      <x:c r="B110" s="79" t="str">
        <x:v>NS-0109-1</x:v>
      </x:c>
      <x:c r="C110" s="79" t="str">
        <x:v>خرفه</x:v>
      </x:c>
      <x:c r="D110" s="79" t="str">
        <x:v>خرفه</x:v>
      </x:c>
      <x:c r="E110" s="79" t="str">
        <x:v>single_112</x:v>
      </x:c>
      <x:c r="F110" s="79"/>
      <x:c r="G110" s="79" t="str">
        <x:v>canonical_group_row</x:v>
      </x:c>
      <x:c r="H110" s="79" t="str">
        <x:v>گیاهان دارویی</x:v>
      </x:c>
      <x:c r="I110" s="79" t="str">
        <x:v>6a3782d7df5573f4e676e243</x:v>
      </x:c>
      <x:c r="J110" s="79" t="str">
        <x:v>medicinal-plants</x:v>
      </x:c>
      <x:c r="K110" s="79" t="str">
        <x:v>EDIBLE</x:v>
      </x:c>
      <x:c r="L110" s="79" t="str">
        <x:v>بله</x:v>
      </x:c>
      <x:c r="M110" s="79" t="str">
        <x:v>OK</x:v>
      </x:c>
      <x:c r="N110" s="79" t="str">
        <x:v>دسته از «نیاز به بررسی» به «گیاهان دارویی» اصلاح شد</x:v>
      </x:c>
      <x:c r="O110" s="79" t="str">
        <x:v>بله</x:v>
      </x:c>
      <x:c r="P110" s="79" t="str">
        <x:v>نیاز به بررسی</x:v>
      </x:c>
      <x:c r="Q110" s="79"/>
      <x:c r="R110" s="79" t="str">
        <x:v>کیلو</x:v>
      </x:c>
      <x:c r="S110" s="79" t="n">
        <x:v>700000</x:v>
      </x:c>
      <x:c r="T110" s="79"/>
      <x:c r="U110" s="79"/>
    </x:row>
    <x:row r="111">
      <x:c r="A111" s="79" t="n">
        <x:v>113</x:v>
      </x:c>
      <x:c r="B111" s="79" t="str">
        <x:v>NS-0110-1</x:v>
      </x:c>
      <x:c r="C111" s="79" t="str">
        <x:v>خمیر مایه فریمان</x:v>
      </x:c>
      <x:c r="D111" s="79" t="str">
        <x:v>خمیر مایه فریمان</x:v>
      </x:c>
      <x:c r="E111" s="79" t="str">
        <x:v>single_113</x:v>
      </x:c>
      <x:c r="F111" s="79"/>
      <x:c r="G111" s="79" t="str">
        <x:v>canonical_group_row</x:v>
      </x:c>
      <x:c r="H111" s="79" t="str">
        <x:v>آرد و قنادی</x:v>
      </x:c>
      <x:c r="I111" s="79" t="str">
        <x:v>6a3a00000000000000000004</x:v>
      </x:c>
      <x:c r="J111" s="79" t="str">
        <x:v>flour-confectionery</x:v>
      </x:c>
      <x:c r="K111" s="79" t="str">
        <x:v>EDIBLE</x:v>
      </x:c>
      <x:c r="L111" s="79" t="str">
        <x:v>بله</x:v>
      </x:c>
      <x:c r="M111" s="79" t="str">
        <x:v>OK</x:v>
      </x:c>
      <x:c r="N111" s="79" t="str">
        <x:v>دسته از «نیاز به بررسی» به «آرد و قنادی» اصلاح شد</x:v>
      </x:c>
      <x:c r="O111" s="79" t="str">
        <x:v>بله</x:v>
      </x:c>
      <x:c r="P111" s="79" t="str">
        <x:v>نیاز به بررسی</x:v>
      </x:c>
      <x:c r="Q111" s="79"/>
      <x:c r="R111" s="79" t="str">
        <x:v>کیلو</x:v>
      </x:c>
      <x:c r="S111" s="79" t="n">
        <x:v>480000</x:v>
      </x:c>
      <x:c r="T111" s="79"/>
      <x:c r="U111" s="79"/>
    </x:row>
    <x:row r="112">
      <x:c r="A112" s="79" t="n">
        <x:v>114</x:v>
      </x:c>
      <x:c r="B112" s="79" t="str">
        <x:v>NS-0111-1</x:v>
      </x:c>
      <x:c r="C112" s="79" t="str">
        <x:v>دارچین سیگاری</x:v>
      </x:c>
      <x:c r="D112" s="79" t="str">
        <x:v>دارچین سیگاری</x:v>
      </x:c>
      <x:c r="E112" s="79" t="str">
        <x:v>single_114</x:v>
      </x:c>
      <x:c r="F112" s="79"/>
      <x:c r="G112" s="79" t="str">
        <x:v>canonical_group_row</x:v>
      </x:c>
      <x:c r="H112" s="79" t="str">
        <x:v>ادویه</x:v>
      </x:c>
      <x:c r="I112" s="79" t="str">
        <x:v>6a3781e4df5573f4e676e226</x:v>
      </x:c>
      <x:c r="J112" s="79" t="str">
        <x:v>spice</x:v>
      </x:c>
      <x:c r="K112" s="79" t="str">
        <x:v>EDIBLE</x:v>
      </x:c>
      <x:c r="L112" s="79" t="str">
        <x:v>بله</x:v>
      </x:c>
      <x:c r="M112" s="79" t="str">
        <x:v>OK</x:v>
      </x:c>
      <x:c r="N112" s="79"/>
      <x:c r="O112" s="79" t="str">
        <x:v>بله</x:v>
      </x:c>
      <x:c r="P112" s="79" t="str">
        <x:v>ادویه</x:v>
      </x:c>
      <x:c r="Q112" s="79" t="str">
        <x:v>6a3781e4df5573f4e676e226</x:v>
      </x:c>
      <x:c r="R112" s="79" t="str">
        <x:v>کیلو</x:v>
      </x:c>
      <x:c r="S112" s="79" t="n">
        <x:v>1900000</x:v>
      </x:c>
      <x:c r="T112" s="79"/>
      <x:c r="U112" s="79"/>
    </x:row>
    <x:row r="113">
      <x:c r="A113" s="79" t="n">
        <x:v>115</x:v>
      </x:c>
      <x:c r="B113" s="79" t="str">
        <x:v>NS-0112-1</x:v>
      </x:c>
      <x:c r="C113" s="79" t="str">
        <x:v>دارچین سیلان</x:v>
      </x:c>
      <x:c r="D113" s="79" t="str">
        <x:v>دارچین سیلان</x:v>
      </x:c>
      <x:c r="E113" s="79" t="str">
        <x:v>single_115</x:v>
      </x:c>
      <x:c r="F113" s="79"/>
      <x:c r="G113" s="79" t="str">
        <x:v>canonical_group_row</x:v>
      </x:c>
      <x:c r="H113" s="79" t="str">
        <x:v>ادویه</x:v>
      </x:c>
      <x:c r="I113" s="79" t="str">
        <x:v>6a3781e4df5573f4e676e226</x:v>
      </x:c>
      <x:c r="J113" s="79" t="str">
        <x:v>spice</x:v>
      </x:c>
      <x:c r="K113" s="79" t="str">
        <x:v>EDIBLE</x:v>
      </x:c>
      <x:c r="L113" s="79" t="str">
        <x:v>بله</x:v>
      </x:c>
      <x:c r="M113" s="79" t="str">
        <x:v>MISSING_PRICE_REVIEW</x:v>
      </x:c>
      <x:c r="N113" s="79" t="str">
        <x:v>یک یا چند قیمت نامشخص است</x:v>
      </x:c>
      <x:c r="O113" s="79" t="str">
        <x:v>بله</x:v>
      </x:c>
      <x:c r="P113" s="79" t="str">
        <x:v>ادویه</x:v>
      </x:c>
      <x:c r="Q113" s="79" t="str">
        <x:v>6a3781e4df5573f4e676e226</x:v>
      </x:c>
      <x:c r="R113" s="79" t="str">
        <x:v>کیلو</x:v>
      </x:c>
      <x:c r="S113" s="79"/>
      <x:c r="T113" s="79"/>
      <x:c r="U113" s="79"/>
    </x:row>
    <x:row r="114">
      <x:c r="A114" s="79" t="n">
        <x:v>116</x:v>
      </x:c>
      <x:c r="B114" s="79" t="str">
        <x:v>NS-0113-1</x:v>
      </x:c>
      <x:c r="C114" s="79" t="str">
        <x:v>دارچین گل سرخی</x:v>
      </x:c>
      <x:c r="D114" s="79" t="str">
        <x:v>دارچین گل سرخی</x:v>
      </x:c>
      <x:c r="E114" s="79" t="str">
        <x:v>single_116</x:v>
      </x:c>
      <x:c r="F114" s="79"/>
      <x:c r="G114" s="79" t="str">
        <x:v>canonical_group_row</x:v>
      </x:c>
      <x:c r="H114" s="79" t="str">
        <x:v>ادویه</x:v>
      </x:c>
      <x:c r="I114" s="79" t="str">
        <x:v>6a3781e4df5573f4e676e226</x:v>
      </x:c>
      <x:c r="J114" s="79" t="str">
        <x:v>spice</x:v>
      </x:c>
      <x:c r="K114" s="79" t="str">
        <x:v>EDIBLE</x:v>
      </x:c>
      <x:c r="L114" s="79" t="str">
        <x:v>بله</x:v>
      </x:c>
      <x:c r="M114" s="79" t="str">
        <x:v>OK</x:v>
      </x:c>
      <x:c r="N114" s="79"/>
      <x:c r="O114" s="79" t="str">
        <x:v>بله</x:v>
      </x:c>
      <x:c r="P114" s="79" t="str">
        <x:v>ادویه</x:v>
      </x:c>
      <x:c r="Q114" s="79" t="str">
        <x:v>6a3781e4df5573f4e676e226</x:v>
      </x:c>
      <x:c r="R114" s="79" t="str">
        <x:v>کیلو</x:v>
      </x:c>
      <x:c r="S114" s="79" t="n">
        <x:v>850000</x:v>
      </x:c>
      <x:c r="T114" s="79"/>
      <x:c r="U114" s="79"/>
    </x:row>
    <x:row r="115">
      <x:c r="A115" s="79" t="n">
        <x:v>117</x:v>
      </x:c>
      <x:c r="B115" s="79"/>
      <x:c r="C115" s="79" t="str">
        <x:v>دمنوش 10 گیاه</x:v>
      </x:c>
      <x:c r="D115" s="79" t="str">
        <x:v>دمنوش 10 گیاه</x:v>
      </x:c>
      <x:c r="E115" s="79" t="str">
        <x:v>single_117</x:v>
      </x:c>
      <x:c r="F115" s="79"/>
      <x:c r="G115" s="79" t="str">
        <x:v>canonical_group_row</x:v>
      </x:c>
      <x:c r="H115" s="79" t="str">
        <x:v>چای</x:v>
      </x:c>
      <x:c r="I115" s="79" t="str">
        <x:v>6a30f5728337d8d2af170bb3</x:v>
      </x:c>
      <x:c r="J115" s="79" t="str">
        <x:v>tea</x:v>
      </x:c>
      <x:c r="K115" s="79" t="str">
        <x:v>EDIBLE</x:v>
      </x:c>
      <x:c r="L115" s="79" t="str">
        <x:v>بله</x:v>
      </x:c>
      <x:c r="M115" s="79" t="str">
        <x:v>OK</x:v>
      </x:c>
      <x:c r="N115" s="79"/>
      <x:c r="O115" s="79" t="str">
        <x:v>خیر</x:v>
      </x:c>
      <x:c r="P115" s="79" t="str">
        <x:v>چای</x:v>
      </x:c>
      <x:c r="Q115" s="79" t="str">
        <x:v>6a30f5728337d8d2af170bb3</x:v>
      </x:c>
      <x:c r="R115" s="79" t="str">
        <x:v>کیلو</x:v>
      </x:c>
      <x:c r="S115" s="79" t="n">
        <x:v>120000</x:v>
      </x:c>
      <x:c r="T115" s="79"/>
      <x:c r="U115" s="79"/>
    </x:row>
    <x:row r="116">
      <x:c r="A116" s="79" t="n">
        <x:v>118</x:v>
      </x:c>
      <x:c r="B116" s="79"/>
      <x:c r="C116" s="79" t="str">
        <x:v>دمنوش آویشن</x:v>
      </x:c>
      <x:c r="D116" s="79" t="str">
        <x:v>دمنوش آویشن</x:v>
      </x:c>
      <x:c r="E116" s="79" t="str">
        <x:v>single_118</x:v>
      </x:c>
      <x:c r="F116" s="79"/>
      <x:c r="G116" s="79" t="str">
        <x:v>canonical_group_row</x:v>
      </x:c>
      <x:c r="H116" s="79" t="str">
        <x:v>چای</x:v>
      </x:c>
      <x:c r="I116" s="79" t="str">
        <x:v>6a30f5728337d8d2af170bb3</x:v>
      </x:c>
      <x:c r="J116" s="79" t="str">
        <x:v>tea</x:v>
      </x:c>
      <x:c r="K116" s="79" t="str">
        <x:v>EDIBLE</x:v>
      </x:c>
      <x:c r="L116" s="79" t="str">
        <x:v>بله</x:v>
      </x:c>
      <x:c r="M116" s="79" t="str">
        <x:v>OK</x:v>
      </x:c>
      <x:c r="N116" s="79"/>
      <x:c r="O116" s="79" t="str">
        <x:v>خیر</x:v>
      </x:c>
      <x:c r="P116" s="79" t="str">
        <x:v>چای</x:v>
      </x:c>
      <x:c r="Q116" s="79" t="str">
        <x:v>6a30f5728337d8d2af170bb3</x:v>
      </x:c>
      <x:c r="R116" s="79" t="str">
        <x:v>کیلو</x:v>
      </x:c>
      <x:c r="S116" s="79" t="n">
        <x:v>950000</x:v>
      </x:c>
      <x:c r="T116" s="79"/>
      <x:c r="U116" s="79"/>
    </x:row>
    <x:row r="117">
      <x:c r="A117" s="79" t="n">
        <x:v>119</x:v>
      </x:c>
      <x:c r="B117" s="79" t="str">
        <x:v>NS-0116-1</x:v>
      </x:c>
      <x:c r="C117" s="79" t="str">
        <x:v>ذرت مکزیکی</x:v>
      </x:c>
      <x:c r="D117" s="79" t="str">
        <x:v>ذرت مکزیکی</x:v>
      </x:c>
      <x:c r="E117" s="79" t="str">
        <x:v>single_119</x:v>
      </x:c>
      <x:c r="F117" s="79"/>
      <x:c r="G117" s="79" t="str">
        <x:v>canonical_group_row</x:v>
      </x:c>
      <x:c r="H117" s="79" t="str">
        <x:v>حبوبات و غلات</x:v>
      </x:c>
      <x:c r="I117" s="79" t="str">
        <x:v>6a3a00000000000000000002</x:v>
      </x:c>
      <x:c r="J117" s="79" t="str">
        <x:v>legumes-grains</x:v>
      </x:c>
      <x:c r="K117" s="79" t="str">
        <x:v>EDIBLE</x:v>
      </x:c>
      <x:c r="L117" s="79" t="str">
        <x:v>بله</x:v>
      </x:c>
      <x:c r="M117" s="79" t="str">
        <x:v>MISSING_PRICE_REVIEW</x:v>
      </x:c>
      <x:c r="N117" s="79" t="str">
        <x:v>یک یا چند قیمت نامشخص است</x:v>
      </x:c>
      <x:c r="O117" s="79" t="str">
        <x:v>بله</x:v>
      </x:c>
      <x:c r="P117" s="79" t="str">
        <x:v>حبوبات و غلات</x:v>
      </x:c>
      <x:c r="Q117" s="79" t="str">
        <x:v>6a3a00000000000000000002</x:v>
      </x:c>
      <x:c r="R117" s="79" t="str">
        <x:v>کیلو</x:v>
      </x:c>
      <x:c r="S117" s="79"/>
      <x:c r="T117" s="79"/>
      <x:c r="U117" s="79"/>
    </x:row>
    <x:row r="118">
      <x:c r="A118" s="79" t="n">
        <x:v>120</x:v>
      </x:c>
      <x:c r="B118" s="79" t="str">
        <x:v>NS-0117-1</x:v>
      </x:c>
      <x:c r="C118" s="79" t="str">
        <x:v>رازیانه</x:v>
      </x:c>
      <x:c r="D118" s="79" t="str">
        <x:v>رازیانه</x:v>
      </x:c>
      <x:c r="E118" s="79" t="str">
        <x:v>single_120</x:v>
      </x:c>
      <x:c r="F118" s="79"/>
      <x:c r="G118" s="79" t="str">
        <x:v>canonical_group_row</x:v>
      </x:c>
      <x:c r="H118" s="79" t="str">
        <x:v>گیاهان دارویی</x:v>
      </x:c>
      <x:c r="I118" s="79" t="str">
        <x:v>6a3782d7df5573f4e676e243</x:v>
      </x:c>
      <x:c r="J118" s="79" t="str">
        <x:v>medicinal-plants</x:v>
      </x:c>
      <x:c r="K118" s="79" t="str">
        <x:v>EDIBLE</x:v>
      </x:c>
      <x:c r="L118" s="79" t="str">
        <x:v>بله</x:v>
      </x:c>
      <x:c r="M118" s="79" t="str">
        <x:v>OK</x:v>
      </x:c>
      <x:c r="N118" s="79"/>
      <x:c r="O118" s="79" t="str">
        <x:v>بله</x:v>
      </x:c>
      <x:c r="P118" s="79" t="str">
        <x:v>گیاهان دارویی</x:v>
      </x:c>
      <x:c r="Q118" s="79" t="str">
        <x:v>6a3782d7df5573f4e676e243</x:v>
      </x:c>
      <x:c r="R118" s="79" t="str">
        <x:v>کیلو</x:v>
      </x:c>
      <x:c r="S118" s="79" t="n">
        <x:v>740000</x:v>
      </x:c>
      <x:c r="T118" s="79"/>
      <x:c r="U118" s="79"/>
    </x:row>
    <x:row r="119">
      <x:c r="A119" s="79" t="n">
        <x:v>121</x:v>
      </x:c>
      <x:c r="B119" s="79" t="str">
        <x:v>NS-0118-1</x:v>
      </x:c>
      <x:c r="C119" s="79" t="str">
        <x:v>رب انار</x:v>
      </x:c>
      <x:c r="D119" s="79" t="str">
        <x:v>رب انار</x:v>
      </x:c>
      <x:c r="E119" s="79" t="str">
        <x:v>single_121</x:v>
      </x:c>
      <x:c r="F119" s="79"/>
      <x:c r="G119" s="79" t="str">
        <x:v>canonical_group_row</x:v>
      </x:c>
      <x:c r="H119" s="79" t="str">
        <x:v>نوشیدنی‌ها</x:v>
      </x:c>
      <x:c r="I119" s="79" t="str">
        <x:v>6a3782ffdf5573f4e676e24b</x:v>
      </x:c>
      <x:c r="J119" s="79" t="str">
        <x:v>syrup</x:v>
      </x:c>
      <x:c r="K119" s="79" t="str">
        <x:v>EDIBLE</x:v>
      </x:c>
      <x:c r="L119" s="79" t="str">
        <x:v>بله</x:v>
      </x:c>
      <x:c r="M119" s="79" t="str">
        <x:v>OK</x:v>
      </x:c>
      <x:c r="N119" s="79" t="str">
        <x:v>دسته از «نیاز به بررسی» به «نوشیدنی‌ها» اصلاح شد</x:v>
      </x:c>
      <x:c r="O119" s="79" t="str">
        <x:v>بله</x:v>
      </x:c>
      <x:c r="P119" s="79" t="str">
        <x:v>نیاز به بررسی</x:v>
      </x:c>
      <x:c r="Q119" s="79"/>
      <x:c r="R119" s="79" t="str">
        <x:v>کیلو</x:v>
      </x:c>
      <x:c r="S119" s="79" t="n">
        <x:v>490000</x:v>
      </x:c>
      <x:c r="T119" s="79"/>
      <x:c r="U119" s="79"/>
    </x:row>
    <x:row r="120">
      <x:c r="A120" s="79" t="n">
        <x:v>122</x:v>
      </x:c>
      <x:c r="B120" s="79" t="str">
        <x:v>NS-0119-1</x:v>
      </x:c>
      <x:c r="C120" s="79" t="str">
        <x:v>رزماری</x:v>
      </x:c>
      <x:c r="D120" s="79" t="str">
        <x:v>رزماری</x:v>
      </x:c>
      <x:c r="E120" s="79" t="str">
        <x:v>single_122</x:v>
      </x:c>
      <x:c r="F120" s="79"/>
      <x:c r="G120" s="79" t="str">
        <x:v>canonical_group_row</x:v>
      </x:c>
      <x:c r="H120" s="79" t="str">
        <x:v>گیاهان دارویی</x:v>
      </x:c>
      <x:c r="I120" s="79" t="str">
        <x:v>6a3782d7df5573f4e676e243</x:v>
      </x:c>
      <x:c r="J120" s="79" t="str">
        <x:v>medicinal-plants</x:v>
      </x:c>
      <x:c r="K120" s="79" t="str">
        <x:v>EDIBLE</x:v>
      </x:c>
      <x:c r="L120" s="79" t="str">
        <x:v>بله</x:v>
      </x:c>
      <x:c r="M120" s="79" t="str">
        <x:v>OK</x:v>
      </x:c>
      <x:c r="N120" s="79"/>
      <x:c r="O120" s="79" t="str">
        <x:v>بله</x:v>
      </x:c>
      <x:c r="P120" s="79" t="str">
        <x:v>گیاهان دارویی</x:v>
      </x:c>
      <x:c r="Q120" s="79" t="str">
        <x:v>6a3782d7df5573f4e676e243</x:v>
      </x:c>
      <x:c r="R120" s="79" t="str">
        <x:v>برگ</x:v>
      </x:c>
      <x:c r="S120" s="79" t="n">
        <x:v>800000</x:v>
      </x:c>
      <x:c r="T120" s="79"/>
      <x:c r="U120" s="79"/>
    </x:row>
    <x:row r="121">
      <x:c r="A121" s="79" t="n">
        <x:v>123</x:v>
      </x:c>
      <x:c r="B121" s="79" t="str">
        <x:v>NS-0120-1</x:v>
      </x:c>
      <x:c r="C121" s="79" t="str">
        <x:v>روغن ارده</x:v>
      </x:c>
      <x:c r="D121" s="79" t="str">
        <x:v>روغن ارده</x:v>
      </x:c>
      <x:c r="E121" s="79" t="str">
        <x:v>single_123</x:v>
      </x:c>
      <x:c r="F121" s="79"/>
      <x:c r="G121" s="79" t="str">
        <x:v>canonical_group_row</x:v>
      </x:c>
      <x:c r="H121" s="79" t="str">
        <x:v>روغن</x:v>
      </x:c>
      <x:c r="I121" s="79" t="str">
        <x:v>6a2d446d45c164ce6f28ae30</x:v>
      </x:c>
      <x:c r="J121" s="79" t="str">
        <x:v>oil</x:v>
      </x:c>
      <x:c r="K121" s="79" t="str">
        <x:v>EDIBLE</x:v>
      </x:c>
      <x:c r="L121" s="79" t="str">
        <x:v>بله</x:v>
      </x:c>
      <x:c r="M121" s="79" t="str">
        <x:v>OK</x:v>
      </x:c>
      <x:c r="N121" s="79"/>
      <x:c r="O121" s="79" t="str">
        <x:v>بله</x:v>
      </x:c>
      <x:c r="P121" s="79" t="str">
        <x:v>روغن</x:v>
      </x:c>
      <x:c r="Q121" s="79" t="str">
        <x:v>6a2d446d45c164ce6f28ae30</x:v>
      </x:c>
      <x:c r="R121" s="79" t="str">
        <x:v>نیم لیتر</x:v>
      </x:c>
      <x:c r="S121" s="79" t="n">
        <x:v>555000</x:v>
      </x:c>
      <x:c r="T121" s="79" t="str">
        <x:v>1 لیتر</x:v>
      </x:c>
      <x:c r="U121" s="79" t="n">
        <x:v>1100000</x:v>
      </x:c>
    </x:row>
    <x:row r="122">
      <x:c r="A122" s="79" t="n">
        <x:v>124</x:v>
      </x:c>
      <x:c r="B122" s="79" t="str">
        <x:v>NS-0121-1</x:v>
      </x:c>
      <x:c r="C122" s="79" t="str">
        <x:v>روغن اسطوخودوس</x:v>
      </x:c>
      <x:c r="D122" s="79" t="str">
        <x:v>روغن اسطوخودوس</x:v>
      </x:c>
      <x:c r="E122" s="79" t="str">
        <x:v>single_124</x:v>
      </x:c>
      <x:c r="F122" s="79"/>
      <x:c r="G122" s="79" t="str">
        <x:v>canonical_group_row</x:v>
      </x:c>
      <x:c r="H122" s="79" t="str">
        <x:v>روغن</x:v>
      </x:c>
      <x:c r="I122" s="79" t="str">
        <x:v>6a2d446d45c164ce6f28ae30</x:v>
      </x:c>
      <x:c r="J122" s="79" t="str">
        <x:v>oil</x:v>
      </x:c>
      <x:c r="K122" s="79" t="str">
        <x:v>EDIBLE</x:v>
      </x:c>
      <x:c r="L122" s="79" t="str">
        <x:v>بله</x:v>
      </x:c>
      <x:c r="M122" s="79" t="str">
        <x:v>OK</x:v>
      </x:c>
      <x:c r="N122" s="79"/>
      <x:c r="O122" s="79" t="str">
        <x:v>بله</x:v>
      </x:c>
      <x:c r="P122" s="79" t="str">
        <x:v>روغن</x:v>
      </x:c>
      <x:c r="Q122" s="79" t="str">
        <x:v>6a2d446d45c164ce6f28ae30</x:v>
      </x:c>
      <x:c r="R122" s="79" t="str">
        <x:v>30 میلی لیتر</x:v>
      </x:c>
      <x:c r="S122" s="79" t="n">
        <x:v>80000</x:v>
      </x:c>
      <x:c r="T122" s="79" t="str">
        <x:v>60 میلی لیتر</x:v>
      </x:c>
      <x:c r="U122" s="79" t="n">
        <x:v>150000</x:v>
      </x:c>
    </x:row>
    <x:row r="123">
      <x:c r="A123" s="79" t="n">
        <x:v>125</x:v>
      </x:c>
      <x:c r="B123" s="79" t="str">
        <x:v>NS-0122-1</x:v>
      </x:c>
      <x:c r="C123" s="79" t="str">
        <x:v>روغن اکالیپتوس</x:v>
      </x:c>
      <x:c r="D123" s="79" t="str">
        <x:v>روغن اکالیپتوس</x:v>
      </x:c>
      <x:c r="E123" s="79" t="str">
        <x:v>single_125</x:v>
      </x:c>
      <x:c r="F123" s="79"/>
      <x:c r="G123" s="79" t="str">
        <x:v>canonical_group_row</x:v>
      </x:c>
      <x:c r="H123" s="79" t="str">
        <x:v>روغن</x:v>
      </x:c>
      <x:c r="I123" s="79" t="str">
        <x:v>6a2d446d45c164ce6f28ae30</x:v>
      </x:c>
      <x:c r="J123" s="79" t="str">
        <x:v>oil</x:v>
      </x:c>
      <x:c r="K123" s="79" t="str">
        <x:v>EDIBLE</x:v>
      </x:c>
      <x:c r="L123" s="79" t="str">
        <x:v>بله</x:v>
      </x:c>
      <x:c r="M123" s="79" t="str">
        <x:v>OK</x:v>
      </x:c>
      <x:c r="N123" s="79"/>
      <x:c r="O123" s="79" t="str">
        <x:v>بله</x:v>
      </x:c>
      <x:c r="P123" s="79" t="str">
        <x:v>روغن</x:v>
      </x:c>
      <x:c r="Q123" s="79" t="str">
        <x:v>6a2d446d45c164ce6f28ae30</x:v>
      </x:c>
      <x:c r="R123" s="79" t="str">
        <x:v>30 میلی لیتر</x:v>
      </x:c>
      <x:c r="S123" s="79" t="n">
        <x:v>65000</x:v>
      </x:c>
      <x:c r="T123" s="79" t="str">
        <x:v>60 میلی لیتر</x:v>
      </x:c>
      <x:c r="U123" s="79" t="n">
        <x:v>120000</x:v>
      </x:c>
    </x:row>
    <x:row r="124">
      <x:c r="A124" s="79" t="n">
        <x:v>126</x:v>
      </x:c>
      <x:c r="B124" s="79" t="str">
        <x:v>NS-0123-1</x:v>
      </x:c>
      <x:c r="C124" s="79" t="str">
        <x:v>روغن الاغ</x:v>
      </x:c>
      <x:c r="D124" s="79" t="str">
        <x:v>روغن الاغ</x:v>
      </x:c>
      <x:c r="E124" s="79" t="str">
        <x:v>single_126</x:v>
      </x:c>
      <x:c r="F124" s="79"/>
      <x:c r="G124" s="79" t="str">
        <x:v>canonical_group_row</x:v>
      </x:c>
      <x:c r="H124" s="79" t="str">
        <x:v>روغن</x:v>
      </x:c>
      <x:c r="I124" s="79" t="str">
        <x:v>6a2d446d45c164ce6f28ae30</x:v>
      </x:c>
      <x:c r="J124" s="79" t="str">
        <x:v>oil</x:v>
      </x:c>
      <x:c r="K124" s="79" t="str">
        <x:v>EDIBLE</x:v>
      </x:c>
      <x:c r="L124" s="79" t="str">
        <x:v>بله</x:v>
      </x:c>
      <x:c r="M124" s="79" t="str">
        <x:v>OK</x:v>
      </x:c>
      <x:c r="N124" s="79"/>
      <x:c r="O124" s="79" t="str">
        <x:v>بله</x:v>
      </x:c>
      <x:c r="P124" s="79" t="str">
        <x:v>روغن</x:v>
      </x:c>
      <x:c r="Q124" s="79" t="str">
        <x:v>6a2d446d45c164ce6f28ae30</x:v>
      </x:c>
      <x:c r="R124" s="79" t="str">
        <x:v>30 میلی لیتر</x:v>
      </x:c>
      <x:c r="S124" s="79" t="n">
        <x:v>80000</x:v>
      </x:c>
      <x:c r="T124" s="79" t="str">
        <x:v>60 میلی لیتر</x:v>
      </x:c>
      <x:c r="U124" s="79" t="n">
        <x:v>150000</x:v>
      </x:c>
    </x:row>
    <x:row r="125">
      <x:c r="A125" s="79" t="n">
        <x:v>127</x:v>
      </x:c>
      <x:c r="B125" s="79" t="str">
        <x:v>NS-0124-1</x:v>
      </x:c>
      <x:c r="C125" s="79" t="str">
        <x:v>روغن انار</x:v>
      </x:c>
      <x:c r="D125" s="79" t="str">
        <x:v>روغن انار</x:v>
      </x:c>
      <x:c r="E125" s="79" t="str">
        <x:v>single_127</x:v>
      </x:c>
      <x:c r="F125" s="79"/>
      <x:c r="G125" s="79" t="str">
        <x:v>canonical_group_row</x:v>
      </x:c>
      <x:c r="H125" s="79" t="str">
        <x:v>روغن</x:v>
      </x:c>
      <x:c r="I125" s="79" t="str">
        <x:v>6a2d446d45c164ce6f28ae30</x:v>
      </x:c>
      <x:c r="J125" s="79" t="str">
        <x:v>oil</x:v>
      </x:c>
      <x:c r="K125" s="79" t="str">
        <x:v>EDIBLE</x:v>
      </x:c>
      <x:c r="L125" s="79" t="str">
        <x:v>بله</x:v>
      </x:c>
      <x:c r="M125" s="79" t="str">
        <x:v>OK</x:v>
      </x:c>
      <x:c r="N125" s="79"/>
      <x:c r="O125" s="79" t="str">
        <x:v>بله</x:v>
      </x:c>
      <x:c r="P125" s="79" t="str">
        <x:v>روغن</x:v>
      </x:c>
      <x:c r="Q125" s="79" t="str">
        <x:v>6a2d446d45c164ce6f28ae30</x:v>
      </x:c>
      <x:c r="R125" s="79" t="str">
        <x:v>30 میلی لیتر</x:v>
      </x:c>
      <x:c r="S125" s="79" t="n">
        <x:v>80000</x:v>
      </x:c>
      <x:c r="T125" s="79" t="str">
        <x:v>60 میلی لیتر</x:v>
      </x:c>
      <x:c r="U125" s="79" t="n">
        <x:v>150000</x:v>
      </x:c>
    </x:row>
    <x:row r="126">
      <x:c r="A126" s="79" t="n">
        <x:v>128</x:v>
      </x:c>
      <x:c r="B126" s="79" t="str">
        <x:v>NS-0125-1</x:v>
      </x:c>
      <x:c r="C126" s="79" t="str">
        <x:v>روغن آرگان درجه 1</x:v>
      </x:c>
      <x:c r="D126" s="79" t="str">
        <x:v>روغن آرگان مراکش</x:v>
      </x:c>
      <x:c r="E126" s="79" t="str">
        <x:v>grp_argan_oil_morocco</x:v>
      </x:c>
      <x:c r="F126" s="79" t="str">
        <x:v>درجه ۱</x:v>
      </x:c>
      <x:c r="G126" s="79" t="str">
        <x:v>canonical_group_row</x:v>
      </x:c>
      <x:c r="H126" s="79" t="str">
        <x:v>روغن</x:v>
      </x:c>
      <x:c r="I126" s="79" t="str">
        <x:v>6a2d446d45c164ce6f28ae30</x:v>
      </x:c>
      <x:c r="J126" s="79" t="str">
        <x:v>oil</x:v>
      </x:c>
      <x:c r="K126" s="79" t="str">
        <x:v>EDIBLE</x:v>
      </x:c>
      <x:c r="L126" s="79" t="str">
        <x:v>بله</x:v>
      </x:c>
      <x:c r="M126" s="79" t="str">
        <x:v>MERGED</x:v>
      </x:c>
      <x:c r="N126" s="79"/>
      <x:c r="O126" s="79" t="str">
        <x:v>بله</x:v>
      </x:c>
      <x:c r="P126" s="79" t="str">
        <x:v>روغن</x:v>
      </x:c>
      <x:c r="Q126" s="79" t="str">
        <x:v>6a2d446d45c164ce6f28ae30</x:v>
      </x:c>
      <x:c r="R126" s="79" t="str">
        <x:v>30 میلی لیتر</x:v>
      </x:c>
      <x:c r="S126" s="79" t="n">
        <x:v>250000</x:v>
      </x:c>
      <x:c r="T126" s="79" t="str">
        <x:v>60 میلی لیتر</x:v>
      </x:c>
      <x:c r="U126" s="79" t="n">
        <x:v>495000</x:v>
      </x:c>
    </x:row>
    <x:row r="127">
      <x:c r="A127" s="79" t="n">
        <x:v>129</x:v>
      </x:c>
      <x:c r="B127" s="79" t="str">
        <x:v>NS-0126-1</x:v>
      </x:c>
      <x:c r="C127" s="79" t="str">
        <x:v>روغن آرگان درجه 2</x:v>
      </x:c>
      <x:c r="D127" s="79" t="str">
        <x:v>روغن آرگان مراکش</x:v>
      </x:c>
      <x:c r="E127" s="79" t="str">
        <x:v>grp_argan_oil_morocco</x:v>
      </x:c>
      <x:c r="F127" s="79" t="str">
        <x:v>درجه ۲</x:v>
      </x:c>
      <x:c r="G127" s="79" t="str">
        <x:v>merge_into_canonical_group</x:v>
      </x:c>
      <x:c r="H127" s="79" t="str">
        <x:v>روغن</x:v>
      </x:c>
      <x:c r="I127" s="79" t="str">
        <x:v>6a2d446d45c164ce6f28ae30</x:v>
      </x:c>
      <x:c r="J127" s="79" t="str">
        <x:v>oil</x:v>
      </x:c>
      <x:c r="K127" s="79" t="str">
        <x:v>EDIBLE</x:v>
      </x:c>
      <x:c r="L127" s="79" t="str">
        <x:v>بله</x:v>
      </x:c>
      <x:c r="M127" s="79" t="str">
        <x:v>MERGED</x:v>
      </x:c>
      <x:c r="N127" s="79"/>
      <x:c r="O127" s="79" t="str">
        <x:v>بله</x:v>
      </x:c>
      <x:c r="P127" s="79" t="str">
        <x:v>روغن</x:v>
      </x:c>
      <x:c r="Q127" s="79" t="str">
        <x:v>6a2d446d45c164ce6f28ae30</x:v>
      </x:c>
      <x:c r="R127" s="79" t="str">
        <x:v>30 میلی لیتر</x:v>
      </x:c>
      <x:c r="S127" s="79" t="n">
        <x:v>170000</x:v>
      </x:c>
      <x:c r="T127" s="79" t="str">
        <x:v>60 میلی لیتر</x:v>
      </x:c>
      <x:c r="U127" s="79" t="n">
        <x:v>335000</x:v>
      </x:c>
    </x:row>
    <x:row r="128">
      <x:c r="A128" s="79" t="n">
        <x:v>130</x:v>
      </x:c>
      <x:c r="B128" s="79" t="str">
        <x:v>NS-0127-1</x:v>
      </x:c>
      <x:c r="C128" s="79" t="str">
        <x:v>روغن آرگان مراکش درجه 1</x:v>
      </x:c>
      <x:c r="D128" s="79" t="str">
        <x:v>روغن آرگان مراکش</x:v>
      </x:c>
      <x:c r="E128" s="79" t="str">
        <x:v>grp_argan_oil_morocco</x:v>
      </x:c>
      <x:c r="F128" s="79" t="str">
        <x:v>درجه ۱</x:v>
      </x:c>
      <x:c r="G128" s="79" t="str">
        <x:v>merge_into_canonical_group</x:v>
      </x:c>
      <x:c r="H128" s="79" t="str">
        <x:v>روغن</x:v>
      </x:c>
      <x:c r="I128" s="79" t="str">
        <x:v>6a2d446d45c164ce6f28ae30</x:v>
      </x:c>
      <x:c r="J128" s="79" t="str">
        <x:v>oil</x:v>
      </x:c>
      <x:c r="K128" s="79" t="str">
        <x:v>EDIBLE</x:v>
      </x:c>
      <x:c r="L128" s="79" t="str">
        <x:v>بله</x:v>
      </x:c>
      <x:c r="M128" s="79" t="str">
        <x:v>MERGED</x:v>
      </x:c>
      <x:c r="N128" s="79"/>
      <x:c r="O128" s="79" t="str">
        <x:v>بله</x:v>
      </x:c>
      <x:c r="P128" s="79" t="str">
        <x:v>روغن</x:v>
      </x:c>
      <x:c r="Q128" s="79" t="str">
        <x:v>6a2d446d45c164ce6f28ae30</x:v>
      </x:c>
      <x:c r="R128" s="79" t="str">
        <x:v>نیم لیتر</x:v>
      </x:c>
      <x:c r="S128" s="79" t="n">
        <x:v>3750000</x:v>
      </x:c>
      <x:c r="T128" s="79" t="str">
        <x:v>1 لیتر</x:v>
      </x:c>
      <x:c r="U128" s="79" t="n">
        <x:v>7500000</x:v>
      </x:c>
    </x:row>
    <x:row r="129">
      <x:c r="A129" s="79" t="n">
        <x:v>131</x:v>
      </x:c>
      <x:c r="B129" s="79" t="str">
        <x:v>NS-0128-1</x:v>
      </x:c>
      <x:c r="C129" s="79" t="str">
        <x:v>روغن آرگان مراکش درجه 2</x:v>
      </x:c>
      <x:c r="D129" s="79" t="str">
        <x:v>روغن آرگان مراکش</x:v>
      </x:c>
      <x:c r="E129" s="79" t="str">
        <x:v>grp_argan_oil_morocco</x:v>
      </x:c>
      <x:c r="F129" s="79" t="str">
        <x:v>درجه ۲</x:v>
      </x:c>
      <x:c r="G129" s="79" t="str">
        <x:v>merge_into_canonical_group</x:v>
      </x:c>
      <x:c r="H129" s="79" t="str">
        <x:v>روغن</x:v>
      </x:c>
      <x:c r="I129" s="79" t="str">
        <x:v>6a2d446d45c164ce6f28ae30</x:v>
      </x:c>
      <x:c r="J129" s="79" t="str">
        <x:v>oil</x:v>
      </x:c>
      <x:c r="K129" s="79" t="str">
        <x:v>EDIBLE</x:v>
      </x:c>
      <x:c r="L129" s="79" t="str">
        <x:v>بله</x:v>
      </x:c>
      <x:c r="M129" s="79" t="str">
        <x:v>MERGED</x:v>
      </x:c>
      <x:c r="N129" s="79"/>
      <x:c r="O129" s="79" t="str">
        <x:v>بله</x:v>
      </x:c>
      <x:c r="P129" s="79" t="str">
        <x:v>روغن</x:v>
      </x:c>
      <x:c r="Q129" s="79" t="str">
        <x:v>6a2d446d45c164ce6f28ae30</x:v>
      </x:c>
      <x:c r="R129" s="79" t="str">
        <x:v>نیم لیتر</x:v>
      </x:c>
      <x:c r="S129" s="79" t="n">
        <x:v>2250000</x:v>
      </x:c>
      <x:c r="T129" s="79" t="str">
        <x:v>1 لیتر</x:v>
      </x:c>
      <x:c r="U129" s="79" t="n">
        <x:v>4500000</x:v>
      </x:c>
    </x:row>
    <x:row r="130">
      <x:c r="A130" s="79" t="n">
        <x:v>132</x:v>
      </x:c>
      <x:c r="B130" s="79" t="str">
        <x:v>NS-0129-1</x:v>
      </x:c>
      <x:c r="C130" s="79" t="str">
        <x:v>روغن آفتابگردان</x:v>
      </x:c>
      <x:c r="D130" s="79" t="str">
        <x:v>روغن آفتابگردان</x:v>
      </x:c>
      <x:c r="E130" s="79" t="str">
        <x:v>single_132</x:v>
      </x:c>
      <x:c r="F130" s="79"/>
      <x:c r="G130" s="79" t="str">
        <x:v>canonical_group_row</x:v>
      </x:c>
      <x:c r="H130" s="79" t="str">
        <x:v>روغن</x:v>
      </x:c>
      <x:c r="I130" s="79" t="str">
        <x:v>6a2d446d45c164ce6f28ae30</x:v>
      </x:c>
      <x:c r="J130" s="79" t="str">
        <x:v>oil</x:v>
      </x:c>
      <x:c r="K130" s="79" t="str">
        <x:v>EDIBLE</x:v>
      </x:c>
      <x:c r="L130" s="79" t="str">
        <x:v>بله</x:v>
      </x:c>
      <x:c r="M130" s="79" t="str">
        <x:v>OK</x:v>
      </x:c>
      <x:c r="N130" s="79"/>
      <x:c r="O130" s="79" t="str">
        <x:v>بله</x:v>
      </x:c>
      <x:c r="P130" s="79" t="str">
        <x:v>روغن</x:v>
      </x:c>
      <x:c r="Q130" s="79" t="str">
        <x:v>6a2d446d45c164ce6f28ae30</x:v>
      </x:c>
      <x:c r="R130" s="79" t="str">
        <x:v>نیم لیتر</x:v>
      </x:c>
      <x:c r="S130" s="79" t="n">
        <x:v>400000</x:v>
      </x:c>
      <x:c r="T130" s="79" t="str">
        <x:v>1 لیتر</x:v>
      </x:c>
      <x:c r="U130" s="79" t="n">
        <x:v>790000</x:v>
      </x:c>
    </x:row>
    <x:row r="131">
      <x:c r="A131" s="79" t="n">
        <x:v>133</x:v>
      </x:c>
      <x:c r="B131" s="79" t="str">
        <x:v>NS-0130-1</x:v>
      </x:c>
      <x:c r="C131" s="79" t="str">
        <x:v>روغن آمله</x:v>
      </x:c>
      <x:c r="D131" s="79" t="str">
        <x:v>روغن آمله</x:v>
      </x:c>
      <x:c r="E131" s="79" t="str">
        <x:v>single_133</x:v>
      </x:c>
      <x:c r="F131" s="79"/>
      <x:c r="G131" s="79" t="str">
        <x:v>canonical_group_row</x:v>
      </x:c>
      <x:c r="H131" s="79" t="str">
        <x:v>روغن</x:v>
      </x:c>
      <x:c r="I131" s="79" t="str">
        <x:v>6a2d446d45c164ce6f28ae30</x:v>
      </x:c>
      <x:c r="J131" s="79" t="str">
        <x:v>oil</x:v>
      </x:c>
      <x:c r="K131" s="79" t="str">
        <x:v>EDIBLE</x:v>
      </x:c>
      <x:c r="L131" s="79" t="str">
        <x:v>بله</x:v>
      </x:c>
      <x:c r="M131" s="79" t="str">
        <x:v>OK</x:v>
      </x:c>
      <x:c r="N131" s="79"/>
      <x:c r="O131" s="79" t="str">
        <x:v>بله</x:v>
      </x:c>
      <x:c r="P131" s="79" t="str">
        <x:v>روغن</x:v>
      </x:c>
      <x:c r="Q131" s="79" t="str">
        <x:v>6a2d446d45c164ce6f28ae30</x:v>
      </x:c>
      <x:c r="R131" s="79" t="str">
        <x:v>30 میلی لیتر</x:v>
      </x:c>
      <x:c r="S131" s="79" t="n">
        <x:v>80000</x:v>
      </x:c>
      <x:c r="T131" s="79" t="str">
        <x:v>60 میلی لیتر</x:v>
      </x:c>
      <x:c r="U131" s="79" t="n">
        <x:v>150000</x:v>
      </x:c>
    </x:row>
    <x:row r="132">
      <x:c r="A132" s="79" t="n">
        <x:v>134</x:v>
      </x:c>
      <x:c r="B132" s="79" t="str">
        <x:v>NS-0131-1</x:v>
      </x:c>
      <x:c r="C132" s="79" t="str">
        <x:v>روغن آووکادو</x:v>
      </x:c>
      <x:c r="D132" s="79" t="str">
        <x:v>روغن آووکادو</x:v>
      </x:c>
      <x:c r="E132" s="79" t="str">
        <x:v>single_134</x:v>
      </x:c>
      <x:c r="F132" s="79"/>
      <x:c r="G132" s="79" t="str">
        <x:v>canonical_group_row</x:v>
      </x:c>
      <x:c r="H132" s="79" t="str">
        <x:v>روغن</x:v>
      </x:c>
      <x:c r="I132" s="79" t="str">
        <x:v>6a2d446d45c164ce6f28ae30</x:v>
      </x:c>
      <x:c r="J132" s="79" t="str">
        <x:v>oil</x:v>
      </x:c>
      <x:c r="K132" s="79" t="str">
        <x:v>EDIBLE</x:v>
      </x:c>
      <x:c r="L132" s="79" t="str">
        <x:v>بله</x:v>
      </x:c>
      <x:c r="M132" s="79" t="str">
        <x:v>OK</x:v>
      </x:c>
      <x:c r="N132" s="79"/>
      <x:c r="O132" s="79" t="str">
        <x:v>بله</x:v>
      </x:c>
      <x:c r="P132" s="79" t="str">
        <x:v>روغن</x:v>
      </x:c>
      <x:c r="Q132" s="79" t="str">
        <x:v>6a2d446d45c164ce6f28ae30</x:v>
      </x:c>
      <x:c r="R132" s="79" t="str">
        <x:v>30 میلی لیتر</x:v>
      </x:c>
      <x:c r="S132" s="79" t="n">
        <x:v>100000</x:v>
      </x:c>
      <x:c r="T132" s="79" t="str">
        <x:v>60 میلی لیتر</x:v>
      </x:c>
      <x:c r="U132" s="79" t="n">
        <x:v>190000</x:v>
      </x:c>
    </x:row>
    <x:row r="133">
      <x:c r="A133" s="79" t="n">
        <x:v>135</x:v>
      </x:c>
      <x:c r="B133" s="79" t="str">
        <x:v>NS-0132-1</x:v>
      </x:c>
      <x:c r="C133" s="79" t="str">
        <x:v>روغن بابونه</x:v>
      </x:c>
      <x:c r="D133" s="79" t="str">
        <x:v>روغن بابونه</x:v>
      </x:c>
      <x:c r="E133" s="79" t="str">
        <x:v>single_135</x:v>
      </x:c>
      <x:c r="F133" s="79"/>
      <x:c r="G133" s="79" t="str">
        <x:v>canonical_group_row</x:v>
      </x:c>
      <x:c r="H133" s="79" t="str">
        <x:v>روغن</x:v>
      </x:c>
      <x:c r="I133" s="79" t="str">
        <x:v>6a2d446d45c164ce6f28ae30</x:v>
      </x:c>
      <x:c r="J133" s="79" t="str">
        <x:v>oil</x:v>
      </x:c>
      <x:c r="K133" s="79" t="str">
        <x:v>EDIBLE</x:v>
      </x:c>
      <x:c r="L133" s="79" t="str">
        <x:v>بله</x:v>
      </x:c>
      <x:c r="M133" s="79" t="str">
        <x:v>OK</x:v>
      </x:c>
      <x:c r="N133" s="79"/>
      <x:c r="O133" s="79" t="str">
        <x:v>بله</x:v>
      </x:c>
      <x:c r="P133" s="79" t="str">
        <x:v>روغن</x:v>
      </x:c>
      <x:c r="Q133" s="79" t="str">
        <x:v>6a2d446d45c164ce6f28ae30</x:v>
      </x:c>
      <x:c r="R133" s="79" t="str">
        <x:v>30 میلی لیتر</x:v>
      </x:c>
      <x:c r="S133" s="79" t="n">
        <x:v>100000</x:v>
      </x:c>
      <x:c r="T133" s="79" t="str">
        <x:v>60 میلی لیتر</x:v>
      </x:c>
      <x:c r="U133" s="79" t="n">
        <x:v>195000</x:v>
      </x:c>
    </x:row>
    <x:row r="134">
      <x:c r="A134" s="79" t="n">
        <x:v>136</x:v>
      </x:c>
      <x:c r="B134" s="79" t="str">
        <x:v>NS-0133-1</x:v>
      </x:c>
      <x:c r="C134" s="79" t="str">
        <x:v>روغن بادام تلخ</x:v>
      </x:c>
      <x:c r="D134" s="79" t="str">
        <x:v>روغن بادام تلخ</x:v>
      </x:c>
      <x:c r="E134" s="79" t="str">
        <x:v>grp_bitter_almond_oil</x:v>
      </x:c>
      <x:c r="F134" s="79"/>
      <x:c r="G134" s="79" t="str">
        <x:v>canonical_group_row</x:v>
      </x:c>
      <x:c r="H134" s="79" t="str">
        <x:v>روغن</x:v>
      </x:c>
      <x:c r="I134" s="79" t="str">
        <x:v>6a2d446d45c164ce6f28ae30</x:v>
      </x:c>
      <x:c r="J134" s="79" t="str">
        <x:v>oil</x:v>
      </x:c>
      <x:c r="K134" s="79" t="str">
        <x:v>EDIBLE</x:v>
      </x:c>
      <x:c r="L134" s="79" t="str">
        <x:v>بله</x:v>
      </x:c>
      <x:c r="M134" s="79" t="str">
        <x:v>MERGED</x:v>
      </x:c>
      <x:c r="N134" s="79"/>
      <x:c r="O134" s="79" t="str">
        <x:v>بله</x:v>
      </x:c>
      <x:c r="P134" s="79" t="str">
        <x:v>روغن</x:v>
      </x:c>
      <x:c r="Q134" s="79" t="str">
        <x:v>6a2d446d45c164ce6f28ae30</x:v>
      </x:c>
      <x:c r="R134" s="79" t="str">
        <x:v>30 میلی لیتر</x:v>
      </x:c>
      <x:c r="S134" s="79" t="n">
        <x:v>95000</x:v>
      </x:c>
      <x:c r="T134" s="79" t="str">
        <x:v>60 میلی لیتر</x:v>
      </x:c>
      <x:c r="U134" s="79" t="n">
        <x:v>180000</x:v>
      </x:c>
    </x:row>
    <x:row r="135">
      <x:c r="A135" s="79" t="n">
        <x:v>137</x:v>
      </x:c>
      <x:c r="B135" s="79" t="str">
        <x:v>NS-0133-1</x:v>
      </x:c>
      <x:c r="C135" s="79" t="str">
        <x:v>روغن بادام تلخ</x:v>
      </x:c>
      <x:c r="D135" s="79" t="str">
        <x:v>روغن بادام تلخ</x:v>
      </x:c>
      <x:c r="E135" s="79" t="str">
        <x:v>grp_bitter_almond_oil</x:v>
      </x:c>
      <x:c r="F135" s="79"/>
      <x:c r="G135" s="79" t="str">
        <x:v>merge_into_canonical_group</x:v>
      </x:c>
      <x:c r="H135" s="79" t="str">
        <x:v>روغن</x:v>
      </x:c>
      <x:c r="I135" s="79" t="str">
        <x:v>6a2d446d45c164ce6f28ae30</x:v>
      </x:c>
      <x:c r="J135" s="79" t="str">
        <x:v>oil</x:v>
      </x:c>
      <x:c r="K135" s="79" t="str">
        <x:v>EDIBLE</x:v>
      </x:c>
      <x:c r="L135" s="79" t="str">
        <x:v>بله</x:v>
      </x:c>
      <x:c r="M135" s="79" t="str">
        <x:v>MERGED</x:v>
      </x:c>
      <x:c r="N135" s="79"/>
      <x:c r="O135" s="79" t="str">
        <x:v>بله</x:v>
      </x:c>
      <x:c r="P135" s="79" t="str">
        <x:v>روغن</x:v>
      </x:c>
      <x:c r="Q135" s="79" t="str">
        <x:v>6a2d446d45c164ce6f28ae30</x:v>
      </x:c>
      <x:c r="R135" s="79" t="str">
        <x:v>نیم لیتر</x:v>
      </x:c>
      <x:c r="S135" s="79" t="n">
        <x:v>1300000</x:v>
      </x:c>
      <x:c r="T135" s="79" t="str">
        <x:v>1 لیتر</x:v>
      </x:c>
      <x:c r="U135" s="79" t="n">
        <x:v>2600000</x:v>
      </x:c>
    </x:row>
    <x:row r="136">
      <x:c r="A136" s="79" t="n">
        <x:v>138</x:v>
      </x:c>
      <x:c r="B136" s="79" t="str">
        <x:v>NS-0135-1</x:v>
      </x:c>
      <x:c r="C136" s="79" t="str">
        <x:v>روغن بادام شیرین</x:v>
      </x:c>
      <x:c r="D136" s="79" t="str">
        <x:v>روغن بادام شیرین</x:v>
      </x:c>
      <x:c r="E136" s="79" t="str">
        <x:v>grp_sweet_almond_oil</x:v>
      </x:c>
      <x:c r="F136" s="79"/>
      <x:c r="G136" s="79" t="str">
        <x:v>canonical_group_row</x:v>
      </x:c>
      <x:c r="H136" s="79" t="str">
        <x:v>روغن</x:v>
      </x:c>
      <x:c r="I136" s="79" t="str">
        <x:v>6a2d446d45c164ce6f28ae30</x:v>
      </x:c>
      <x:c r="J136" s="79" t="str">
        <x:v>oil</x:v>
      </x:c>
      <x:c r="K136" s="79" t="str">
        <x:v>EDIBLE</x:v>
      </x:c>
      <x:c r="L136" s="79" t="str">
        <x:v>بله</x:v>
      </x:c>
      <x:c r="M136" s="79" t="str">
        <x:v>MERGED</x:v>
      </x:c>
      <x:c r="N136" s="79"/>
      <x:c r="O136" s="79" t="str">
        <x:v>بله</x:v>
      </x:c>
      <x:c r="P136" s="79" t="str">
        <x:v>روغن</x:v>
      </x:c>
      <x:c r="Q136" s="79" t="str">
        <x:v>6a2d446d45c164ce6f28ae30</x:v>
      </x:c>
      <x:c r="R136" s="79" t="str">
        <x:v>نیم لیتر</x:v>
      </x:c>
      <x:c r="S136" s="79" t="n">
        <x:v>1550000</x:v>
      </x:c>
      <x:c r="T136" s="79" t="str">
        <x:v>1 لیتر</x:v>
      </x:c>
      <x:c r="U136" s="79" t="n">
        <x:v>3100000</x:v>
      </x:c>
    </x:row>
    <x:row r="137">
      <x:c r="A137" s="79" t="n">
        <x:v>139</x:v>
      </x:c>
      <x:c r="B137" s="79" t="str">
        <x:v>NS-0135-1</x:v>
      </x:c>
      <x:c r="C137" s="79" t="str">
        <x:v>روغن بادام شیرین</x:v>
      </x:c>
      <x:c r="D137" s="79" t="str">
        <x:v>روغن بادام شیرین</x:v>
      </x:c>
      <x:c r="E137" s="79" t="str">
        <x:v>grp_sweet_almond_oil</x:v>
      </x:c>
      <x:c r="F137" s="79"/>
      <x:c r="G137" s="79" t="str">
        <x:v>merge_into_canonical_group</x:v>
      </x:c>
      <x:c r="H137" s="79" t="str">
        <x:v>روغن</x:v>
      </x:c>
      <x:c r="I137" s="79" t="str">
        <x:v>6a2d446d45c164ce6f28ae30</x:v>
      </x:c>
      <x:c r="J137" s="79" t="str">
        <x:v>oil</x:v>
      </x:c>
      <x:c r="K137" s="79" t="str">
        <x:v>EDIBLE</x:v>
      </x:c>
      <x:c r="L137" s="79" t="str">
        <x:v>بله</x:v>
      </x:c>
      <x:c r="M137" s="79" t="str">
        <x:v>MERGED</x:v>
      </x:c>
      <x:c r="N137" s="79"/>
      <x:c r="O137" s="79" t="str">
        <x:v>بله</x:v>
      </x:c>
      <x:c r="P137" s="79" t="str">
        <x:v>روغن</x:v>
      </x:c>
      <x:c r="Q137" s="79" t="str">
        <x:v>6a2d446d45c164ce6f28ae30</x:v>
      </x:c>
      <x:c r="R137" s="79" t="str">
        <x:v>30 میلی لیتر</x:v>
      </x:c>
      <x:c r="S137" s="79" t="n">
        <x:v>100000</x:v>
      </x:c>
      <x:c r="T137" s="79" t="str">
        <x:v>60 میلی لیتر</x:v>
      </x:c>
      <x:c r="U137" s="79" t="n">
        <x:v>195000</x:v>
      </x:c>
    </x:row>
    <x:row r="138">
      <x:c r="A138" s="79" t="n">
        <x:v>140</x:v>
      </x:c>
      <x:c r="B138" s="79" t="str">
        <x:v>NS-0137-1</x:v>
      </x:c>
      <x:c r="C138" s="79" t="str">
        <x:v>روغن بنفشه</x:v>
      </x:c>
      <x:c r="D138" s="79" t="str">
        <x:v>روغن بنفشه</x:v>
      </x:c>
      <x:c r="E138" s="79" t="str">
        <x:v>single_140</x:v>
      </x:c>
      <x:c r="F138" s="79"/>
      <x:c r="G138" s="79" t="str">
        <x:v>canonical_group_row</x:v>
      </x:c>
      <x:c r="H138" s="79" t="str">
        <x:v>روغن</x:v>
      </x:c>
      <x:c r="I138" s="79" t="str">
        <x:v>6a2d446d45c164ce6f28ae30</x:v>
      </x:c>
      <x:c r="J138" s="79" t="str">
        <x:v>oil</x:v>
      </x:c>
      <x:c r="K138" s="79" t="str">
        <x:v>EDIBLE</x:v>
      </x:c>
      <x:c r="L138" s="79" t="str">
        <x:v>بله</x:v>
      </x:c>
      <x:c r="M138" s="79" t="str">
        <x:v>OK</x:v>
      </x:c>
      <x:c r="N138" s="79"/>
      <x:c r="O138" s="79" t="str">
        <x:v>بله</x:v>
      </x:c>
      <x:c r="P138" s="79" t="str">
        <x:v>روغن</x:v>
      </x:c>
      <x:c r="Q138" s="79" t="str">
        <x:v>6a2d446d45c164ce6f28ae30</x:v>
      </x:c>
      <x:c r="R138" s="79" t="str">
        <x:v>30 میلی لیتر</x:v>
      </x:c>
      <x:c r="S138" s="79" t="n">
        <x:v>135000</x:v>
      </x:c>
      <x:c r="T138" s="79" t="str">
        <x:v>60 میلی لیتر</x:v>
      </x:c>
      <x:c r="U138" s="79" t="n">
        <x:v>260000</x:v>
      </x:c>
    </x:row>
    <x:row r="139">
      <x:c r="A139" s="79" t="n">
        <x:v>141</x:v>
      </x:c>
      <x:c r="B139" s="79" t="str">
        <x:v>NS-0138-1</x:v>
      </x:c>
      <x:c r="C139" s="79" t="str">
        <x:v>روغن پونه</x:v>
      </x:c>
      <x:c r="D139" s="79" t="str">
        <x:v>روغن پونه</x:v>
      </x:c>
      <x:c r="E139" s="79" t="str">
        <x:v>single_141</x:v>
      </x:c>
      <x:c r="F139" s="79"/>
      <x:c r="G139" s="79" t="str">
        <x:v>canonical_group_row</x:v>
      </x:c>
      <x:c r="H139" s="79" t="str">
        <x:v>روغن</x:v>
      </x:c>
      <x:c r="I139" s="79" t="str">
        <x:v>6a2d446d45c164ce6f28ae30</x:v>
      </x:c>
      <x:c r="J139" s="79" t="str">
        <x:v>oil</x:v>
      </x:c>
      <x:c r="K139" s="79" t="str">
        <x:v>EDIBLE</x:v>
      </x:c>
      <x:c r="L139" s="79" t="str">
        <x:v>بله</x:v>
      </x:c>
      <x:c r="M139" s="79" t="str">
        <x:v>OK</x:v>
      </x:c>
      <x:c r="N139" s="79"/>
      <x:c r="O139" s="79" t="str">
        <x:v>بله</x:v>
      </x:c>
      <x:c r="P139" s="79" t="str">
        <x:v>روغن</x:v>
      </x:c>
      <x:c r="Q139" s="79" t="str">
        <x:v>6a2d446d45c164ce6f28ae30</x:v>
      </x:c>
      <x:c r="R139" s="79" t="str">
        <x:v>30 میلی لیتر</x:v>
      </x:c>
      <x:c r="S139" s="79" t="n">
        <x:v>65000</x:v>
      </x:c>
      <x:c r="T139" s="79" t="str">
        <x:v>60 میلی لیتر</x:v>
      </x:c>
      <x:c r="U139" s="79" t="n">
        <x:v>120000</x:v>
      </x:c>
    </x:row>
    <x:row r="140">
      <x:c r="A140" s="79" t="n">
        <x:v>142</x:v>
      </x:c>
      <x:c r="B140" s="79" t="str">
        <x:v>NS-0139-1</x:v>
      </x:c>
      <x:c r="C140" s="79" t="str">
        <x:v>روغن ترخون</x:v>
      </x:c>
      <x:c r="D140" s="79" t="str">
        <x:v>روغن ترخون</x:v>
      </x:c>
      <x:c r="E140" s="79" t="str">
        <x:v>single_142</x:v>
      </x:c>
      <x:c r="F140" s="79"/>
      <x:c r="G140" s="79" t="str">
        <x:v>canonical_group_row</x:v>
      </x:c>
      <x:c r="H140" s="79" t="str">
        <x:v>روغن</x:v>
      </x:c>
      <x:c r="I140" s="79" t="str">
        <x:v>6a2d446d45c164ce6f28ae30</x:v>
      </x:c>
      <x:c r="J140" s="79" t="str">
        <x:v>oil</x:v>
      </x:c>
      <x:c r="K140" s="79" t="str">
        <x:v>EDIBLE</x:v>
      </x:c>
      <x:c r="L140" s="79" t="str">
        <x:v>بله</x:v>
      </x:c>
      <x:c r="M140" s="79" t="str">
        <x:v>OK</x:v>
      </x:c>
      <x:c r="N140" s="79"/>
      <x:c r="O140" s="79" t="str">
        <x:v>بله</x:v>
      </x:c>
      <x:c r="P140" s="79" t="str">
        <x:v>روغن</x:v>
      </x:c>
      <x:c r="Q140" s="79" t="str">
        <x:v>6a2d446d45c164ce6f28ae30</x:v>
      </x:c>
      <x:c r="R140" s="79" t="str">
        <x:v>30 میلی لیتر</x:v>
      </x:c>
      <x:c r="S140" s="79" t="n">
        <x:v>65000</x:v>
      </x:c>
      <x:c r="T140" s="79" t="str">
        <x:v>60 میلی لیتر</x:v>
      </x:c>
      <x:c r="U140" s="79" t="n">
        <x:v>120000</x:v>
      </x:c>
    </x:row>
    <x:row r="141">
      <x:c r="A141" s="79" t="n">
        <x:v>143</x:v>
      </x:c>
      <x:c r="B141" s="79" t="str">
        <x:v>NS-0140-1</x:v>
      </x:c>
      <x:c r="C141" s="79" t="str">
        <x:v>روغن تقویت مو (ناب سرا)</x:v>
      </x:c>
      <x:c r="D141" s="79" t="str">
        <x:v>روغن تقویت مو (ناب سرا)</x:v>
      </x:c>
      <x:c r="E141" s="79" t="str">
        <x:v>single_143</x:v>
      </x:c>
      <x:c r="F141" s="79"/>
      <x:c r="G141" s="79" t="str">
        <x:v>canonical_group_row</x:v>
      </x:c>
      <x:c r="H141" s="79" t="str">
        <x:v>روغن</x:v>
      </x:c>
      <x:c r="I141" s="79" t="str">
        <x:v>6a2d446d45c164ce6f28ae30</x:v>
      </x:c>
      <x:c r="J141" s="79" t="str">
        <x:v>oil</x:v>
      </x:c>
      <x:c r="K141" s="79" t="str">
        <x:v>EDIBLE</x:v>
      </x:c>
      <x:c r="L141" s="79" t="str">
        <x:v>بله</x:v>
      </x:c>
      <x:c r="M141" s="79" t="str">
        <x:v>OK</x:v>
      </x:c>
      <x:c r="N141" s="79"/>
      <x:c r="O141" s="79" t="str">
        <x:v>بله</x:v>
      </x:c>
      <x:c r="P141" s="79" t="str">
        <x:v>روغن</x:v>
      </x:c>
      <x:c r="Q141" s="79" t="str">
        <x:v>6a2d446d45c164ce6f28ae30</x:v>
      </x:c>
      <x:c r="R141" s="79" t="str">
        <x:v>کیلو</x:v>
      </x:c>
      <x:c r="S141" s="79" t="n">
        <x:v>350000</x:v>
      </x:c>
      <x:c r="T141" s="79"/>
      <x:c r="U141" s="79"/>
    </x:row>
    <x:row r="142">
      <x:c r="A142" s="79" t="n">
        <x:v>144</x:v>
      </x:c>
      <x:c r="B142" s="79" t="str">
        <x:v>NS-0141-1</x:v>
      </x:c>
      <x:c r="C142" s="79" t="str">
        <x:v>روغن جوانه گندم</x:v>
      </x:c>
      <x:c r="D142" s="79" t="str">
        <x:v>روغن جوانه گندم</x:v>
      </x:c>
      <x:c r="E142" s="79" t="str">
        <x:v>single_144</x:v>
      </x:c>
      <x:c r="F142" s="79"/>
      <x:c r="G142" s="79" t="str">
        <x:v>canonical_group_row</x:v>
      </x:c>
      <x:c r="H142" s="79" t="str">
        <x:v>روغن</x:v>
      </x:c>
      <x:c r="I142" s="79" t="str">
        <x:v>6a2d446d45c164ce6f28ae30</x:v>
      </x:c>
      <x:c r="J142" s="79" t="str">
        <x:v>oil</x:v>
      </x:c>
      <x:c r="K142" s="79" t="str">
        <x:v>EDIBLE</x:v>
      </x:c>
      <x:c r="L142" s="79" t="str">
        <x:v>بله</x:v>
      </x:c>
      <x:c r="M142" s="79" t="str">
        <x:v>OK</x:v>
      </x:c>
      <x:c r="N142" s="79"/>
      <x:c r="O142" s="79" t="str">
        <x:v>بله</x:v>
      </x:c>
      <x:c r="P142" s="79" t="str">
        <x:v>روغن</x:v>
      </x:c>
      <x:c r="Q142" s="79" t="str">
        <x:v>6a2d446d45c164ce6f28ae30</x:v>
      </x:c>
      <x:c r="R142" s="79" t="str">
        <x:v>30 میلی لیتر</x:v>
      </x:c>
      <x:c r="S142" s="79" t="n">
        <x:v>90000</x:v>
      </x:c>
      <x:c r="T142" s="79" t="str">
        <x:v>60 میلی لیتر</x:v>
      </x:c>
      <x:c r="U142" s="79" t="n">
        <x:v>170000</x:v>
      </x:c>
    </x:row>
    <x:row r="143">
      <x:c r="A143" s="79" t="n">
        <x:v>145</x:v>
      </x:c>
      <x:c r="B143" s="79" t="str">
        <x:v>NS-0142-1</x:v>
      </x:c>
      <x:c r="C143" s="79" t="str">
        <x:v>روغن جوجوبا</x:v>
      </x:c>
      <x:c r="D143" s="79" t="str">
        <x:v>روغن جوجوبا</x:v>
      </x:c>
      <x:c r="E143" s="79" t="str">
        <x:v>single_145</x:v>
      </x:c>
      <x:c r="F143" s="79"/>
      <x:c r="G143" s="79" t="str">
        <x:v>canonical_group_row</x:v>
      </x:c>
      <x:c r="H143" s="79" t="str">
        <x:v>روغن</x:v>
      </x:c>
      <x:c r="I143" s="79" t="str">
        <x:v>6a2d446d45c164ce6f28ae30</x:v>
      </x:c>
      <x:c r="J143" s="79" t="str">
        <x:v>oil</x:v>
      </x:c>
      <x:c r="K143" s="79" t="str">
        <x:v>EDIBLE</x:v>
      </x:c>
      <x:c r="L143" s="79" t="str">
        <x:v>بله</x:v>
      </x:c>
      <x:c r="M143" s="79" t="str">
        <x:v>OK</x:v>
      </x:c>
      <x:c r="N143" s="79"/>
      <x:c r="O143" s="79" t="str">
        <x:v>بله</x:v>
      </x:c>
      <x:c r="P143" s="79" t="str">
        <x:v>روغن</x:v>
      </x:c>
      <x:c r="Q143" s="79" t="str">
        <x:v>6a2d446d45c164ce6f28ae30</x:v>
      </x:c>
      <x:c r="R143" s="79" t="str">
        <x:v>30 میلی لیتر</x:v>
      </x:c>
      <x:c r="S143" s="79" t="n">
        <x:v>100000</x:v>
      </x:c>
      <x:c r="T143" s="79" t="str">
        <x:v>60 میلی لیتر</x:v>
      </x:c>
      <x:c r="U143" s="79" t="n">
        <x:v>190000</x:v>
      </x:c>
    </x:row>
    <x:row r="144">
      <x:c r="A144" s="79" t="n">
        <x:v>146</x:v>
      </x:c>
      <x:c r="B144" s="79" t="str">
        <x:v>NS-0143-1</x:v>
      </x:c>
      <x:c r="C144" s="79" t="str">
        <x:v>روغن حنظل</x:v>
      </x:c>
      <x:c r="D144" s="79" t="str">
        <x:v>روغن حنظل</x:v>
      </x:c>
      <x:c r="E144" s="79" t="str">
        <x:v>single_146</x:v>
      </x:c>
      <x:c r="F144" s="79"/>
      <x:c r="G144" s="79" t="str">
        <x:v>canonical_group_row</x:v>
      </x:c>
      <x:c r="H144" s="79" t="str">
        <x:v>روغن</x:v>
      </x:c>
      <x:c r="I144" s="79" t="str">
        <x:v>6a2d446d45c164ce6f28ae30</x:v>
      </x:c>
      <x:c r="J144" s="79" t="str">
        <x:v>oil</x:v>
      </x:c>
      <x:c r="K144" s="79" t="str">
        <x:v>EDIBLE</x:v>
      </x:c>
      <x:c r="L144" s="79" t="str">
        <x:v>بله</x:v>
      </x:c>
      <x:c r="M144" s="79" t="str">
        <x:v>OK</x:v>
      </x:c>
      <x:c r="N144" s="79"/>
      <x:c r="O144" s="79" t="str">
        <x:v>بله</x:v>
      </x:c>
      <x:c r="P144" s="79" t="str">
        <x:v>روغن</x:v>
      </x:c>
      <x:c r="Q144" s="79" t="str">
        <x:v>6a2d446d45c164ce6f28ae30</x:v>
      </x:c>
      <x:c r="R144" s="79" t="str">
        <x:v>30 میلی لیتر</x:v>
      </x:c>
      <x:c r="S144" s="79" t="n">
        <x:v>65000</x:v>
      </x:c>
      <x:c r="T144" s="79" t="str">
        <x:v>60 میلی لیتر</x:v>
      </x:c>
      <x:c r="U144" s="79" t="n">
        <x:v>120000</x:v>
      </x:c>
    </x:row>
    <x:row r="145">
      <x:c r="A145" s="79" t="n">
        <x:v>147</x:v>
      </x:c>
      <x:c r="B145" s="79" t="str">
        <x:v>NS-0144-1</x:v>
      </x:c>
      <x:c r="C145" s="79" t="str">
        <x:v>روغن خارمریم</x:v>
      </x:c>
      <x:c r="D145" s="79" t="str">
        <x:v>روغن خارمریم</x:v>
      </x:c>
      <x:c r="E145" s="79" t="str">
        <x:v>single_147</x:v>
      </x:c>
      <x:c r="F145" s="79"/>
      <x:c r="G145" s="79" t="str">
        <x:v>canonical_group_row</x:v>
      </x:c>
      <x:c r="H145" s="79" t="str">
        <x:v>روغن</x:v>
      </x:c>
      <x:c r="I145" s="79" t="str">
        <x:v>6a2d446d45c164ce6f28ae30</x:v>
      </x:c>
      <x:c r="J145" s="79" t="str">
        <x:v>oil</x:v>
      </x:c>
      <x:c r="K145" s="79" t="str">
        <x:v>EDIBLE</x:v>
      </x:c>
      <x:c r="L145" s="79" t="str">
        <x:v>بله</x:v>
      </x:c>
      <x:c r="M145" s="79" t="str">
        <x:v>OK</x:v>
      </x:c>
      <x:c r="N145" s="79"/>
      <x:c r="O145" s="79" t="str">
        <x:v>بله</x:v>
      </x:c>
      <x:c r="P145" s="79" t="str">
        <x:v>روغن</x:v>
      </x:c>
      <x:c r="Q145" s="79" t="str">
        <x:v>6a2d446d45c164ce6f28ae30</x:v>
      </x:c>
      <x:c r="R145" s="79" t="str">
        <x:v>30 میلی لیتر</x:v>
      </x:c>
      <x:c r="S145" s="79" t="n">
        <x:v>115000</x:v>
      </x:c>
      <x:c r="T145" s="79" t="str">
        <x:v>60 میلی لیتر</x:v>
      </x:c>
      <x:c r="U145" s="79" t="n">
        <x:v>220000</x:v>
      </x:c>
    </x:row>
    <x:row r="146">
      <x:c r="A146" s="79" t="n">
        <x:v>148</x:v>
      </x:c>
      <x:c r="B146" s="79" t="str">
        <x:v>NS-0145-1</x:v>
      </x:c>
      <x:c r="C146" s="79" t="str">
        <x:v>روغن خراطین</x:v>
      </x:c>
      <x:c r="D146" s="79" t="str">
        <x:v>روغن خراطین</x:v>
      </x:c>
      <x:c r="E146" s="79" t="str">
        <x:v>single_148</x:v>
      </x:c>
      <x:c r="F146" s="79"/>
      <x:c r="G146" s="79" t="str">
        <x:v>canonical_group_row</x:v>
      </x:c>
      <x:c r="H146" s="79" t="str">
        <x:v>روغن</x:v>
      </x:c>
      <x:c r="I146" s="79" t="str">
        <x:v>6a2d446d45c164ce6f28ae30</x:v>
      </x:c>
      <x:c r="J146" s="79" t="str">
        <x:v>oil</x:v>
      </x:c>
      <x:c r="K146" s="79" t="str">
        <x:v>EDIBLE</x:v>
      </x:c>
      <x:c r="L146" s="79" t="str">
        <x:v>بله</x:v>
      </x:c>
      <x:c r="M146" s="79" t="str">
        <x:v>OK</x:v>
      </x:c>
      <x:c r="N146" s="79"/>
      <x:c r="O146" s="79" t="str">
        <x:v>بله</x:v>
      </x:c>
      <x:c r="P146" s="79" t="str">
        <x:v>روغن</x:v>
      </x:c>
      <x:c r="Q146" s="79" t="str">
        <x:v>6a2d446d45c164ce6f28ae30</x:v>
      </x:c>
      <x:c r="R146" s="79" t="str">
        <x:v>30 میلی لیتر</x:v>
      </x:c>
      <x:c r="S146" s="79" t="n">
        <x:v>135000</x:v>
      </x:c>
      <x:c r="T146" s="79" t="str">
        <x:v>60 میلی لیتر</x:v>
      </x:c>
      <x:c r="U146" s="79" t="n">
        <x:v>260000</x:v>
      </x:c>
    </x:row>
    <x:row r="147">
      <x:c r="A147" s="79" t="n">
        <x:v>149</x:v>
      </x:c>
      <x:c r="B147" s="79" t="str">
        <x:v>NS-0146-1</x:v>
      </x:c>
      <x:c r="C147" s="79" t="str">
        <x:v>روغن خشخاش</x:v>
      </x:c>
      <x:c r="D147" s="79" t="str">
        <x:v>روغن خشخاش</x:v>
      </x:c>
      <x:c r="E147" s="79" t="str">
        <x:v>single_149</x:v>
      </x:c>
      <x:c r="F147" s="79"/>
      <x:c r="G147" s="79" t="str">
        <x:v>canonical_group_row</x:v>
      </x:c>
      <x:c r="H147" s="79" t="str">
        <x:v>روغن</x:v>
      </x:c>
      <x:c r="I147" s="79" t="str">
        <x:v>6a2d446d45c164ce6f28ae30</x:v>
      </x:c>
      <x:c r="J147" s="79" t="str">
        <x:v>oil</x:v>
      </x:c>
      <x:c r="K147" s="79" t="str">
        <x:v>EDIBLE</x:v>
      </x:c>
      <x:c r="L147" s="79" t="str">
        <x:v>بله</x:v>
      </x:c>
      <x:c r="M147" s="79" t="str">
        <x:v>OK</x:v>
      </x:c>
      <x:c r="N147" s="79"/>
      <x:c r="O147" s="79" t="str">
        <x:v>بله</x:v>
      </x:c>
      <x:c r="P147" s="79" t="str">
        <x:v>روغن</x:v>
      </x:c>
      <x:c r="Q147" s="79" t="str">
        <x:v>6a2d446d45c164ce6f28ae30</x:v>
      </x:c>
      <x:c r="R147" s="79" t="str">
        <x:v>30 میلی لیتر</x:v>
      </x:c>
      <x:c r="S147" s="79" t="n">
        <x:v>115000</x:v>
      </x:c>
      <x:c r="T147" s="79" t="str">
        <x:v>60 میلی لیتر</x:v>
      </x:c>
      <x:c r="U147" s="79" t="n">
        <x:v>220000</x:v>
      </x:c>
    </x:row>
    <x:row r="148">
      <x:c r="A148" s="79" t="n">
        <x:v>150</x:v>
      </x:c>
      <x:c r="B148" s="79" t="str">
        <x:v>NS-0147-1</x:v>
      </x:c>
      <x:c r="C148" s="79" t="str">
        <x:v>روغن درخت چای</x:v>
      </x:c>
      <x:c r="D148" s="79" t="str">
        <x:v>روغن درخت چای</x:v>
      </x:c>
      <x:c r="E148" s="79" t="str">
        <x:v>single_150</x:v>
      </x:c>
      <x:c r="F148" s="79"/>
      <x:c r="G148" s="79" t="str">
        <x:v>canonical_group_row</x:v>
      </x:c>
      <x:c r="H148" s="79" t="str">
        <x:v>روغن</x:v>
      </x:c>
      <x:c r="I148" s="79" t="str">
        <x:v>6a2d446d45c164ce6f28ae30</x:v>
      </x:c>
      <x:c r="J148" s="79" t="str">
        <x:v>oil</x:v>
      </x:c>
      <x:c r="K148" s="79" t="str">
        <x:v>EDIBLE</x:v>
      </x:c>
      <x:c r="L148" s="79" t="str">
        <x:v>بله</x:v>
      </x:c>
      <x:c r="M148" s="79" t="str">
        <x:v>OK</x:v>
      </x:c>
      <x:c r="N148" s="79"/>
      <x:c r="O148" s="79" t="str">
        <x:v>بله</x:v>
      </x:c>
      <x:c r="P148" s="79" t="str">
        <x:v>روغن</x:v>
      </x:c>
      <x:c r="Q148" s="79" t="str">
        <x:v>6a2d446d45c164ce6f28ae30</x:v>
      </x:c>
      <x:c r="R148" s="79" t="str">
        <x:v>30 میلی لیتر</x:v>
      </x:c>
      <x:c r="S148" s="79" t="n">
        <x:v>100000</x:v>
      </x:c>
      <x:c r="T148" s="79" t="str">
        <x:v>60 میلی لیتر</x:v>
      </x:c>
      <x:c r="U148" s="79" t="n">
        <x:v>195000</x:v>
      </x:c>
    </x:row>
    <x:row r="149">
      <x:c r="A149" s="79" t="n">
        <x:v>151</x:v>
      </x:c>
      <x:c r="B149" s="79" t="str">
        <x:v>NS-0148-1</x:v>
      </x:c>
      <x:c r="C149" s="79" t="str">
        <x:v>روغن درمنه</x:v>
      </x:c>
      <x:c r="D149" s="79" t="str">
        <x:v>روغن درمنه</x:v>
      </x:c>
      <x:c r="E149" s="79" t="str">
        <x:v>single_151</x:v>
      </x:c>
      <x:c r="F149" s="79"/>
      <x:c r="G149" s="79" t="str">
        <x:v>canonical_group_row</x:v>
      </x:c>
      <x:c r="H149" s="79" t="str">
        <x:v>روغن</x:v>
      </x:c>
      <x:c r="I149" s="79" t="str">
        <x:v>6a2d446d45c164ce6f28ae30</x:v>
      </x:c>
      <x:c r="J149" s="79" t="str">
        <x:v>oil</x:v>
      </x:c>
      <x:c r="K149" s="79" t="str">
        <x:v>EDIBLE</x:v>
      </x:c>
      <x:c r="L149" s="79" t="str">
        <x:v>بله</x:v>
      </x:c>
      <x:c r="M149" s="79" t="str">
        <x:v>OK</x:v>
      </x:c>
      <x:c r="N149" s="79"/>
      <x:c r="O149" s="79" t="str">
        <x:v>بله</x:v>
      </x:c>
      <x:c r="P149" s="79" t="str">
        <x:v>روغن</x:v>
      </x:c>
      <x:c r="Q149" s="79" t="str">
        <x:v>6a2d446d45c164ce6f28ae30</x:v>
      </x:c>
      <x:c r="R149" s="79" t="str">
        <x:v>30 میلی لیتر</x:v>
      </x:c>
      <x:c r="S149" s="79" t="n">
        <x:v>95000</x:v>
      </x:c>
      <x:c r="T149" s="79" t="str">
        <x:v>60 میلی لیتر</x:v>
      </x:c>
      <x:c r="U149" s="79" t="n">
        <x:v>185000</x:v>
      </x:c>
    </x:row>
    <x:row r="150">
      <x:c r="A150" s="79" t="n">
        <x:v>152</x:v>
      </x:c>
      <x:c r="B150" s="79" t="str">
        <x:v>NS-0149-1</x:v>
      </x:c>
      <x:c r="C150" s="79" t="str">
        <x:v>روغن رازیانه</x:v>
      </x:c>
      <x:c r="D150" s="79" t="str">
        <x:v>روغن رازیانه</x:v>
      </x:c>
      <x:c r="E150" s="79" t="str">
        <x:v>single_152</x:v>
      </x:c>
      <x:c r="F150" s="79"/>
      <x:c r="G150" s="79" t="str">
        <x:v>canonical_group_row</x:v>
      </x:c>
      <x:c r="H150" s="79" t="str">
        <x:v>روغن</x:v>
      </x:c>
      <x:c r="I150" s="79" t="str">
        <x:v>6a2d446d45c164ce6f28ae30</x:v>
      </x:c>
      <x:c r="J150" s="79" t="str">
        <x:v>oil</x:v>
      </x:c>
      <x:c r="K150" s="79" t="str">
        <x:v>EDIBLE</x:v>
      </x:c>
      <x:c r="L150" s="79" t="str">
        <x:v>بله</x:v>
      </x:c>
      <x:c r="M150" s="79" t="str">
        <x:v>OK</x:v>
      </x:c>
      <x:c r="N150" s="79"/>
      <x:c r="O150" s="79" t="str">
        <x:v>بله</x:v>
      </x:c>
      <x:c r="P150" s="79" t="str">
        <x:v>روغن</x:v>
      </x:c>
      <x:c r="Q150" s="79" t="str">
        <x:v>6a2d446d45c164ce6f28ae30</x:v>
      </x:c>
      <x:c r="R150" s="79" t="str">
        <x:v>30 میلی لیتر</x:v>
      </x:c>
      <x:c r="S150" s="79" t="n">
        <x:v>115000</x:v>
      </x:c>
      <x:c r="T150" s="79" t="str">
        <x:v>60 میلی لیتر</x:v>
      </x:c>
      <x:c r="U150" s="79" t="n">
        <x:v>220000</x:v>
      </x:c>
    </x:row>
    <x:row r="151">
      <x:c r="A151" s="79" t="n">
        <x:v>153</x:v>
      </x:c>
      <x:c r="B151" s="79" t="str">
        <x:v>NS-0150-1</x:v>
      </x:c>
      <x:c r="C151" s="79" t="str">
        <x:v>روغن رزماری</x:v>
      </x:c>
      <x:c r="D151" s="79" t="str">
        <x:v>روغن رزماری</x:v>
      </x:c>
      <x:c r="E151" s="79" t="str">
        <x:v>grp_rosemary_oil</x:v>
      </x:c>
      <x:c r="F151" s="79"/>
      <x:c r="G151" s="79" t="str">
        <x:v>canonical_group_row</x:v>
      </x:c>
      <x:c r="H151" s="79" t="str">
        <x:v>روغن</x:v>
      </x:c>
      <x:c r="I151" s="79" t="str">
        <x:v>6a2d446d45c164ce6f28ae30</x:v>
      </x:c>
      <x:c r="J151" s="79" t="str">
        <x:v>oil</x:v>
      </x:c>
      <x:c r="K151" s="79" t="str">
        <x:v>EDIBLE</x:v>
      </x:c>
      <x:c r="L151" s="79" t="str">
        <x:v>بله</x:v>
      </x:c>
      <x:c r="M151" s="79" t="str">
        <x:v>MERGED</x:v>
      </x:c>
      <x:c r="N151" s="79"/>
      <x:c r="O151" s="79" t="str">
        <x:v>بله</x:v>
      </x:c>
      <x:c r="P151" s="79" t="str">
        <x:v>روغن</x:v>
      </x:c>
      <x:c r="Q151" s="79" t="str">
        <x:v>6a2d446d45c164ce6f28ae30</x:v>
      </x:c>
      <x:c r="R151" s="79" t="str">
        <x:v>نیم لیتر</x:v>
      </x:c>
      <x:c r="S151" s="79" t="n">
        <x:v>500000</x:v>
      </x:c>
      <x:c r="T151" s="79" t="str">
        <x:v>1 لیتر</x:v>
      </x:c>
      <x:c r="U151" s="79" t="n">
        <x:v>1000000</x:v>
      </x:c>
    </x:row>
    <x:row r="152">
      <x:c r="A152" s="79" t="n">
        <x:v>154</x:v>
      </x:c>
      <x:c r="B152" s="79" t="str">
        <x:v>NS-0150-1</x:v>
      </x:c>
      <x:c r="C152" s="79" t="str">
        <x:v>روغن رزماری</x:v>
      </x:c>
      <x:c r="D152" s="79" t="str">
        <x:v>روغن رزماری</x:v>
      </x:c>
      <x:c r="E152" s="79" t="str">
        <x:v>grp_rosemary_oil</x:v>
      </x:c>
      <x:c r="F152" s="79"/>
      <x:c r="G152" s="79" t="str">
        <x:v>merge_into_canonical_group</x:v>
      </x:c>
      <x:c r="H152" s="79" t="str">
        <x:v>روغن</x:v>
      </x:c>
      <x:c r="I152" s="79" t="str">
        <x:v>6a2d446d45c164ce6f28ae30</x:v>
      </x:c>
      <x:c r="J152" s="79" t="str">
        <x:v>oil</x:v>
      </x:c>
      <x:c r="K152" s="79" t="str">
        <x:v>EDIBLE</x:v>
      </x:c>
      <x:c r="L152" s="79" t="str">
        <x:v>بله</x:v>
      </x:c>
      <x:c r="M152" s="79" t="str">
        <x:v>MERGED</x:v>
      </x:c>
      <x:c r="N152" s="79"/>
      <x:c r="O152" s="79" t="str">
        <x:v>بله</x:v>
      </x:c>
      <x:c r="P152" s="79" t="str">
        <x:v>روغن</x:v>
      </x:c>
      <x:c r="Q152" s="79" t="str">
        <x:v>6a2d446d45c164ce6f28ae30</x:v>
      </x:c>
      <x:c r="R152" s="79" t="str">
        <x:v>30 میلی لیتر</x:v>
      </x:c>
      <x:c r="S152" s="79" t="n">
        <x:v>100000</x:v>
      </x:c>
      <x:c r="T152" s="79" t="str">
        <x:v>60 میلی لیتر</x:v>
      </x:c>
      <x:c r="U152" s="79" t="n">
        <x:v>195000</x:v>
      </x:c>
    </x:row>
    <x:row r="153">
      <x:c r="A153" s="79" t="n">
        <x:v>155</x:v>
      </x:c>
      <x:c r="B153" s="79" t="str">
        <x:v>NS-0152-1</x:v>
      </x:c>
      <x:c r="C153" s="79" t="str">
        <x:v>روغن زردچوبه</x:v>
      </x:c>
      <x:c r="D153" s="79" t="str">
        <x:v>روغن زردچوبه</x:v>
      </x:c>
      <x:c r="E153" s="79" t="str">
        <x:v>single_155</x:v>
      </x:c>
      <x:c r="F153" s="79"/>
      <x:c r="G153" s="79" t="str">
        <x:v>canonical_group_row</x:v>
      </x:c>
      <x:c r="H153" s="79" t="str">
        <x:v>روغن</x:v>
      </x:c>
      <x:c r="I153" s="79" t="str">
        <x:v>6a2d446d45c164ce6f28ae30</x:v>
      </x:c>
      <x:c r="J153" s="79" t="str">
        <x:v>oil</x:v>
      </x:c>
      <x:c r="K153" s="79" t="str">
        <x:v>EDIBLE</x:v>
      </x:c>
      <x:c r="L153" s="79" t="str">
        <x:v>بله</x:v>
      </x:c>
      <x:c r="M153" s="79" t="str">
        <x:v>OK</x:v>
      </x:c>
      <x:c r="N153" s="79"/>
      <x:c r="O153" s="79" t="str">
        <x:v>بله</x:v>
      </x:c>
      <x:c r="P153" s="79" t="str">
        <x:v>روغن</x:v>
      </x:c>
      <x:c r="Q153" s="79" t="str">
        <x:v>6a2d446d45c164ce6f28ae30</x:v>
      </x:c>
      <x:c r="R153" s="79" t="str">
        <x:v>30 میلی لیتر</x:v>
      </x:c>
      <x:c r="S153" s="79" t="n">
        <x:v>65000</x:v>
      </x:c>
      <x:c r="T153" s="79" t="str">
        <x:v>60 میلی لیتر</x:v>
      </x:c>
      <x:c r="U153" s="79" t="n">
        <x:v>120000</x:v>
      </x:c>
    </x:row>
    <x:row r="154">
      <x:c r="A154" s="79" t="n">
        <x:v>156</x:v>
      </x:c>
      <x:c r="B154" s="79" t="str">
        <x:v>NS-0153-1</x:v>
      </x:c>
      <x:c r="C154" s="79" t="str">
        <x:v>روغن زنجبیل</x:v>
      </x:c>
      <x:c r="D154" s="79" t="str">
        <x:v>روغن زنجبیل</x:v>
      </x:c>
      <x:c r="E154" s="79" t="str">
        <x:v>single_156</x:v>
      </x:c>
      <x:c r="F154" s="79"/>
      <x:c r="G154" s="79" t="str">
        <x:v>canonical_group_row</x:v>
      </x:c>
      <x:c r="H154" s="79" t="str">
        <x:v>روغن</x:v>
      </x:c>
      <x:c r="I154" s="79" t="str">
        <x:v>6a2d446d45c164ce6f28ae30</x:v>
      </x:c>
      <x:c r="J154" s="79" t="str">
        <x:v>oil</x:v>
      </x:c>
      <x:c r="K154" s="79" t="str">
        <x:v>EDIBLE</x:v>
      </x:c>
      <x:c r="L154" s="79" t="str">
        <x:v>بله</x:v>
      </x:c>
      <x:c r="M154" s="79" t="str">
        <x:v>OK</x:v>
      </x:c>
      <x:c r="N154" s="79"/>
      <x:c r="O154" s="79" t="str">
        <x:v>بله</x:v>
      </x:c>
      <x:c r="P154" s="79" t="str">
        <x:v>روغن</x:v>
      </x:c>
      <x:c r="Q154" s="79" t="str">
        <x:v>6a2d446d45c164ce6f28ae30</x:v>
      </x:c>
      <x:c r="R154" s="79" t="str">
        <x:v>30 میلی لیتر</x:v>
      </x:c>
      <x:c r="S154" s="79" t="n">
        <x:v>65000</x:v>
      </x:c>
      <x:c r="T154" s="79" t="str">
        <x:v>60 میلی لیتر</x:v>
      </x:c>
      <x:c r="U154" s="79" t="n">
        <x:v>120000</x:v>
      </x:c>
    </x:row>
    <x:row r="155">
      <x:c r="A155" s="79" t="n">
        <x:v>157</x:v>
      </x:c>
      <x:c r="B155" s="79" t="str">
        <x:v>NS-0154-1</x:v>
      </x:c>
      <x:c r="C155" s="79" t="str">
        <x:v>روغن زنیان</x:v>
      </x:c>
      <x:c r="D155" s="79" t="str">
        <x:v>روغن زنیان</x:v>
      </x:c>
      <x:c r="E155" s="79" t="str">
        <x:v>single_157</x:v>
      </x:c>
      <x:c r="F155" s="79"/>
      <x:c r="G155" s="79" t="str">
        <x:v>canonical_group_row</x:v>
      </x:c>
      <x:c r="H155" s="79" t="str">
        <x:v>روغن</x:v>
      </x:c>
      <x:c r="I155" s="79" t="str">
        <x:v>6a2d446d45c164ce6f28ae30</x:v>
      </x:c>
      <x:c r="J155" s="79" t="str">
        <x:v>oil</x:v>
      </x:c>
      <x:c r="K155" s="79" t="str">
        <x:v>EDIBLE</x:v>
      </x:c>
      <x:c r="L155" s="79" t="str">
        <x:v>بله</x:v>
      </x:c>
      <x:c r="M155" s="79" t="str">
        <x:v>OK</x:v>
      </x:c>
      <x:c r="N155" s="79"/>
      <x:c r="O155" s="79" t="str">
        <x:v>بله</x:v>
      </x:c>
      <x:c r="P155" s="79" t="str">
        <x:v>روغن</x:v>
      </x:c>
      <x:c r="Q155" s="79" t="str">
        <x:v>6a2d446d45c164ce6f28ae30</x:v>
      </x:c>
      <x:c r="R155" s="79" t="str">
        <x:v>30 میلی لیتر</x:v>
      </x:c>
      <x:c r="S155" s="79" t="n">
        <x:v>150000</x:v>
      </x:c>
      <x:c r="T155" s="79" t="str">
        <x:v>60 میلی لیتر</x:v>
      </x:c>
      <x:c r="U155" s="79" t="n">
        <x:v>295000</x:v>
      </x:c>
    </x:row>
    <x:row r="156">
      <x:c r="A156" s="79" t="n">
        <x:v>158</x:v>
      </x:c>
      <x:c r="B156" s="79" t="str">
        <x:v>NS-0155-1</x:v>
      </x:c>
      <x:c r="C156" s="79" t="str">
        <x:v>روغن زیتون</x:v>
      </x:c>
      <x:c r="D156" s="79" t="str">
        <x:v>روغن زیتون</x:v>
      </x:c>
      <x:c r="E156" s="79" t="str">
        <x:v>single_158</x:v>
      </x:c>
      <x:c r="F156" s="79"/>
      <x:c r="G156" s="79" t="str">
        <x:v>canonical_group_row</x:v>
      </x:c>
      <x:c r="H156" s="79" t="str">
        <x:v>روغن</x:v>
      </x:c>
      <x:c r="I156" s="79" t="str">
        <x:v>6a2d446d45c164ce6f28ae30</x:v>
      </x:c>
      <x:c r="J156" s="79" t="str">
        <x:v>oil</x:v>
      </x:c>
      <x:c r="K156" s="79" t="str">
        <x:v>EDIBLE</x:v>
      </x:c>
      <x:c r="L156" s="79" t="str">
        <x:v>بله</x:v>
      </x:c>
      <x:c r="M156" s="79" t="str">
        <x:v>OK</x:v>
      </x:c>
      <x:c r="N156" s="79"/>
      <x:c r="O156" s="79" t="str">
        <x:v>بله</x:v>
      </x:c>
      <x:c r="P156" s="79" t="str">
        <x:v>روغن</x:v>
      </x:c>
      <x:c r="Q156" s="79" t="str">
        <x:v>6a2d446d45c164ce6f28ae30</x:v>
      </x:c>
      <x:c r="R156" s="79" t="str">
        <x:v>نیم لیتر</x:v>
      </x:c>
      <x:c r="S156" s="79" t="n">
        <x:v>555000</x:v>
      </x:c>
      <x:c r="T156" s="79" t="str">
        <x:v>1 لیتر</x:v>
      </x:c>
      <x:c r="U156" s="79" t="n">
        <x:v>1100000</x:v>
      </x:c>
    </x:row>
    <x:row r="157">
      <x:c r="A157" s="79" t="n">
        <x:v>159</x:v>
      </x:c>
      <x:c r="B157" s="79" t="str">
        <x:v>NS-0156-1</x:v>
      </x:c>
      <x:c r="C157" s="79" t="str">
        <x:v>روغن زیتون موضعی</x:v>
      </x:c>
      <x:c r="D157" s="79" t="str">
        <x:v>روغن زیتون موضعی</x:v>
      </x:c>
      <x:c r="E157" s="79" t="str">
        <x:v>single_159</x:v>
      </x:c>
      <x:c r="F157" s="79"/>
      <x:c r="G157" s="79" t="str">
        <x:v>canonical_group_row</x:v>
      </x:c>
      <x:c r="H157" s="79" t="str">
        <x:v>روغن</x:v>
      </x:c>
      <x:c r="I157" s="79" t="str">
        <x:v>6a2d446d45c164ce6f28ae30</x:v>
      </x:c>
      <x:c r="J157" s="79" t="str">
        <x:v>oil</x:v>
      </x:c>
      <x:c r="K157" s="79" t="str">
        <x:v>EDIBLE</x:v>
      </x:c>
      <x:c r="L157" s="79" t="str">
        <x:v>بله</x:v>
      </x:c>
      <x:c r="M157" s="79" t="str">
        <x:v>MISSING_PRICE_REVIEW</x:v>
      </x:c>
      <x:c r="N157" s="79" t="str">
        <x:v>یک یا چند قیمت نامشخص است</x:v>
      </x:c>
      <x:c r="O157" s="79" t="str">
        <x:v>بله</x:v>
      </x:c>
      <x:c r="P157" s="79" t="str">
        <x:v>روغن</x:v>
      </x:c>
      <x:c r="Q157" s="79" t="str">
        <x:v>6a2d446d45c164ce6f28ae30</x:v>
      </x:c>
      <x:c r="R157" s="79" t="str">
        <x:v>30 میلی لیتر</x:v>
      </x:c>
      <x:c r="S157" s="79"/>
      <x:c r="T157" s="79" t="str">
        <x:v>60 میلی لیتر</x:v>
      </x:c>
      <x:c r="U157" s="79" t="n">
        <x:v>70000</x:v>
      </x:c>
    </x:row>
    <x:row r="158">
      <x:c r="A158" s="79" t="n">
        <x:v>160</x:v>
      </x:c>
      <x:c r="B158" s="79" t="str">
        <x:v>NS-0157-1</x:v>
      </x:c>
      <x:c r="C158" s="79" t="str">
        <x:v>روغن سقز</x:v>
      </x:c>
      <x:c r="D158" s="79" t="str">
        <x:v>روغن سقز</x:v>
      </x:c>
      <x:c r="E158" s="79" t="str">
        <x:v>single_160</x:v>
      </x:c>
      <x:c r="F158" s="79"/>
      <x:c r="G158" s="79" t="str">
        <x:v>canonical_group_row</x:v>
      </x:c>
      <x:c r="H158" s="79" t="str">
        <x:v>روغن</x:v>
      </x:c>
      <x:c r="I158" s="79" t="str">
        <x:v>6a2d446d45c164ce6f28ae30</x:v>
      </x:c>
      <x:c r="J158" s="79" t="str">
        <x:v>oil</x:v>
      </x:c>
      <x:c r="K158" s="79" t="str">
        <x:v>EDIBLE</x:v>
      </x:c>
      <x:c r="L158" s="79" t="str">
        <x:v>بله</x:v>
      </x:c>
      <x:c r="M158" s="79" t="str">
        <x:v>OK</x:v>
      </x:c>
      <x:c r="N158" s="79"/>
      <x:c r="O158" s="79" t="str">
        <x:v>بله</x:v>
      </x:c>
      <x:c r="P158" s="79" t="str">
        <x:v>روغن</x:v>
      </x:c>
      <x:c r="Q158" s="79" t="str">
        <x:v>6a2d446d45c164ce6f28ae30</x:v>
      </x:c>
      <x:c r="R158" s="79" t="str">
        <x:v>30 میلی لیتر</x:v>
      </x:c>
      <x:c r="S158" s="79" t="n">
        <x:v>90000</x:v>
      </x:c>
      <x:c r="T158" s="79" t="str">
        <x:v>60 میلی لیتر</x:v>
      </x:c>
      <x:c r="U158" s="79" t="n">
        <x:v>170000</x:v>
      </x:c>
    </x:row>
    <x:row r="159">
      <x:c r="A159" s="79" t="n">
        <x:v>161</x:v>
      </x:c>
      <x:c r="B159" s="79" t="str">
        <x:v>NS-0158-1</x:v>
      </x:c>
      <x:c r="C159" s="79" t="str">
        <x:v>روغن سیاهدانه</x:v>
      </x:c>
      <x:c r="D159" s="79" t="str">
        <x:v>روغن سیاهدانه</x:v>
      </x:c>
      <x:c r="E159" s="79" t="str">
        <x:v>grp_black_seed_oil</x:v>
      </x:c>
      <x:c r="F159" s="79" t="str">
        <x:v>معمولی</x:v>
      </x:c>
      <x:c r="G159" s="79" t="str">
        <x:v>canonical_group_row</x:v>
      </x:c>
      <x:c r="H159" s="79" t="str">
        <x:v>روغن</x:v>
      </x:c>
      <x:c r="I159" s="79" t="str">
        <x:v>6a2d446d45c164ce6f28ae30</x:v>
      </x:c>
      <x:c r="J159" s="79" t="str">
        <x:v>oil</x:v>
      </x:c>
      <x:c r="K159" s="79" t="str">
        <x:v>EDIBLE</x:v>
      </x:c>
      <x:c r="L159" s="79" t="str">
        <x:v>بله</x:v>
      </x:c>
      <x:c r="M159" s="79" t="str">
        <x:v>MERGED</x:v>
      </x:c>
      <x:c r="N159" s="79"/>
      <x:c r="O159" s="79" t="str">
        <x:v>بله</x:v>
      </x:c>
      <x:c r="P159" s="79" t="str">
        <x:v>روغن</x:v>
      </x:c>
      <x:c r="Q159" s="79" t="str">
        <x:v>6a2d446d45c164ce6f28ae30</x:v>
      </x:c>
      <x:c r="R159" s="79" t="str">
        <x:v>30 میلی لیتر</x:v>
      </x:c>
      <x:c r="S159" s="79" t="n">
        <x:v>130000</x:v>
      </x:c>
      <x:c r="T159" s="79" t="str">
        <x:v>60 میلی لیتر</x:v>
      </x:c>
      <x:c r="U159" s="79" t="n">
        <x:v>255000</x:v>
      </x:c>
    </x:row>
    <x:row r="160">
      <x:c r="A160" s="79" t="n">
        <x:v>162</x:v>
      </x:c>
      <x:c r="B160" s="79" t="str">
        <x:v>NS-0159-1</x:v>
      </x:c>
      <x:c r="C160" s="79" t="str">
        <x:v>روغن سیاهدانه هندی</x:v>
      </x:c>
      <x:c r="D160" s="79" t="str">
        <x:v>روغن سیاهدانه</x:v>
      </x:c>
      <x:c r="E160" s="79" t="str">
        <x:v>grp_black_seed_oil</x:v>
      </x:c>
      <x:c r="F160" s="79" t="str">
        <x:v>هندی</x:v>
      </x:c>
      <x:c r="G160" s="79" t="str">
        <x:v>merge_into_canonical_group</x:v>
      </x:c>
      <x:c r="H160" s="79" t="str">
        <x:v>روغن</x:v>
      </x:c>
      <x:c r="I160" s="79" t="str">
        <x:v>6a2d446d45c164ce6f28ae30</x:v>
      </x:c>
      <x:c r="J160" s="79" t="str">
        <x:v>oil</x:v>
      </x:c>
      <x:c r="K160" s="79" t="str">
        <x:v>EDIBLE</x:v>
      </x:c>
      <x:c r="L160" s="79" t="str">
        <x:v>بله</x:v>
      </x:c>
      <x:c r="M160" s="79" t="str">
        <x:v>MERGED</x:v>
      </x:c>
      <x:c r="N160" s="79"/>
      <x:c r="O160" s="79" t="str">
        <x:v>بله</x:v>
      </x:c>
      <x:c r="P160" s="79" t="str">
        <x:v>روغن</x:v>
      </x:c>
      <x:c r="Q160" s="79" t="str">
        <x:v>6a2d446d45c164ce6f28ae30</x:v>
      </x:c>
      <x:c r="R160" s="79" t="str">
        <x:v>نیم لیتر</x:v>
      </x:c>
      <x:c r="S160" s="79" t="n">
        <x:v>1760000</x:v>
      </x:c>
      <x:c r="T160" s="79" t="str">
        <x:v>1 لیتر</x:v>
      </x:c>
      <x:c r="U160" s="79" t="n">
        <x:v>3500000</x:v>
      </x:c>
    </x:row>
    <x:row r="161">
      <x:c r="A161" s="79" t="n">
        <x:v>163</x:v>
      </x:c>
      <x:c r="B161" s="79" t="str">
        <x:v>NS-0160-1</x:v>
      </x:c>
      <x:c r="C161" s="79" t="str">
        <x:v>روغن سیر</x:v>
      </x:c>
      <x:c r="D161" s="79" t="str">
        <x:v>روغن سیر</x:v>
      </x:c>
      <x:c r="E161" s="79" t="str">
        <x:v>single_163</x:v>
      </x:c>
      <x:c r="F161" s="79"/>
      <x:c r="G161" s="79" t="str">
        <x:v>canonical_group_row</x:v>
      </x:c>
      <x:c r="H161" s="79" t="str">
        <x:v>روغن</x:v>
      </x:c>
      <x:c r="I161" s="79" t="str">
        <x:v>6a2d446d45c164ce6f28ae30</x:v>
      </x:c>
      <x:c r="J161" s="79" t="str">
        <x:v>oil</x:v>
      </x:c>
      <x:c r="K161" s="79" t="str">
        <x:v>EDIBLE</x:v>
      </x:c>
      <x:c r="L161" s="79" t="str">
        <x:v>بله</x:v>
      </x:c>
      <x:c r="M161" s="79" t="str">
        <x:v>OK</x:v>
      </x:c>
      <x:c r="N161" s="79"/>
      <x:c r="O161" s="79" t="str">
        <x:v>بله</x:v>
      </x:c>
      <x:c r="P161" s="79" t="str">
        <x:v>روغن</x:v>
      </x:c>
      <x:c r="Q161" s="79" t="str">
        <x:v>6a2d446d45c164ce6f28ae30</x:v>
      </x:c>
      <x:c r="R161" s="79" t="str">
        <x:v>30 میلی لیتر</x:v>
      </x:c>
      <x:c r="S161" s="79" t="n">
        <x:v>65000</x:v>
      </x:c>
      <x:c r="T161" s="79" t="str">
        <x:v>60 میلی لیتر</x:v>
      </x:c>
      <x:c r="U161" s="79" t="n">
        <x:v>120000</x:v>
      </x:c>
    </x:row>
    <x:row r="162">
      <x:c r="A162" s="79" t="n">
        <x:v>164</x:v>
      </x:c>
      <x:c r="B162" s="79" t="str">
        <x:v>NS-0161-1</x:v>
      </x:c>
      <x:c r="C162" s="79" t="str">
        <x:v>روغن شترمرغ</x:v>
      </x:c>
      <x:c r="D162" s="79" t="str">
        <x:v>روغن شترمرغ</x:v>
      </x:c>
      <x:c r="E162" s="79" t="str">
        <x:v>single_164</x:v>
      </x:c>
      <x:c r="F162" s="79"/>
      <x:c r="G162" s="79" t="str">
        <x:v>canonical_group_row</x:v>
      </x:c>
      <x:c r="H162" s="79" t="str">
        <x:v>روغن</x:v>
      </x:c>
      <x:c r="I162" s="79" t="str">
        <x:v>6a2d446d45c164ce6f28ae30</x:v>
      </x:c>
      <x:c r="J162" s="79" t="str">
        <x:v>oil</x:v>
      </x:c>
      <x:c r="K162" s="79" t="str">
        <x:v>EDIBLE</x:v>
      </x:c>
      <x:c r="L162" s="79" t="str">
        <x:v>بله</x:v>
      </x:c>
      <x:c r="M162" s="79" t="str">
        <x:v>OK</x:v>
      </x:c>
      <x:c r="N162" s="79"/>
      <x:c r="O162" s="79" t="str">
        <x:v>بله</x:v>
      </x:c>
      <x:c r="P162" s="79" t="str">
        <x:v>روغن</x:v>
      </x:c>
      <x:c r="Q162" s="79" t="str">
        <x:v>6a2d446d45c164ce6f28ae30</x:v>
      </x:c>
      <x:c r="R162" s="79" t="str">
        <x:v>30 میلی لیتر</x:v>
      </x:c>
      <x:c r="S162" s="79" t="n">
        <x:v>90000</x:v>
      </x:c>
      <x:c r="T162" s="79" t="str">
        <x:v>60 میلی لیتر</x:v>
      </x:c>
      <x:c r="U162" s="79" t="n">
        <x:v>170000</x:v>
      </x:c>
    </x:row>
    <x:row r="163">
      <x:c r="A163" s="79" t="n">
        <x:v>165</x:v>
      </x:c>
      <x:c r="B163" s="79" t="str">
        <x:v>NS-0162-1</x:v>
      </x:c>
      <x:c r="C163" s="79" t="str">
        <x:v>روغن شوید</x:v>
      </x:c>
      <x:c r="D163" s="79" t="str">
        <x:v>روغن شوید</x:v>
      </x:c>
      <x:c r="E163" s="79" t="str">
        <x:v>single_165</x:v>
      </x:c>
      <x:c r="F163" s="79"/>
      <x:c r="G163" s="79" t="str">
        <x:v>canonical_group_row</x:v>
      </x:c>
      <x:c r="H163" s="79" t="str">
        <x:v>روغن</x:v>
      </x:c>
      <x:c r="I163" s="79" t="str">
        <x:v>6a2d446d45c164ce6f28ae30</x:v>
      </x:c>
      <x:c r="J163" s="79" t="str">
        <x:v>oil</x:v>
      </x:c>
      <x:c r="K163" s="79" t="str">
        <x:v>EDIBLE</x:v>
      </x:c>
      <x:c r="L163" s="79" t="str">
        <x:v>بله</x:v>
      </x:c>
      <x:c r="M163" s="79" t="str">
        <x:v>OK</x:v>
      </x:c>
      <x:c r="N163" s="79"/>
      <x:c r="O163" s="79" t="str">
        <x:v>بله</x:v>
      </x:c>
      <x:c r="P163" s="79" t="str">
        <x:v>روغن</x:v>
      </x:c>
      <x:c r="Q163" s="79" t="str">
        <x:v>6a2d446d45c164ce6f28ae30</x:v>
      </x:c>
      <x:c r="R163" s="79" t="str">
        <x:v>30 میلی لیتر</x:v>
      </x:c>
      <x:c r="S163" s="79" t="n">
        <x:v>65000</x:v>
      </x:c>
      <x:c r="T163" s="79" t="str">
        <x:v>60 میلی لیتر</x:v>
      </x:c>
      <x:c r="U163" s="79" t="n">
        <x:v>120000</x:v>
      </x:c>
    </x:row>
    <x:row r="164">
      <x:c r="A164" s="79" t="n">
        <x:v>166</x:v>
      </x:c>
      <x:c r="B164" s="79" t="str">
        <x:v>NS-0163-1</x:v>
      </x:c>
      <x:c r="C164" s="79" t="str">
        <x:v>روغن شی باتر</x:v>
      </x:c>
      <x:c r="D164" s="79" t="str">
        <x:v>روغن شی باتر</x:v>
      </x:c>
      <x:c r="E164" s="79" t="str">
        <x:v>single_166</x:v>
      </x:c>
      <x:c r="F164" s="79"/>
      <x:c r="G164" s="79" t="str">
        <x:v>canonical_group_row</x:v>
      </x:c>
      <x:c r="H164" s="79" t="str">
        <x:v>روغن</x:v>
      </x:c>
      <x:c r="I164" s="79" t="str">
        <x:v>6a2d446d45c164ce6f28ae30</x:v>
      </x:c>
      <x:c r="J164" s="79" t="str">
        <x:v>oil</x:v>
      </x:c>
      <x:c r="K164" s="79" t="str">
        <x:v>EDIBLE</x:v>
      </x:c>
      <x:c r="L164" s="79" t="str">
        <x:v>بله</x:v>
      </x:c>
      <x:c r="M164" s="79" t="str">
        <x:v>OK</x:v>
      </x:c>
      <x:c r="N164" s="79"/>
      <x:c r="O164" s="79" t="str">
        <x:v>بله</x:v>
      </x:c>
      <x:c r="P164" s="79" t="str">
        <x:v>روغن</x:v>
      </x:c>
      <x:c r="Q164" s="79" t="str">
        <x:v>6a2d446d45c164ce6f28ae30</x:v>
      </x:c>
      <x:c r="R164" s="79" t="str">
        <x:v>90 گرمی</x:v>
      </x:c>
      <x:c r="S164" s="79" t="n">
        <x:v>145000</x:v>
      </x:c>
      <x:c r="T164" s="79" t="str">
        <x:v>کیلو</x:v>
      </x:c>
      <x:c r="U164" s="79" t="n">
        <x:v>1500000</x:v>
      </x:c>
    </x:row>
    <x:row r="165">
      <x:c r="A165" s="79" t="n">
        <x:v>167</x:v>
      </x:c>
      <x:c r="B165" s="79" t="str">
        <x:v>NS-0164-1</x:v>
      </x:c>
      <x:c r="C165" s="79" t="str">
        <x:v>روغن ضد التهاب</x:v>
      </x:c>
      <x:c r="D165" s="79" t="str">
        <x:v>روغن ضد التهاب</x:v>
      </x:c>
      <x:c r="E165" s="79" t="str">
        <x:v>single_167</x:v>
      </x:c>
      <x:c r="F165" s="79"/>
      <x:c r="G165" s="79" t="str">
        <x:v>canonical_group_row</x:v>
      </x:c>
      <x:c r="H165" s="79" t="str">
        <x:v>روغن</x:v>
      </x:c>
      <x:c r="I165" s="79" t="str">
        <x:v>6a2d446d45c164ce6f28ae30</x:v>
      </x:c>
      <x:c r="J165" s="79" t="str">
        <x:v>oil</x:v>
      </x:c>
      <x:c r="K165" s="79" t="str">
        <x:v>EDIBLE</x:v>
      </x:c>
      <x:c r="L165" s="79" t="str">
        <x:v>بله</x:v>
      </x:c>
      <x:c r="M165" s="79" t="str">
        <x:v>MISSING_PRICE_REVIEW</x:v>
      </x:c>
      <x:c r="N165" s="79" t="str">
        <x:v>یک یا چند قیمت نامشخص است</x:v>
      </x:c>
      <x:c r="O165" s="79" t="str">
        <x:v>بله</x:v>
      </x:c>
      <x:c r="P165" s="79" t="str">
        <x:v>روغن</x:v>
      </x:c>
      <x:c r="Q165" s="79" t="str">
        <x:v>6a2d446d45c164ce6f28ae30</x:v>
      </x:c>
      <x:c r="R165" s="79" t="str">
        <x:v>30 میلی لیتر</x:v>
      </x:c>
      <x:c r="S165" s="79" t="n">
        <x:v>120000</x:v>
      </x:c>
      <x:c r="T165" s="79" t="str">
        <x:v>60 میلی لیتر</x:v>
      </x:c>
      <x:c r="U165" s="79"/>
    </x:row>
    <x:row r="166">
      <x:c r="A166" s="79" t="n">
        <x:v>168</x:v>
      </x:c>
      <x:c r="B166" s="79" t="str">
        <x:v>NS-0165-1</x:v>
      </x:c>
      <x:c r="C166" s="79" t="str">
        <x:v>روغن ضد درد</x:v>
      </x:c>
      <x:c r="D166" s="79" t="str">
        <x:v>روغن ضد درد</x:v>
      </x:c>
      <x:c r="E166" s="79" t="str">
        <x:v>grp_pain_relief_oil</x:v>
      </x:c>
      <x:c r="F166" s="79"/>
      <x:c r="G166" s="79" t="str">
        <x:v>canonical_group_row</x:v>
      </x:c>
      <x:c r="H166" s="79" t="str">
        <x:v>روغن</x:v>
      </x:c>
      <x:c r="I166" s="79" t="str">
        <x:v>6a2d446d45c164ce6f28ae30</x:v>
      </x:c>
      <x:c r="J166" s="79" t="str">
        <x:v>oil</x:v>
      </x:c>
      <x:c r="K166" s="79" t="str">
        <x:v>EDIBLE</x:v>
      </x:c>
      <x:c r="L166" s="79" t="str">
        <x:v>بله</x:v>
      </x:c>
      <x:c r="M166" s="79" t="str">
        <x:v>MERGED</x:v>
      </x:c>
      <x:c r="N166" s="79"/>
      <x:c r="O166" s="79" t="str">
        <x:v>بله</x:v>
      </x:c>
      <x:c r="P166" s="79" t="str">
        <x:v>روغن</x:v>
      </x:c>
      <x:c r="Q166" s="79" t="str">
        <x:v>6a2d446d45c164ce6f28ae30</x:v>
      </x:c>
      <x:c r="R166" s="79" t="str">
        <x:v>نیم لیتر</x:v>
      </x:c>
      <x:c r="S166" s="79" t="n">
        <x:v>1475000</x:v>
      </x:c>
      <x:c r="T166" s="79" t="str">
        <x:v>1 لیتر</x:v>
      </x:c>
      <x:c r="U166" s="79" t="n">
        <x:v>2950000</x:v>
      </x:c>
    </x:row>
    <x:row r="167">
      <x:c r="A167" s="79" t="n">
        <x:v>169</x:v>
      </x:c>
      <x:c r="B167" s="79" t="str">
        <x:v>NS-0165-1</x:v>
      </x:c>
      <x:c r="C167" s="79" t="str">
        <x:v>روغن ضد درد</x:v>
      </x:c>
      <x:c r="D167" s="79" t="str">
        <x:v>روغن ضد درد</x:v>
      </x:c>
      <x:c r="E167" s="79" t="str">
        <x:v>grp_pain_relief_oil</x:v>
      </x:c>
      <x:c r="F167" s="79"/>
      <x:c r="G167" s="79" t="str">
        <x:v>merge_into_canonical_group</x:v>
      </x:c>
      <x:c r="H167" s="79" t="str">
        <x:v>روغن</x:v>
      </x:c>
      <x:c r="I167" s="79" t="str">
        <x:v>6a2d446d45c164ce6f28ae30</x:v>
      </x:c>
      <x:c r="J167" s="79" t="str">
        <x:v>oil</x:v>
      </x:c>
      <x:c r="K167" s="79" t="str">
        <x:v>EDIBLE</x:v>
      </x:c>
      <x:c r="L167" s="79" t="str">
        <x:v>بله</x:v>
      </x:c>
      <x:c r="M167" s="79" t="str">
        <x:v>MERGED</x:v>
      </x:c>
      <x:c r="N167" s="79"/>
      <x:c r="O167" s="79" t="str">
        <x:v>بله</x:v>
      </x:c>
      <x:c r="P167" s="79" t="str">
        <x:v>روغن</x:v>
      </x:c>
      <x:c r="Q167" s="79" t="str">
        <x:v>6a2d446d45c164ce6f28ae30</x:v>
      </x:c>
      <x:c r="R167" s="79" t="str">
        <x:v>30 میلی لیتر</x:v>
      </x:c>
      <x:c r="S167" s="79" t="n">
        <x:v>100000</x:v>
      </x:c>
      <x:c r="T167" s="79" t="str">
        <x:v>60 میلی لیتر</x:v>
      </x:c>
      <x:c r="U167" s="79" t="n">
        <x:v>195000</x:v>
      </x:c>
    </x:row>
    <x:row r="168">
      <x:c r="A168" s="79" t="n">
        <x:v>170</x:v>
      </x:c>
      <x:c r="B168" s="79" t="str">
        <x:v>NS-0167-1</x:v>
      </x:c>
      <x:c r="C168" s="79" t="str">
        <x:v>روغن فندق</x:v>
      </x:c>
      <x:c r="D168" s="79" t="str">
        <x:v>روغن فندق</x:v>
      </x:c>
      <x:c r="E168" s="79" t="str">
        <x:v>single_170</x:v>
      </x:c>
      <x:c r="F168" s="79"/>
      <x:c r="G168" s="79" t="str">
        <x:v>canonical_group_row</x:v>
      </x:c>
      <x:c r="H168" s="79" t="str">
        <x:v>روغن</x:v>
      </x:c>
      <x:c r="I168" s="79" t="str">
        <x:v>6a2d446d45c164ce6f28ae30</x:v>
      </x:c>
      <x:c r="J168" s="79" t="str">
        <x:v>oil</x:v>
      </x:c>
      <x:c r="K168" s="79" t="str">
        <x:v>EDIBLE</x:v>
      </x:c>
      <x:c r="L168" s="79" t="str">
        <x:v>بله</x:v>
      </x:c>
      <x:c r="M168" s="79" t="str">
        <x:v>OK</x:v>
      </x:c>
      <x:c r="N168" s="79"/>
      <x:c r="O168" s="79" t="str">
        <x:v>بله</x:v>
      </x:c>
      <x:c r="P168" s="79" t="str">
        <x:v>روغن</x:v>
      </x:c>
      <x:c r="Q168" s="79" t="str">
        <x:v>6a2d446d45c164ce6f28ae30</x:v>
      </x:c>
      <x:c r="R168" s="79" t="str">
        <x:v>30 میلی لیتر</x:v>
      </x:c>
      <x:c r="S168" s="79" t="n">
        <x:v>100000</x:v>
      </x:c>
      <x:c r="T168" s="79" t="str">
        <x:v>60 میلی لیتر</x:v>
      </x:c>
      <x:c r="U168" s="79" t="n">
        <x:v>195000</x:v>
      </x:c>
    </x:row>
    <x:row r="169">
      <x:c r="A169" s="79" t="n">
        <x:v>171</x:v>
      </x:c>
      <x:c r="B169" s="79" t="str">
        <x:v>NS-0168-1</x:v>
      </x:c>
      <x:c r="C169" s="79" t="str">
        <x:v>روغن کدو</x:v>
      </x:c>
      <x:c r="D169" s="79" t="str">
        <x:v>روغن کدو</x:v>
      </x:c>
      <x:c r="E169" s="79" t="str">
        <x:v>single_171</x:v>
      </x:c>
      <x:c r="F169" s="79"/>
      <x:c r="G169" s="79" t="str">
        <x:v>canonical_group_row</x:v>
      </x:c>
      <x:c r="H169" s="79" t="str">
        <x:v>روغن</x:v>
      </x:c>
      <x:c r="I169" s="79" t="str">
        <x:v>6a2d446d45c164ce6f28ae30</x:v>
      </x:c>
      <x:c r="J169" s="79" t="str">
        <x:v>oil</x:v>
      </x:c>
      <x:c r="K169" s="79" t="str">
        <x:v>EDIBLE</x:v>
      </x:c>
      <x:c r="L169" s="79" t="str">
        <x:v>بله</x:v>
      </x:c>
      <x:c r="M169" s="79" t="str">
        <x:v>OK</x:v>
      </x:c>
      <x:c r="N169" s="79"/>
      <x:c r="O169" s="79" t="str">
        <x:v>بله</x:v>
      </x:c>
      <x:c r="P169" s="79" t="str">
        <x:v>روغن</x:v>
      </x:c>
      <x:c r="Q169" s="79" t="str">
        <x:v>6a2d446d45c164ce6f28ae30</x:v>
      </x:c>
      <x:c r="R169" s="79" t="str">
        <x:v>30 میلی لیتر</x:v>
      </x:c>
      <x:c r="S169" s="79" t="n">
        <x:v>90000</x:v>
      </x:c>
      <x:c r="T169" s="79" t="str">
        <x:v>60 میلی لیتر</x:v>
      </x:c>
      <x:c r="U169" s="79" t="n">
        <x:v>170000</x:v>
      </x:c>
    </x:row>
    <x:row r="170">
      <x:c r="A170" s="79" t="n">
        <x:v>172</x:v>
      </x:c>
      <x:c r="B170" s="79" t="str">
        <x:v>NS-0169-1</x:v>
      </x:c>
      <x:c r="C170" s="79" t="str">
        <x:v>روغن کرچک</x:v>
      </x:c>
      <x:c r="D170" s="79" t="str">
        <x:v>روغن کرچک</x:v>
      </x:c>
      <x:c r="E170" s="79" t="str">
        <x:v>grp_castor_oil</x:v>
      </x:c>
      <x:c r="F170" s="79"/>
      <x:c r="G170" s="79" t="str">
        <x:v>canonical_group_row</x:v>
      </x:c>
      <x:c r="H170" s="79" t="str">
        <x:v>روغن</x:v>
      </x:c>
      <x:c r="I170" s="79" t="str">
        <x:v>6a2d446d45c164ce6f28ae30</x:v>
      </x:c>
      <x:c r="J170" s="79" t="str">
        <x:v>oil</x:v>
      </x:c>
      <x:c r="K170" s="79" t="str">
        <x:v>EDIBLE</x:v>
      </x:c>
      <x:c r="L170" s="79" t="str">
        <x:v>بله</x:v>
      </x:c>
      <x:c r="M170" s="79" t="str">
        <x:v>MERGED</x:v>
      </x:c>
      <x:c r="N170" s="79"/>
      <x:c r="O170" s="79" t="str">
        <x:v>بله</x:v>
      </x:c>
      <x:c r="P170" s="79" t="str">
        <x:v>روغن</x:v>
      </x:c>
      <x:c r="Q170" s="79" t="str">
        <x:v>6a2d446d45c164ce6f28ae30</x:v>
      </x:c>
      <x:c r="R170" s="79" t="str">
        <x:v>نیم لیتر</x:v>
      </x:c>
      <x:c r="S170" s="79" t="n">
        <x:v>500000</x:v>
      </x:c>
      <x:c r="T170" s="79" t="str">
        <x:v>1 لیتر</x:v>
      </x:c>
      <x:c r="U170" s="79" t="n">
        <x:v>1000000</x:v>
      </x:c>
    </x:row>
    <x:row r="171">
      <x:c r="A171" s="79" t="n">
        <x:v>173</x:v>
      </x:c>
      <x:c r="B171" s="79" t="str">
        <x:v>NS-0169-1</x:v>
      </x:c>
      <x:c r="C171" s="79" t="str">
        <x:v>روغن کرچک</x:v>
      </x:c>
      <x:c r="D171" s="79" t="str">
        <x:v>روغن کرچک</x:v>
      </x:c>
      <x:c r="E171" s="79" t="str">
        <x:v>grp_castor_oil</x:v>
      </x:c>
      <x:c r="F171" s="79"/>
      <x:c r="G171" s="79" t="str">
        <x:v>merge_into_canonical_group</x:v>
      </x:c>
      <x:c r="H171" s="79" t="str">
        <x:v>روغن</x:v>
      </x:c>
      <x:c r="I171" s="79" t="str">
        <x:v>6a2d446d45c164ce6f28ae30</x:v>
      </x:c>
      <x:c r="J171" s="79" t="str">
        <x:v>oil</x:v>
      </x:c>
      <x:c r="K171" s="79" t="str">
        <x:v>EDIBLE</x:v>
      </x:c>
      <x:c r="L171" s="79" t="str">
        <x:v>بله</x:v>
      </x:c>
      <x:c r="M171" s="79" t="str">
        <x:v>MERGED</x:v>
      </x:c>
      <x:c r="N171" s="79"/>
      <x:c r="O171" s="79" t="str">
        <x:v>بله</x:v>
      </x:c>
      <x:c r="P171" s="79" t="str">
        <x:v>روغن</x:v>
      </x:c>
      <x:c r="Q171" s="79" t="str">
        <x:v>6a2d446d45c164ce6f28ae30</x:v>
      </x:c>
      <x:c r="R171" s="79" t="str">
        <x:v>30 میلی لیتر</x:v>
      </x:c>
      <x:c r="S171" s="79" t="n">
        <x:v>65000</x:v>
      </x:c>
      <x:c r="T171" s="79" t="str">
        <x:v>60 میلی لیتر</x:v>
      </x:c>
      <x:c r="U171" s="79" t="n">
        <x:v>120000</x:v>
      </x:c>
    </x:row>
    <x:row r="172">
      <x:c r="A172" s="79" t="n">
        <x:v>174</x:v>
      </x:c>
      <x:c r="B172" s="79" t="str">
        <x:v>NS-0171-1</x:v>
      </x:c>
      <x:c r="C172" s="79" t="str">
        <x:v>روغن کلزا</x:v>
      </x:c>
      <x:c r="D172" s="79" t="str">
        <x:v>روغن کلزا</x:v>
      </x:c>
      <x:c r="E172" s="79" t="str">
        <x:v>single_174</x:v>
      </x:c>
      <x:c r="F172" s="79"/>
      <x:c r="G172" s="79" t="str">
        <x:v>canonical_group_row</x:v>
      </x:c>
      <x:c r="H172" s="79" t="str">
        <x:v>روغن</x:v>
      </x:c>
      <x:c r="I172" s="79" t="str">
        <x:v>6a2d446d45c164ce6f28ae30</x:v>
      </x:c>
      <x:c r="J172" s="79" t="str">
        <x:v>oil</x:v>
      </x:c>
      <x:c r="K172" s="79" t="str">
        <x:v>EDIBLE</x:v>
      </x:c>
      <x:c r="L172" s="79" t="str">
        <x:v>بله</x:v>
      </x:c>
      <x:c r="M172" s="79" t="str">
        <x:v>OK</x:v>
      </x:c>
      <x:c r="N172" s="79"/>
      <x:c r="O172" s="79" t="str">
        <x:v>بله</x:v>
      </x:c>
      <x:c r="P172" s="79" t="str">
        <x:v>روغن</x:v>
      </x:c>
      <x:c r="Q172" s="79" t="str">
        <x:v>6a2d446d45c164ce6f28ae30</x:v>
      </x:c>
      <x:c r="R172" s="79" t="str">
        <x:v>نیم لیتر</x:v>
      </x:c>
      <x:c r="S172" s="79" t="n">
        <x:v>400000</x:v>
      </x:c>
      <x:c r="T172" s="79" t="str">
        <x:v>1 لیتر</x:v>
      </x:c>
      <x:c r="U172" s="79" t="n">
        <x:v>790000</x:v>
      </x:c>
    </x:row>
    <x:row r="173">
      <x:c r="A173" s="79" t="n">
        <x:v>175</x:v>
      </x:c>
      <x:c r="B173" s="79" t="str">
        <x:v>NS-0172-1</x:v>
      </x:c>
      <x:c r="C173" s="79" t="str">
        <x:v>روغن کنجد</x:v>
      </x:c>
      <x:c r="D173" s="79" t="str">
        <x:v>روغن کنجد</x:v>
      </x:c>
      <x:c r="E173" s="79" t="str">
        <x:v>grp_sesame_oil</x:v>
      </x:c>
      <x:c r="F173" s="79"/>
      <x:c r="G173" s="79" t="str">
        <x:v>canonical_group_row</x:v>
      </x:c>
      <x:c r="H173" s="79" t="str">
        <x:v>روغن</x:v>
      </x:c>
      <x:c r="I173" s="79" t="str">
        <x:v>6a2d446d45c164ce6f28ae30</x:v>
      </x:c>
      <x:c r="J173" s="79" t="str">
        <x:v>oil</x:v>
      </x:c>
      <x:c r="K173" s="79" t="str">
        <x:v>EDIBLE</x:v>
      </x:c>
      <x:c r="L173" s="79" t="str">
        <x:v>بله</x:v>
      </x:c>
      <x:c r="M173" s="79" t="str">
        <x:v>MERGED</x:v>
      </x:c>
      <x:c r="N173" s="79"/>
      <x:c r="O173" s="79" t="str">
        <x:v>بله</x:v>
      </x:c>
      <x:c r="P173" s="79" t="str">
        <x:v>روغن</x:v>
      </x:c>
      <x:c r="Q173" s="79" t="str">
        <x:v>6a2d446d45c164ce6f28ae30</x:v>
      </x:c>
      <x:c r="R173" s="79" t="str">
        <x:v>نیم لیتر</x:v>
      </x:c>
      <x:c r="S173" s="79" t="n">
        <x:v>555000</x:v>
      </x:c>
      <x:c r="T173" s="79" t="str">
        <x:v>1 لیتر</x:v>
      </x:c>
      <x:c r="U173" s="79" t="n">
        <x:v>1100000</x:v>
      </x:c>
    </x:row>
    <x:row r="174">
      <x:c r="A174" s="79" t="n">
        <x:v>176</x:v>
      </x:c>
      <x:c r="B174" s="79" t="str">
        <x:v>NS-0173-1</x:v>
      </x:c>
      <x:c r="C174" s="79" t="str">
        <x:v>روغن کنجد #</x:v>
      </x:c>
      <x:c r="D174" s="79" t="str">
        <x:v>روغن کنجد</x:v>
      </x:c>
      <x:c r="E174" s="79" t="str">
        <x:v>grp_sesame_oil</x:v>
      </x:c>
      <x:c r="F174" s="79"/>
      <x:c r="G174" s="79" t="str">
        <x:v>merge_into_canonical_group</x:v>
      </x:c>
      <x:c r="H174" s="79" t="str">
        <x:v>روغن</x:v>
      </x:c>
      <x:c r="I174" s="79" t="str">
        <x:v>6a2d446d45c164ce6f28ae30</x:v>
      </x:c>
      <x:c r="J174" s="79" t="str">
        <x:v>oil</x:v>
      </x:c>
      <x:c r="K174" s="79" t="str">
        <x:v>EDIBLE</x:v>
      </x:c>
      <x:c r="L174" s="79" t="str">
        <x:v>بله</x:v>
      </x:c>
      <x:c r="M174" s="79" t="str">
        <x:v>MERGED + MISSING_PRICE_REVIEW</x:v>
      </x:c>
      <x:c r="N174" s="79" t="str">
        <x:v>یک یا چند قیمت نامشخص است</x:v>
      </x:c>
      <x:c r="O174" s="79" t="str">
        <x:v>بله</x:v>
      </x:c>
      <x:c r="P174" s="79" t="str">
        <x:v>روغن</x:v>
      </x:c>
      <x:c r="Q174" s="79" t="str">
        <x:v>6a2d446d45c164ce6f28ae30</x:v>
      </x:c>
      <x:c r="R174" s="79" t="str">
        <x:v>کیلو</x:v>
      </x:c>
      <x:c r="S174" s="79"/>
      <x:c r="T174" s="79" t="str">
        <x:v>کیلو</x:v>
      </x:c>
      <x:c r="U174" s="79"/>
    </x:row>
    <x:row r="175">
      <x:c r="A175" s="79" t="n">
        <x:v>177</x:v>
      </x:c>
      <x:c r="B175" s="79" t="str">
        <x:v>NS-0174-1</x:v>
      </x:c>
      <x:c r="C175" s="79" t="str">
        <x:v>روغن کنجد موضعی</x:v>
      </x:c>
      <x:c r="D175" s="79" t="str">
        <x:v>روغن کنجد موضعی</x:v>
      </x:c>
      <x:c r="E175" s="79" t="str">
        <x:v>single_177</x:v>
      </x:c>
      <x:c r="F175" s="79"/>
      <x:c r="G175" s="79" t="str">
        <x:v>canonical_group_row</x:v>
      </x:c>
      <x:c r="H175" s="79" t="str">
        <x:v>روغن</x:v>
      </x:c>
      <x:c r="I175" s="79" t="str">
        <x:v>6a2d446d45c164ce6f28ae30</x:v>
      </x:c>
      <x:c r="J175" s="79" t="str">
        <x:v>oil</x:v>
      </x:c>
      <x:c r="K175" s="79" t="str">
        <x:v>EDIBLE</x:v>
      </x:c>
      <x:c r="L175" s="79" t="str">
        <x:v>بله</x:v>
      </x:c>
      <x:c r="M175" s="79" t="str">
        <x:v>OK</x:v>
      </x:c>
      <x:c r="N175" s="79"/>
      <x:c r="O175" s="79" t="str">
        <x:v>بله</x:v>
      </x:c>
      <x:c r="P175" s="79" t="str">
        <x:v>روغن</x:v>
      </x:c>
      <x:c r="Q175" s="79" t="str">
        <x:v>6a2d446d45c164ce6f28ae30</x:v>
      </x:c>
      <x:c r="R175" s="79" t="str">
        <x:v>30 میلی لیتر</x:v>
      </x:c>
      <x:c r="S175" s="79" t="n">
        <x:v>45000</x:v>
      </x:c>
      <x:c r="T175" s="79" t="str">
        <x:v>60 میلی لیتر</x:v>
      </x:c>
      <x:c r="U175" s="79" t="n">
        <x:v>80000</x:v>
      </x:c>
    </x:row>
    <x:row r="176">
      <x:c r="A176" s="79" t="n">
        <x:v>178</x:v>
      </x:c>
      <x:c r="B176" s="79" t="str">
        <x:v>NS-0175-1</x:v>
      </x:c>
      <x:c r="C176" s="79" t="str">
        <x:v>روغن کندر</x:v>
      </x:c>
      <x:c r="D176" s="79" t="str">
        <x:v>روغن کندر</x:v>
      </x:c>
      <x:c r="E176" s="79" t="str">
        <x:v>single_178</x:v>
      </x:c>
      <x:c r="F176" s="79"/>
      <x:c r="G176" s="79" t="str">
        <x:v>canonical_group_row</x:v>
      </x:c>
      <x:c r="H176" s="79" t="str">
        <x:v>روغن</x:v>
      </x:c>
      <x:c r="I176" s="79" t="str">
        <x:v>6a2d446d45c164ce6f28ae30</x:v>
      </x:c>
      <x:c r="J176" s="79" t="str">
        <x:v>oil</x:v>
      </x:c>
      <x:c r="K176" s="79" t="str">
        <x:v>EDIBLE</x:v>
      </x:c>
      <x:c r="L176" s="79" t="str">
        <x:v>بله</x:v>
      </x:c>
      <x:c r="M176" s="79" t="str">
        <x:v>OK</x:v>
      </x:c>
      <x:c r="N176" s="79"/>
      <x:c r="O176" s="79" t="str">
        <x:v>بله</x:v>
      </x:c>
      <x:c r="P176" s="79" t="str">
        <x:v>روغن</x:v>
      </x:c>
      <x:c r="Q176" s="79" t="str">
        <x:v>6a2d446d45c164ce6f28ae30</x:v>
      </x:c>
      <x:c r="R176" s="79" t="str">
        <x:v>30 میلی لیتر</x:v>
      </x:c>
      <x:c r="S176" s="79" t="n">
        <x:v>85000</x:v>
      </x:c>
      <x:c r="T176" s="79" t="str">
        <x:v>60 میلی لیتر</x:v>
      </x:c>
      <x:c r="U176" s="79" t="n">
        <x:v>160000</x:v>
      </x:c>
    </x:row>
    <x:row r="177">
      <x:c r="A177" s="79" t="n">
        <x:v>179</x:v>
      </x:c>
      <x:c r="B177" s="79" t="str">
        <x:v>NS-0176-1</x:v>
      </x:c>
      <x:c r="C177" s="79" t="str">
        <x:v>روغن کندش</x:v>
      </x:c>
      <x:c r="D177" s="79" t="str">
        <x:v>روغن کندش</x:v>
      </x:c>
      <x:c r="E177" s="79" t="str">
        <x:v>single_179</x:v>
      </x:c>
      <x:c r="F177" s="79"/>
      <x:c r="G177" s="79" t="str">
        <x:v>canonical_group_row</x:v>
      </x:c>
      <x:c r="H177" s="79" t="str">
        <x:v>روغن</x:v>
      </x:c>
      <x:c r="I177" s="79" t="str">
        <x:v>6a2d446d45c164ce6f28ae30</x:v>
      </x:c>
      <x:c r="J177" s="79" t="str">
        <x:v>oil</x:v>
      </x:c>
      <x:c r="K177" s="79" t="str">
        <x:v>EDIBLE</x:v>
      </x:c>
      <x:c r="L177" s="79" t="str">
        <x:v>بله</x:v>
      </x:c>
      <x:c r="M177" s="79" t="str">
        <x:v>OK</x:v>
      </x:c>
      <x:c r="N177" s="79"/>
      <x:c r="O177" s="79" t="str">
        <x:v>بله</x:v>
      </x:c>
      <x:c r="P177" s="79" t="str">
        <x:v>روغن</x:v>
      </x:c>
      <x:c r="Q177" s="79" t="str">
        <x:v>6a2d446d45c164ce6f28ae30</x:v>
      </x:c>
      <x:c r="R177" s="79" t="str">
        <x:v>30 میلی لیتر</x:v>
      </x:c>
      <x:c r="S177" s="79" t="n">
        <x:v>115000</x:v>
      </x:c>
      <x:c r="T177" s="79" t="str">
        <x:v>60 میلی لیتر</x:v>
      </x:c>
      <x:c r="U177" s="79" t="n">
        <x:v>220000</x:v>
      </x:c>
    </x:row>
    <x:row r="178">
      <x:c r="A178" s="79" t="n">
        <x:v>180</x:v>
      </x:c>
      <x:c r="B178" s="79" t="str">
        <x:v>NS-0177-1</x:v>
      </x:c>
      <x:c r="C178" s="79" t="str">
        <x:v>روغن کوسه</x:v>
      </x:c>
      <x:c r="D178" s="79" t="str">
        <x:v>روغن کوسه</x:v>
      </x:c>
      <x:c r="E178" s="79" t="str">
        <x:v>single_180</x:v>
      </x:c>
      <x:c r="F178" s="79"/>
      <x:c r="G178" s="79" t="str">
        <x:v>canonical_group_row</x:v>
      </x:c>
      <x:c r="H178" s="79" t="str">
        <x:v>روغن</x:v>
      </x:c>
      <x:c r="I178" s="79" t="str">
        <x:v>6a2d446d45c164ce6f28ae30</x:v>
      </x:c>
      <x:c r="J178" s="79" t="str">
        <x:v>oil</x:v>
      </x:c>
      <x:c r="K178" s="79" t="str">
        <x:v>EDIBLE</x:v>
      </x:c>
      <x:c r="L178" s="79" t="str">
        <x:v>بله</x:v>
      </x:c>
      <x:c r="M178" s="79" t="str">
        <x:v>OK</x:v>
      </x:c>
      <x:c r="N178" s="79"/>
      <x:c r="O178" s="79" t="str">
        <x:v>بله</x:v>
      </x:c>
      <x:c r="P178" s="79" t="str">
        <x:v>روغن</x:v>
      </x:c>
      <x:c r="Q178" s="79" t="str">
        <x:v>6a2d446d45c164ce6f28ae30</x:v>
      </x:c>
      <x:c r="R178" s="79" t="str">
        <x:v>30 میلی لیتر</x:v>
      </x:c>
      <x:c r="S178" s="79" t="n">
        <x:v>90000</x:v>
      </x:c>
      <x:c r="T178" s="79" t="str">
        <x:v>60 میلی لیتر</x:v>
      </x:c>
      <x:c r="U178" s="79" t="n">
        <x:v>170000</x:v>
      </x:c>
    </x:row>
    <x:row r="179">
      <x:c r="A179" s="79" t="n">
        <x:v>181</x:v>
      </x:c>
      <x:c r="B179" s="79" t="str">
        <x:v>NS-0178-1</x:v>
      </x:c>
      <x:c r="C179" s="79" t="str">
        <x:v>روغن کوهان شتر</x:v>
      </x:c>
      <x:c r="D179" s="79" t="str">
        <x:v>روغن کوهان شتر</x:v>
      </x:c>
      <x:c r="E179" s="79" t="str">
        <x:v>single_181</x:v>
      </x:c>
      <x:c r="F179" s="79"/>
      <x:c r="G179" s="79" t="str">
        <x:v>canonical_group_row</x:v>
      </x:c>
      <x:c r="H179" s="79" t="str">
        <x:v>روغن</x:v>
      </x:c>
      <x:c r="I179" s="79" t="str">
        <x:v>6a2d446d45c164ce6f28ae30</x:v>
      </x:c>
      <x:c r="J179" s="79" t="str">
        <x:v>oil</x:v>
      </x:c>
      <x:c r="K179" s="79" t="str">
        <x:v>EDIBLE</x:v>
      </x:c>
      <x:c r="L179" s="79" t="str">
        <x:v>بله</x:v>
      </x:c>
      <x:c r="M179" s="79" t="str">
        <x:v>OK</x:v>
      </x:c>
      <x:c r="N179" s="79"/>
      <x:c r="O179" s="79" t="str">
        <x:v>بله</x:v>
      </x:c>
      <x:c r="P179" s="79" t="str">
        <x:v>روغن</x:v>
      </x:c>
      <x:c r="Q179" s="79" t="str">
        <x:v>6a2d446d45c164ce6f28ae30</x:v>
      </x:c>
      <x:c r="R179" s="79" t="str">
        <x:v>30 میلی لیتر</x:v>
      </x:c>
      <x:c r="S179" s="79" t="n">
        <x:v>90000</x:v>
      </x:c>
      <x:c r="T179" s="79" t="str">
        <x:v>60 میلی لیتر</x:v>
      </x:c>
      <x:c r="U179" s="79" t="n">
        <x:v>170000</x:v>
      </x:c>
    </x:row>
    <x:row r="180">
      <x:c r="A180" s="79" t="n">
        <x:v>182</x:v>
      </x:c>
      <x:c r="B180" s="79" t="str">
        <x:v>NS-0179-1</x:v>
      </x:c>
      <x:c r="C180" s="79" t="str">
        <x:v>روغن گردو</x:v>
      </x:c>
      <x:c r="D180" s="79" t="str">
        <x:v>روغن گردو</x:v>
      </x:c>
      <x:c r="E180" s="79" t="str">
        <x:v>single_182</x:v>
      </x:c>
      <x:c r="F180" s="79"/>
      <x:c r="G180" s="79" t="str">
        <x:v>canonical_group_row</x:v>
      </x:c>
      <x:c r="H180" s="79" t="str">
        <x:v>روغن</x:v>
      </x:c>
      <x:c r="I180" s="79" t="str">
        <x:v>6a2d446d45c164ce6f28ae30</x:v>
      </x:c>
      <x:c r="J180" s="79" t="str">
        <x:v>oil</x:v>
      </x:c>
      <x:c r="K180" s="79" t="str">
        <x:v>EDIBLE</x:v>
      </x:c>
      <x:c r="L180" s="79" t="str">
        <x:v>بله</x:v>
      </x:c>
      <x:c r="M180" s="79" t="str">
        <x:v>OK</x:v>
      </x:c>
      <x:c r="N180" s="79"/>
      <x:c r="O180" s="79" t="str">
        <x:v>بله</x:v>
      </x:c>
      <x:c r="P180" s="79" t="str">
        <x:v>روغن</x:v>
      </x:c>
      <x:c r="Q180" s="79" t="str">
        <x:v>6a2d446d45c164ce6f28ae30</x:v>
      </x:c>
      <x:c r="R180" s="79" t="str">
        <x:v>30 میلی لیتر</x:v>
      </x:c>
      <x:c r="S180" s="79" t="n">
        <x:v>115000</x:v>
      </x:c>
      <x:c r="T180" s="79" t="str">
        <x:v>60 میلی لیتر</x:v>
      </x:c>
      <x:c r="U180" s="79" t="n">
        <x:v>220000</x:v>
      </x:c>
    </x:row>
    <x:row r="181">
      <x:c r="A181" s="79" t="n">
        <x:v>183</x:v>
      </x:c>
      <x:c r="B181" s="79" t="str">
        <x:v>NS-0180-1</x:v>
      </x:c>
      <x:c r="C181" s="79" t="str">
        <x:v>روغن گل سرخ</x:v>
      </x:c>
      <x:c r="D181" s="79" t="str">
        <x:v>روغن گل سرخ</x:v>
      </x:c>
      <x:c r="E181" s="79" t="str">
        <x:v>single_183</x:v>
      </x:c>
      <x:c r="F181" s="79"/>
      <x:c r="G181" s="79" t="str">
        <x:v>canonical_group_row</x:v>
      </x:c>
      <x:c r="H181" s="79" t="str">
        <x:v>روغن</x:v>
      </x:c>
      <x:c r="I181" s="79" t="str">
        <x:v>6a2d446d45c164ce6f28ae30</x:v>
      </x:c>
      <x:c r="J181" s="79" t="str">
        <x:v>oil</x:v>
      </x:c>
      <x:c r="K181" s="79" t="str">
        <x:v>EDIBLE</x:v>
      </x:c>
      <x:c r="L181" s="79" t="str">
        <x:v>بله</x:v>
      </x:c>
      <x:c r="M181" s="79" t="str">
        <x:v>OK</x:v>
      </x:c>
      <x:c r="N181" s="79"/>
      <x:c r="O181" s="79" t="str">
        <x:v>بله</x:v>
      </x:c>
      <x:c r="P181" s="79" t="str">
        <x:v>روغن</x:v>
      </x:c>
      <x:c r="Q181" s="79" t="str">
        <x:v>6a2d446d45c164ce6f28ae30</x:v>
      </x:c>
      <x:c r="R181" s="79" t="str">
        <x:v>30 میلی لیتر</x:v>
      </x:c>
      <x:c r="S181" s="79" t="n">
        <x:v>90000</x:v>
      </x:c>
      <x:c r="T181" s="79" t="str">
        <x:v>60 میلی لیتر</x:v>
      </x:c>
      <x:c r="U181" s="79" t="n">
        <x:v>170000</x:v>
      </x:c>
    </x:row>
    <x:row r="182">
      <x:c r="A182" s="79" t="n">
        <x:v>184</x:v>
      </x:c>
      <x:c r="B182" s="79" t="str">
        <x:v>NS-0181-1</x:v>
      </x:c>
      <x:c r="C182" s="79" t="str">
        <x:v>روغن گلیسیرین</x:v>
      </x:c>
      <x:c r="D182" s="79" t="str">
        <x:v>روغن گلیسیرین</x:v>
      </x:c>
      <x:c r="E182" s="79" t="str">
        <x:v>single_184</x:v>
      </x:c>
      <x:c r="F182" s="79"/>
      <x:c r="G182" s="79" t="str">
        <x:v>canonical_group_row</x:v>
      </x:c>
      <x:c r="H182" s="79" t="str">
        <x:v>روغن</x:v>
      </x:c>
      <x:c r="I182" s="79" t="str">
        <x:v>6a2d446d45c164ce6f28ae30</x:v>
      </x:c>
      <x:c r="J182" s="79" t="str">
        <x:v>oil</x:v>
      </x:c>
      <x:c r="K182" s="79" t="str">
        <x:v>EDIBLE</x:v>
      </x:c>
      <x:c r="L182" s="79" t="str">
        <x:v>بله</x:v>
      </x:c>
      <x:c r="M182" s="79" t="str">
        <x:v>OK</x:v>
      </x:c>
      <x:c r="N182" s="79"/>
      <x:c r="O182" s="79" t="str">
        <x:v>بله</x:v>
      </x:c>
      <x:c r="P182" s="79" t="str">
        <x:v>روغن</x:v>
      </x:c>
      <x:c r="Q182" s="79" t="str">
        <x:v>6a2d446d45c164ce6f28ae30</x:v>
      </x:c>
      <x:c r="R182" s="79" t="str">
        <x:v>30 میلی لیتر</x:v>
      </x:c>
      <x:c r="S182" s="79" t="n">
        <x:v>75000</x:v>
      </x:c>
      <x:c r="T182" s="79" t="str">
        <x:v>60 میلی لیتر</x:v>
      </x:c>
      <x:c r="U182" s="79" t="n">
        <x:v>140000</x:v>
      </x:c>
    </x:row>
    <x:row r="183">
      <x:c r="A183" s="79" t="n">
        <x:v>185</x:v>
      </x:c>
      <x:c r="B183" s="79" t="str">
        <x:v>NS-0182-1</x:v>
      </x:c>
      <x:c r="C183" s="79" t="str">
        <x:v>روغن لیمو</x:v>
      </x:c>
      <x:c r="D183" s="79" t="str">
        <x:v>روغن لیمو</x:v>
      </x:c>
      <x:c r="E183" s="79" t="str">
        <x:v>single_185</x:v>
      </x:c>
      <x:c r="F183" s="79"/>
      <x:c r="G183" s="79" t="str">
        <x:v>canonical_group_row</x:v>
      </x:c>
      <x:c r="H183" s="79" t="str">
        <x:v>روغن</x:v>
      </x:c>
      <x:c r="I183" s="79" t="str">
        <x:v>6a2d446d45c164ce6f28ae30</x:v>
      </x:c>
      <x:c r="J183" s="79" t="str">
        <x:v>oil</x:v>
      </x:c>
      <x:c r="K183" s="79" t="str">
        <x:v>EDIBLE</x:v>
      </x:c>
      <x:c r="L183" s="79" t="str">
        <x:v>بله</x:v>
      </x:c>
      <x:c r="M183" s="79" t="str">
        <x:v>OK</x:v>
      </x:c>
      <x:c r="N183" s="79"/>
      <x:c r="O183" s="79" t="str">
        <x:v>بله</x:v>
      </x:c>
      <x:c r="P183" s="79" t="str">
        <x:v>روغن</x:v>
      </x:c>
      <x:c r="Q183" s="79" t="str">
        <x:v>6a2d446d45c164ce6f28ae30</x:v>
      </x:c>
      <x:c r="R183" s="79" t="str">
        <x:v>30 میلی لیتر</x:v>
      </x:c>
      <x:c r="S183" s="79" t="n">
        <x:v>90000</x:v>
      </x:c>
      <x:c r="T183" s="79" t="str">
        <x:v>60 میلی لیتر</x:v>
      </x:c>
      <x:c r="U183" s="79" t="n">
        <x:v>170000</x:v>
      </x:c>
    </x:row>
    <x:row r="184">
      <x:c r="A184" s="79" t="n">
        <x:v>186</x:v>
      </x:c>
      <x:c r="B184" s="79" t="str">
        <x:v>NS-0183-1</x:v>
      </x:c>
      <x:c r="C184" s="79" t="str">
        <x:v>روغن ماکادمیا</x:v>
      </x:c>
      <x:c r="D184" s="79" t="str">
        <x:v>روغن ماکادمیا</x:v>
      </x:c>
      <x:c r="E184" s="79" t="str">
        <x:v>single_186</x:v>
      </x:c>
      <x:c r="F184" s="79"/>
      <x:c r="G184" s="79" t="str">
        <x:v>canonical_group_row</x:v>
      </x:c>
      <x:c r="H184" s="79" t="str">
        <x:v>روغن</x:v>
      </x:c>
      <x:c r="I184" s="79" t="str">
        <x:v>6a2d446d45c164ce6f28ae30</x:v>
      </x:c>
      <x:c r="J184" s="79" t="str">
        <x:v>oil</x:v>
      </x:c>
      <x:c r="K184" s="79" t="str">
        <x:v>EDIBLE</x:v>
      </x:c>
      <x:c r="L184" s="79" t="str">
        <x:v>بله</x:v>
      </x:c>
      <x:c r="M184" s="79" t="str">
        <x:v>OK</x:v>
      </x:c>
      <x:c r="N184" s="79"/>
      <x:c r="O184" s="79" t="str">
        <x:v>بله</x:v>
      </x:c>
      <x:c r="P184" s="79" t="str">
        <x:v>روغن</x:v>
      </x:c>
      <x:c r="Q184" s="79" t="str">
        <x:v>6a2d446d45c164ce6f28ae30</x:v>
      </x:c>
      <x:c r="R184" s="79" t="str">
        <x:v>30 میلی لیتر</x:v>
      </x:c>
      <x:c r="S184" s="79" t="n">
        <x:v>100000</x:v>
      </x:c>
      <x:c r="T184" s="79" t="str">
        <x:v>60 میلی لیتر</x:v>
      </x:c>
      <x:c r="U184" s="79" t="n">
        <x:v>190000</x:v>
      </x:c>
    </x:row>
    <x:row r="185">
      <x:c r="A185" s="79" t="n">
        <x:v>187</x:v>
      </x:c>
      <x:c r="B185" s="79" t="str">
        <x:v>NS-0184-1</x:v>
      </x:c>
      <x:c r="C185" s="79" t="str">
        <x:v>روغن مورد</x:v>
      </x:c>
      <x:c r="D185" s="79" t="str">
        <x:v>روغن مورد</x:v>
      </x:c>
      <x:c r="E185" s="79" t="str">
        <x:v>single_187</x:v>
      </x:c>
      <x:c r="F185" s="79"/>
      <x:c r="G185" s="79" t="str">
        <x:v>canonical_group_row</x:v>
      </x:c>
      <x:c r="H185" s="79" t="str">
        <x:v>روغن</x:v>
      </x:c>
      <x:c r="I185" s="79" t="str">
        <x:v>6a2d446d45c164ce6f28ae30</x:v>
      </x:c>
      <x:c r="J185" s="79" t="str">
        <x:v>oil</x:v>
      </x:c>
      <x:c r="K185" s="79" t="str">
        <x:v>EDIBLE</x:v>
      </x:c>
      <x:c r="L185" s="79" t="str">
        <x:v>بله</x:v>
      </x:c>
      <x:c r="M185" s="79" t="str">
        <x:v>OK</x:v>
      </x:c>
      <x:c r="N185" s="79"/>
      <x:c r="O185" s="79" t="str">
        <x:v>بله</x:v>
      </x:c>
      <x:c r="P185" s="79" t="str">
        <x:v>روغن</x:v>
      </x:c>
      <x:c r="Q185" s="79" t="str">
        <x:v>6a2d446d45c164ce6f28ae30</x:v>
      </x:c>
      <x:c r="R185" s="79" t="str">
        <x:v>30 میلی لیتر</x:v>
      </x:c>
      <x:c r="S185" s="79" t="n">
        <x:v>90000</x:v>
      </x:c>
      <x:c r="T185" s="79" t="str">
        <x:v>60 میلی لیتر</x:v>
      </x:c>
      <x:c r="U185" s="79" t="n">
        <x:v>170000</x:v>
      </x:c>
    </x:row>
    <x:row r="186">
      <x:c r="A186" s="79" t="n">
        <x:v>188</x:v>
      </x:c>
      <x:c r="B186" s="79" t="str">
        <x:v>NS-0185-1</x:v>
      </x:c>
      <x:c r="C186" s="79" t="str">
        <x:v>روغن مورینگا</x:v>
      </x:c>
      <x:c r="D186" s="79" t="str">
        <x:v>روغن مورینگا</x:v>
      </x:c>
      <x:c r="E186" s="79" t="str">
        <x:v>single_188</x:v>
      </x:c>
      <x:c r="F186" s="79"/>
      <x:c r="G186" s="79" t="str">
        <x:v>canonical_group_row</x:v>
      </x:c>
      <x:c r="H186" s="79" t="str">
        <x:v>روغن</x:v>
      </x:c>
      <x:c r="I186" s="79" t="str">
        <x:v>6a2d446d45c164ce6f28ae30</x:v>
      </x:c>
      <x:c r="J186" s="79" t="str">
        <x:v>oil</x:v>
      </x:c>
      <x:c r="K186" s="79" t="str">
        <x:v>EDIBLE</x:v>
      </x:c>
      <x:c r="L186" s="79" t="str">
        <x:v>بله</x:v>
      </x:c>
      <x:c r="M186" s="79" t="str">
        <x:v>OK</x:v>
      </x:c>
      <x:c r="N186" s="79"/>
      <x:c r="O186" s="79" t="str">
        <x:v>بله</x:v>
      </x:c>
      <x:c r="P186" s="79" t="str">
        <x:v>روغن</x:v>
      </x:c>
      <x:c r="Q186" s="79" t="str">
        <x:v>6a2d446d45c164ce6f28ae30</x:v>
      </x:c>
      <x:c r="R186" s="79" t="str">
        <x:v>30 میلی لیتر</x:v>
      </x:c>
      <x:c r="S186" s="79" t="n">
        <x:v>100000</x:v>
      </x:c>
      <x:c r="T186" s="79" t="str">
        <x:v>60 میلی لیتر</x:v>
      </x:c>
      <x:c r="U186" s="79" t="n">
        <x:v>190000</x:v>
      </x:c>
    </x:row>
    <x:row r="187">
      <x:c r="A187" s="79" t="n">
        <x:v>189</x:v>
      </x:c>
      <x:c r="B187" s="79" t="str">
        <x:v>NS-0186-1</x:v>
      </x:c>
      <x:c r="C187" s="79" t="str">
        <x:v>روغن میخک</x:v>
      </x:c>
      <x:c r="D187" s="79" t="str">
        <x:v>روغن میخک</x:v>
      </x:c>
      <x:c r="E187" s="79" t="str">
        <x:v>single_189</x:v>
      </x:c>
      <x:c r="F187" s="79"/>
      <x:c r="G187" s="79" t="str">
        <x:v>canonical_group_row</x:v>
      </x:c>
      <x:c r="H187" s="79" t="str">
        <x:v>روغن</x:v>
      </x:c>
      <x:c r="I187" s="79" t="str">
        <x:v>6a2d446d45c164ce6f28ae30</x:v>
      </x:c>
      <x:c r="J187" s="79" t="str">
        <x:v>oil</x:v>
      </x:c>
      <x:c r="K187" s="79" t="str">
        <x:v>EDIBLE</x:v>
      </x:c>
      <x:c r="L187" s="79" t="str">
        <x:v>بله</x:v>
      </x:c>
      <x:c r="M187" s="79" t="str">
        <x:v>OK</x:v>
      </x:c>
      <x:c r="N187" s="79"/>
      <x:c r="O187" s="79" t="str">
        <x:v>بله</x:v>
      </x:c>
      <x:c r="P187" s="79" t="str">
        <x:v>روغن</x:v>
      </x:c>
      <x:c r="Q187" s="79" t="str">
        <x:v>6a2d446d45c164ce6f28ae30</x:v>
      </x:c>
      <x:c r="R187" s="79" t="str">
        <x:v>30 میلی لیتر</x:v>
      </x:c>
      <x:c r="S187" s="79" t="n">
        <x:v>90000</x:v>
      </x:c>
      <x:c r="T187" s="79" t="str">
        <x:v>60 میلی لیتر</x:v>
      </x:c>
      <x:c r="U187" s="79" t="n">
        <x:v>170000</x:v>
      </x:c>
    </x:row>
    <x:row r="188">
      <x:c r="A188" s="79" t="n">
        <x:v>190</x:v>
      </x:c>
      <x:c r="B188" s="79" t="str">
        <x:v>NS-0187-1</x:v>
      </x:c>
      <x:c r="C188" s="79" t="str">
        <x:v>روغن نارگیل</x:v>
      </x:c>
      <x:c r="D188" s="79" t="str">
        <x:v>روغن نارگیل</x:v>
      </x:c>
      <x:c r="E188" s="79" t="str">
        <x:v>grp_coconut_oil</x:v>
      </x:c>
      <x:c r="F188" s="79"/>
      <x:c r="G188" s="79" t="str">
        <x:v>canonical_group_row</x:v>
      </x:c>
      <x:c r="H188" s="79" t="str">
        <x:v>روغن</x:v>
      </x:c>
      <x:c r="I188" s="79" t="str">
        <x:v>6a2d446d45c164ce6f28ae30</x:v>
      </x:c>
      <x:c r="J188" s="79" t="str">
        <x:v>oil</x:v>
      </x:c>
      <x:c r="K188" s="79" t="str">
        <x:v>EDIBLE</x:v>
      </x:c>
      <x:c r="L188" s="79" t="str">
        <x:v>بله</x:v>
      </x:c>
      <x:c r="M188" s="79" t="str">
        <x:v>MERGED</x:v>
      </x:c>
      <x:c r="N188" s="79"/>
      <x:c r="O188" s="79" t="str">
        <x:v>بله</x:v>
      </x:c>
      <x:c r="P188" s="79" t="str">
        <x:v>روغن</x:v>
      </x:c>
      <x:c r="Q188" s="79" t="str">
        <x:v>6a2d446d45c164ce6f28ae30</x:v>
      </x:c>
      <x:c r="R188" s="79" t="str">
        <x:v>نیم لیتر</x:v>
      </x:c>
      <x:c r="S188" s="79" t="n">
        <x:v>1100000</x:v>
      </x:c>
      <x:c r="T188" s="79" t="str">
        <x:v>1 لیتر</x:v>
      </x:c>
      <x:c r="U188" s="79" t="n">
        <x:v>2200000</x:v>
      </x:c>
    </x:row>
    <x:row r="189">
      <x:c r="A189" s="79" t="n">
        <x:v>191</x:v>
      </x:c>
      <x:c r="B189" s="79" t="str">
        <x:v>NS-0187-1</x:v>
      </x:c>
      <x:c r="C189" s="79" t="str">
        <x:v>روغن نارگیل</x:v>
      </x:c>
      <x:c r="D189" s="79" t="str">
        <x:v>روغن نارگیل</x:v>
      </x:c>
      <x:c r="E189" s="79" t="str">
        <x:v>grp_coconut_oil</x:v>
      </x:c>
      <x:c r="F189" s="79"/>
      <x:c r="G189" s="79" t="str">
        <x:v>merge_into_canonical_group</x:v>
      </x:c>
      <x:c r="H189" s="79" t="str">
        <x:v>روغن</x:v>
      </x:c>
      <x:c r="I189" s="79" t="str">
        <x:v>6a2d446d45c164ce6f28ae30</x:v>
      </x:c>
      <x:c r="J189" s="79" t="str">
        <x:v>oil</x:v>
      </x:c>
      <x:c r="K189" s="79" t="str">
        <x:v>EDIBLE</x:v>
      </x:c>
      <x:c r="L189" s="79" t="str">
        <x:v>بله</x:v>
      </x:c>
      <x:c r="M189" s="79" t="str">
        <x:v>MERGED</x:v>
      </x:c>
      <x:c r="N189" s="79"/>
      <x:c r="O189" s="79" t="str">
        <x:v>بله</x:v>
      </x:c>
      <x:c r="P189" s="79" t="str">
        <x:v>روغن</x:v>
      </x:c>
      <x:c r="Q189" s="79" t="str">
        <x:v>6a2d446d45c164ce6f28ae30</x:v>
      </x:c>
      <x:c r="R189" s="79" t="str">
        <x:v>30 میلی لیتر</x:v>
      </x:c>
      <x:c r="S189" s="79" t="n">
        <x:v>90000</x:v>
      </x:c>
      <x:c r="T189" s="79" t="str">
        <x:v>60 میلی لیتر</x:v>
      </x:c>
      <x:c r="U189" s="79" t="n">
        <x:v>170000</x:v>
      </x:c>
    </x:row>
    <x:row r="190">
      <x:c r="A190" s="79" t="n">
        <x:v>192</x:v>
      </x:c>
      <x:c r="B190" s="79" t="str">
        <x:v>NS-0189-1</x:v>
      </x:c>
      <x:c r="C190" s="79" t="str">
        <x:v>روغن هسته انگور</x:v>
      </x:c>
      <x:c r="D190" s="79" t="str">
        <x:v>روغن هسته انگور</x:v>
      </x:c>
      <x:c r="E190" s="79" t="str">
        <x:v>single_192</x:v>
      </x:c>
      <x:c r="F190" s="79"/>
      <x:c r="G190" s="79" t="str">
        <x:v>canonical_group_row</x:v>
      </x:c>
      <x:c r="H190" s="79" t="str">
        <x:v>روغن</x:v>
      </x:c>
      <x:c r="I190" s="79" t="str">
        <x:v>6a2d446d45c164ce6f28ae30</x:v>
      </x:c>
      <x:c r="J190" s="79" t="str">
        <x:v>oil</x:v>
      </x:c>
      <x:c r="K190" s="79" t="str">
        <x:v>EDIBLE</x:v>
      </x:c>
      <x:c r="L190" s="79" t="str">
        <x:v>بله</x:v>
      </x:c>
      <x:c r="M190" s="79" t="str">
        <x:v>OK</x:v>
      </x:c>
      <x:c r="N190" s="79"/>
      <x:c r="O190" s="79" t="str">
        <x:v>بله</x:v>
      </x:c>
      <x:c r="P190" s="79" t="str">
        <x:v>روغن</x:v>
      </x:c>
      <x:c r="Q190" s="79" t="str">
        <x:v>6a2d446d45c164ce6f28ae30</x:v>
      </x:c>
      <x:c r="R190" s="79" t="str">
        <x:v>30 میلی لیتر</x:v>
      </x:c>
      <x:c r="S190" s="79" t="n">
        <x:v>65000</x:v>
      </x:c>
      <x:c r="T190" s="79" t="str">
        <x:v>60 میلی لیتر</x:v>
      </x:c>
      <x:c r="U190" s="79" t="n">
        <x:v>120000</x:v>
      </x:c>
    </x:row>
    <x:row r="191">
      <x:c r="A191" s="79" t="n">
        <x:v>193</x:v>
      </x:c>
      <x:c r="B191" s="79" t="str">
        <x:v>NS-0190-1</x:v>
      </x:c>
      <x:c r="C191" s="79" t="str">
        <x:v>روغن هسته نارنج</x:v>
      </x:c>
      <x:c r="D191" s="79" t="str">
        <x:v>روغن هسته نارنج</x:v>
      </x:c>
      <x:c r="E191" s="79" t="str">
        <x:v>single_193</x:v>
      </x:c>
      <x:c r="F191" s="79"/>
      <x:c r="G191" s="79" t="str">
        <x:v>canonical_group_row</x:v>
      </x:c>
      <x:c r="H191" s="79" t="str">
        <x:v>روغن</x:v>
      </x:c>
      <x:c r="I191" s="79" t="str">
        <x:v>6a2d446d45c164ce6f28ae30</x:v>
      </x:c>
      <x:c r="J191" s="79" t="str">
        <x:v>oil</x:v>
      </x:c>
      <x:c r="K191" s="79" t="str">
        <x:v>EDIBLE</x:v>
      </x:c>
      <x:c r="L191" s="79" t="str">
        <x:v>بله</x:v>
      </x:c>
      <x:c r="M191" s="79" t="str">
        <x:v>MISSING_PRICE_REVIEW</x:v>
      </x:c>
      <x:c r="N191" s="79" t="str">
        <x:v>یک یا چند قیمت نامشخص است</x:v>
      </x:c>
      <x:c r="O191" s="79" t="str">
        <x:v>بله</x:v>
      </x:c>
      <x:c r="P191" s="79" t="str">
        <x:v>روغن</x:v>
      </x:c>
      <x:c r="Q191" s="79" t="str">
        <x:v>6a2d446d45c164ce6f28ae30</x:v>
      </x:c>
      <x:c r="R191" s="79" t="str">
        <x:v>30 میلی لیتر</x:v>
      </x:c>
      <x:c r="S191" s="79" t="n">
        <x:v>65000</x:v>
      </x:c>
      <x:c r="T191" s="79" t="str">
        <x:v>60 میلی لیتر</x:v>
      </x:c>
      <x:c r="U191" s="79"/>
    </x:row>
    <x:row r="192">
      <x:c r="A192" s="79" t="n">
        <x:v>194</x:v>
      </x:c>
      <x:c r="B192" s="79" t="str">
        <x:v>NS-0191-1</x:v>
      </x:c>
      <x:c r="C192" s="79" t="str">
        <x:v>زاج</x:v>
      </x:c>
      <x:c r="D192" s="79" t="str">
        <x:v>زاج</x:v>
      </x:c>
      <x:c r="E192" s="79" t="str">
        <x:v>single_194</x:v>
      </x:c>
      <x:c r="F192" s="79"/>
      <x:c r="G192" s="79" t="str">
        <x:v>canonical_group_row</x:v>
      </x:c>
      <x:c r="H192" s="79" t="str">
        <x:v>گیاهان دارویی</x:v>
      </x:c>
      <x:c r="I192" s="79" t="str">
        <x:v>6a3782d7df5573f4e676e243</x:v>
      </x:c>
      <x:c r="J192" s="79" t="str">
        <x:v>medicinal-plants</x:v>
      </x:c>
      <x:c r="K192" s="79" t="str">
        <x:v>TOPICAL</x:v>
      </x:c>
      <x:c r="L192" s="79" t="str">
        <x:v>خیر</x:v>
      </x:c>
      <x:c r="M192" s="79" t="str">
        <x:v>OK</x:v>
      </x:c>
      <x:c r="N19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192" s="79" t="str">
        <x:v>بله</x:v>
      </x:c>
      <x:c r="P192" s="79" t="str">
        <x:v>نیاز به بررسی</x:v>
      </x:c>
      <x:c r="Q192" s="79"/>
      <x:c r="R192" s="79" t="str">
        <x:v>کیلو</x:v>
      </x:c>
      <x:c r="S192" s="79" t="n">
        <x:v>500000</x:v>
      </x:c>
      <x:c r="T192" s="79"/>
      <x:c r="U192" s="79"/>
    </x:row>
    <x:row r="193">
      <x:c r="A193" s="79" t="n">
        <x:v>195</x:v>
      </x:c>
      <x:c r="B193" s="79" t="str">
        <x:v>NS-0192-1</x:v>
      </x:c>
      <x:c r="C193" s="79" t="str">
        <x:v>زردچوبه چارمنار</x:v>
      </x:c>
      <x:c r="D193" s="79" t="str">
        <x:v>زردچوبه</x:v>
      </x:c>
      <x:c r="E193" s="79" t="str">
        <x:v>grp_turmeric</x:v>
      </x:c>
      <x:c r="F193" s="79" t="str">
        <x:v>چارمنار</x:v>
      </x:c>
      <x:c r="G193" s="79" t="str">
        <x:v>canonical_group_row</x:v>
      </x:c>
      <x:c r="H193" s="79" t="str">
        <x:v>ادویه</x:v>
      </x:c>
      <x:c r="I193" s="79" t="str">
        <x:v>6a3781e4df5573f4e676e226</x:v>
      </x:c>
      <x:c r="J193" s="79" t="str">
        <x:v>spice</x:v>
      </x:c>
      <x:c r="K193" s="79" t="str">
        <x:v>EDIBLE</x:v>
      </x:c>
      <x:c r="L193" s="79" t="str">
        <x:v>بله</x:v>
      </x:c>
      <x:c r="M193" s="79" t="str">
        <x:v>MERGED</x:v>
      </x:c>
      <x:c r="N193" s="79"/>
      <x:c r="O193" s="79" t="str">
        <x:v>بله</x:v>
      </x:c>
      <x:c r="P193" s="79" t="str">
        <x:v>ادویه</x:v>
      </x:c>
      <x:c r="Q193" s="79" t="str">
        <x:v>6a3781e4df5573f4e676e226</x:v>
      </x:c>
      <x:c r="R193" s="79" t="str">
        <x:v>کیلو</x:v>
      </x:c>
      <x:c r="S193" s="79" t="n">
        <x:v>880000</x:v>
      </x:c>
      <x:c r="T193" s="79"/>
      <x:c r="U193" s="79"/>
    </x:row>
    <x:row r="194">
      <x:c r="A194" s="79" t="n">
        <x:v>196</x:v>
      </x:c>
      <x:c r="B194" s="79" t="str">
        <x:v>NS-0193-1</x:v>
      </x:c>
      <x:c r="C194" s="79" t="str">
        <x:v>زردچوبه زرین</x:v>
      </x:c>
      <x:c r="D194" s="79" t="str">
        <x:v>زردچوبه</x:v>
      </x:c>
      <x:c r="E194" s="79" t="str">
        <x:v>grp_turmeric</x:v>
      </x:c>
      <x:c r="F194" s="79" t="str">
        <x:v>زرین</x:v>
      </x:c>
      <x:c r="G194" s="79" t="str">
        <x:v>merge_into_canonical_group</x:v>
      </x:c>
      <x:c r="H194" s="79" t="str">
        <x:v>ادویه</x:v>
      </x:c>
      <x:c r="I194" s="79" t="str">
        <x:v>6a3781e4df5573f4e676e226</x:v>
      </x:c>
      <x:c r="J194" s="79" t="str">
        <x:v>spice</x:v>
      </x:c>
      <x:c r="K194" s="79" t="str">
        <x:v>EDIBLE</x:v>
      </x:c>
      <x:c r="L194" s="79" t="str">
        <x:v>بله</x:v>
      </x:c>
      <x:c r="M194" s="79" t="str">
        <x:v>MERGED + MISSING_PRICE_REVIEW</x:v>
      </x:c>
      <x:c r="N194" s="79" t="str">
        <x:v>یک یا چند قیمت نامشخص است</x:v>
      </x:c>
      <x:c r="O194" s="79" t="str">
        <x:v>بله</x:v>
      </x:c>
      <x:c r="P194" s="79" t="str">
        <x:v>ادویه</x:v>
      </x:c>
      <x:c r="Q194" s="79" t="str">
        <x:v>6a3781e4df5573f4e676e226</x:v>
      </x:c>
      <x:c r="R194" s="79" t="str">
        <x:v>کیلو</x:v>
      </x:c>
      <x:c r="S194" s="79"/>
      <x:c r="T194" s="79"/>
      <x:c r="U194" s="79"/>
    </x:row>
    <x:row r="195">
      <x:c r="A195" s="79" t="n">
        <x:v>197</x:v>
      </x:c>
      <x:c r="B195" s="79" t="str">
        <x:v>NS-0194-1</x:v>
      </x:c>
      <x:c r="C195" s="79" t="str">
        <x:v>زرشک پفکی</x:v>
      </x:c>
      <x:c r="D195" s="79" t="str">
        <x:v>زرشک</x:v>
      </x:c>
      <x:c r="E195" s="79" t="str">
        <x:v>grp_barberry</x:v>
      </x:c>
      <x:c r="F195" s="79" t="str">
        <x:v>پفکی</x:v>
      </x:c>
      <x:c r="G195" s="79" t="str">
        <x:v>canonical_group_row</x:v>
      </x:c>
      <x:c r="H195" s="79" t="str">
        <x:v>خشکبار و آجیل</x:v>
      </x:c>
      <x:c r="I195" s="79" t="str">
        <x:v>6a37810ddf5573f4e676e201</x:v>
      </x:c>
      <x:c r="J195" s="79" t="str">
        <x:v>dried-fruits-nuts</x:v>
      </x:c>
      <x:c r="K195" s="79" t="str">
        <x:v>EDIBLE</x:v>
      </x:c>
      <x:c r="L195" s="79" t="str">
        <x:v>بله</x:v>
      </x:c>
      <x:c r="M195" s="79" t="str">
        <x:v>MERGED + MISSING_PRICE_REVIEW</x:v>
      </x:c>
      <x:c r="N195" s="79" t="str">
        <x:v>یک یا چند قیمت نامشخص است</x:v>
      </x:c>
      <x:c r="O195" s="79" t="str">
        <x:v>بله</x:v>
      </x:c>
      <x:c r="P195" s="79" t="str">
        <x:v>خشکبار و آجیل</x:v>
      </x:c>
      <x:c r="Q195" s="79" t="str">
        <x:v>6a37810ddf5573f4e676e201</x:v>
      </x:c>
      <x:c r="R195" s="79" t="str">
        <x:v>کیلو</x:v>
      </x:c>
      <x:c r="S195" s="79"/>
      <x:c r="T195" s="79"/>
      <x:c r="U195" s="79"/>
    </x:row>
    <x:row r="196">
      <x:c r="A196" s="79" t="n">
        <x:v>198</x:v>
      </x:c>
      <x:c r="B196" s="79" t="str">
        <x:v>NS-0195-1</x:v>
      </x:c>
      <x:c r="C196" s="79" t="str">
        <x:v>زرشک ناپاک</x:v>
      </x:c>
      <x:c r="D196" s="79" t="str">
        <x:v>زرشک</x:v>
      </x:c>
      <x:c r="E196" s="79" t="str">
        <x:v>grp_barberry</x:v>
      </x:c>
      <x:c r="F196" s="79" t="str">
        <x:v>ناپاک</x:v>
      </x:c>
      <x:c r="G196" s="79" t="str">
        <x:v>merge_into_canonical_group</x:v>
      </x:c>
      <x:c r="H196" s="79" t="str">
        <x:v>خشکبار و آجیل</x:v>
      </x:c>
      <x:c r="I196" s="79" t="str">
        <x:v>6a37810ddf5573f4e676e201</x:v>
      </x:c>
      <x:c r="J196" s="79" t="str">
        <x:v>dried-fruits-nuts</x:v>
      </x:c>
      <x:c r="K196" s="79" t="str">
        <x:v>EDIBLE</x:v>
      </x:c>
      <x:c r="L196" s="79" t="str">
        <x:v>بله</x:v>
      </x:c>
      <x:c r="M196" s="79" t="str">
        <x:v>MERGED + MISSING_PRICE_REVIEW</x:v>
      </x:c>
      <x:c r="N196" s="79" t="str">
        <x:v>یک یا چند قیمت نامشخص است</x:v>
      </x:c>
      <x:c r="O196" s="79" t="str">
        <x:v>بله</x:v>
      </x:c>
      <x:c r="P196" s="79" t="str">
        <x:v>خشکبار و آجیل</x:v>
      </x:c>
      <x:c r="Q196" s="79" t="str">
        <x:v>6a37810ddf5573f4e676e201</x:v>
      </x:c>
      <x:c r="R196" s="79" t="str">
        <x:v>کیلو</x:v>
      </x:c>
      <x:c r="S196" s="79"/>
      <x:c r="T196" s="79"/>
      <x:c r="U196" s="79"/>
    </x:row>
    <x:row r="197">
      <x:c r="A197" s="79" t="n">
        <x:v>199</x:v>
      </x:c>
      <x:c r="B197" s="79" t="str">
        <x:v>NS-0196-1</x:v>
      </x:c>
      <x:c r="C197" s="79" t="str">
        <x:v>زعفران</x:v>
      </x:c>
      <x:c r="D197" s="79" t="str">
        <x:v>زعفران</x:v>
      </x:c>
      <x:c r="E197" s="79" t="str">
        <x:v>single_199</x:v>
      </x:c>
      <x:c r="F197" s="79"/>
      <x:c r="G197" s="79" t="str">
        <x:v>canonical_group_row</x:v>
      </x:c>
      <x:c r="H197" s="79" t="str">
        <x:v>ادویه</x:v>
      </x:c>
      <x:c r="I197" s="79" t="str">
        <x:v>6a3781e4df5573f4e676e226</x:v>
      </x:c>
      <x:c r="J197" s="79" t="str">
        <x:v>spice</x:v>
      </x:c>
      <x:c r="K197" s="79" t="str">
        <x:v>EDIBLE</x:v>
      </x:c>
      <x:c r="L197" s="79" t="str">
        <x:v>بله</x:v>
      </x:c>
      <x:c r="M197" s="79" t="str">
        <x:v>MISSING_PRICE_REVIEW</x:v>
      </x:c>
      <x:c r="N197" s="79" t="str">
        <x:v>یک یا چند قیمت نامشخص است</x:v>
      </x:c>
      <x:c r="O197" s="79" t="str">
        <x:v>بله</x:v>
      </x:c>
      <x:c r="P197" s="79" t="str">
        <x:v>ادویه</x:v>
      </x:c>
      <x:c r="Q197" s="79" t="str">
        <x:v>6a3781e4df5573f4e676e226</x:v>
      </x:c>
      <x:c r="R197" s="79" t="str">
        <x:v>کیلو</x:v>
      </x:c>
      <x:c r="S197" s="79"/>
      <x:c r="T197" s="79"/>
      <x:c r="U197" s="79"/>
    </x:row>
    <x:row r="198">
      <x:c r="A198" s="79" t="n">
        <x:v>200</x:v>
      </x:c>
      <x:c r="B198" s="79" t="str">
        <x:v>NS-0197-1</x:v>
      </x:c>
      <x:c r="C198" s="79" t="str">
        <x:v>زنجبیل چینی</x:v>
      </x:c>
      <x:c r="D198" s="79" t="str">
        <x:v>زنجبیل چینی</x:v>
      </x:c>
      <x:c r="E198" s="79" t="str">
        <x:v>single_200</x:v>
      </x:c>
      <x:c r="F198" s="79"/>
      <x:c r="G198" s="79" t="str">
        <x:v>canonical_group_row</x:v>
      </x:c>
      <x:c r="H198" s="79" t="str">
        <x:v>ادویه</x:v>
      </x:c>
      <x:c r="I198" s="79" t="str">
        <x:v>6a3781e4df5573f4e676e226</x:v>
      </x:c>
      <x:c r="J198" s="79" t="str">
        <x:v>spice</x:v>
      </x:c>
      <x:c r="K198" s="79" t="str">
        <x:v>EDIBLE</x:v>
      </x:c>
      <x:c r="L198" s="79" t="str">
        <x:v>بله</x:v>
      </x:c>
      <x:c r="M198" s="79" t="str">
        <x:v>OK</x:v>
      </x:c>
      <x:c r="N198" s="79"/>
      <x:c r="O198" s="79" t="str">
        <x:v>بله</x:v>
      </x:c>
      <x:c r="P198" s="79" t="str">
        <x:v>ادویه</x:v>
      </x:c>
      <x:c r="Q198" s="79" t="str">
        <x:v>6a3781e4df5573f4e676e226</x:v>
      </x:c>
      <x:c r="R198" s="79" t="str">
        <x:v>کیلو</x:v>
      </x:c>
      <x:c r="S198" s="79" t="n">
        <x:v>1200000</x:v>
      </x:c>
      <x:c r="T198" s="79"/>
      <x:c r="U198" s="79"/>
    </x:row>
    <x:row r="199">
      <x:c r="A199" s="79" t="n">
        <x:v>201</x:v>
      </x:c>
      <x:c r="B199" s="79" t="str">
        <x:v>NS-0198-1</x:v>
      </x:c>
      <x:c r="C199" s="79" t="str">
        <x:v>زنیان</x:v>
      </x:c>
      <x:c r="D199" s="79" t="str">
        <x:v>زنیان</x:v>
      </x:c>
      <x:c r="E199" s="79" t="str">
        <x:v>single_201</x:v>
      </x:c>
      <x:c r="F199" s="79"/>
      <x:c r="G199" s="79" t="str">
        <x:v>canonical_group_row</x:v>
      </x:c>
      <x:c r="H199" s="79" t="str">
        <x:v>ادویه</x:v>
      </x:c>
      <x:c r="I199" s="79" t="str">
        <x:v>6a3781e4df5573f4e676e226</x:v>
      </x:c>
      <x:c r="J199" s="79" t="str">
        <x:v>spice</x:v>
      </x:c>
      <x:c r="K199" s="79" t="str">
        <x:v>EDIBLE</x:v>
      </x:c>
      <x:c r="L199" s="79" t="str">
        <x:v>بله</x:v>
      </x:c>
      <x:c r="M199" s="79" t="str">
        <x:v>OK</x:v>
      </x:c>
      <x:c r="N199" s="79"/>
      <x:c r="O199" s="79" t="str">
        <x:v>بله</x:v>
      </x:c>
      <x:c r="P199" s="79" t="str">
        <x:v>ادویه</x:v>
      </x:c>
      <x:c r="Q199" s="79" t="str">
        <x:v>6a3781e4df5573f4e676e226</x:v>
      </x:c>
      <x:c r="R199" s="79" t="str">
        <x:v>کیلو</x:v>
      </x:c>
      <x:c r="S199" s="79" t="n">
        <x:v>500000</x:v>
      </x:c>
      <x:c r="T199" s="79"/>
      <x:c r="U199" s="79"/>
    </x:row>
    <x:row r="200">
      <x:c r="A200" s="79" t="n">
        <x:v>202</x:v>
      </x:c>
      <x:c r="B200" s="79" t="str">
        <x:v>NS-0199-1</x:v>
      </x:c>
      <x:c r="C200" s="79" t="str">
        <x:v>زیره سبز</x:v>
      </x:c>
      <x:c r="D200" s="79" t="str">
        <x:v>زیره سبز</x:v>
      </x:c>
      <x:c r="E200" s="79" t="str">
        <x:v>single_202</x:v>
      </x:c>
      <x:c r="F200" s="79"/>
      <x:c r="G200" s="79" t="str">
        <x:v>canonical_group_row</x:v>
      </x:c>
      <x:c r="H200" s="79" t="str">
        <x:v>ادویه</x:v>
      </x:c>
      <x:c r="I200" s="79" t="str">
        <x:v>6a3781e4df5573f4e676e226</x:v>
      </x:c>
      <x:c r="J200" s="79" t="str">
        <x:v>spice</x:v>
      </x:c>
      <x:c r="K200" s="79" t="str">
        <x:v>EDIBLE</x:v>
      </x:c>
      <x:c r="L200" s="79" t="str">
        <x:v>بله</x:v>
      </x:c>
      <x:c r="M200" s="79" t="str">
        <x:v>OK</x:v>
      </x:c>
      <x:c r="N200" s="79"/>
      <x:c r="O200" s="79" t="str">
        <x:v>بله</x:v>
      </x:c>
      <x:c r="P200" s="79" t="str">
        <x:v>ادویه</x:v>
      </x:c>
      <x:c r="Q200" s="79" t="str">
        <x:v>6a3781e4df5573f4e676e226</x:v>
      </x:c>
      <x:c r="R200" s="79" t="str">
        <x:v>کیلو</x:v>
      </x:c>
      <x:c r="S200" s="79" t="n">
        <x:v>1340000</x:v>
      </x:c>
      <x:c r="T200" s="79"/>
      <x:c r="U200" s="79"/>
    </x:row>
    <x:row r="201">
      <x:c r="A201" s="79" t="n">
        <x:v>203</x:v>
      </x:c>
      <x:c r="B201" s="79" t="str">
        <x:v>NS-0200-1</x:v>
      </x:c>
      <x:c r="C201" s="79" t="str">
        <x:v>زیره سیاه</x:v>
      </x:c>
      <x:c r="D201" s="79" t="str">
        <x:v>زیره سیاه</x:v>
      </x:c>
      <x:c r="E201" s="79" t="str">
        <x:v>single_203</x:v>
      </x:c>
      <x:c r="F201" s="79"/>
      <x:c r="G201" s="79" t="str">
        <x:v>canonical_group_row</x:v>
      </x:c>
      <x:c r="H201" s="79" t="str">
        <x:v>ادویه</x:v>
      </x:c>
      <x:c r="I201" s="79" t="str">
        <x:v>6a3781e4df5573f4e676e226</x:v>
      </x:c>
      <x:c r="J201" s="79" t="str">
        <x:v>spice</x:v>
      </x:c>
      <x:c r="K201" s="79" t="str">
        <x:v>EDIBLE</x:v>
      </x:c>
      <x:c r="L201" s="79" t="str">
        <x:v>بله</x:v>
      </x:c>
      <x:c r="M201" s="79" t="str">
        <x:v>OK</x:v>
      </x:c>
      <x:c r="N201" s="79"/>
      <x:c r="O201" s="79" t="str">
        <x:v>بله</x:v>
      </x:c>
      <x:c r="P201" s="79" t="str">
        <x:v>ادویه</x:v>
      </x:c>
      <x:c r="Q201" s="79" t="str">
        <x:v>6a3781e4df5573f4e676e226</x:v>
      </x:c>
      <x:c r="R201" s="79" t="str">
        <x:v>کیلو</x:v>
      </x:c>
      <x:c r="S201" s="79" t="n">
        <x:v>2950000</x:v>
      </x:c>
      <x:c r="T201" s="79"/>
      <x:c r="U201" s="79"/>
    </x:row>
    <x:row r="202">
      <x:c r="A202" s="79" t="n">
        <x:v>204</x:v>
      </x:c>
      <x:c r="B202" s="79" t="str">
        <x:v>NS-0201-1</x:v>
      </x:c>
      <x:c r="C202" s="79" t="str">
        <x:v>ژلاتین</x:v>
      </x:c>
      <x:c r="D202" s="79" t="str">
        <x:v>ژلاتین</x:v>
      </x:c>
      <x:c r="E202" s="79" t="str">
        <x:v>single_204</x:v>
      </x:c>
      <x:c r="F202" s="79"/>
      <x:c r="G202" s="79" t="str">
        <x:v>canonical_group_row</x:v>
      </x:c>
      <x:c r="H202" s="79" t="str">
        <x:v>آرد و قنادی</x:v>
      </x:c>
      <x:c r="I202" s="79" t="str">
        <x:v>6a3a00000000000000000004</x:v>
      </x:c>
      <x:c r="J202" s="79" t="str">
        <x:v>flour-confectionery</x:v>
      </x:c>
      <x:c r="K202" s="79" t="str">
        <x:v>EDIBLE</x:v>
      </x:c>
      <x:c r="L202" s="79" t="str">
        <x:v>بله</x:v>
      </x:c>
      <x:c r="M202" s="79" t="str">
        <x:v>OK</x:v>
      </x:c>
      <x:c r="N202" s="79"/>
      <x:c r="O202" s="79" t="str">
        <x:v>بله</x:v>
      </x:c>
      <x:c r="P202" s="79" t="str">
        <x:v>آرد و قنادی</x:v>
      </x:c>
      <x:c r="Q202" s="79" t="str">
        <x:v>6a3a00000000000000000004</x:v>
      </x:c>
      <x:c r="R202" s="79" t="str">
        <x:v>کیلو</x:v>
      </x:c>
      <x:c r="S202" s="79" t="n">
        <x:v>910000</x:v>
      </x:c>
      <x:c r="T202" s="79"/>
      <x:c r="U202" s="79"/>
    </x:row>
    <x:row r="203">
      <x:c r="A203" s="79" t="n">
        <x:v>205</x:v>
      </x:c>
      <x:c r="B203" s="79" t="str">
        <x:v>NS-0202-1</x:v>
      </x:c>
      <x:c r="C203" s="79" t="str">
        <x:v>سدر</x:v>
      </x:c>
      <x:c r="D203" s="79" t="str">
        <x:v>سدر</x:v>
      </x:c>
      <x:c r="E203" s="79" t="str">
        <x:v>single_205</x:v>
      </x:c>
      <x:c r="F203" s="79"/>
      <x:c r="G203" s="79" t="str">
        <x:v>canonical_group_row</x:v>
      </x:c>
      <x:c r="H203" s="79" t="str">
        <x:v>گیاهان دارویی</x:v>
      </x:c>
      <x:c r="I203" s="79" t="str">
        <x:v>6a3782d7df5573f4e676e243</x:v>
      </x:c>
      <x:c r="J203" s="79" t="str">
        <x:v>medicinal-plants</x:v>
      </x:c>
      <x:c r="K203" s="79" t="str">
        <x:v>TOPICAL</x:v>
      </x:c>
      <x:c r="L203" s="79" t="str">
        <x:v>خیر</x:v>
      </x:c>
      <x:c r="M203" s="79" t="str">
        <x:v>OK</x:v>
      </x:c>
      <x:c r="N20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03" s="79" t="str">
        <x:v>بله</x:v>
      </x:c>
      <x:c r="P203" s="79" t="str">
        <x:v>نیاز به بررسی</x:v>
      </x:c>
      <x:c r="Q203" s="79"/>
      <x:c r="R203" s="79" t="str">
        <x:v>کیلو</x:v>
      </x:c>
      <x:c r="S203" s="79" t="n">
        <x:v>500000</x:v>
      </x:c>
      <x:c r="T203" s="79"/>
      <x:c r="U203" s="79"/>
    </x:row>
    <x:row r="204">
      <x:c r="A204" s="79" t="n">
        <x:v>206</x:v>
      </x:c>
      <x:c r="B204" s="79"/>
      <x:c r="C204" s="79" t="str">
        <x:v>سرکه انگور</x:v>
      </x:c>
      <x:c r="D204" s="79" t="str">
        <x:v>سرکه انگور</x:v>
      </x:c>
      <x:c r="E204" s="79" t="str">
        <x:v>single_206</x:v>
      </x:c>
      <x:c r="F204" s="79"/>
      <x:c r="G204" s="79" t="str">
        <x:v>canonical_group_row</x:v>
      </x:c>
      <x:c r="H204" s="79" t="str">
        <x:v>نوشیدنی‌ها</x:v>
      </x:c>
      <x:c r="I204" s="79" t="str">
        <x:v>6a3782ffdf5573f4e676e24b</x:v>
      </x:c>
      <x:c r="J204" s="79" t="str">
        <x:v>syrup</x:v>
      </x:c>
      <x:c r="K204" s="79" t="str">
        <x:v>EDIBLE</x:v>
      </x:c>
      <x:c r="L204" s="79" t="str">
        <x:v>بله</x:v>
      </x:c>
      <x:c r="M204" s="79" t="str">
        <x:v>OK</x:v>
      </x:c>
      <x:c r="N204" s="79"/>
      <x:c r="O204" s="79" t="str">
        <x:v>خیر</x:v>
      </x:c>
      <x:c r="P204" s="79" t="str">
        <x:v>نوشیدنی‌ها</x:v>
      </x:c>
      <x:c r="Q204" s="79" t="str">
        <x:v>6a3782ffdf5573f4e676e24b</x:v>
      </x:c>
      <x:c r="R204" s="79" t="str">
        <x:v>نیم کیلو</x:v>
      </x:c>
      <x:c r="S204" s="79" t="n">
        <x:v>135000</x:v>
      </x:c>
      <x:c r="T204" s="79" t="str">
        <x:v>1کیلو</x:v>
      </x:c>
      <x:c r="U204" s="79" t="n">
        <x:v>260000</x:v>
      </x:c>
    </x:row>
    <x:row r="205">
      <x:c r="A205" s="79" t="n">
        <x:v>207</x:v>
      </x:c>
      <x:c r="B205" s="79"/>
      <x:c r="C205" s="79" t="str">
        <x:v>سرکه سیب</x:v>
      </x:c>
      <x:c r="D205" s="79" t="str">
        <x:v>سرکه سیب</x:v>
      </x:c>
      <x:c r="E205" s="79" t="str">
        <x:v>single_207</x:v>
      </x:c>
      <x:c r="F205" s="79"/>
      <x:c r="G205" s="79" t="str">
        <x:v>canonical_group_row</x:v>
      </x:c>
      <x:c r="H205" s="79" t="str">
        <x:v>نوشیدنی‌ها</x:v>
      </x:c>
      <x:c r="I205" s="79" t="str">
        <x:v>6a3782ffdf5573f4e676e24b</x:v>
      </x:c>
      <x:c r="J205" s="79" t="str">
        <x:v>syrup</x:v>
      </x:c>
      <x:c r="K205" s="79" t="str">
        <x:v>EDIBLE</x:v>
      </x:c>
      <x:c r="L205" s="79" t="str">
        <x:v>بله</x:v>
      </x:c>
      <x:c r="M205" s="79" t="str">
        <x:v>OK</x:v>
      </x:c>
      <x:c r="N205" s="79"/>
      <x:c r="O205" s="79" t="str">
        <x:v>خیر</x:v>
      </x:c>
      <x:c r="P205" s="79" t="str">
        <x:v>نوشیدنی‌ها</x:v>
      </x:c>
      <x:c r="Q205" s="79" t="str">
        <x:v>6a3782ffdf5573f4e676e24b</x:v>
      </x:c>
      <x:c r="R205" s="79" t="str">
        <x:v>نیم کیلو</x:v>
      </x:c>
      <x:c r="S205" s="79" t="n">
        <x:v>130000</x:v>
      </x:c>
      <x:c r="T205" s="79" t="str">
        <x:v>1کیلو</x:v>
      </x:c>
      <x:c r="U205" s="79" t="n">
        <x:v>250000</x:v>
      </x:c>
    </x:row>
    <x:row r="206">
      <x:c r="A206" s="79" t="n">
        <x:v>208</x:v>
      </x:c>
      <x:c r="B206" s="79" t="str">
        <x:v>NS-0205-1</x:v>
      </x:c>
      <x:c r="C206" s="79" t="str">
        <x:v>سرمه</x:v>
      </x:c>
      <x:c r="D206" s="79" t="str">
        <x:v>سرمه</x:v>
      </x:c>
      <x:c r="E206" s="79" t="str">
        <x:v>single_208</x:v>
      </x:c>
      <x:c r="F206" s="79"/>
      <x:c r="G206" s="79" t="str">
        <x:v>canonical_group_row</x:v>
      </x:c>
      <x:c r="H206" s="79" t="str">
        <x:v>گیاهان دارویی</x:v>
      </x:c>
      <x:c r="I206" s="79" t="str">
        <x:v>6a3782d7df5573f4e676e243</x:v>
      </x:c>
      <x:c r="J206" s="79" t="str">
        <x:v>medicinal-plants</x:v>
      </x:c>
      <x:c r="K206" s="79" t="str">
        <x:v>TOPICAL</x:v>
      </x:c>
      <x:c r="L206" s="79" t="str">
        <x:v>خیر</x:v>
      </x:c>
      <x:c r="M206" s="79" t="str">
        <x:v>OK</x:v>
      </x:c>
      <x:c r="N206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06" s="79" t="str">
        <x:v>بله</x:v>
      </x:c>
      <x:c r="P206" s="79" t="str">
        <x:v>نیاز به بررسی</x:v>
      </x:c>
      <x:c r="Q206" s="79"/>
      <x:c r="R206" s="79" t="str">
        <x:v>کیلو</x:v>
      </x:c>
      <x:c r="S206" s="79" t="n">
        <x:v>80000</x:v>
      </x:c>
      <x:c r="T206" s="79"/>
      <x:c r="U206" s="79"/>
    </x:row>
    <x:row r="207">
      <x:c r="A207" s="79" t="n">
        <x:v>209</x:v>
      </x:c>
      <x:c r="B207" s="79" t="str">
        <x:v>NS-0206-1</x:v>
      </x:c>
      <x:c r="C207" s="79" t="str">
        <x:v>سفیده تخم مرغ</x:v>
      </x:c>
      <x:c r="D207" s="79" t="str">
        <x:v>سفیده تخم مرغ</x:v>
      </x:c>
      <x:c r="E207" s="79" t="str">
        <x:v>single_209</x:v>
      </x:c>
      <x:c r="F207" s="79"/>
      <x:c r="G207" s="79" t="str">
        <x:v>canonical_group_row</x:v>
      </x:c>
      <x:c r="H207" s="79" t="str">
        <x:v>قنادی و شیرینی</x:v>
      </x:c>
      <x:c r="I207" s="79" t="str">
        <x:v>6a3a00000000000000000003</x:v>
      </x:c>
      <x:c r="J207" s="79" t="str">
        <x:v>confectionery</x:v>
      </x:c>
      <x:c r="K207" s="79" t="str">
        <x:v>EDIBLE</x:v>
      </x:c>
      <x:c r="L207" s="79" t="str">
        <x:v>بله</x:v>
      </x:c>
      <x:c r="M207" s="79" t="str">
        <x:v>OK</x:v>
      </x:c>
      <x:c r="N207" s="79" t="str">
        <x:v>دسته از «ادویه» به «قنادی و شیرینی» اصلاح شد</x:v>
      </x:c>
      <x:c r="O207" s="79" t="str">
        <x:v>بله</x:v>
      </x:c>
      <x:c r="P207" s="79" t="str">
        <x:v>ادویه</x:v>
      </x:c>
      <x:c r="Q207" s="79" t="str">
        <x:v>6a3781e4df5573f4e676e226</x:v>
      </x:c>
      <x:c r="R207" s="79" t="str">
        <x:v>کیلو</x:v>
      </x:c>
      <x:c r="S207" s="79" t="n">
        <x:v>3000000</x:v>
      </x:c>
      <x:c r="T207" s="79"/>
      <x:c r="U207" s="79"/>
    </x:row>
    <x:row r="208">
      <x:c r="A208" s="79" t="n">
        <x:v>210</x:v>
      </x:c>
      <x:c r="B208" s="79" t="str">
        <x:v>NS-0207-1</x:v>
      </x:c>
      <x:c r="C208" s="79" t="str">
        <x:v>سماق قرمز پودر</x:v>
      </x:c>
      <x:c r="D208" s="79" t="str">
        <x:v>سماق قرمز پودر</x:v>
      </x:c>
      <x:c r="E208" s="79" t="str">
        <x:v>single_210</x:v>
      </x:c>
      <x:c r="F208" s="79"/>
      <x:c r="G208" s="79" t="str">
        <x:v>canonical_group_row</x:v>
      </x:c>
      <x:c r="H208" s="79" t="str">
        <x:v>ادویه</x:v>
      </x:c>
      <x:c r="I208" s="79" t="str">
        <x:v>6a3781e4df5573f4e676e226</x:v>
      </x:c>
      <x:c r="J208" s="79" t="str">
        <x:v>spice</x:v>
      </x:c>
      <x:c r="K208" s="79" t="str">
        <x:v>EDIBLE</x:v>
      </x:c>
      <x:c r="L208" s="79" t="str">
        <x:v>بله</x:v>
      </x:c>
      <x:c r="M208" s="79" t="str">
        <x:v>OK</x:v>
      </x:c>
      <x:c r="N208" s="79"/>
      <x:c r="O208" s="79" t="str">
        <x:v>بله</x:v>
      </x:c>
      <x:c r="P208" s="79" t="str">
        <x:v>ادویه</x:v>
      </x:c>
      <x:c r="Q208" s="79" t="str">
        <x:v>6a3781e4df5573f4e676e226</x:v>
      </x:c>
      <x:c r="R208" s="79" t="str">
        <x:v>کیلو</x:v>
      </x:c>
      <x:c r="S208" s="79" t="n">
        <x:v>2600000</x:v>
      </x:c>
      <x:c r="T208" s="79"/>
      <x:c r="U208" s="79"/>
    </x:row>
    <x:row r="209">
      <x:c r="A209" s="79" t="n">
        <x:v>211</x:v>
      </x:c>
      <x:c r="B209" s="79" t="str">
        <x:v>NS-0208-1</x:v>
      </x:c>
      <x:c r="C209" s="79" t="str">
        <x:v>سماق قهوه ای پودر</x:v>
      </x:c>
      <x:c r="D209" s="79" t="str">
        <x:v>سماق قهوه ای پودر</x:v>
      </x:c>
      <x:c r="E209" s="79" t="str">
        <x:v>single_211</x:v>
      </x:c>
      <x:c r="F209" s="79"/>
      <x:c r="G209" s="79" t="str">
        <x:v>canonical_group_row</x:v>
      </x:c>
      <x:c r="H209" s="79" t="str">
        <x:v>ادویه</x:v>
      </x:c>
      <x:c r="I209" s="79" t="str">
        <x:v>6a3781e4df5573f4e676e226</x:v>
      </x:c>
      <x:c r="J209" s="79" t="str">
        <x:v>spice</x:v>
      </x:c>
      <x:c r="K209" s="79" t="str">
        <x:v>EDIBLE</x:v>
      </x:c>
      <x:c r="L209" s="79" t="str">
        <x:v>بله</x:v>
      </x:c>
      <x:c r="M209" s="79" t="str">
        <x:v>OK</x:v>
      </x:c>
      <x:c r="N209" s="79"/>
      <x:c r="O209" s="79" t="str">
        <x:v>بله</x:v>
      </x:c>
      <x:c r="P209" s="79" t="str">
        <x:v>ادویه</x:v>
      </x:c>
      <x:c r="Q209" s="79" t="str">
        <x:v>6a3781e4df5573f4e676e226</x:v>
      </x:c>
      <x:c r="R209" s="79" t="str">
        <x:v>کیلو</x:v>
      </x:c>
      <x:c r="S209" s="79" t="n">
        <x:v>2600000</x:v>
      </x:c>
      <x:c r="T209" s="79"/>
      <x:c r="U209" s="79"/>
    </x:row>
    <x:row r="210">
      <x:c r="A210" s="79" t="n">
        <x:v>212</x:v>
      </x:c>
      <x:c r="B210" s="79" t="str">
        <x:v>NS-0209-1</x:v>
      </x:c>
      <x:c r="C210" s="79" t="str">
        <x:v>سماق ناساب</x:v>
      </x:c>
      <x:c r="D210" s="79" t="str">
        <x:v>سماق ناساب</x:v>
      </x:c>
      <x:c r="E210" s="79" t="str">
        <x:v>single_212</x:v>
      </x:c>
      <x:c r="F210" s="79"/>
      <x:c r="G210" s="79" t="str">
        <x:v>canonical_group_row</x:v>
      </x:c>
      <x:c r="H210" s="79" t="str">
        <x:v>ادویه</x:v>
      </x:c>
      <x:c r="I210" s="79" t="str">
        <x:v>6a3781e4df5573f4e676e226</x:v>
      </x:c>
      <x:c r="J210" s="79" t="str">
        <x:v>spice</x:v>
      </x:c>
      <x:c r="K210" s="79" t="str">
        <x:v>EDIBLE</x:v>
      </x:c>
      <x:c r="L210" s="79" t="str">
        <x:v>بله</x:v>
      </x:c>
      <x:c r="M210" s="79" t="str">
        <x:v>OK</x:v>
      </x:c>
      <x:c r="N210" s="79"/>
      <x:c r="O210" s="79" t="str">
        <x:v>بله</x:v>
      </x:c>
      <x:c r="P210" s="79" t="str">
        <x:v>ادویه</x:v>
      </x:c>
      <x:c r="Q210" s="79" t="str">
        <x:v>6a3781e4df5573f4e676e226</x:v>
      </x:c>
      <x:c r="R210" s="79" t="str">
        <x:v>کیلو</x:v>
      </x:c>
      <x:c r="S210" s="79" t="n">
        <x:v>400000</x:v>
      </x:c>
      <x:c r="T210" s="79"/>
      <x:c r="U210" s="79"/>
    </x:row>
    <x:row r="211">
      <x:c r="A211" s="79" t="n">
        <x:v>213</x:v>
      </x:c>
      <x:c r="B211" s="79" t="str">
        <x:v>NS-0210-1</x:v>
      </x:c>
      <x:c r="C211" s="79" t="str">
        <x:v>سمنو</x:v>
      </x:c>
      <x:c r="D211" s="79" t="str">
        <x:v>سمنو</x:v>
      </x:c>
      <x:c r="E211" s="79" t="str">
        <x:v>single_213</x:v>
      </x:c>
      <x:c r="F211" s="79"/>
      <x:c r="G211" s="79" t="str">
        <x:v>canonical_group_row</x:v>
      </x:c>
      <x:c r="H211" s="79" t="str">
        <x:v>قنادی و شیرینی</x:v>
      </x:c>
      <x:c r="I211" s="79" t="str">
        <x:v>6a3a00000000000000000003</x:v>
      </x:c>
      <x:c r="J211" s="79" t="str">
        <x:v>confectionery</x:v>
      </x:c>
      <x:c r="K211" s="79" t="str">
        <x:v>EDIBLE</x:v>
      </x:c>
      <x:c r="L211" s="79" t="str">
        <x:v>بله</x:v>
      </x:c>
      <x:c r="M211" s="79" t="str">
        <x:v>OK</x:v>
      </x:c>
      <x:c r="N211" s="79" t="str">
        <x:v>دسته از «نیاز به بررسی» به «قنادی و شیرینی» اصلاح شد</x:v>
      </x:c>
      <x:c r="O211" s="79" t="str">
        <x:v>بله</x:v>
      </x:c>
      <x:c r="P211" s="79" t="str">
        <x:v>نیاز به بررسی</x:v>
      </x:c>
      <x:c r="Q211" s="79"/>
      <x:c r="R211" s="79" t="str">
        <x:v>کیلو</x:v>
      </x:c>
      <x:c r="S211" s="79" t="n">
        <x:v>180000</x:v>
      </x:c>
      <x:c r="T211" s="79"/>
      <x:c r="U211" s="79"/>
    </x:row>
    <x:row r="212">
      <x:c r="A212" s="79" t="n">
        <x:v>214</x:v>
      </x:c>
      <x:c r="B212" s="79" t="str">
        <x:v>NS-0211-1</x:v>
      </x:c>
      <x:c r="C212" s="79" t="str">
        <x:v>سنبل الطیب</x:v>
      </x:c>
      <x:c r="D212" s="79" t="str">
        <x:v>سنبل الطیب</x:v>
      </x:c>
      <x:c r="E212" s="79" t="str">
        <x:v>single_214</x:v>
      </x:c>
      <x:c r="F212" s="79"/>
      <x:c r="G212" s="79" t="str">
        <x:v>canonical_group_row</x:v>
      </x:c>
      <x:c r="H212" s="79" t="str">
        <x:v>گیاهان دارویی</x:v>
      </x:c>
      <x:c r="I212" s="79" t="str">
        <x:v>6a3782d7df5573f4e676e243</x:v>
      </x:c>
      <x:c r="J212" s="79" t="str">
        <x:v>medicinal-plants</x:v>
      </x:c>
      <x:c r="K212" s="79" t="str">
        <x:v>EDIBLE</x:v>
      </x:c>
      <x:c r="L212" s="79" t="str">
        <x:v>بله</x:v>
      </x:c>
      <x:c r="M212" s="79" t="str">
        <x:v>OK</x:v>
      </x:c>
      <x:c r="N212" s="79"/>
      <x:c r="O212" s="79" t="str">
        <x:v>بله</x:v>
      </x:c>
      <x:c r="P212" s="79" t="str">
        <x:v>گیاهان دارویی</x:v>
      </x:c>
      <x:c r="Q212" s="79" t="str">
        <x:v>6a3782d7df5573f4e676e243</x:v>
      </x:c>
      <x:c r="R212" s="79" t="str">
        <x:v>کیلو</x:v>
      </x:c>
      <x:c r="S212" s="79" t="n">
        <x:v>2600000</x:v>
      </x:c>
      <x:c r="T212" s="79"/>
      <x:c r="U212" s="79"/>
    </x:row>
    <x:row r="213">
      <x:c r="A213" s="79" t="n">
        <x:v>215</x:v>
      </x:c>
      <x:c r="B213" s="79" t="str">
        <x:v>NS-0212-1</x:v>
      </x:c>
      <x:c r="C213" s="79" t="str">
        <x:v>سنجد</x:v>
      </x:c>
      <x:c r="D213" s="79" t="str">
        <x:v>سنجد</x:v>
      </x:c>
      <x:c r="E213" s="79" t="str">
        <x:v>grp_oleaster</x:v>
      </x:c>
      <x:c r="F213" s="79" t="str">
        <x:v>کامل</x:v>
      </x:c>
      <x:c r="G213" s="79" t="str">
        <x:v>canonical_group_row</x:v>
      </x:c>
      <x:c r="H213" s="79" t="str">
        <x:v>خشکبار و آجیل</x:v>
      </x:c>
      <x:c r="I213" s="79" t="str">
        <x:v>6a37810ddf5573f4e676e201</x:v>
      </x:c>
      <x:c r="J213" s="79" t="str">
        <x:v>dried-fruits-nuts</x:v>
      </x:c>
      <x:c r="K213" s="79" t="str">
        <x:v>EDIBLE</x:v>
      </x:c>
      <x:c r="L213" s="79" t="str">
        <x:v>بله</x:v>
      </x:c>
      <x:c r="M213" s="79" t="str">
        <x:v>MERGED</x:v>
      </x:c>
      <x:c r="N213" s="79"/>
      <x:c r="O213" s="79" t="str">
        <x:v>بله</x:v>
      </x:c>
      <x:c r="P213" s="79" t="str">
        <x:v>خشکبار و آجیل</x:v>
      </x:c>
      <x:c r="Q213" s="79" t="str">
        <x:v>6a37810ddf5573f4e676e201</x:v>
      </x:c>
      <x:c r="R213" s="79" t="str">
        <x:v>کیلو</x:v>
      </x:c>
      <x:c r="S213" s="79" t="n">
        <x:v>500000</x:v>
      </x:c>
      <x:c r="T213" s="79"/>
      <x:c r="U213" s="79"/>
    </x:row>
    <x:row r="214">
      <x:c r="A214" s="79" t="n">
        <x:v>216</x:v>
      </x:c>
      <x:c r="B214" s="79" t="str">
        <x:v>NS-0213-1</x:v>
      </x:c>
      <x:c r="C214" s="79" t="str">
        <x:v>سنجد پودر</x:v>
      </x:c>
      <x:c r="D214" s="79" t="str">
        <x:v>سنجد</x:v>
      </x:c>
      <x:c r="E214" s="79" t="str">
        <x:v>grp_oleaster</x:v>
      </x:c>
      <x:c r="F214" s="79" t="str">
        <x:v>پودر</x:v>
      </x:c>
      <x:c r="G214" s="79" t="str">
        <x:v>merge_into_canonical_group</x:v>
      </x:c>
      <x:c r="H214" s="79" t="str">
        <x:v>خشکبار و آجیل</x:v>
      </x:c>
      <x:c r="I214" s="79" t="str">
        <x:v>6a37810ddf5573f4e676e201</x:v>
      </x:c>
      <x:c r="J214" s="79" t="str">
        <x:v>dried-fruits-nuts</x:v>
      </x:c>
      <x:c r="K214" s="79" t="str">
        <x:v>EDIBLE</x:v>
      </x:c>
      <x:c r="L214" s="79" t="str">
        <x:v>بله</x:v>
      </x:c>
      <x:c r="M214" s="79" t="str">
        <x:v>MERGED</x:v>
      </x:c>
      <x:c r="N214" s="79"/>
      <x:c r="O214" s="79" t="str">
        <x:v>بله</x:v>
      </x:c>
      <x:c r="P214" s="79" t="str">
        <x:v>خشکبار و آجیل</x:v>
      </x:c>
      <x:c r="Q214" s="79" t="str">
        <x:v>6a37810ddf5573f4e676e201</x:v>
      </x:c>
      <x:c r="R214" s="79" t="str">
        <x:v>کیلو</x:v>
      </x:c>
      <x:c r="S214" s="79" t="n">
        <x:v>650000</x:v>
      </x:c>
      <x:c r="T214" s="79"/>
      <x:c r="U214" s="79"/>
    </x:row>
    <x:row r="215">
      <x:c r="A215" s="79" t="n">
        <x:v>217</x:v>
      </x:c>
      <x:c r="B215" s="79" t="str">
        <x:v>NS-0214-1</x:v>
      </x:c>
      <x:c r="C215" s="79" t="str">
        <x:v>سویق ترکیبی</x:v>
      </x:c>
      <x:c r="D215" s="79" t="str">
        <x:v>سویق ترکیبی</x:v>
      </x:c>
      <x:c r="E215" s="79" t="str">
        <x:v>single_217</x:v>
      </x:c>
      <x:c r="F215" s="79"/>
      <x:c r="G215" s="79" t="str">
        <x:v>canonical_group_row</x:v>
      </x:c>
      <x:c r="H215" s="79" t="str">
        <x:v>حبوبات و غلات</x:v>
      </x:c>
      <x:c r="I215" s="79" t="str">
        <x:v>6a3a00000000000000000002</x:v>
      </x:c>
      <x:c r="J215" s="79" t="str">
        <x:v>legumes-grains</x:v>
      </x:c>
      <x:c r="K215" s="79" t="str">
        <x:v>EDIBLE</x:v>
      </x:c>
      <x:c r="L215" s="79" t="str">
        <x:v>بله</x:v>
      </x:c>
      <x:c r="M215" s="79" t="str">
        <x:v>OK</x:v>
      </x:c>
      <x:c r="N215" s="79" t="str">
        <x:v>دسته از «نیاز به بررسی» به «حبوبات و غلات» اصلاح شد</x:v>
      </x:c>
      <x:c r="O215" s="79" t="str">
        <x:v>بله</x:v>
      </x:c>
      <x:c r="P215" s="79" t="str">
        <x:v>نیاز به بررسی</x:v>
      </x:c>
      <x:c r="Q215" s="79"/>
      <x:c r="R215" s="79" t="str">
        <x:v>کیلو</x:v>
      </x:c>
      <x:c r="S215" s="79" t="n">
        <x:v>500000</x:v>
      </x:c>
      <x:c r="T215" s="79"/>
      <x:c r="U215" s="79"/>
    </x:row>
    <x:row r="216">
      <x:c r="A216" s="79" t="n">
        <x:v>218</x:v>
      </x:c>
      <x:c r="B216" s="79" t="str">
        <x:v>NS-0215-1</x:v>
      </x:c>
      <x:c r="C216" s="79" t="str">
        <x:v>سویق جوانه جو</x:v>
      </x:c>
      <x:c r="D216" s="79" t="str">
        <x:v>سویق جوانه جو</x:v>
      </x:c>
      <x:c r="E216" s="79" t="str">
        <x:v>single_218</x:v>
      </x:c>
      <x:c r="F216" s="79"/>
      <x:c r="G216" s="79" t="str">
        <x:v>canonical_group_row</x:v>
      </x:c>
      <x:c r="H216" s="79" t="str">
        <x:v>حبوبات و غلات</x:v>
      </x:c>
      <x:c r="I216" s="79" t="str">
        <x:v>6a3a00000000000000000002</x:v>
      </x:c>
      <x:c r="J216" s="79" t="str">
        <x:v>legumes-grains</x:v>
      </x:c>
      <x:c r="K216" s="79" t="str">
        <x:v>EDIBLE</x:v>
      </x:c>
      <x:c r="L216" s="79" t="str">
        <x:v>بله</x:v>
      </x:c>
      <x:c r="M216" s="79" t="str">
        <x:v>OK</x:v>
      </x:c>
      <x:c r="N216" s="79"/>
      <x:c r="O216" s="79" t="str">
        <x:v>بله</x:v>
      </x:c>
      <x:c r="P216" s="79" t="str">
        <x:v>حبوبات و غلات</x:v>
      </x:c>
      <x:c r="Q216" s="79" t="str">
        <x:v>6a3a00000000000000000002</x:v>
      </x:c>
      <x:c r="R216" s="79" t="str">
        <x:v>کیلو</x:v>
      </x:c>
      <x:c r="S216" s="79" t="n">
        <x:v>500000</x:v>
      </x:c>
      <x:c r="T216" s="79"/>
      <x:c r="U216" s="79"/>
    </x:row>
    <x:row r="217">
      <x:c r="A217" s="79" t="n">
        <x:v>219</x:v>
      </x:c>
      <x:c r="B217" s="79" t="str">
        <x:v>NS-0216-1</x:v>
      </x:c>
      <x:c r="C217" s="79" t="str">
        <x:v>سویق جوانه عدس</x:v>
      </x:c>
      <x:c r="D217" s="79" t="str">
        <x:v>سویق جوانه عدس</x:v>
      </x:c>
      <x:c r="E217" s="79" t="str">
        <x:v>single_219</x:v>
      </x:c>
      <x:c r="F217" s="79"/>
      <x:c r="G217" s="79" t="str">
        <x:v>canonical_group_row</x:v>
      </x:c>
      <x:c r="H217" s="79" t="str">
        <x:v>حبوبات و غلات</x:v>
      </x:c>
      <x:c r="I217" s="79" t="str">
        <x:v>6a3a00000000000000000002</x:v>
      </x:c>
      <x:c r="J217" s="79" t="str">
        <x:v>legumes-grains</x:v>
      </x:c>
      <x:c r="K217" s="79" t="str">
        <x:v>EDIBLE</x:v>
      </x:c>
      <x:c r="L217" s="79" t="str">
        <x:v>بله</x:v>
      </x:c>
      <x:c r="M217" s="79" t="str">
        <x:v>OK</x:v>
      </x:c>
      <x:c r="N217" s="79"/>
      <x:c r="O217" s="79" t="str">
        <x:v>بله</x:v>
      </x:c>
      <x:c r="P217" s="79" t="str">
        <x:v>حبوبات و غلات</x:v>
      </x:c>
      <x:c r="Q217" s="79" t="str">
        <x:v>6a3a00000000000000000002</x:v>
      </x:c>
      <x:c r="R217" s="79" t="str">
        <x:v>کیلو</x:v>
      </x:c>
      <x:c r="S217" s="79" t="n">
        <x:v>450000</x:v>
      </x:c>
      <x:c r="T217" s="79"/>
      <x:c r="U217" s="79"/>
    </x:row>
    <x:row r="218">
      <x:c r="A218" s="79" t="n">
        <x:v>220</x:v>
      </x:c>
      <x:c r="B218" s="79" t="str">
        <x:v>NS-0217-1</x:v>
      </x:c>
      <x:c r="C218" s="79" t="str">
        <x:v>سویق جوانه گندم</x:v>
      </x:c>
      <x:c r="D218" s="79" t="str">
        <x:v>سویق جوانه گندم</x:v>
      </x:c>
      <x:c r="E218" s="79" t="str">
        <x:v>single_220</x:v>
      </x:c>
      <x:c r="F218" s="79"/>
      <x:c r="G218" s="79" t="str">
        <x:v>canonical_group_row</x:v>
      </x:c>
      <x:c r="H218" s="79" t="str">
        <x:v>حبوبات و غلات</x:v>
      </x:c>
      <x:c r="I218" s="79" t="str">
        <x:v>6a3a00000000000000000002</x:v>
      </x:c>
      <x:c r="J218" s="79" t="str">
        <x:v>legumes-grains</x:v>
      </x:c>
      <x:c r="K218" s="79" t="str">
        <x:v>EDIBLE</x:v>
      </x:c>
      <x:c r="L218" s="79" t="str">
        <x:v>بله</x:v>
      </x:c>
      <x:c r="M218" s="79" t="str">
        <x:v>OK</x:v>
      </x:c>
      <x:c r="N218" s="79"/>
      <x:c r="O218" s="79" t="str">
        <x:v>بله</x:v>
      </x:c>
      <x:c r="P218" s="79" t="str">
        <x:v>حبوبات و غلات</x:v>
      </x:c>
      <x:c r="Q218" s="79" t="str">
        <x:v>6a3a00000000000000000002</x:v>
      </x:c>
      <x:c r="R218" s="79" t="str">
        <x:v>کیلو</x:v>
      </x:c>
      <x:c r="S218" s="79" t="n">
        <x:v>380000</x:v>
      </x:c>
      <x:c r="T218" s="79"/>
      <x:c r="U218" s="79"/>
    </x:row>
    <x:row r="219">
      <x:c r="A219" s="79" t="n">
        <x:v>221</x:v>
      </x:c>
      <x:c r="B219" s="79" t="str">
        <x:v>NS-0218-1</x:v>
      </x:c>
      <x:c r="C219" s="79" t="str">
        <x:v>سویق جوانه ماش</x:v>
      </x:c>
      <x:c r="D219" s="79" t="str">
        <x:v>سویق جوانه ماش</x:v>
      </x:c>
      <x:c r="E219" s="79" t="str">
        <x:v>single_221</x:v>
      </x:c>
      <x:c r="F219" s="79"/>
      <x:c r="G219" s="79" t="str">
        <x:v>canonical_group_row</x:v>
      </x:c>
      <x:c r="H219" s="79" t="str">
        <x:v>حبوبات و غلات</x:v>
      </x:c>
      <x:c r="I219" s="79" t="str">
        <x:v>6a3a00000000000000000002</x:v>
      </x:c>
      <x:c r="J219" s="79" t="str">
        <x:v>legumes-grains</x:v>
      </x:c>
      <x:c r="K219" s="79" t="str">
        <x:v>EDIBLE</x:v>
      </x:c>
      <x:c r="L219" s="79" t="str">
        <x:v>بله</x:v>
      </x:c>
      <x:c r="M219" s="79" t="str">
        <x:v>OK</x:v>
      </x:c>
      <x:c r="N219" s="79"/>
      <x:c r="O219" s="79" t="str">
        <x:v>بله</x:v>
      </x:c>
      <x:c r="P219" s="79" t="str">
        <x:v>حبوبات و غلات</x:v>
      </x:c>
      <x:c r="Q219" s="79" t="str">
        <x:v>6a3a00000000000000000002</x:v>
      </x:c>
      <x:c r="R219" s="79" t="str">
        <x:v>کیلو</x:v>
      </x:c>
      <x:c r="S219" s="79" t="n">
        <x:v>450000</x:v>
      </x:c>
      <x:c r="T219" s="79"/>
      <x:c r="U219" s="79"/>
    </x:row>
    <x:row r="220">
      <x:c r="A220" s="79" t="n">
        <x:v>222</x:v>
      </x:c>
      <x:c r="B220" s="79" t="str">
        <x:v>NS-0219-1</x:v>
      </x:c>
      <x:c r="C220" s="79" t="str">
        <x:v>سیاهدانه</x:v>
      </x:c>
      <x:c r="D220" s="79" t="str">
        <x:v>سیاهدانه</x:v>
      </x:c>
      <x:c r="E220" s="79" t="str">
        <x:v>single_222</x:v>
      </x:c>
      <x:c r="F220" s="79"/>
      <x:c r="G220" s="79" t="str">
        <x:v>canonical_group_row</x:v>
      </x:c>
      <x:c r="H220" s="79" t="str">
        <x:v>گیاهان دارویی</x:v>
      </x:c>
      <x:c r="I220" s="79" t="str">
        <x:v>6a3782d7df5573f4e676e243</x:v>
      </x:c>
      <x:c r="J220" s="79" t="str">
        <x:v>medicinal-plants</x:v>
      </x:c>
      <x:c r="K220" s="79" t="str">
        <x:v>EDIBLE</x:v>
      </x:c>
      <x:c r="L220" s="79" t="str">
        <x:v>بله</x:v>
      </x:c>
      <x:c r="M220" s="79" t="str">
        <x:v>OK</x:v>
      </x:c>
      <x:c r="N220" s="79" t="str">
        <x:v>دسته از «نیاز به بررسی» به «گیاهان دارویی» اصلاح شد</x:v>
      </x:c>
      <x:c r="O220" s="79" t="str">
        <x:v>بله</x:v>
      </x:c>
      <x:c r="P220" s="79" t="str">
        <x:v>نیاز به بررسی</x:v>
      </x:c>
      <x:c r="Q220" s="79"/>
      <x:c r="R220" s="79" t="str">
        <x:v>کیلو</x:v>
      </x:c>
      <x:c r="S220" s="79" t="n">
        <x:v>1300000</x:v>
      </x:c>
      <x:c r="T220" s="79"/>
      <x:c r="U220" s="79"/>
    </x:row>
    <x:row r="221">
      <x:c r="A221" s="79" t="n">
        <x:v>223</x:v>
      </x:c>
      <x:c r="B221" s="79" t="str">
        <x:v>NS-0220-1</x:v>
      </x:c>
      <x:c r="C221" s="79" t="str">
        <x:v>سیر سیاه</x:v>
      </x:c>
      <x:c r="D221" s="79" t="str">
        <x:v>سیر سیاه</x:v>
      </x:c>
      <x:c r="E221" s="79" t="str">
        <x:v>single_223</x:v>
      </x:c>
      <x:c r="F221" s="79"/>
      <x:c r="G221" s="79" t="str">
        <x:v>canonical_group_row</x:v>
      </x:c>
      <x:c r="H221" s="79" t="str">
        <x:v>ادویه</x:v>
      </x:c>
      <x:c r="I221" s="79" t="str">
        <x:v>6a3781e4df5573f4e676e226</x:v>
      </x:c>
      <x:c r="J221" s="79" t="str">
        <x:v>spice</x:v>
      </x:c>
      <x:c r="K221" s="79" t="str">
        <x:v>EDIBLE</x:v>
      </x:c>
      <x:c r="L221" s="79" t="str">
        <x:v>بله</x:v>
      </x:c>
      <x:c r="M221" s="79" t="str">
        <x:v>OK</x:v>
      </x:c>
      <x:c r="N221" s="79"/>
      <x:c r="O221" s="79" t="str">
        <x:v>بله</x:v>
      </x:c>
      <x:c r="P221" s="79" t="str">
        <x:v>ادویه</x:v>
      </x:c>
      <x:c r="Q221" s="79" t="str">
        <x:v>6a3781e4df5573f4e676e226</x:v>
      </x:c>
      <x:c r="R221" s="79" t="str">
        <x:v>کیلو</x:v>
      </x:c>
      <x:c r="S221" s="79" t="n">
        <x:v>800000</x:v>
      </x:c>
      <x:c r="T221" s="79"/>
      <x:c r="U221" s="79"/>
    </x:row>
    <x:row r="222">
      <x:c r="A222" s="79" t="n">
        <x:v>224</x:v>
      </x:c>
      <x:c r="B222" s="79" t="str">
        <x:v>NS-0221-1</x:v>
      </x:c>
      <x:c r="C222" s="79" t="str">
        <x:v>سیر همدان</x:v>
      </x:c>
      <x:c r="D222" s="79" t="str">
        <x:v>سیر همدان</x:v>
      </x:c>
      <x:c r="E222" s="79" t="str">
        <x:v>single_224</x:v>
      </x:c>
      <x:c r="F222" s="79"/>
      <x:c r="G222" s="79" t="str">
        <x:v>canonical_group_row</x:v>
      </x:c>
      <x:c r="H222" s="79" t="str">
        <x:v>ادویه</x:v>
      </x:c>
      <x:c r="I222" s="79" t="str">
        <x:v>6a3781e4df5573f4e676e226</x:v>
      </x:c>
      <x:c r="J222" s="79" t="str">
        <x:v>spice</x:v>
      </x:c>
      <x:c r="K222" s="79" t="str">
        <x:v>EDIBLE</x:v>
      </x:c>
      <x:c r="L222" s="79" t="str">
        <x:v>بله</x:v>
      </x:c>
      <x:c r="M222" s="79" t="str">
        <x:v>OK</x:v>
      </x:c>
      <x:c r="N222" s="79"/>
      <x:c r="O222" s="79" t="str">
        <x:v>بله</x:v>
      </x:c>
      <x:c r="P222" s="79" t="str">
        <x:v>ادویه</x:v>
      </x:c>
      <x:c r="Q222" s="79" t="str">
        <x:v>6a3781e4df5573f4e676e226</x:v>
      </x:c>
      <x:c r="R222" s="79" t="str">
        <x:v>کیلو</x:v>
      </x:c>
      <x:c r="S222" s="79" t="n">
        <x:v>1100000</x:v>
      </x:c>
      <x:c r="T222" s="79"/>
      <x:c r="U222" s="79"/>
    </x:row>
    <x:row r="223">
      <x:c r="A223" s="79" t="n">
        <x:v>225</x:v>
      </x:c>
      <x:c r="B223" s="79" t="str">
        <x:v>NS-0222-1</x:v>
      </x:c>
      <x:c r="C223" s="79" t="str">
        <x:v>سیر هندی</x:v>
      </x:c>
      <x:c r="D223" s="79" t="str">
        <x:v>سیر هندی</x:v>
      </x:c>
      <x:c r="E223" s="79" t="str">
        <x:v>single_225</x:v>
      </x:c>
      <x:c r="F223" s="79"/>
      <x:c r="G223" s="79" t="str">
        <x:v>canonical_group_row</x:v>
      </x:c>
      <x:c r="H223" s="79" t="str">
        <x:v>ادویه</x:v>
      </x:c>
      <x:c r="I223" s="79" t="str">
        <x:v>6a3781e4df5573f4e676e226</x:v>
      </x:c>
      <x:c r="J223" s="79" t="str">
        <x:v>spice</x:v>
      </x:c>
      <x:c r="K223" s="79" t="str">
        <x:v>EDIBLE</x:v>
      </x:c>
      <x:c r="L223" s="79" t="str">
        <x:v>بله</x:v>
      </x:c>
      <x:c r="M223" s="79" t="str">
        <x:v>MISSING_PRICE_REVIEW</x:v>
      </x:c>
      <x:c r="N223" s="79" t="str">
        <x:v>یک یا چند قیمت نامشخص است</x:v>
      </x:c>
      <x:c r="O223" s="79" t="str">
        <x:v>بله</x:v>
      </x:c>
      <x:c r="P223" s="79" t="str">
        <x:v>ادویه</x:v>
      </x:c>
      <x:c r="Q223" s="79" t="str">
        <x:v>6a3781e4df5573f4e676e226</x:v>
      </x:c>
      <x:c r="R223" s="79" t="str">
        <x:v>کیلو</x:v>
      </x:c>
      <x:c r="S223" s="79"/>
      <x:c r="T223" s="79"/>
      <x:c r="U223" s="79"/>
    </x:row>
    <x:row r="224">
      <x:c r="A224" s="79" t="n">
        <x:v>226</x:v>
      </x:c>
      <x:c r="B224" s="79"/>
      <x:c r="C224" s="79" t="str">
        <x:v>شربت آلبالو</x:v>
      </x:c>
      <x:c r="D224" s="79" t="str">
        <x:v>شربت آلبالو</x:v>
      </x:c>
      <x:c r="E224" s="79" t="str">
        <x:v>single_226</x:v>
      </x:c>
      <x:c r="F224" s="79"/>
      <x:c r="G224" s="79" t="str">
        <x:v>canonical_group_row</x:v>
      </x:c>
      <x:c r="H224" s="79" t="str">
        <x:v>نوشیدنی‌ها</x:v>
      </x:c>
      <x:c r="I224" s="79" t="str">
        <x:v>6a3782ffdf5573f4e676e24b</x:v>
      </x:c>
      <x:c r="J224" s="79" t="str">
        <x:v>syrup</x:v>
      </x:c>
      <x:c r="K224" s="79" t="str">
        <x:v>EDIBLE</x:v>
      </x:c>
      <x:c r="L224" s="79" t="str">
        <x:v>بله</x:v>
      </x:c>
      <x:c r="M224" s="79" t="str">
        <x:v>MISSING_PRICE_REVIEW</x:v>
      </x:c>
      <x:c r="N224" s="79" t="str">
        <x:v>یک یا چند قیمت نامشخص است</x:v>
      </x:c>
      <x:c r="O224" s="79" t="str">
        <x:v>خیر</x:v>
      </x:c>
      <x:c r="P224" s="79" t="str">
        <x:v>نوشیدنی‌ها</x:v>
      </x:c>
      <x:c r="Q224" s="79" t="str">
        <x:v>6a3782ffdf5573f4e676e24b</x:v>
      </x:c>
      <x:c r="R224" s="79" t="str">
        <x:v>کیلو</x:v>
      </x:c>
      <x:c r="S224" s="79"/>
      <x:c r="T224" s="79"/>
      <x:c r="U224" s="79"/>
    </x:row>
    <x:row r="225">
      <x:c r="A225" s="79" t="n">
        <x:v>227</x:v>
      </x:c>
      <x:c r="B225" s="79"/>
      <x:c r="C225" s="79" t="str">
        <x:v>شربت سرکه انگبین</x:v>
      </x:c>
      <x:c r="D225" s="79" t="str">
        <x:v>شربت سرکه انگبین</x:v>
      </x:c>
      <x:c r="E225" s="79" t="str">
        <x:v>single_227</x:v>
      </x:c>
      <x:c r="F225" s="79"/>
      <x:c r="G225" s="79" t="str">
        <x:v>canonical_group_row</x:v>
      </x:c>
      <x:c r="H225" s="79" t="str">
        <x:v>نوشیدنی‌ها</x:v>
      </x:c>
      <x:c r="I225" s="79" t="str">
        <x:v>6a3782ffdf5573f4e676e24b</x:v>
      </x:c>
      <x:c r="J225" s="79" t="str">
        <x:v>syrup</x:v>
      </x:c>
      <x:c r="K225" s="79" t="str">
        <x:v>EDIBLE</x:v>
      </x:c>
      <x:c r="L225" s="79" t="str">
        <x:v>بله</x:v>
      </x:c>
      <x:c r="M225" s="79" t="str">
        <x:v>OK</x:v>
      </x:c>
      <x:c r="N225" s="79"/>
      <x:c r="O225" s="79" t="str">
        <x:v>خیر</x:v>
      </x:c>
      <x:c r="P225" s="79" t="str">
        <x:v>نوشیدنی‌ها</x:v>
      </x:c>
      <x:c r="Q225" s="79" t="str">
        <x:v>6a3782ffdf5573f4e676e24b</x:v>
      </x:c>
      <x:c r="R225" s="79" t="str">
        <x:v>نیم لیتر</x:v>
      </x:c>
      <x:c r="S225" s="79" t="n">
        <x:v>250000</x:v>
      </x:c>
      <x:c r="T225" s="79" t="str">
        <x:v>1 لیتر</x:v>
      </x:c>
      <x:c r="U225" s="79" t="n">
        <x:v>500000</x:v>
      </x:c>
    </x:row>
    <x:row r="226">
      <x:c r="A226" s="79" t="n">
        <x:v>228</x:v>
      </x:c>
      <x:c r="B226" s="79"/>
      <x:c r="C226" s="79" t="str">
        <x:v>شربت سکنجبین</x:v>
      </x:c>
      <x:c r="D226" s="79" t="str">
        <x:v>شربت سکنجبین</x:v>
      </x:c>
      <x:c r="E226" s="79" t="str">
        <x:v>single_228</x:v>
      </x:c>
      <x:c r="F226" s="79"/>
      <x:c r="G226" s="79" t="str">
        <x:v>canonical_group_row</x:v>
      </x:c>
      <x:c r="H226" s="79" t="str">
        <x:v>نوشیدنی‌ها</x:v>
      </x:c>
      <x:c r="I226" s="79" t="str">
        <x:v>6a3782ffdf5573f4e676e24b</x:v>
      </x:c>
      <x:c r="J226" s="79" t="str">
        <x:v>syrup</x:v>
      </x:c>
      <x:c r="K226" s="79" t="str">
        <x:v>EDIBLE</x:v>
      </x:c>
      <x:c r="L226" s="79" t="str">
        <x:v>بله</x:v>
      </x:c>
      <x:c r="M226" s="79" t="str">
        <x:v>OK</x:v>
      </x:c>
      <x:c r="N226" s="79"/>
      <x:c r="O226" s="79" t="str">
        <x:v>خیر</x:v>
      </x:c>
      <x:c r="P226" s="79" t="str">
        <x:v>نوشیدنی‌ها</x:v>
      </x:c>
      <x:c r="Q226" s="79" t="str">
        <x:v>6a3782ffdf5573f4e676e24b</x:v>
      </x:c>
      <x:c r="R226" s="79" t="str">
        <x:v>نیم لیتر</x:v>
      </x:c>
      <x:c r="S226" s="79" t="n">
        <x:v>155000</x:v>
      </x:c>
      <x:c r="T226" s="79" t="str">
        <x:v>1 لیتر</x:v>
      </x:c>
      <x:c r="U226" s="79" t="n">
        <x:v>295000</x:v>
      </x:c>
    </x:row>
    <x:row r="227">
      <x:c r="A227" s="79" t="n">
        <x:v>229</x:v>
      </x:c>
      <x:c r="B227" s="79" t="str">
        <x:v>NS-0226-1</x:v>
      </x:c>
      <x:c r="C227" s="79" t="str">
        <x:v>شکر سفید</x:v>
      </x:c>
      <x:c r="D227" s="79" t="str">
        <x:v>شکر سفید</x:v>
      </x:c>
      <x:c r="E227" s="79" t="str">
        <x:v>single_229</x:v>
      </x:c>
      <x:c r="F227" s="79"/>
      <x:c r="G227" s="79" t="str">
        <x:v>canonical_group_row</x:v>
      </x:c>
      <x:c r="H227" s="79" t="str">
        <x:v>قنادی و شیرینی</x:v>
      </x:c>
      <x:c r="I227" s="79" t="str">
        <x:v>6a3a00000000000000000003</x:v>
      </x:c>
      <x:c r="J227" s="79" t="str">
        <x:v>confectionery</x:v>
      </x:c>
      <x:c r="K227" s="79" t="str">
        <x:v>EDIBLE</x:v>
      </x:c>
      <x:c r="L227" s="79" t="str">
        <x:v>بله</x:v>
      </x:c>
      <x:c r="M227" s="79" t="str">
        <x:v>MISSING_PRICE_REVIEW</x:v>
      </x:c>
      <x:c r="N227" s="79" t="str">
        <x:v>یک یا چند قیمت نامشخص است</x:v>
      </x:c>
      <x:c r="O227" s="79" t="str">
        <x:v>بله</x:v>
      </x:c>
      <x:c r="P227" s="79" t="str">
        <x:v>قنادی و شیرینی</x:v>
      </x:c>
      <x:c r="Q227" s="79" t="str">
        <x:v>6a3a00000000000000000003</x:v>
      </x:c>
      <x:c r="R227" s="79" t="str">
        <x:v>کیلو</x:v>
      </x:c>
      <x:c r="S227" s="79"/>
      <x:c r="T227" s="79"/>
      <x:c r="U227" s="79"/>
    </x:row>
    <x:row r="228">
      <x:c r="A228" s="79" t="n">
        <x:v>230</x:v>
      </x:c>
      <x:c r="B228" s="79" t="str">
        <x:v>NS-0227-1</x:v>
      </x:c>
      <x:c r="C228" s="79" t="str">
        <x:v>شکر قهوه ای</x:v>
      </x:c>
      <x:c r="D228" s="79" t="str">
        <x:v>شکر قهوه ای</x:v>
      </x:c>
      <x:c r="E228" s="79" t="str">
        <x:v>single_230</x:v>
      </x:c>
      <x:c r="F228" s="79"/>
      <x:c r="G228" s="79" t="str">
        <x:v>canonical_group_row</x:v>
      </x:c>
      <x:c r="H228" s="79" t="str">
        <x:v>قنادی و شیرینی</x:v>
      </x:c>
      <x:c r="I228" s="79" t="str">
        <x:v>6a3a00000000000000000003</x:v>
      </x:c>
      <x:c r="J228" s="79" t="str">
        <x:v>confectionery</x:v>
      </x:c>
      <x:c r="K228" s="79" t="str">
        <x:v>EDIBLE</x:v>
      </x:c>
      <x:c r="L228" s="79" t="str">
        <x:v>بله</x:v>
      </x:c>
      <x:c r="M228" s="79" t="str">
        <x:v>OK</x:v>
      </x:c>
      <x:c r="N228" s="79"/>
      <x:c r="O228" s="79" t="str">
        <x:v>بله</x:v>
      </x:c>
      <x:c r="P228" s="79" t="str">
        <x:v>قنادی و شیرینی</x:v>
      </x:c>
      <x:c r="Q228" s="79" t="str">
        <x:v>6a3a00000000000000000003</x:v>
      </x:c>
      <x:c r="R228" s="79" t="str">
        <x:v>کیلو</x:v>
      </x:c>
      <x:c r="S228" s="79" t="n">
        <x:v>190000</x:v>
      </x:c>
      <x:c r="T228" s="79"/>
      <x:c r="U228" s="79"/>
    </x:row>
    <x:row r="229">
      <x:c r="A229" s="79" t="n">
        <x:v>231</x:v>
      </x:c>
      <x:c r="B229" s="79" t="str">
        <x:v>NS-0228-1</x:v>
      </x:c>
      <x:c r="C229" s="79" t="str">
        <x:v>شکلات تخته ای وانیلی</x:v>
      </x:c>
      <x:c r="D229" s="79" t="str">
        <x:v>شکلات تخته ای وانیلی</x:v>
      </x:c>
      <x:c r="E229" s="79" t="str">
        <x:v>single_231</x:v>
      </x:c>
      <x:c r="F229" s="79"/>
      <x:c r="G229" s="79" t="str">
        <x:v>canonical_group_row</x:v>
      </x:c>
      <x:c r="H229" s="79" t="str">
        <x:v>قنادی و شیرینی</x:v>
      </x:c>
      <x:c r="I229" s="79" t="str">
        <x:v>6a3a00000000000000000003</x:v>
      </x:c>
      <x:c r="J229" s="79" t="str">
        <x:v>confectionery</x:v>
      </x:c>
      <x:c r="K229" s="79" t="str">
        <x:v>EDIBLE</x:v>
      </x:c>
      <x:c r="L229" s="79" t="str">
        <x:v>بله</x:v>
      </x:c>
      <x:c r="M229" s="79" t="str">
        <x:v>OK</x:v>
      </x:c>
      <x:c r="N229" s="79"/>
      <x:c r="O229" s="79" t="str">
        <x:v>بله</x:v>
      </x:c>
      <x:c r="P229" s="79" t="str">
        <x:v>قنادی و شیرینی</x:v>
      </x:c>
      <x:c r="Q229" s="79" t="str">
        <x:v>6a3a00000000000000000003</x:v>
      </x:c>
      <x:c r="R229" s="79" t="str">
        <x:v>کیلو</x:v>
      </x:c>
      <x:c r="S229" s="79" t="n">
        <x:v>700000</x:v>
      </x:c>
      <x:c r="T229" s="79"/>
      <x:c r="U229" s="79"/>
    </x:row>
    <x:row r="230">
      <x:c r="A230" s="79" t="n">
        <x:v>232</x:v>
      </x:c>
      <x:c r="B230" s="79" t="str">
        <x:v>NS-0229-1</x:v>
      </x:c>
      <x:c r="C230" s="79" t="str">
        <x:v>شکلات چیپسی تلخ</x:v>
      </x:c>
      <x:c r="D230" s="79" t="str">
        <x:v>شکلات چیپسی تلخ</x:v>
      </x:c>
      <x:c r="E230" s="79" t="str">
        <x:v>single_232</x:v>
      </x:c>
      <x:c r="F230" s="79"/>
      <x:c r="G230" s="79" t="str">
        <x:v>canonical_group_row</x:v>
      </x:c>
      <x:c r="H230" s="79" t="str">
        <x:v>قنادی و شیرینی</x:v>
      </x:c>
      <x:c r="I230" s="79" t="str">
        <x:v>6a3a00000000000000000003</x:v>
      </x:c>
      <x:c r="J230" s="79" t="str">
        <x:v>confectionery</x:v>
      </x:c>
      <x:c r="K230" s="79" t="str">
        <x:v>EDIBLE</x:v>
      </x:c>
      <x:c r="L230" s="79" t="str">
        <x:v>بله</x:v>
      </x:c>
      <x:c r="M230" s="79" t="str">
        <x:v>OK</x:v>
      </x:c>
      <x:c r="N230" s="79"/>
      <x:c r="O230" s="79" t="str">
        <x:v>بله</x:v>
      </x:c>
      <x:c r="P230" s="79" t="str">
        <x:v>قنادی و شیرینی</x:v>
      </x:c>
      <x:c r="Q230" s="79" t="str">
        <x:v>6a3a00000000000000000003</x:v>
      </x:c>
      <x:c r="R230" s="79" t="str">
        <x:v>کیلو</x:v>
      </x:c>
      <x:c r="S230" s="79" t="n">
        <x:v>890000</x:v>
      </x:c>
      <x:c r="T230" s="79"/>
      <x:c r="U230" s="79"/>
    </x:row>
    <x:row r="231">
      <x:c r="A231" s="79" t="n">
        <x:v>233</x:v>
      </x:c>
      <x:c r="B231" s="79" t="str">
        <x:v>NS-0230-1</x:v>
      </x:c>
      <x:c r="C231" s="79" t="str">
        <x:v>شکلات نسوز کوکی</x:v>
      </x:c>
      <x:c r="D231" s="79" t="str">
        <x:v>شکلات نسوز کوکی</x:v>
      </x:c>
      <x:c r="E231" s="79" t="str">
        <x:v>single_233</x:v>
      </x:c>
      <x:c r="F231" s="79"/>
      <x:c r="G231" s="79" t="str">
        <x:v>canonical_group_row</x:v>
      </x:c>
      <x:c r="H231" s="79" t="str">
        <x:v>قنادی و شیرینی</x:v>
      </x:c>
      <x:c r="I231" s="79" t="str">
        <x:v>6a3a00000000000000000003</x:v>
      </x:c>
      <x:c r="J231" s="79" t="str">
        <x:v>confectionery</x:v>
      </x:c>
      <x:c r="K231" s="79" t="str">
        <x:v>EDIBLE</x:v>
      </x:c>
      <x:c r="L231" s="79" t="str">
        <x:v>بله</x:v>
      </x:c>
      <x:c r="M231" s="79" t="str">
        <x:v>OK</x:v>
      </x:c>
      <x:c r="N231" s="79"/>
      <x:c r="O231" s="79" t="str">
        <x:v>بله</x:v>
      </x:c>
      <x:c r="P231" s="79" t="str">
        <x:v>قنادی و شیرینی</x:v>
      </x:c>
      <x:c r="Q231" s="79" t="str">
        <x:v>6a3a00000000000000000003</x:v>
      </x:c>
      <x:c r="R231" s="79" t="str">
        <x:v>کیلو</x:v>
      </x:c>
      <x:c r="S231" s="79" t="n">
        <x:v>890000</x:v>
      </x:c>
      <x:c r="T231" s="79"/>
      <x:c r="U231" s="79"/>
    </x:row>
    <x:row r="232">
      <x:c r="A232" s="79" t="n">
        <x:v>234</x:v>
      </x:c>
      <x:c r="B232" s="79" t="str">
        <x:v>NS-0231-1</x:v>
      </x:c>
      <x:c r="C232" s="79" t="str">
        <x:v>شلغم پودر</x:v>
      </x:c>
      <x:c r="D232" s="79" t="str">
        <x:v>شلغم پودر</x:v>
      </x:c>
      <x:c r="E232" s="79" t="str">
        <x:v>single_234</x:v>
      </x:c>
      <x:c r="F232" s="79"/>
      <x:c r="G232" s="79" t="str">
        <x:v>canonical_group_row</x:v>
      </x:c>
      <x:c r="H232" s="79" t="str">
        <x:v>گیاهان دارویی</x:v>
      </x:c>
      <x:c r="I232" s="79" t="str">
        <x:v>6a3782d7df5573f4e676e243</x:v>
      </x:c>
      <x:c r="J232" s="79" t="str">
        <x:v>medicinal-plants</x:v>
      </x:c>
      <x:c r="K232" s="79" t="str">
        <x:v>EDIBLE</x:v>
      </x:c>
      <x:c r="L232" s="79" t="str">
        <x:v>بله</x:v>
      </x:c>
      <x:c r="M232" s="79" t="str">
        <x:v>MISSING_PRICE_REVIEW</x:v>
      </x:c>
      <x:c r="N232" s="79" t="str">
        <x:v>دسته از «نیاز به بررسی» به «گیاهان دارویی» اصلاح شد | یک یا چند قیمت نامشخص است</x:v>
      </x:c>
      <x:c r="O232" s="79" t="str">
        <x:v>بله</x:v>
      </x:c>
      <x:c r="P232" s="79" t="str">
        <x:v>نیاز به بررسی</x:v>
      </x:c>
      <x:c r="Q232" s="79"/>
      <x:c r="R232" s="79" t="str">
        <x:v>کیلو</x:v>
      </x:c>
      <x:c r="S232" s="79"/>
      <x:c r="T232" s="79"/>
      <x:c r="U232" s="79"/>
    </x:row>
    <x:row r="233">
      <x:c r="A233" s="79" t="n">
        <x:v>235</x:v>
      </x:c>
      <x:c r="B233" s="79" t="str">
        <x:v>NS-0232-1</x:v>
      </x:c>
      <x:c r="C233" s="79" t="str">
        <x:v>شنبلیله</x:v>
      </x:c>
      <x:c r="D233" s="79" t="str">
        <x:v>شنبلیله</x:v>
      </x:c>
      <x:c r="E233" s="79" t="str">
        <x:v>single_235</x:v>
      </x:c>
      <x:c r="F233" s="79"/>
      <x:c r="G233" s="79" t="str">
        <x:v>canonical_group_row</x:v>
      </x:c>
      <x:c r="H233" s="79" t="str">
        <x:v>گیاهان دارویی</x:v>
      </x:c>
      <x:c r="I233" s="79" t="str">
        <x:v>6a3782d7df5573f4e676e243</x:v>
      </x:c>
      <x:c r="J233" s="79" t="str">
        <x:v>medicinal-plants</x:v>
      </x:c>
      <x:c r="K233" s="79" t="str">
        <x:v>EDIBLE</x:v>
      </x:c>
      <x:c r="L233" s="79" t="str">
        <x:v>بله</x:v>
      </x:c>
      <x:c r="M233" s="79" t="str">
        <x:v>OK</x:v>
      </x:c>
      <x:c r="N233" s="79"/>
      <x:c r="O233" s="79" t="str">
        <x:v>بله</x:v>
      </x:c>
      <x:c r="P233" s="79" t="str">
        <x:v>گیاهان دارویی</x:v>
      </x:c>
      <x:c r="Q233" s="79" t="str">
        <x:v>6a3782d7df5573f4e676e243</x:v>
      </x:c>
      <x:c r="R233" s="79" t="str">
        <x:v>کیلو</x:v>
      </x:c>
      <x:c r="S233" s="79" t="n">
        <x:v>650000</x:v>
      </x:c>
      <x:c r="T233" s="79"/>
      <x:c r="U233" s="79"/>
    </x:row>
    <x:row r="234">
      <x:c r="A234" s="79" t="n">
        <x:v>236</x:v>
      </x:c>
      <x:c r="B234" s="79" t="str">
        <x:v>NS-0233-1</x:v>
      </x:c>
      <x:c r="C234" s="79" t="str">
        <x:v>شنبلیله تخم</x:v>
      </x:c>
      <x:c r="D234" s="79" t="str">
        <x:v>شنبلیله تخم</x:v>
      </x:c>
      <x:c r="E234" s="79" t="str">
        <x:v>single_236</x:v>
      </x:c>
      <x:c r="F234" s="79"/>
      <x:c r="G234" s="79" t="str">
        <x:v>canonical_group_row</x:v>
      </x:c>
      <x:c r="H234" s="79" t="str">
        <x:v>گیاهان دارویی</x:v>
      </x:c>
      <x:c r="I234" s="79" t="str">
        <x:v>6a3782d7df5573f4e676e243</x:v>
      </x:c>
      <x:c r="J234" s="79" t="str">
        <x:v>medicinal-plants</x:v>
      </x:c>
      <x:c r="K234" s="79" t="str">
        <x:v>EDIBLE</x:v>
      </x:c>
      <x:c r="L234" s="79" t="str">
        <x:v>بله</x:v>
      </x:c>
      <x:c r="M234" s="79" t="str">
        <x:v>OK</x:v>
      </x:c>
      <x:c r="N234" s="79" t="str">
        <x:v>دسته از «خشکبار و آجیل» به «گیاهان دارویی» اصلاح شد</x:v>
      </x:c>
      <x:c r="O234" s="79" t="str">
        <x:v>بله</x:v>
      </x:c>
      <x:c r="P234" s="79" t="str">
        <x:v>خشکبار و آجیل</x:v>
      </x:c>
      <x:c r="Q234" s="79" t="str">
        <x:v>6a37810ddf5573f4e676e201</x:v>
      </x:c>
      <x:c r="R234" s="79" t="str">
        <x:v>کیلو</x:v>
      </x:c>
      <x:c r="S234" s="79" t="n">
        <x:v>700000</x:v>
      </x:c>
      <x:c r="T234" s="79"/>
      <x:c r="U234" s="79"/>
    </x:row>
    <x:row r="235">
      <x:c r="A235" s="79" t="n">
        <x:v>237</x:v>
      </x:c>
      <x:c r="B235" s="79" t="str">
        <x:v>NS-0234-1</x:v>
      </x:c>
      <x:c r="C235" s="79" t="str">
        <x:v>شوید خشک</x:v>
      </x:c>
      <x:c r="D235" s="79" t="str">
        <x:v>شوید خشک</x:v>
      </x:c>
      <x:c r="E235" s="79" t="str">
        <x:v>single_237</x:v>
      </x:c>
      <x:c r="F235" s="79"/>
      <x:c r="G235" s="79" t="str">
        <x:v>canonical_group_row</x:v>
      </x:c>
      <x:c r="H235" s="79" t="str">
        <x:v>گیاهان دارویی</x:v>
      </x:c>
      <x:c r="I235" s="79" t="str">
        <x:v>6a3782d7df5573f4e676e243</x:v>
      </x:c>
      <x:c r="J235" s="79" t="str">
        <x:v>medicinal-plants</x:v>
      </x:c>
      <x:c r="K235" s="79" t="str">
        <x:v>EDIBLE</x:v>
      </x:c>
      <x:c r="L235" s="79" t="str">
        <x:v>بله</x:v>
      </x:c>
      <x:c r="M235" s="79" t="str">
        <x:v>OK</x:v>
      </x:c>
      <x:c r="N235" s="79" t="str">
        <x:v>دسته از «نیاز به بررسی» به «گیاهان دارویی» اصلاح شد</x:v>
      </x:c>
      <x:c r="O235" s="79" t="str">
        <x:v>بله</x:v>
      </x:c>
      <x:c r="P235" s="79" t="str">
        <x:v>نیاز به بررسی</x:v>
      </x:c>
      <x:c r="Q235" s="79"/>
      <x:c r="R235" s="79" t="str">
        <x:v>کیلو</x:v>
      </x:c>
      <x:c r="S235" s="79" t="n">
        <x:v>950000</x:v>
      </x:c>
      <x:c r="T235" s="79"/>
      <x:c r="U235" s="79"/>
    </x:row>
    <x:row r="236">
      <x:c r="A236" s="79" t="n">
        <x:v>238</x:v>
      </x:c>
      <x:c r="B236" s="79" t="str">
        <x:v>NS-0235-1</x:v>
      </x:c>
      <x:c r="C236" s="79" t="str">
        <x:v>شیرخشک قنادی</x:v>
      </x:c>
      <x:c r="D236" s="79" t="str">
        <x:v>شیرخشک قنادی</x:v>
      </x:c>
      <x:c r="E236" s="79" t="str">
        <x:v>single_238</x:v>
      </x:c>
      <x:c r="F236" s="79"/>
      <x:c r="G236" s="79" t="str">
        <x:v>canonical_group_row</x:v>
      </x:c>
      <x:c r="H236" s="79" t="str">
        <x:v>قنادی و شیرینی</x:v>
      </x:c>
      <x:c r="I236" s="79" t="str">
        <x:v>6a3a00000000000000000003</x:v>
      </x:c>
      <x:c r="J236" s="79" t="str">
        <x:v>confectionery</x:v>
      </x:c>
      <x:c r="K236" s="79" t="str">
        <x:v>EDIBLE</x:v>
      </x:c>
      <x:c r="L236" s="79" t="str">
        <x:v>بله</x:v>
      </x:c>
      <x:c r="M236" s="79" t="str">
        <x:v>OK</x:v>
      </x:c>
      <x:c r="N236" s="79" t="str">
        <x:v>دسته از «نیاز به بررسی» به «قنادی و شیرینی» اصلاح شد</x:v>
      </x:c>
      <x:c r="O236" s="79" t="str">
        <x:v>بله</x:v>
      </x:c>
      <x:c r="P236" s="79" t="str">
        <x:v>نیاز به بررسی</x:v>
      </x:c>
      <x:c r="Q236" s="79"/>
      <x:c r="R236" s="79" t="str">
        <x:v>کیلو</x:v>
      </x:c>
      <x:c r="S236" s="79" t="n">
        <x:v>980000</x:v>
      </x:c>
      <x:c r="T236" s="79"/>
      <x:c r="U236" s="79"/>
    </x:row>
    <x:row r="237">
      <x:c r="A237" s="79" t="n">
        <x:v>239</x:v>
      </x:c>
      <x:c r="B237" s="79" t="str">
        <x:v>NS-0236-1</x:v>
      </x:c>
      <x:c r="C237" s="79" t="str">
        <x:v>شیره 3 شیره</x:v>
      </x:c>
      <x:c r="D237" s="79" t="str">
        <x:v>شیره 3 شیره</x:v>
      </x:c>
      <x:c r="E237" s="79" t="str">
        <x:v>single_239</x:v>
      </x:c>
      <x:c r="F237" s="79"/>
      <x:c r="G237" s="79" t="str">
        <x:v>canonical_group_row</x:v>
      </x:c>
      <x:c r="H237" s="79" t="str">
        <x:v>نوشیدنی‌ها</x:v>
      </x:c>
      <x:c r="I237" s="79" t="str">
        <x:v>6a3782ffdf5573f4e676e24b</x:v>
      </x:c>
      <x:c r="J237" s="79" t="str">
        <x:v>syrup</x:v>
      </x:c>
      <x:c r="K237" s="79" t="str">
        <x:v>EDIBLE</x:v>
      </x:c>
      <x:c r="L237" s="79" t="str">
        <x:v>بله</x:v>
      </x:c>
      <x:c r="M237" s="79" t="str">
        <x:v>OK</x:v>
      </x:c>
      <x:c r="N237" s="79" t="str">
        <x:v>دسته از «نیاز به بررسی» به «نوشیدنی‌ها» اصلاح شد</x:v>
      </x:c>
      <x:c r="O237" s="79" t="str">
        <x:v>بله</x:v>
      </x:c>
      <x:c r="P237" s="79" t="str">
        <x:v>نیاز به بررسی</x:v>
      </x:c>
      <x:c r="Q237" s="79"/>
      <x:c r="R237" s="79" t="str">
        <x:v>500 گرمی</x:v>
      </x:c>
      <x:c r="S237" s="79" t="n">
        <x:v>230000</x:v>
      </x:c>
      <x:c r="T237" s="79"/>
      <x:c r="U237" s="79"/>
    </x:row>
    <x:row r="238">
      <x:c r="A238" s="79" t="n">
        <x:v>240</x:v>
      </x:c>
      <x:c r="B238" s="79" t="str">
        <x:v>NS-0237-1</x:v>
      </x:c>
      <x:c r="C238" s="79" t="str">
        <x:v>شیره 4 شیره</x:v>
      </x:c>
      <x:c r="D238" s="79" t="str">
        <x:v>شیره 4 شیره</x:v>
      </x:c>
      <x:c r="E238" s="79" t="str">
        <x:v>single_240</x:v>
      </x:c>
      <x:c r="F238" s="79"/>
      <x:c r="G238" s="79" t="str">
        <x:v>canonical_group_row</x:v>
      </x:c>
      <x:c r="H238" s="79" t="str">
        <x:v>نوشیدنی‌ها</x:v>
      </x:c>
      <x:c r="I238" s="79" t="str">
        <x:v>6a3782ffdf5573f4e676e24b</x:v>
      </x:c>
      <x:c r="J238" s="79" t="str">
        <x:v>syrup</x:v>
      </x:c>
      <x:c r="K238" s="79" t="str">
        <x:v>EDIBLE</x:v>
      </x:c>
      <x:c r="L238" s="79" t="str">
        <x:v>بله</x:v>
      </x:c>
      <x:c r="M238" s="79" t="str">
        <x:v>OK</x:v>
      </x:c>
      <x:c r="N238" s="79" t="str">
        <x:v>دسته از «نیاز به بررسی» به «نوشیدنی‌ها» اصلاح شد</x:v>
      </x:c>
      <x:c r="O238" s="79" t="str">
        <x:v>بله</x:v>
      </x:c>
      <x:c r="P238" s="79" t="str">
        <x:v>نیاز به بررسی</x:v>
      </x:c>
      <x:c r="Q238" s="79"/>
      <x:c r="R238" s="79" t="str">
        <x:v>500 گرمی</x:v>
      </x:c>
      <x:c r="S238" s="79" t="n">
        <x:v>230000</x:v>
      </x:c>
      <x:c r="T238" s="79"/>
      <x:c r="U238" s="79"/>
    </x:row>
    <x:row r="239">
      <x:c r="A239" s="79" t="n">
        <x:v>241</x:v>
      </x:c>
      <x:c r="B239" s="79" t="str">
        <x:v>NS-0238-1</x:v>
      </x:c>
      <x:c r="C239" s="79" t="str">
        <x:v>شیره انجیر</x:v>
      </x:c>
      <x:c r="D239" s="79" t="str">
        <x:v>شیره انجیر</x:v>
      </x:c>
      <x:c r="E239" s="79" t="str">
        <x:v>single_241</x:v>
      </x:c>
      <x:c r="F239" s="79"/>
      <x:c r="G239" s="79" t="str">
        <x:v>canonical_group_row</x:v>
      </x:c>
      <x:c r="H239" s="79" t="str">
        <x:v>خشکبار و آجیل</x:v>
      </x:c>
      <x:c r="I239" s="79" t="str">
        <x:v>6a37810ddf5573f4e676e201</x:v>
      </x:c>
      <x:c r="J239" s="79" t="str">
        <x:v>dried-fruits-nuts</x:v>
      </x:c>
      <x:c r="K239" s="79" t="str">
        <x:v>EDIBLE</x:v>
      </x:c>
      <x:c r="L239" s="79" t="str">
        <x:v>بله</x:v>
      </x:c>
      <x:c r="M239" s="79" t="str">
        <x:v>OK</x:v>
      </x:c>
      <x:c r="N239" s="79"/>
      <x:c r="O239" s="79" t="str">
        <x:v>بله</x:v>
      </x:c>
      <x:c r="P239" s="79" t="str">
        <x:v>خشکبار و آجیل</x:v>
      </x:c>
      <x:c r="Q239" s="79" t="str">
        <x:v>6a37810ddf5573f4e676e201</x:v>
      </x:c>
      <x:c r="R239" s="79" t="str">
        <x:v>500 گرمی</x:v>
      </x:c>
      <x:c r="S239" s="79" t="n">
        <x:v>230000</x:v>
      </x:c>
      <x:c r="T239" s="79"/>
      <x:c r="U239" s="79"/>
    </x:row>
    <x:row r="240">
      <x:c r="A240" s="79" t="n">
        <x:v>242</x:v>
      </x:c>
      <x:c r="B240" s="79" t="str">
        <x:v>NS-0239-1</x:v>
      </x:c>
      <x:c r="C240" s="79" t="str">
        <x:v>شیره انگور</x:v>
      </x:c>
      <x:c r="D240" s="79" t="str">
        <x:v>شیره انگور</x:v>
      </x:c>
      <x:c r="E240" s="79" t="str">
        <x:v>single_242</x:v>
      </x:c>
      <x:c r="F240" s="79"/>
      <x:c r="G240" s="79" t="str">
        <x:v>canonical_group_row</x:v>
      </x:c>
      <x:c r="H240" s="79" t="str">
        <x:v>نوشیدنی‌ها</x:v>
      </x:c>
      <x:c r="I240" s="79" t="str">
        <x:v>6a3782ffdf5573f4e676e24b</x:v>
      </x:c>
      <x:c r="J240" s="79" t="str">
        <x:v>syrup</x:v>
      </x:c>
      <x:c r="K240" s="79" t="str">
        <x:v>EDIBLE</x:v>
      </x:c>
      <x:c r="L240" s="79" t="str">
        <x:v>بله</x:v>
      </x:c>
      <x:c r="M240" s="79" t="str">
        <x:v>OK</x:v>
      </x:c>
      <x:c r="N240" s="79" t="str">
        <x:v>دسته از «نیاز به بررسی» به «نوشیدنی‌ها» اصلاح شد</x:v>
      </x:c>
      <x:c r="O240" s="79" t="str">
        <x:v>بله</x:v>
      </x:c>
      <x:c r="P240" s="79" t="str">
        <x:v>نیاز به بررسی</x:v>
      </x:c>
      <x:c r="Q240" s="79"/>
      <x:c r="R240" s="79" t="str">
        <x:v>500 گرمی</x:v>
      </x:c>
      <x:c r="S240" s="79" t="n">
        <x:v>230000</x:v>
      </x:c>
      <x:c r="T240" s="79"/>
      <x:c r="U240" s="79"/>
    </x:row>
    <x:row r="241">
      <x:c r="A241" s="79" t="n">
        <x:v>243</x:v>
      </x:c>
      <x:c r="B241" s="79" t="str">
        <x:v>NS-0240-1</x:v>
      </x:c>
      <x:c r="C241" s="79" t="str">
        <x:v>شیره توت</x:v>
      </x:c>
      <x:c r="D241" s="79" t="str">
        <x:v>شیره توت</x:v>
      </x:c>
      <x:c r="E241" s="79" t="str">
        <x:v>single_243</x:v>
      </x:c>
      <x:c r="F241" s="79"/>
      <x:c r="G241" s="79" t="str">
        <x:v>canonical_group_row</x:v>
      </x:c>
      <x:c r="H241" s="79" t="str">
        <x:v>نوشیدنی‌ها</x:v>
      </x:c>
      <x:c r="I241" s="79" t="str">
        <x:v>6a3782ffdf5573f4e676e24b</x:v>
      </x:c>
      <x:c r="J241" s="79" t="str">
        <x:v>syrup</x:v>
      </x:c>
      <x:c r="K241" s="79" t="str">
        <x:v>EDIBLE</x:v>
      </x:c>
      <x:c r="L241" s="79" t="str">
        <x:v>بله</x:v>
      </x:c>
      <x:c r="M241" s="79" t="str">
        <x:v>OK</x:v>
      </x:c>
      <x:c r="N241" s="79" t="str">
        <x:v>دسته از «نیاز به بررسی» به «نوشیدنی‌ها» اصلاح شد</x:v>
      </x:c>
      <x:c r="O241" s="79" t="str">
        <x:v>بله</x:v>
      </x:c>
      <x:c r="P241" s="79" t="str">
        <x:v>نیاز به بررسی</x:v>
      </x:c>
      <x:c r="Q241" s="79"/>
      <x:c r="R241" s="79" t="str">
        <x:v>500 گرمی</x:v>
      </x:c>
      <x:c r="S241" s="79" t="n">
        <x:v>230000</x:v>
      </x:c>
      <x:c r="T241" s="79"/>
      <x:c r="U241" s="79"/>
    </x:row>
    <x:row r="242">
      <x:c r="A242" s="79" t="n">
        <x:v>244</x:v>
      </x:c>
      <x:c r="B242" s="79" t="str">
        <x:v>NS-0241-1</x:v>
      </x:c>
      <x:c r="C242" s="79" t="str">
        <x:v>شیره خرما</x:v>
      </x:c>
      <x:c r="D242" s="79" t="str">
        <x:v>شیره خرما</x:v>
      </x:c>
      <x:c r="E242" s="79" t="str">
        <x:v>single_244</x:v>
      </x:c>
      <x:c r="F242" s="79"/>
      <x:c r="G242" s="79" t="str">
        <x:v>canonical_group_row</x:v>
      </x:c>
      <x:c r="H242" s="79" t="str">
        <x:v>قنادی و شیرینی</x:v>
      </x:c>
      <x:c r="I242" s="79" t="str">
        <x:v>6a3a00000000000000000003</x:v>
      </x:c>
      <x:c r="J242" s="79" t="str">
        <x:v>confectionery</x:v>
      </x:c>
      <x:c r="K242" s="79" t="str">
        <x:v>EDIBLE</x:v>
      </x:c>
      <x:c r="L242" s="79" t="str">
        <x:v>بله</x:v>
      </x:c>
      <x:c r="M242" s="79" t="str">
        <x:v>OK</x:v>
      </x:c>
      <x:c r="N242" s="79"/>
      <x:c r="O242" s="79" t="str">
        <x:v>بله</x:v>
      </x:c>
      <x:c r="P242" s="79" t="str">
        <x:v>قنادی و شیرینی</x:v>
      </x:c>
      <x:c r="Q242" s="79" t="str">
        <x:v>6a3a00000000000000000003</x:v>
      </x:c>
      <x:c r="R242" s="79" t="str">
        <x:v>500 گرمی</x:v>
      </x:c>
      <x:c r="S242" s="79" t="n">
        <x:v>220000</x:v>
      </x:c>
      <x:c r="T242" s="79"/>
      <x:c r="U242" s="79"/>
    </x:row>
    <x:row r="243">
      <x:c r="A243" s="79" t="n">
        <x:v>245</x:v>
      </x:c>
      <x:c r="B243" s="79" t="str">
        <x:v>NS-0242-1</x:v>
      </x:c>
      <x:c r="C243" s="79" t="str">
        <x:v>شیره سفید</x:v>
      </x:c>
      <x:c r="D243" s="79" t="str">
        <x:v>شیره سفید</x:v>
      </x:c>
      <x:c r="E243" s="79" t="str">
        <x:v>single_245</x:v>
      </x:c>
      <x:c r="F243" s="79"/>
      <x:c r="G243" s="79" t="str">
        <x:v>canonical_group_row</x:v>
      </x:c>
      <x:c r="H243" s="79" t="str">
        <x:v>نوشیدنی‌ها</x:v>
      </x:c>
      <x:c r="I243" s="79" t="str">
        <x:v>6a3782ffdf5573f4e676e24b</x:v>
      </x:c>
      <x:c r="J243" s="79" t="str">
        <x:v>syrup</x:v>
      </x:c>
      <x:c r="K243" s="79" t="str">
        <x:v>EDIBLE</x:v>
      </x:c>
      <x:c r="L243" s="79" t="str">
        <x:v>بله</x:v>
      </x:c>
      <x:c r="M243" s="79" t="str">
        <x:v>OK</x:v>
      </x:c>
      <x:c r="N243" s="79" t="str">
        <x:v>دسته از «نیاز به بررسی» به «نوشیدنی‌ها» اصلاح شد</x:v>
      </x:c>
      <x:c r="O243" s="79" t="str">
        <x:v>بله</x:v>
      </x:c>
      <x:c r="P243" s="79" t="str">
        <x:v>نیاز به بررسی</x:v>
      </x:c>
      <x:c r="Q243" s="79"/>
      <x:c r="R243" s="79" t="str">
        <x:v>500 گرمی</x:v>
      </x:c>
      <x:c r="S243" s="79" t="n">
        <x:v>340000</x:v>
      </x:c>
      <x:c r="T243" s="79" t="str">
        <x:v>1 کیلو</x:v>
      </x:c>
      <x:c r="U243" s="79" t="n">
        <x:v>670000</x:v>
      </x:c>
    </x:row>
    <x:row r="244">
      <x:c r="A244" s="79" t="n">
        <x:v>246</x:v>
      </x:c>
      <x:c r="B244" s="79" t="str">
        <x:v>NS-0243-1</x:v>
      </x:c>
      <x:c r="C244" s="79" t="str">
        <x:v>شیره سیب</x:v>
      </x:c>
      <x:c r="D244" s="79" t="str">
        <x:v>شیره سیب</x:v>
      </x:c>
      <x:c r="E244" s="79" t="str">
        <x:v>single_246</x:v>
      </x:c>
      <x:c r="F244" s="79"/>
      <x:c r="G244" s="79" t="str">
        <x:v>canonical_group_row</x:v>
      </x:c>
      <x:c r="H244" s="79" t="str">
        <x:v>نوشیدنی‌ها</x:v>
      </x:c>
      <x:c r="I244" s="79" t="str">
        <x:v>6a3782ffdf5573f4e676e24b</x:v>
      </x:c>
      <x:c r="J244" s="79" t="str">
        <x:v>syrup</x:v>
      </x:c>
      <x:c r="K244" s="79" t="str">
        <x:v>EDIBLE</x:v>
      </x:c>
      <x:c r="L244" s="79" t="str">
        <x:v>بله</x:v>
      </x:c>
      <x:c r="M244" s="79" t="str">
        <x:v>OK</x:v>
      </x:c>
      <x:c r="N244" s="79" t="str">
        <x:v>دسته از «نیاز به بررسی» به «نوشیدنی‌ها» اصلاح شد</x:v>
      </x:c>
      <x:c r="O244" s="79" t="str">
        <x:v>بله</x:v>
      </x:c>
      <x:c r="P244" s="79" t="str">
        <x:v>نیاز به بررسی</x:v>
      </x:c>
      <x:c r="Q244" s="79"/>
      <x:c r="R244" s="79" t="str">
        <x:v>500 گرمی</x:v>
      </x:c>
      <x:c r="S244" s="79" t="n">
        <x:v>300000</x:v>
      </x:c>
      <x:c r="T244" s="79"/>
      <x:c r="U244" s="79"/>
    </x:row>
    <x:row r="245">
      <x:c r="A245" s="79" t="n">
        <x:v>247</x:v>
      </x:c>
      <x:c r="B245" s="79" t="str">
        <x:v>NS-0244-1</x:v>
      </x:c>
      <x:c r="C245" s="79" t="str">
        <x:v>شیره شیرین بیان</x:v>
      </x:c>
      <x:c r="D245" s="79" t="str">
        <x:v>شیره شیرین بیان</x:v>
      </x:c>
      <x:c r="E245" s="79" t="str">
        <x:v>single_247</x:v>
      </x:c>
      <x:c r="F245" s="79"/>
      <x:c r="G245" s="79" t="str">
        <x:v>canonical_group_row</x:v>
      </x:c>
      <x:c r="H245" s="79" t="str">
        <x:v>گیاهان دارویی</x:v>
      </x:c>
      <x:c r="I245" s="79" t="str">
        <x:v>6a3782d7df5573f4e676e243</x:v>
      </x:c>
      <x:c r="J245" s="79" t="str">
        <x:v>medicinal-plants</x:v>
      </x:c>
      <x:c r="K245" s="79" t="str">
        <x:v>EDIBLE</x:v>
      </x:c>
      <x:c r="L245" s="79" t="str">
        <x:v>بله</x:v>
      </x:c>
      <x:c r="M245" s="79" t="str">
        <x:v>OK</x:v>
      </x:c>
      <x:c r="N245" s="79"/>
      <x:c r="O245" s="79" t="str">
        <x:v>بله</x:v>
      </x:c>
      <x:c r="P245" s="79" t="str">
        <x:v>گیاهان دارویی</x:v>
      </x:c>
      <x:c r="Q245" s="79" t="str">
        <x:v>6a3782d7df5573f4e676e243</x:v>
      </x:c>
      <x:c r="R245" s="79" t="str">
        <x:v>کیلو</x:v>
      </x:c>
      <x:c r="S245" s="79" t="n">
        <x:v>1800000</x:v>
      </x:c>
      <x:c r="T245" s="79"/>
      <x:c r="U245" s="79"/>
    </x:row>
    <x:row r="246">
      <x:c r="A246" s="79" t="n">
        <x:v>248</x:v>
      </x:c>
      <x:c r="B246" s="79" t="str">
        <x:v>NS-0245-1</x:v>
      </x:c>
      <x:c r="C246" s="79" t="str">
        <x:v>شیرین بیان چوب</x:v>
      </x:c>
      <x:c r="D246" s="79" t="str">
        <x:v>شیرین بیان چوب</x:v>
      </x:c>
      <x:c r="E246" s="79" t="str">
        <x:v>single_248</x:v>
      </x:c>
      <x:c r="F246" s="79"/>
      <x:c r="G246" s="79" t="str">
        <x:v>canonical_group_row</x:v>
      </x:c>
      <x:c r="H246" s="79" t="str">
        <x:v>گیاهان دارویی</x:v>
      </x:c>
      <x:c r="I246" s="79" t="str">
        <x:v>6a3782d7df5573f4e676e243</x:v>
      </x:c>
      <x:c r="J246" s="79" t="str">
        <x:v>medicinal-plants</x:v>
      </x:c>
      <x:c r="K246" s="79" t="str">
        <x:v>EDIBLE</x:v>
      </x:c>
      <x:c r="L246" s="79" t="str">
        <x:v>بله</x:v>
      </x:c>
      <x:c r="M246" s="79" t="str">
        <x:v>OK</x:v>
      </x:c>
      <x:c r="N246" s="79"/>
      <x:c r="O246" s="79" t="str">
        <x:v>بله</x:v>
      </x:c>
      <x:c r="P246" s="79" t="str">
        <x:v>گیاهان دارویی</x:v>
      </x:c>
      <x:c r="Q246" s="79" t="str">
        <x:v>6a3782d7df5573f4e676e243</x:v>
      </x:c>
      <x:c r="R246" s="79" t="str">
        <x:v>کیلو</x:v>
      </x:c>
      <x:c r="S246" s="79" t="n">
        <x:v>600000</x:v>
      </x:c>
      <x:c r="T246" s="79"/>
      <x:c r="U246" s="79"/>
    </x:row>
    <x:row r="247">
      <x:c r="A247" s="79" t="n">
        <x:v>249</x:v>
      </x:c>
      <x:c r="B247" s="79" t="str">
        <x:v>NS-0246-1</x:v>
      </x:c>
      <x:c r="C247" s="79" t="str">
        <x:v>صابون 7 گیاه</x:v>
      </x:c>
      <x:c r="D247" s="79" t="str">
        <x:v>صابون 7 گیاه</x:v>
      </x:c>
      <x:c r="E247" s="79" t="str">
        <x:v>single_249</x:v>
      </x:c>
      <x:c r="F247" s="79"/>
      <x:c r="G247" s="79" t="str">
        <x:v>canonical_group_row</x:v>
      </x:c>
      <x:c r="H247" s="79" t="str">
        <x:v>گیاهان دارویی</x:v>
      </x:c>
      <x:c r="I247" s="79" t="str">
        <x:v>6a3782d7df5573f4e676e243</x:v>
      </x:c>
      <x:c r="J247" s="79" t="str">
        <x:v>medicinal-plants</x:v>
      </x:c>
      <x:c r="K247" s="79" t="str">
        <x:v>TOPICAL</x:v>
      </x:c>
      <x:c r="L247" s="79" t="str">
        <x:v>خیر</x:v>
      </x:c>
      <x:c r="M247" s="79" t="str">
        <x:v>OK</x:v>
      </x:c>
      <x:c r="N247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47" s="79" t="str">
        <x:v>بله</x:v>
      </x:c>
      <x:c r="P247" s="79" t="str">
        <x:v>نیاز به بررسی</x:v>
      </x:c>
      <x:c r="Q247" s="79"/>
      <x:c r="R247" s="79" t="str">
        <x:v>کیلو</x:v>
      </x:c>
      <x:c r="S247" s="79" t="n">
        <x:v>120000</x:v>
      </x:c>
      <x:c r="T247" s="79"/>
      <x:c r="U247" s="79"/>
    </x:row>
    <x:row r="248">
      <x:c r="A248" s="79" t="n">
        <x:v>250</x:v>
      </x:c>
      <x:c r="B248" s="79" t="str">
        <x:v>NS-0247-1</x:v>
      </x:c>
      <x:c r="C248" s="79" t="str">
        <x:v>صابون انار</x:v>
      </x:c>
      <x:c r="D248" s="79" t="str">
        <x:v>صابون انار</x:v>
      </x:c>
      <x:c r="E248" s="79" t="str">
        <x:v>single_250</x:v>
      </x:c>
      <x:c r="F248" s="79"/>
      <x:c r="G248" s="79" t="str">
        <x:v>canonical_group_row</x:v>
      </x:c>
      <x:c r="H248" s="79" t="str">
        <x:v>گیاهان دارویی</x:v>
      </x:c>
      <x:c r="I248" s="79" t="str">
        <x:v>6a3782d7df5573f4e676e243</x:v>
      </x:c>
      <x:c r="J248" s="79" t="str">
        <x:v>medicinal-plants</x:v>
      </x:c>
      <x:c r="K248" s="79" t="str">
        <x:v>TOPICAL</x:v>
      </x:c>
      <x:c r="L248" s="79" t="str">
        <x:v>خیر</x:v>
      </x:c>
      <x:c r="M248" s="79" t="str">
        <x:v>OK</x:v>
      </x:c>
      <x:c r="N24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48" s="79" t="str">
        <x:v>بله</x:v>
      </x:c>
      <x:c r="P248" s="79" t="str">
        <x:v>نیاز به بررسی</x:v>
      </x:c>
      <x:c r="Q248" s="79"/>
      <x:c r="R248" s="79" t="str">
        <x:v>کیلو</x:v>
      </x:c>
      <x:c r="S248" s="79" t="n">
        <x:v>120000</x:v>
      </x:c>
      <x:c r="T248" s="79"/>
      <x:c r="U248" s="79"/>
    </x:row>
    <x:row r="249">
      <x:c r="A249" s="79" t="n">
        <x:v>251</x:v>
      </x:c>
      <x:c r="B249" s="79" t="str">
        <x:v>NS-0248-1</x:v>
      </x:c>
      <x:c r="C249" s="79" t="str">
        <x:v>صابون انگور</x:v>
      </x:c>
      <x:c r="D249" s="79" t="str">
        <x:v>صابون انگور</x:v>
      </x:c>
      <x:c r="E249" s="79" t="str">
        <x:v>single_251</x:v>
      </x:c>
      <x:c r="F249" s="79"/>
      <x:c r="G249" s="79" t="str">
        <x:v>canonical_group_row</x:v>
      </x:c>
      <x:c r="H249" s="79" t="str">
        <x:v>گیاهان دارویی</x:v>
      </x:c>
      <x:c r="I249" s="79" t="str">
        <x:v>6a3782d7df5573f4e676e243</x:v>
      </x:c>
      <x:c r="J249" s="79" t="str">
        <x:v>medicinal-plants</x:v>
      </x:c>
      <x:c r="K249" s="79" t="str">
        <x:v>TOPICAL</x:v>
      </x:c>
      <x:c r="L249" s="79" t="str">
        <x:v>خیر</x:v>
      </x:c>
      <x:c r="M249" s="79" t="str">
        <x:v>OK</x:v>
      </x:c>
      <x:c r="N24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49" s="79" t="str">
        <x:v>بله</x:v>
      </x:c>
      <x:c r="P249" s="79" t="str">
        <x:v>نیاز به بررسی</x:v>
      </x:c>
      <x:c r="Q249" s="79"/>
      <x:c r="R249" s="79" t="str">
        <x:v>کیلو</x:v>
      </x:c>
      <x:c r="S249" s="79" t="n">
        <x:v>120000</x:v>
      </x:c>
      <x:c r="T249" s="79"/>
      <x:c r="U249" s="79"/>
    </x:row>
    <x:row r="250">
      <x:c r="A250" s="79" t="n">
        <x:v>252</x:v>
      </x:c>
      <x:c r="B250" s="79" t="str">
        <x:v>NS-0249-1</x:v>
      </x:c>
      <x:c r="C250" s="79" t="str">
        <x:v>صابون آرگان</x:v>
      </x:c>
      <x:c r="D250" s="79" t="str">
        <x:v>صابون آرگان</x:v>
      </x:c>
      <x:c r="E250" s="79" t="str">
        <x:v>single_252</x:v>
      </x:c>
      <x:c r="F250" s="79"/>
      <x:c r="G250" s="79" t="str">
        <x:v>canonical_group_row</x:v>
      </x:c>
      <x:c r="H250" s="79" t="str">
        <x:v>گیاهان دارویی</x:v>
      </x:c>
      <x:c r="I250" s="79" t="str">
        <x:v>6a3782d7df5573f4e676e243</x:v>
      </x:c>
      <x:c r="J250" s="79" t="str">
        <x:v>medicinal-plants</x:v>
      </x:c>
      <x:c r="K250" s="79" t="str">
        <x:v>TOPICAL</x:v>
      </x:c>
      <x:c r="L250" s="79" t="str">
        <x:v>خیر</x:v>
      </x:c>
      <x:c r="M250" s="79" t="str">
        <x:v>OK</x:v>
      </x:c>
      <x:c r="N25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50" s="79" t="str">
        <x:v>بله</x:v>
      </x:c>
      <x:c r="P250" s="79" t="str">
        <x:v>نیاز به بررسی</x:v>
      </x:c>
      <x:c r="Q250" s="79"/>
      <x:c r="R250" s="79" t="str">
        <x:v>کیلو</x:v>
      </x:c>
      <x:c r="S250" s="79" t="n">
        <x:v>180000</x:v>
      </x:c>
      <x:c r="T250" s="79"/>
      <x:c r="U250" s="79"/>
    </x:row>
    <x:row r="251">
      <x:c r="A251" s="79" t="n">
        <x:v>253</x:v>
      </x:c>
      <x:c r="B251" s="79" t="str">
        <x:v>NS-0250-1</x:v>
      </x:c>
      <x:c r="C251" s="79" t="str">
        <x:v>صابون آلبالو</x:v>
      </x:c>
      <x:c r="D251" s="79" t="str">
        <x:v>صابون آلبالو</x:v>
      </x:c>
      <x:c r="E251" s="79" t="str">
        <x:v>single_253</x:v>
      </x:c>
      <x:c r="F251" s="79"/>
      <x:c r="G251" s="79" t="str">
        <x:v>canonical_group_row</x:v>
      </x:c>
      <x:c r="H251" s="79" t="str">
        <x:v>گیاهان دارویی</x:v>
      </x:c>
      <x:c r="I251" s="79" t="str">
        <x:v>6a3782d7df5573f4e676e243</x:v>
      </x:c>
      <x:c r="J251" s="79" t="str">
        <x:v>medicinal-plants</x:v>
      </x:c>
      <x:c r="K251" s="79" t="str">
        <x:v>TOPICAL</x:v>
      </x:c>
      <x:c r="L251" s="79" t="str">
        <x:v>خیر</x:v>
      </x:c>
      <x:c r="M251" s="79" t="str">
        <x:v>OK</x:v>
      </x:c>
      <x:c r="N251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51" s="79" t="str">
        <x:v>بله</x:v>
      </x:c>
      <x:c r="P251" s="79" t="str">
        <x:v>نیاز به بررسی</x:v>
      </x:c>
      <x:c r="Q251" s="79"/>
      <x:c r="R251" s="79" t="str">
        <x:v>کیلو</x:v>
      </x:c>
      <x:c r="S251" s="79" t="n">
        <x:v>120000</x:v>
      </x:c>
      <x:c r="T251" s="79"/>
      <x:c r="U251" s="79"/>
    </x:row>
    <x:row r="252">
      <x:c r="A252" s="79" t="n">
        <x:v>254</x:v>
      </x:c>
      <x:c r="B252" s="79" t="str">
        <x:v>NS-0251-1</x:v>
      </x:c>
      <x:c r="C252" s="79" t="str">
        <x:v>صابون تریاک</x:v>
      </x:c>
      <x:c r="D252" s="79" t="str">
        <x:v>صابون تریاک</x:v>
      </x:c>
      <x:c r="E252" s="79" t="str">
        <x:v>single_254</x:v>
      </x:c>
      <x:c r="F252" s="79"/>
      <x:c r="G252" s="79" t="str">
        <x:v>canonical_group_row</x:v>
      </x:c>
      <x:c r="H252" s="79" t="str">
        <x:v>گیاهان دارویی</x:v>
      </x:c>
      <x:c r="I252" s="79" t="str">
        <x:v>6a3782d7df5573f4e676e243</x:v>
      </x:c>
      <x:c r="J252" s="79" t="str">
        <x:v>medicinal-plants</x:v>
      </x:c>
      <x:c r="K252" s="79" t="str">
        <x:v>TOPICAL</x:v>
      </x:c>
      <x:c r="L252" s="79" t="str">
        <x:v>خیر</x:v>
      </x:c>
      <x:c r="M252" s="79" t="str">
        <x:v>OK</x:v>
      </x:c>
      <x:c r="N25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52" s="79" t="str">
        <x:v>بله</x:v>
      </x:c>
      <x:c r="P252" s="79" t="str">
        <x:v>نیاز به بررسی</x:v>
      </x:c>
      <x:c r="Q252" s="79"/>
      <x:c r="R252" s="79" t="str">
        <x:v>کیلو</x:v>
      </x:c>
      <x:c r="S252" s="79" t="n">
        <x:v>250000</x:v>
      </x:c>
      <x:c r="T252" s="79"/>
      <x:c r="U252" s="79"/>
    </x:row>
    <x:row r="253">
      <x:c r="A253" s="79" t="n">
        <x:v>255</x:v>
      </x:c>
      <x:c r="B253" s="79"/>
      <x:c r="C253" s="79" t="str">
        <x:v>صابون درخت چای</x:v>
      </x:c>
      <x:c r="D253" s="79" t="str">
        <x:v>صابون درخت چای</x:v>
      </x:c>
      <x:c r="E253" s="79" t="str">
        <x:v>single_255</x:v>
      </x:c>
      <x:c r="F253" s="79"/>
      <x:c r="G253" s="79" t="str">
        <x:v>canonical_group_row</x:v>
      </x:c>
      <x:c r="H253" s="79" t="str">
        <x:v>گیاهان دارویی</x:v>
      </x:c>
      <x:c r="I253" s="79" t="str">
        <x:v>6a3782d7df5573f4e676e243</x:v>
      </x:c>
      <x:c r="J253" s="79" t="str">
        <x:v>medicinal-plants</x:v>
      </x:c>
      <x:c r="K253" s="79" t="str">
        <x:v>TOPICAL</x:v>
      </x:c>
      <x:c r="L253" s="79" t="str">
        <x:v>خیر</x:v>
      </x:c>
      <x:c r="M253" s="79" t="str">
        <x:v>OK</x:v>
      </x:c>
      <x:c r="N25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53" s="79" t="str">
        <x:v>خیر</x:v>
      </x:c>
      <x:c r="P253" s="79" t="str">
        <x:v>نیاز به بررسی</x:v>
      </x:c>
      <x:c r="Q253" s="79"/>
      <x:c r="R253" s="79" t="str">
        <x:v>کیلو</x:v>
      </x:c>
      <x:c r="S253" s="79" t="n">
        <x:v>120000</x:v>
      </x:c>
      <x:c r="T253" s="79"/>
      <x:c r="U253" s="79"/>
    </x:row>
    <x:row r="254">
      <x:c r="A254" s="79" t="n">
        <x:v>256</x:v>
      </x:c>
      <x:c r="B254" s="79" t="str">
        <x:v>NS-0253-1</x:v>
      </x:c>
      <x:c r="C254" s="79" t="str">
        <x:v>صابون ذغال اکتیو</x:v>
      </x:c>
      <x:c r="D254" s="79" t="str">
        <x:v>صابون ذغال اکتیو</x:v>
      </x:c>
      <x:c r="E254" s="79" t="str">
        <x:v>single_256</x:v>
      </x:c>
      <x:c r="F254" s="79"/>
      <x:c r="G254" s="79" t="str">
        <x:v>canonical_group_row</x:v>
      </x:c>
      <x:c r="H254" s="79" t="str">
        <x:v>گیاهان دارویی</x:v>
      </x:c>
      <x:c r="I254" s="79" t="str">
        <x:v>6a3782d7df5573f4e676e243</x:v>
      </x:c>
      <x:c r="J254" s="79" t="str">
        <x:v>medicinal-plants</x:v>
      </x:c>
      <x:c r="K254" s="79" t="str">
        <x:v>TOPICAL</x:v>
      </x:c>
      <x:c r="L254" s="79" t="str">
        <x:v>خیر</x:v>
      </x:c>
      <x:c r="M254" s="79" t="str">
        <x:v>OK</x:v>
      </x:c>
      <x:c r="N254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54" s="79" t="str">
        <x:v>بله</x:v>
      </x:c>
      <x:c r="P254" s="79" t="str">
        <x:v>نیاز به بررسی</x:v>
      </x:c>
      <x:c r="Q254" s="79"/>
      <x:c r="R254" s="79" t="str">
        <x:v>کیلو</x:v>
      </x:c>
      <x:c r="S254" s="79" t="n">
        <x:v>120000</x:v>
      </x:c>
      <x:c r="T254" s="79"/>
      <x:c r="U254" s="79"/>
    </x:row>
    <x:row r="255">
      <x:c r="A255" s="79" t="n">
        <x:v>257</x:v>
      </x:c>
      <x:c r="B255" s="79" t="str">
        <x:v>NS-0254-1</x:v>
      </x:c>
      <x:c r="C255" s="79" t="str">
        <x:v>صابون زردآلو</x:v>
      </x:c>
      <x:c r="D255" s="79" t="str">
        <x:v>صابون زردآلو</x:v>
      </x:c>
      <x:c r="E255" s="79" t="str">
        <x:v>single_257</x:v>
      </x:c>
      <x:c r="F255" s="79"/>
      <x:c r="G255" s="79" t="str">
        <x:v>canonical_group_row</x:v>
      </x:c>
      <x:c r="H255" s="79" t="str">
        <x:v>گیاهان دارویی</x:v>
      </x:c>
      <x:c r="I255" s="79" t="str">
        <x:v>6a3782d7df5573f4e676e243</x:v>
      </x:c>
      <x:c r="J255" s="79" t="str">
        <x:v>medicinal-plants</x:v>
      </x:c>
      <x:c r="K255" s="79" t="str">
        <x:v>TOPICAL</x:v>
      </x:c>
      <x:c r="L255" s="79" t="str">
        <x:v>خیر</x:v>
      </x:c>
      <x:c r="M255" s="79" t="str">
        <x:v>OK</x:v>
      </x:c>
      <x:c r="N255" s="79" t="str">
        <x:v>دسته از «خشکبار و آجیل» به «گیاهان دارویی» اصلاح شد | نوع مصرف به موضعی/غیرخوراکی اصلاح شد</x:v>
      </x:c>
      <x:c r="O255" s="79" t="str">
        <x:v>بله</x:v>
      </x:c>
      <x:c r="P255" s="79" t="str">
        <x:v>خشکبار و آجیل</x:v>
      </x:c>
      <x:c r="Q255" s="79" t="str">
        <x:v>6a37810ddf5573f4e676e201</x:v>
      </x:c>
      <x:c r="R255" s="79" t="str">
        <x:v>کیلو</x:v>
      </x:c>
      <x:c r="S255" s="79" t="n">
        <x:v>120000</x:v>
      </x:c>
      <x:c r="T255" s="79"/>
      <x:c r="U255" s="79"/>
    </x:row>
    <x:row r="256">
      <x:c r="A256" s="79" t="n">
        <x:v>258</x:v>
      </x:c>
      <x:c r="B256" s="79" t="str">
        <x:v>NS-0255-1</x:v>
      </x:c>
      <x:c r="C256" s="79" t="str">
        <x:v>صابون زردچوبه</x:v>
      </x:c>
      <x:c r="D256" s="79" t="str">
        <x:v>صابون زردچوبه</x:v>
      </x:c>
      <x:c r="E256" s="79" t="str">
        <x:v>single_258</x:v>
      </x:c>
      <x:c r="F256" s="79"/>
      <x:c r="G256" s="79" t="str">
        <x:v>canonical_group_row</x:v>
      </x:c>
      <x:c r="H256" s="79" t="str">
        <x:v>گیاهان دارویی</x:v>
      </x:c>
      <x:c r="I256" s="79" t="str">
        <x:v>6a3782d7df5573f4e676e243</x:v>
      </x:c>
      <x:c r="J256" s="79" t="str">
        <x:v>medicinal-plants</x:v>
      </x:c>
      <x:c r="K256" s="79" t="str">
        <x:v>TOPICAL</x:v>
      </x:c>
      <x:c r="L256" s="79" t="str">
        <x:v>خیر</x:v>
      </x:c>
      <x:c r="M256" s="79" t="str">
        <x:v>OK</x:v>
      </x:c>
      <x:c r="N256" s="79" t="str">
        <x:v>دسته از «ادویه» به «گیاهان دارویی» اصلاح شد | نوع مصرف به موضعی/غیرخوراکی اصلاح شد</x:v>
      </x:c>
      <x:c r="O256" s="79" t="str">
        <x:v>بله</x:v>
      </x:c>
      <x:c r="P256" s="79" t="str">
        <x:v>ادویه</x:v>
      </x:c>
      <x:c r="Q256" s="79" t="str">
        <x:v>6a3781e4df5573f4e676e226</x:v>
      </x:c>
      <x:c r="R256" s="79" t="str">
        <x:v>کیلو</x:v>
      </x:c>
      <x:c r="S256" s="79" t="n">
        <x:v>120000</x:v>
      </x:c>
      <x:c r="T256" s="79"/>
      <x:c r="U256" s="79"/>
    </x:row>
    <x:row r="257">
      <x:c r="A257" s="79" t="n">
        <x:v>259</x:v>
      </x:c>
      <x:c r="B257" s="79" t="str">
        <x:v>NS-0256-1</x:v>
      </x:c>
      <x:c r="C257" s="79" t="str">
        <x:v>صابون زیتون</x:v>
      </x:c>
      <x:c r="D257" s="79" t="str">
        <x:v>صابون زیتون</x:v>
      </x:c>
      <x:c r="E257" s="79" t="str">
        <x:v>single_259</x:v>
      </x:c>
      <x:c r="F257" s="79"/>
      <x:c r="G257" s="79" t="str">
        <x:v>canonical_group_row</x:v>
      </x:c>
      <x:c r="H257" s="79" t="str">
        <x:v>گیاهان دارویی</x:v>
      </x:c>
      <x:c r="I257" s="79" t="str">
        <x:v>6a3782d7df5573f4e676e243</x:v>
      </x:c>
      <x:c r="J257" s="79" t="str">
        <x:v>medicinal-plants</x:v>
      </x:c>
      <x:c r="K257" s="79" t="str">
        <x:v>TOPICAL</x:v>
      </x:c>
      <x:c r="L257" s="79" t="str">
        <x:v>خیر</x:v>
      </x:c>
      <x:c r="M257" s="79" t="str">
        <x:v>OK</x:v>
      </x:c>
      <x:c r="N257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57" s="79" t="str">
        <x:v>بله</x:v>
      </x:c>
      <x:c r="P257" s="79" t="str">
        <x:v>نیاز به بررسی</x:v>
      </x:c>
      <x:c r="Q257" s="79"/>
      <x:c r="R257" s="79" t="str">
        <x:v>کیلو</x:v>
      </x:c>
      <x:c r="S257" s="79" t="n">
        <x:v>120000</x:v>
      </x:c>
      <x:c r="T257" s="79"/>
      <x:c r="U257" s="79"/>
    </x:row>
    <x:row r="258">
      <x:c r="A258" s="79" t="n">
        <x:v>260</x:v>
      </x:c>
      <x:c r="B258" s="79" t="str">
        <x:v>NS-0257-1</x:v>
      </x:c>
      <x:c r="C258" s="79" t="str">
        <x:v>صابون سفیداب</x:v>
      </x:c>
      <x:c r="D258" s="79" t="str">
        <x:v>صابون سفیداب</x:v>
      </x:c>
      <x:c r="E258" s="79" t="str">
        <x:v>single_260</x:v>
      </x:c>
      <x:c r="F258" s="79"/>
      <x:c r="G258" s="79" t="str">
        <x:v>canonical_group_row</x:v>
      </x:c>
      <x:c r="H258" s="79" t="str">
        <x:v>گیاهان دارویی</x:v>
      </x:c>
      <x:c r="I258" s="79" t="str">
        <x:v>6a3782d7df5573f4e676e243</x:v>
      </x:c>
      <x:c r="J258" s="79" t="str">
        <x:v>medicinal-plants</x:v>
      </x:c>
      <x:c r="K258" s="79" t="str">
        <x:v>TOPICAL</x:v>
      </x:c>
      <x:c r="L258" s="79" t="str">
        <x:v>خیر</x:v>
      </x:c>
      <x:c r="M258" s="79" t="str">
        <x:v>OK</x:v>
      </x:c>
      <x:c r="N25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58" s="79" t="str">
        <x:v>بله</x:v>
      </x:c>
      <x:c r="P258" s="79" t="str">
        <x:v>نیاز به بررسی</x:v>
      </x:c>
      <x:c r="Q258" s="79"/>
      <x:c r="R258" s="79" t="str">
        <x:v>کیلو</x:v>
      </x:c>
      <x:c r="S258" s="79" t="n">
        <x:v>90000</x:v>
      </x:c>
      <x:c r="T258" s="79"/>
      <x:c r="U258" s="79"/>
    </x:row>
    <x:row r="259">
      <x:c r="A259" s="79" t="n">
        <x:v>261</x:v>
      </x:c>
      <x:c r="B259" s="79" t="str">
        <x:v>NS-0258-1</x:v>
      </x:c>
      <x:c r="C259" s="79" t="str">
        <x:v>صابون سیاهدانه</x:v>
      </x:c>
      <x:c r="D259" s="79" t="str">
        <x:v>صابون سیاهدانه</x:v>
      </x:c>
      <x:c r="E259" s="79" t="str">
        <x:v>single_261</x:v>
      </x:c>
      <x:c r="F259" s="79"/>
      <x:c r="G259" s="79" t="str">
        <x:v>canonical_group_row</x:v>
      </x:c>
      <x:c r="H259" s="79" t="str">
        <x:v>گیاهان دارویی</x:v>
      </x:c>
      <x:c r="I259" s="79" t="str">
        <x:v>6a3782d7df5573f4e676e243</x:v>
      </x:c>
      <x:c r="J259" s="79" t="str">
        <x:v>medicinal-plants</x:v>
      </x:c>
      <x:c r="K259" s="79" t="str">
        <x:v>TOPICAL</x:v>
      </x:c>
      <x:c r="L259" s="79" t="str">
        <x:v>خیر</x:v>
      </x:c>
      <x:c r="M259" s="79" t="str">
        <x:v>OK</x:v>
      </x:c>
      <x:c r="N25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59" s="79" t="str">
        <x:v>بله</x:v>
      </x:c>
      <x:c r="P259" s="79" t="str">
        <x:v>نیاز به بررسی</x:v>
      </x:c>
      <x:c r="Q259" s="79"/>
      <x:c r="R259" s="79" t="str">
        <x:v>کیلو</x:v>
      </x:c>
      <x:c r="S259" s="79" t="n">
        <x:v>120000</x:v>
      </x:c>
      <x:c r="T259" s="79"/>
      <x:c r="U259" s="79"/>
    </x:row>
    <x:row r="260">
      <x:c r="A260" s="79" t="n">
        <x:v>262</x:v>
      </x:c>
      <x:c r="B260" s="79" t="str">
        <x:v>NS-0259-1</x:v>
      </x:c>
      <x:c r="C260" s="79" t="str">
        <x:v>صابون شیرالاغ</x:v>
      </x:c>
      <x:c r="D260" s="79" t="str">
        <x:v>صابون شیرالاغ</x:v>
      </x:c>
      <x:c r="E260" s="79" t="str">
        <x:v>single_262</x:v>
      </x:c>
      <x:c r="F260" s="79"/>
      <x:c r="G260" s="79" t="str">
        <x:v>canonical_group_row</x:v>
      </x:c>
      <x:c r="H260" s="79" t="str">
        <x:v>گیاهان دارویی</x:v>
      </x:c>
      <x:c r="I260" s="79" t="str">
        <x:v>6a3782d7df5573f4e676e243</x:v>
      </x:c>
      <x:c r="J260" s="79" t="str">
        <x:v>medicinal-plants</x:v>
      </x:c>
      <x:c r="K260" s="79" t="str">
        <x:v>TOPICAL</x:v>
      </x:c>
      <x:c r="L260" s="79" t="str">
        <x:v>خیر</x:v>
      </x:c>
      <x:c r="M260" s="79" t="str">
        <x:v>OK</x:v>
      </x:c>
      <x:c r="N26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60" s="79" t="str">
        <x:v>بله</x:v>
      </x:c>
      <x:c r="P260" s="79" t="str">
        <x:v>نیاز به بررسی</x:v>
      </x:c>
      <x:c r="Q260" s="79"/>
      <x:c r="R260" s="79" t="str">
        <x:v>کیلو</x:v>
      </x:c>
      <x:c r="S260" s="79" t="n">
        <x:v>180000</x:v>
      </x:c>
      <x:c r="T260" s="79"/>
      <x:c r="U260" s="79"/>
    </x:row>
    <x:row r="261">
      <x:c r="A261" s="79" t="n">
        <x:v>263</x:v>
      </x:c>
      <x:c r="B261" s="79" t="str">
        <x:v>NS-0260-1</x:v>
      </x:c>
      <x:c r="C261" s="79" t="str">
        <x:v>صابون فندق</x:v>
      </x:c>
      <x:c r="D261" s="79" t="str">
        <x:v>صابون فندق</x:v>
      </x:c>
      <x:c r="E261" s="79" t="str">
        <x:v>single_263</x:v>
      </x:c>
      <x:c r="F261" s="79"/>
      <x:c r="G261" s="79" t="str">
        <x:v>canonical_group_row</x:v>
      </x:c>
      <x:c r="H261" s="79" t="str">
        <x:v>گیاهان دارویی</x:v>
      </x:c>
      <x:c r="I261" s="79" t="str">
        <x:v>6a3782d7df5573f4e676e243</x:v>
      </x:c>
      <x:c r="J261" s="79" t="str">
        <x:v>medicinal-plants</x:v>
      </x:c>
      <x:c r="K261" s="79" t="str">
        <x:v>TOPICAL</x:v>
      </x:c>
      <x:c r="L261" s="79" t="str">
        <x:v>خیر</x:v>
      </x:c>
      <x:c r="M261" s="79" t="str">
        <x:v>OK</x:v>
      </x:c>
      <x:c r="N261" s="79" t="str">
        <x:v>دسته از «خشکبار و آجیل» به «گیاهان دارویی» اصلاح شد | نوع مصرف به موضعی/غیرخوراکی اصلاح شد</x:v>
      </x:c>
      <x:c r="O261" s="79" t="str">
        <x:v>بله</x:v>
      </x:c>
      <x:c r="P261" s="79" t="str">
        <x:v>خشکبار و آجیل</x:v>
      </x:c>
      <x:c r="Q261" s="79" t="str">
        <x:v>6a37810ddf5573f4e676e201</x:v>
      </x:c>
      <x:c r="R261" s="79" t="str">
        <x:v>کیلو</x:v>
      </x:c>
      <x:c r="S261" s="79" t="n">
        <x:v>120000</x:v>
      </x:c>
      <x:c r="T261" s="79"/>
      <x:c r="U261" s="79"/>
    </x:row>
    <x:row r="262">
      <x:c r="A262" s="79" t="n">
        <x:v>264</x:v>
      </x:c>
      <x:c r="B262" s="79" t="str">
        <x:v>NS-0261-1</x:v>
      </x:c>
      <x:c r="C262" s="79" t="str">
        <x:v>صابون ماکادمیا</x:v>
      </x:c>
      <x:c r="D262" s="79" t="str">
        <x:v>صابون ماکادمیا</x:v>
      </x:c>
      <x:c r="E262" s="79" t="str">
        <x:v>single_264</x:v>
      </x:c>
      <x:c r="F262" s="79"/>
      <x:c r="G262" s="79" t="str">
        <x:v>canonical_group_row</x:v>
      </x:c>
      <x:c r="H262" s="79" t="str">
        <x:v>گیاهان دارویی</x:v>
      </x:c>
      <x:c r="I262" s="79" t="str">
        <x:v>6a3782d7df5573f4e676e243</x:v>
      </x:c>
      <x:c r="J262" s="79" t="str">
        <x:v>medicinal-plants</x:v>
      </x:c>
      <x:c r="K262" s="79" t="str">
        <x:v>TOPICAL</x:v>
      </x:c>
      <x:c r="L262" s="79" t="str">
        <x:v>خیر</x:v>
      </x:c>
      <x:c r="M262" s="79" t="str">
        <x:v>OK</x:v>
      </x:c>
      <x:c r="N26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262" s="79" t="str">
        <x:v>بله</x:v>
      </x:c>
      <x:c r="P262" s="79" t="str">
        <x:v>نیاز به بررسی</x:v>
      </x:c>
      <x:c r="Q262" s="79"/>
      <x:c r="R262" s="79" t="str">
        <x:v>کیلو</x:v>
      </x:c>
      <x:c r="S262" s="79" t="n">
        <x:v>180000</x:v>
      </x:c>
      <x:c r="T262" s="79"/>
      <x:c r="U262" s="79"/>
    </x:row>
    <x:row r="263">
      <x:c r="A263" s="79" t="n">
        <x:v>265</x:v>
      </x:c>
      <x:c r="B263" s="79" t="str">
        <x:v>NS-0262-1</x:v>
      </x:c>
      <x:c r="C263" s="79" t="str">
        <x:v>صمغ</x:v>
      </x:c>
      <x:c r="D263" s="79" t="str">
        <x:v>صمغ</x:v>
      </x:c>
      <x:c r="E263" s="79" t="str">
        <x:v>single_265</x:v>
      </x:c>
      <x:c r="F263" s="79"/>
      <x:c r="G263" s="79" t="str">
        <x:v>canonical_group_row</x:v>
      </x:c>
      <x:c r="H263" s="79" t="str">
        <x:v>گیاهان دارویی</x:v>
      </x:c>
      <x:c r="I263" s="79" t="str">
        <x:v>6a3782d7df5573f4e676e243</x:v>
      </x:c>
      <x:c r="J263" s="79" t="str">
        <x:v>medicinal-plants</x:v>
      </x:c>
      <x:c r="K263" s="79" t="str">
        <x:v>EDIBLE</x:v>
      </x:c>
      <x:c r="L263" s="79" t="str">
        <x:v>بله</x:v>
      </x:c>
      <x:c r="M263" s="79" t="str">
        <x:v>OK</x:v>
      </x:c>
      <x:c r="N263" s="79" t="str">
        <x:v>دسته از «نیاز به بررسی» به «گیاهان دارویی» اصلاح شد</x:v>
      </x:c>
      <x:c r="O263" s="79" t="str">
        <x:v>بله</x:v>
      </x:c>
      <x:c r="P263" s="79" t="str">
        <x:v>نیاز به بررسی</x:v>
      </x:c>
      <x:c r="Q263" s="79"/>
      <x:c r="R263" s="79" t="str">
        <x:v>کیلو</x:v>
      </x:c>
      <x:c r="S263" s="79" t="n">
        <x:v>500000</x:v>
      </x:c>
      <x:c r="T263" s="79"/>
      <x:c r="U263" s="79"/>
    </x:row>
    <x:row r="264">
      <x:c r="A264" s="79" t="n">
        <x:v>266</x:v>
      </x:c>
      <x:c r="B264" s="79" t="str">
        <x:v>NS-0263-1</x:v>
      </x:c>
      <x:c r="C264" s="79" t="str">
        <x:v>ظرف 300 گرمی</x:v>
      </x:c>
      <x:c r="D264" s="79" t="str">
        <x:v>ظرف 300 گرمی</x:v>
      </x:c>
      <x:c r="E264" s="79" t="str">
        <x:v>single_266</x:v>
      </x:c>
      <x:c r="F264" s="79"/>
      <x:c r="G264" s="79" t="str">
        <x:v>skip_do_not_import</x:v>
      </x:c>
      <x:c r="H264" s="79" t="str">
        <x:v>عدم ایمپورت</x:v>
      </x:c>
      <x:c r="I264" s="79"/>
      <x:c r="J264" s="79" t="str">
        <x:v>SKIP</x:v>
      </x:c>
      <x:c r="K264" s="79" t="str">
        <x:v>NON_PRODUCT</x:v>
      </x:c>
      <x:c r="L264" s="79" t="str">
        <x:v>خیر</x:v>
      </x:c>
      <x:c r="M264" s="79" t="str">
        <x:v>SKIP_NON_PRODUCT</x:v>
      </x:c>
      <x:c r="N264" s="79" t="str">
        <x:v>ملزومات/ظرف/ابزار است و چون دسته «ملزومات» حذف شده، برای سایت ایمپورت نشود.</x:v>
      </x:c>
      <x:c r="O264" s="79" t="str">
        <x:v>بله</x:v>
      </x:c>
      <x:c r="P264" s="79" t="str">
        <x:v>نیاز به بررسی</x:v>
      </x:c>
      <x:c r="Q264" s="79"/>
      <x:c r="R264" s="79" t="str">
        <x:v>کیلو</x:v>
      </x:c>
      <x:c r="S264" s="79" t="n">
        <x:v>30000</x:v>
      </x:c>
      <x:c r="T264" s="79"/>
      <x:c r="U264" s="79"/>
    </x:row>
    <x:row r="265">
      <x:c r="A265" s="79" t="n">
        <x:v>267</x:v>
      </x:c>
      <x:c r="B265" s="79" t="str">
        <x:v>NS-0264-1</x:v>
      </x:c>
      <x:c r="C265" s="79" t="str">
        <x:v>ظرف اسپری</x:v>
      </x:c>
      <x:c r="D265" s="79" t="str">
        <x:v>ظرف اسپری</x:v>
      </x:c>
      <x:c r="E265" s="79" t="str">
        <x:v>single_267</x:v>
      </x:c>
      <x:c r="F265" s="79"/>
      <x:c r="G265" s="79" t="str">
        <x:v>skip_do_not_import</x:v>
      </x:c>
      <x:c r="H265" s="79" t="str">
        <x:v>عدم ایمپورت</x:v>
      </x:c>
      <x:c r="I265" s="79"/>
      <x:c r="J265" s="79" t="str">
        <x:v>SKIP</x:v>
      </x:c>
      <x:c r="K265" s="79" t="str">
        <x:v>NON_PRODUCT</x:v>
      </x:c>
      <x:c r="L265" s="79" t="str">
        <x:v>خیر</x:v>
      </x:c>
      <x:c r="M265" s="79" t="str">
        <x:v>SKIP_NON_PRODUCT</x:v>
      </x:c>
      <x:c r="N265" s="79" t="str">
        <x:v>ملزومات/ظرف/ابزار است و چون دسته «ملزومات» حذف شده، برای سایت ایمپورت نشود.</x:v>
      </x:c>
      <x:c r="O265" s="79" t="str">
        <x:v>بله</x:v>
      </x:c>
      <x:c r="P265" s="79" t="str">
        <x:v>نیاز به بررسی</x:v>
      </x:c>
      <x:c r="Q265" s="79"/>
      <x:c r="R265" s="79" t="str">
        <x:v>سبز</x:v>
      </x:c>
      <x:c r="S265" s="79" t="n">
        <x:v>70000</x:v>
      </x:c>
      <x:c r="T265" s="79" t="str">
        <x:v>بزرگ</x:v>
      </x:c>
      <x:c r="U265" s="79" t="n">
        <x:v>60000</x:v>
      </x:c>
    </x:row>
    <x:row r="266">
      <x:c r="A266" s="79" t="n">
        <x:v>268</x:v>
      </x:c>
      <x:c r="B266" s="79" t="str">
        <x:v>NS-0265-1</x:v>
      </x:c>
      <x:c r="C266" s="79" t="str">
        <x:v>ظرف بطری پلاستیکی</x:v>
      </x:c>
      <x:c r="D266" s="79" t="str">
        <x:v>ظرف بطری پلاستیکی</x:v>
      </x:c>
      <x:c r="E266" s="79" t="str">
        <x:v>single_268</x:v>
      </x:c>
      <x:c r="F266" s="79"/>
      <x:c r="G266" s="79" t="str">
        <x:v>skip_do_not_import</x:v>
      </x:c>
      <x:c r="H266" s="79" t="str">
        <x:v>عدم ایمپورت</x:v>
      </x:c>
      <x:c r="I266" s="79"/>
      <x:c r="J266" s="79" t="str">
        <x:v>SKIP</x:v>
      </x:c>
      <x:c r="K266" s="79" t="str">
        <x:v>NON_PRODUCT</x:v>
      </x:c>
      <x:c r="L266" s="79" t="str">
        <x:v>خیر</x:v>
      </x:c>
      <x:c r="M266" s="79" t="str">
        <x:v>SKIP_NON_PRODUCT</x:v>
      </x:c>
      <x:c r="N266" s="79" t="str">
        <x:v>ملزومات/ظرف/ابزار است و چون دسته «ملزومات» حذف شده، برای سایت ایمپورت نشود.</x:v>
      </x:c>
      <x:c r="O266" s="79" t="str">
        <x:v>بله</x:v>
      </x:c>
      <x:c r="P266" s="79" t="str">
        <x:v>نیاز به بررسی</x:v>
      </x:c>
      <x:c r="Q266" s="79"/>
      <x:c r="R266" s="79" t="str">
        <x:v>نیم لیتر</x:v>
      </x:c>
      <x:c r="S266" s="79" t="n">
        <x:v>18000</x:v>
      </x:c>
      <x:c r="T266" s="79" t="str">
        <x:v>1 لیتر</x:v>
      </x:c>
      <x:c r="U266" s="79" t="n">
        <x:v>30000</x:v>
      </x:c>
    </x:row>
    <x:row r="267">
      <x:c r="A267" s="79" t="n">
        <x:v>269</x:v>
      </x:c>
      <x:c r="B267" s="79" t="str">
        <x:v>NS-0266-1</x:v>
      </x:c>
      <x:c r="C267" s="79" t="str">
        <x:v>ظرف بطری شیشه ای</x:v>
      </x:c>
      <x:c r="D267" s="79" t="str">
        <x:v>ظرف بطری شیشه ای</x:v>
      </x:c>
      <x:c r="E267" s="79" t="str">
        <x:v>single_269</x:v>
      </x:c>
      <x:c r="F267" s="79"/>
      <x:c r="G267" s="79" t="str">
        <x:v>skip_do_not_import</x:v>
      </x:c>
      <x:c r="H267" s="79" t="str">
        <x:v>عدم ایمپورت</x:v>
      </x:c>
      <x:c r="I267" s="79"/>
      <x:c r="J267" s="79" t="str">
        <x:v>SKIP</x:v>
      </x:c>
      <x:c r="K267" s="79" t="str">
        <x:v>NON_PRODUCT</x:v>
      </x:c>
      <x:c r="L267" s="79" t="str">
        <x:v>خیر</x:v>
      </x:c>
      <x:c r="M267" s="79" t="str">
        <x:v>SKIP_NON_PRODUCT</x:v>
      </x:c>
      <x:c r="N267" s="79" t="str">
        <x:v>ملزومات/ظرف/ابزار است و چون دسته «ملزومات» حذف شده، برای سایت ایمپورت نشود.</x:v>
      </x:c>
      <x:c r="O267" s="79" t="str">
        <x:v>بله</x:v>
      </x:c>
      <x:c r="P267" s="79" t="str">
        <x:v>نیاز به بررسی</x:v>
      </x:c>
      <x:c r="Q267" s="79"/>
      <x:c r="R267" s="79" t="str">
        <x:v>نیم لیتر</x:v>
      </x:c>
      <x:c r="S267" s="79" t="n">
        <x:v>18000</x:v>
      </x:c>
      <x:c r="T267" s="79" t="str">
        <x:v>1 لیتر</x:v>
      </x:c>
      <x:c r="U267" s="79" t="n">
        <x:v>23000</x:v>
      </x:c>
    </x:row>
    <x:row r="268">
      <x:c r="A268" s="79" t="n">
        <x:v>270</x:v>
      </x:c>
      <x:c r="B268" s="79" t="str">
        <x:v>NS-0267-1</x:v>
      </x:c>
      <x:c r="C268" s="79" t="str">
        <x:v>ظرف جار</x:v>
      </x:c>
      <x:c r="D268" s="79" t="str">
        <x:v>ظرف جار</x:v>
      </x:c>
      <x:c r="E268" s="79" t="str">
        <x:v>single_270</x:v>
      </x:c>
      <x:c r="F268" s="79"/>
      <x:c r="G268" s="79" t="str">
        <x:v>skip_do_not_import</x:v>
      </x:c>
      <x:c r="H268" s="79" t="str">
        <x:v>عدم ایمپورت</x:v>
      </x:c>
      <x:c r="I268" s="79"/>
      <x:c r="J268" s="79" t="str">
        <x:v>SKIP</x:v>
      </x:c>
      <x:c r="K268" s="79" t="str">
        <x:v>NON_PRODUCT</x:v>
      </x:c>
      <x:c r="L268" s="79" t="str">
        <x:v>خیر</x:v>
      </x:c>
      <x:c r="M268" s="79" t="str">
        <x:v>SKIP_NON_PRODUCT</x:v>
      </x:c>
      <x:c r="N268" s="79" t="str">
        <x:v>ملزومات/ظرف/ابزار است و چون دسته «ملزومات» حذف شده، برای سایت ایمپورت نشود.</x:v>
      </x:c>
      <x:c r="O268" s="79" t="str">
        <x:v>بله</x:v>
      </x:c>
      <x:c r="P268" s="79" t="str">
        <x:v>نیاز به بررسی</x:v>
      </x:c>
      <x:c r="Q268" s="79"/>
      <x:c r="R268" s="79" t="str">
        <x:v>جار 25</x:v>
      </x:c>
      <x:c r="S268" s="79" t="n">
        <x:v>32000</x:v>
      </x:c>
      <x:c r="T268" s="79" t="str">
        <x:v>جار 50</x:v>
      </x:c>
      <x:c r="U268" s="79" t="n">
        <x:v>35000</x:v>
      </x:c>
    </x:row>
    <x:row r="269">
      <x:c r="A269" s="79" t="n">
        <x:v>271</x:v>
      </x:c>
      <x:c r="B269" s="79" t="str">
        <x:v>NS-0268-1</x:v>
      </x:c>
      <x:c r="C269" s="79" t="str">
        <x:v>ظرف جار سایز 2</x:v>
      </x:c>
      <x:c r="D269" s="79" t="str">
        <x:v>ظرف جار سایز 2</x:v>
      </x:c>
      <x:c r="E269" s="79" t="str">
        <x:v>single_271</x:v>
      </x:c>
      <x:c r="F269" s="79"/>
      <x:c r="G269" s="79" t="str">
        <x:v>skip_do_not_import</x:v>
      </x:c>
      <x:c r="H269" s="79" t="str">
        <x:v>عدم ایمپورت</x:v>
      </x:c>
      <x:c r="I269" s="79"/>
      <x:c r="J269" s="79" t="str">
        <x:v>SKIP</x:v>
      </x:c>
      <x:c r="K269" s="79" t="str">
        <x:v>NON_PRODUCT</x:v>
      </x:c>
      <x:c r="L269" s="79" t="str">
        <x:v>خیر</x:v>
      </x:c>
      <x:c r="M269" s="79" t="str">
        <x:v>SKIP_NON_PRODUCT</x:v>
      </x:c>
      <x:c r="N269" s="79" t="str">
        <x:v>ملزومات/ظرف/ابزار است و چون دسته «ملزومات» حذف شده، برای سایت ایمپورت نشود.</x:v>
      </x:c>
      <x:c r="O269" s="79" t="str">
        <x:v>بله</x:v>
      </x:c>
      <x:c r="P269" s="79" t="str">
        <x:v>نیاز به بررسی</x:v>
      </x:c>
      <x:c r="Q269" s="79"/>
      <x:c r="R269" s="79" t="str">
        <x:v>کوچک</x:v>
      </x:c>
      <x:c r="S269" s="79" t="n">
        <x:v>15000</x:v>
      </x:c>
      <x:c r="T269" s="79" t="str">
        <x:v>متوسط</x:v>
      </x:c>
      <x:c r="U269" s="79" t="n">
        <x:v>25000</x:v>
      </x:c>
    </x:row>
    <x:row r="270">
      <x:c r="A270" s="79" t="n">
        <x:v>272</x:v>
      </x:c>
      <x:c r="B270" s="79" t="str">
        <x:v>NS-0269-1</x:v>
      </x:c>
      <x:c r="C270" s="79" t="str">
        <x:v>ظرف روغن موضعی</x:v>
      </x:c>
      <x:c r="D270" s="79" t="str">
        <x:v>ظرف روغن موضعی</x:v>
      </x:c>
      <x:c r="E270" s="79" t="str">
        <x:v>single_272</x:v>
      </x:c>
      <x:c r="F270" s="79"/>
      <x:c r="G270" s="79" t="str">
        <x:v>skip_do_not_import</x:v>
      </x:c>
      <x:c r="H270" s="79" t="str">
        <x:v>عدم ایمپورت</x:v>
      </x:c>
      <x:c r="I270" s="79"/>
      <x:c r="J270" s="79" t="str">
        <x:v>SKIP</x:v>
      </x:c>
      <x:c r="K270" s="79" t="str">
        <x:v>NON_PRODUCT</x:v>
      </x:c>
      <x:c r="L270" s="79" t="str">
        <x:v>خیر</x:v>
      </x:c>
      <x:c r="M270" s="79" t="str">
        <x:v>SKIP_NON_PRODUCT</x:v>
      </x:c>
      <x:c r="N270" s="79" t="str">
        <x:v>ملزومات/ظرف/ابزار است و چون دسته «ملزومات» حذف شده، برای سایت ایمپورت نشود.</x:v>
      </x:c>
      <x:c r="O270" s="79" t="str">
        <x:v>بله</x:v>
      </x:c>
      <x:c r="P270" s="79" t="str">
        <x:v>نیاز به بررسی</x:v>
      </x:c>
      <x:c r="Q270" s="79"/>
      <x:c r="R270" s="79" t="str">
        <x:v>30 میلی لیتر</x:v>
      </x:c>
      <x:c r="S270" s="79" t="n">
        <x:v>12000</x:v>
      </x:c>
      <x:c r="T270" s="79" t="str">
        <x:v>60 میلی لیتر</x:v>
      </x:c>
      <x:c r="U270" s="79" t="n">
        <x:v>20000</x:v>
      </x:c>
    </x:row>
    <x:row r="271">
      <x:c r="A271" s="79" t="n">
        <x:v>273</x:v>
      </x:c>
      <x:c r="B271" s="79" t="str">
        <x:v>NS-0270-1</x:v>
      </x:c>
      <x:c r="C271" s="79" t="str">
        <x:v>ظرف سطلی یک کیلویی</x:v>
      </x:c>
      <x:c r="D271" s="79" t="str">
        <x:v>ظرف سطلی یک کیلویی</x:v>
      </x:c>
      <x:c r="E271" s="79" t="str">
        <x:v>single_273</x:v>
      </x:c>
      <x:c r="F271" s="79"/>
      <x:c r="G271" s="79" t="str">
        <x:v>skip_do_not_import</x:v>
      </x:c>
      <x:c r="H271" s="79" t="str">
        <x:v>عدم ایمپورت</x:v>
      </x:c>
      <x:c r="I271" s="79"/>
      <x:c r="J271" s="79" t="str">
        <x:v>SKIP</x:v>
      </x:c>
      <x:c r="K271" s="79" t="str">
        <x:v>NON_PRODUCT</x:v>
      </x:c>
      <x:c r="L271" s="79" t="str">
        <x:v>خیر</x:v>
      </x:c>
      <x:c r="M271" s="79" t="str">
        <x:v>SKIP_NON_PRODUCT</x:v>
      </x:c>
      <x:c r="N271" s="79" t="str">
        <x:v>ملزومات/ظرف/ابزار است و چون دسته «ملزومات» حذف شده، برای سایت ایمپورت نشود.</x:v>
      </x:c>
      <x:c r="O271" s="79" t="str">
        <x:v>بله</x:v>
      </x:c>
      <x:c r="P271" s="79" t="str">
        <x:v>نیاز به بررسی</x:v>
      </x:c>
      <x:c r="Q271" s="79"/>
      <x:c r="R271" s="79" t="str">
        <x:v>کیلو</x:v>
      </x:c>
      <x:c r="S271" s="79" t="n">
        <x:v>50000</x:v>
      </x:c>
      <x:c r="T271" s="79"/>
      <x:c r="U271" s="79"/>
    </x:row>
    <x:row r="272">
      <x:c r="A272" s="79" t="n">
        <x:v>274</x:v>
      </x:c>
      <x:c r="B272" s="79" t="str">
        <x:v>NS-0271-1</x:v>
      </x:c>
      <x:c r="C272" s="79" t="str">
        <x:v>ظرف کتابی</x:v>
      </x:c>
      <x:c r="D272" s="79" t="str">
        <x:v>ظرف کتابی</x:v>
      </x:c>
      <x:c r="E272" s="79" t="str">
        <x:v>single_274</x:v>
      </x:c>
      <x:c r="F272" s="79"/>
      <x:c r="G272" s="79" t="str">
        <x:v>skip_do_not_import</x:v>
      </x:c>
      <x:c r="H272" s="79" t="str">
        <x:v>عدم ایمپورت</x:v>
      </x:c>
      <x:c r="I272" s="79"/>
      <x:c r="J272" s="79" t="str">
        <x:v>SKIP</x:v>
      </x:c>
      <x:c r="K272" s="79" t="str">
        <x:v>NON_PRODUCT</x:v>
      </x:c>
      <x:c r="L272" s="79" t="str">
        <x:v>خیر</x:v>
      </x:c>
      <x:c r="M272" s="79" t="str">
        <x:v>SKIP_NON_PRODUCT</x:v>
      </x:c>
      <x:c r="N272" s="79" t="str">
        <x:v>ملزومات/ظرف/ابزار است و چون دسته «ملزومات» حذف شده، برای سایت ایمپورت نشود.</x:v>
      </x:c>
      <x:c r="O272" s="79" t="str">
        <x:v>بله</x:v>
      </x:c>
      <x:c r="P272" s="79" t="str">
        <x:v>نیاز به بررسی</x:v>
      </x:c>
      <x:c r="Q272" s="79"/>
      <x:c r="R272" s="79" t="str">
        <x:v>250 گرمی</x:v>
      </x:c>
      <x:c r="S272" s="79" t="n">
        <x:v>22000</x:v>
      </x:c>
      <x:c r="T272" s="79" t="str">
        <x:v>400 گرمی</x:v>
      </x:c>
      <x:c r="U272" s="79" t="n">
        <x:v>25000</x:v>
      </x:c>
    </x:row>
    <x:row r="273">
      <x:c r="A273" s="79" t="n">
        <x:v>275</x:v>
      </x:c>
      <x:c r="B273" s="79" t="str">
        <x:v>NS-0272-1</x:v>
      </x:c>
      <x:c r="C273" s="79" t="str">
        <x:v>ظرف کوزه ای</x:v>
      </x:c>
      <x:c r="D273" s="79" t="str">
        <x:v>ظرف کوزه ای</x:v>
      </x:c>
      <x:c r="E273" s="79" t="str">
        <x:v>single_275</x:v>
      </x:c>
      <x:c r="F273" s="79"/>
      <x:c r="G273" s="79" t="str">
        <x:v>skip_do_not_import</x:v>
      </x:c>
      <x:c r="H273" s="79" t="str">
        <x:v>عدم ایمپورت</x:v>
      </x:c>
      <x:c r="I273" s="79"/>
      <x:c r="J273" s="79" t="str">
        <x:v>SKIP</x:v>
      </x:c>
      <x:c r="K273" s="79" t="str">
        <x:v>NON_PRODUCT</x:v>
      </x:c>
      <x:c r="L273" s="79" t="str">
        <x:v>خیر</x:v>
      </x:c>
      <x:c r="M273" s="79" t="str">
        <x:v>SKIP_NON_PRODUCT</x:v>
      </x:c>
      <x:c r="N273" s="79" t="str">
        <x:v>ملزومات/ظرف/ابزار است و چون دسته «ملزومات» حذف شده، برای سایت ایمپورت نشود.</x:v>
      </x:c>
      <x:c r="O273" s="79" t="str">
        <x:v>بله</x:v>
      </x:c>
      <x:c r="P273" s="79" t="str">
        <x:v>نیاز به بررسی</x:v>
      </x:c>
      <x:c r="Q273" s="79"/>
      <x:c r="R273" s="79" t="str">
        <x:v>کوچک</x:v>
      </x:c>
      <x:c r="S273" s="79" t="n">
        <x:v>40000</x:v>
      </x:c>
      <x:c r="T273" s="79" t="str">
        <x:v>بزرگ</x:v>
      </x:c>
      <x:c r="U273" s="79" t="n">
        <x:v>50000</x:v>
      </x:c>
    </x:row>
    <x:row r="274">
      <x:c r="A274" s="79" t="n">
        <x:v>276</x:v>
      </x:c>
      <x:c r="B274" s="79"/>
      <x:c r="C274" s="79" t="str">
        <x:v>عرق استنشاقی</x:v>
      </x:c>
      <x:c r="D274" s="79" t="str">
        <x:v>عرق استنشاقی</x:v>
      </x:c>
      <x:c r="E274" s="79" t="str">
        <x:v>single_276</x:v>
      </x:c>
      <x:c r="F274" s="79"/>
      <x:c r="G274" s="79" t="str">
        <x:v>canonical_group_row</x:v>
      </x:c>
      <x:c r="H274" s="79" t="str">
        <x:v>گیاهان دارویی</x:v>
      </x:c>
      <x:c r="I274" s="79" t="str">
        <x:v>6a3782d7df5573f4e676e243</x:v>
      </x:c>
      <x:c r="J274" s="79" t="str">
        <x:v>medicinal-plants</x:v>
      </x:c>
      <x:c r="K274" s="79" t="str">
        <x:v>TOPICAL</x:v>
      </x:c>
      <x:c r="L274" s="79" t="str">
        <x:v>خیر</x:v>
      </x:c>
      <x:c r="M274" s="79" t="str">
        <x:v>OK</x:v>
      </x:c>
      <x:c r="N274" s="79" t="str">
        <x:v>به دلیل مصرف استنشاقی/موضعی از نوشیدنی‌ها به گیاهان دارویی منتقل شد</x:v>
      </x:c>
      <x:c r="O274" s="79" t="str">
        <x:v>خیر</x:v>
      </x:c>
      <x:c r="P274" s="79" t="str">
        <x:v>نوشیدنی‌ها</x:v>
      </x:c>
      <x:c r="Q274" s="79" t="str">
        <x:v>6a3782ffdf5573f4e676e24b</x:v>
      </x:c>
      <x:c r="R274" s="79" t="str">
        <x:v>30 میلی لیتر</x:v>
      </x:c>
      <x:c r="S274" s="79" t="n">
        <x:v>65000</x:v>
      </x:c>
      <x:c r="T274" s="79" t="str">
        <x:v>60 میلی لیتر</x:v>
      </x:c>
      <x:c r="U274" s="79" t="n">
        <x:v>120000</x:v>
      </x:c>
    </x:row>
    <x:row r="275">
      <x:c r="A275" s="79" t="n">
        <x:v>277</x:v>
      </x:c>
      <x:c r="B275" s="79"/>
      <x:c r="C275" s="79" t="str">
        <x:v>عرق اسطوخودوس</x:v>
      </x:c>
      <x:c r="D275" s="79" t="str">
        <x:v>عرق اسطوخودوس</x:v>
      </x:c>
      <x:c r="E275" s="79" t="str">
        <x:v>single_277</x:v>
      </x:c>
      <x:c r="F275" s="79"/>
      <x:c r="G275" s="79" t="str">
        <x:v>canonical_group_row</x:v>
      </x:c>
      <x:c r="H275" s="79" t="str">
        <x:v>نوشیدنی‌ها</x:v>
      </x:c>
      <x:c r="I275" s="79" t="str">
        <x:v>6a3782ffdf5573f4e676e24b</x:v>
      </x:c>
      <x:c r="J275" s="79" t="str">
        <x:v>syrup</x:v>
      </x:c>
      <x:c r="K275" s="79" t="str">
        <x:v>EDIBLE</x:v>
      </x:c>
      <x:c r="L275" s="79" t="str">
        <x:v>بله</x:v>
      </x:c>
      <x:c r="M275" s="79" t="str">
        <x:v>OK</x:v>
      </x:c>
      <x:c r="N275" s="79"/>
      <x:c r="O275" s="79" t="str">
        <x:v>خیر</x:v>
      </x:c>
      <x:c r="P275" s="79" t="str">
        <x:v>نوشیدنی‌ها</x:v>
      </x:c>
      <x:c r="Q275" s="79" t="str">
        <x:v>6a3782ffdf5573f4e676e24b</x:v>
      </x:c>
      <x:c r="R275" s="79" t="str">
        <x:v>نیم لیتر</x:v>
      </x:c>
      <x:c r="S275" s="79" t="n">
        <x:v>100000</x:v>
      </x:c>
      <x:c r="T275" s="79" t="str">
        <x:v>1 لیتر</x:v>
      </x:c>
      <x:c r="U275" s="79" t="n">
        <x:v>190000</x:v>
      </x:c>
    </x:row>
    <x:row r="276">
      <x:c r="A276" s="79" t="n">
        <x:v>278</x:v>
      </x:c>
      <x:c r="B276" s="79"/>
      <x:c r="C276" s="79" t="str">
        <x:v>عرق اکالیپتوس</x:v>
      </x:c>
      <x:c r="D276" s="79" t="str">
        <x:v>عرق اکالیپتوس</x:v>
      </x:c>
      <x:c r="E276" s="79" t="str">
        <x:v>single_278</x:v>
      </x:c>
      <x:c r="F276" s="79"/>
      <x:c r="G276" s="79" t="str">
        <x:v>canonical_group_row</x:v>
      </x:c>
      <x:c r="H276" s="79" t="str">
        <x:v>نوشیدنی‌ها</x:v>
      </x:c>
      <x:c r="I276" s="79" t="str">
        <x:v>6a3782ffdf5573f4e676e24b</x:v>
      </x:c>
      <x:c r="J276" s="79" t="str">
        <x:v>syrup</x:v>
      </x:c>
      <x:c r="K276" s="79" t="str">
        <x:v>EDIBLE</x:v>
      </x:c>
      <x:c r="L276" s="79" t="str">
        <x:v>بله</x:v>
      </x:c>
      <x:c r="M276" s="79" t="str">
        <x:v>OK</x:v>
      </x:c>
      <x:c r="N276" s="79"/>
      <x:c r="O276" s="79" t="str">
        <x:v>خیر</x:v>
      </x:c>
      <x:c r="P276" s="79" t="str">
        <x:v>نوشیدنی‌ها</x:v>
      </x:c>
      <x:c r="Q276" s="79" t="str">
        <x:v>6a3782ffdf5573f4e676e24b</x:v>
      </x:c>
      <x:c r="R276" s="79" t="str">
        <x:v>نیم لیتر</x:v>
      </x:c>
      <x:c r="S276" s="79" t="n">
        <x:v>65000</x:v>
      </x:c>
      <x:c r="T276" s="79" t="str">
        <x:v>1 لیتر</x:v>
      </x:c>
      <x:c r="U276" s="79" t="n">
        <x:v>120000</x:v>
      </x:c>
    </x:row>
    <x:row r="277">
      <x:c r="A277" s="79" t="n">
        <x:v>279</x:v>
      </x:c>
      <x:c r="B277" s="79"/>
      <x:c r="C277" s="79" t="str">
        <x:v>عرق آویشن</x:v>
      </x:c>
      <x:c r="D277" s="79" t="str">
        <x:v>عرق آویشن</x:v>
      </x:c>
      <x:c r="E277" s="79" t="str">
        <x:v>single_279</x:v>
      </x:c>
      <x:c r="F277" s="79"/>
      <x:c r="G277" s="79" t="str">
        <x:v>canonical_group_row</x:v>
      </x:c>
      <x:c r="H277" s="79" t="str">
        <x:v>نوشیدنی‌ها</x:v>
      </x:c>
      <x:c r="I277" s="79" t="str">
        <x:v>6a3782ffdf5573f4e676e24b</x:v>
      </x:c>
      <x:c r="J277" s="79" t="str">
        <x:v>syrup</x:v>
      </x:c>
      <x:c r="K277" s="79" t="str">
        <x:v>EDIBLE</x:v>
      </x:c>
      <x:c r="L277" s="79" t="str">
        <x:v>بله</x:v>
      </x:c>
      <x:c r="M277" s="79" t="str">
        <x:v>OK</x:v>
      </x:c>
      <x:c r="N277" s="79"/>
      <x:c r="O277" s="79" t="str">
        <x:v>خیر</x:v>
      </x:c>
      <x:c r="P277" s="79" t="str">
        <x:v>نوشیدنی‌ها</x:v>
      </x:c>
      <x:c r="Q277" s="79" t="str">
        <x:v>6a3782ffdf5573f4e676e24b</x:v>
      </x:c>
      <x:c r="R277" s="79" t="str">
        <x:v>نیم لیتر</x:v>
      </x:c>
      <x:c r="S277" s="79" t="n">
        <x:v>140000</x:v>
      </x:c>
      <x:c r="T277" s="79" t="str">
        <x:v>1 لیتر</x:v>
      </x:c>
      <x:c r="U277" s="79" t="n">
        <x:v>270000</x:v>
      </x:c>
    </x:row>
    <x:row r="278">
      <x:c r="A278" s="79" t="n">
        <x:v>280</x:v>
      </x:c>
      <x:c r="B278" s="79"/>
      <x:c r="C278" s="79" t="str">
        <x:v>عرق بابونه</x:v>
      </x:c>
      <x:c r="D278" s="79" t="str">
        <x:v>عرق بابونه</x:v>
      </x:c>
      <x:c r="E278" s="79" t="str">
        <x:v>single_280</x:v>
      </x:c>
      <x:c r="F278" s="79"/>
      <x:c r="G278" s="79" t="str">
        <x:v>canonical_group_row</x:v>
      </x:c>
      <x:c r="H278" s="79" t="str">
        <x:v>نوشیدنی‌ها</x:v>
      </x:c>
      <x:c r="I278" s="79" t="str">
        <x:v>6a3782ffdf5573f4e676e24b</x:v>
      </x:c>
      <x:c r="J278" s="79" t="str">
        <x:v>syrup</x:v>
      </x:c>
      <x:c r="K278" s="79" t="str">
        <x:v>EDIBLE</x:v>
      </x:c>
      <x:c r="L278" s="79" t="str">
        <x:v>بله</x:v>
      </x:c>
      <x:c r="M278" s="79" t="str">
        <x:v>OK</x:v>
      </x:c>
      <x:c r="N278" s="79"/>
      <x:c r="O278" s="79" t="str">
        <x:v>خیر</x:v>
      </x:c>
      <x:c r="P278" s="79" t="str">
        <x:v>نوشیدنی‌ها</x:v>
      </x:c>
      <x:c r="Q278" s="79" t="str">
        <x:v>6a3782ffdf5573f4e676e24b</x:v>
      </x:c>
      <x:c r="R278" s="79" t="str">
        <x:v>نیم لیتر</x:v>
      </x:c>
      <x:c r="S278" s="79" t="n">
        <x:v>95000</x:v>
      </x:c>
      <x:c r="T278" s="79" t="str">
        <x:v>1 لیتر</x:v>
      </x:c>
      <x:c r="U278" s="79" t="n">
        <x:v>180000</x:v>
      </x:c>
    </x:row>
    <x:row r="279">
      <x:c r="A279" s="79" t="n">
        <x:v>281</x:v>
      </x:c>
      <x:c r="B279" s="79"/>
      <x:c r="C279" s="79" t="str">
        <x:v>عرق بهار نارنج</x:v>
      </x:c>
      <x:c r="D279" s="79" t="str">
        <x:v>عرق بهار نارنج</x:v>
      </x:c>
      <x:c r="E279" s="79" t="str">
        <x:v>single_281</x:v>
      </x:c>
      <x:c r="F279" s="79"/>
      <x:c r="G279" s="79" t="str">
        <x:v>canonical_group_row</x:v>
      </x:c>
      <x:c r="H279" s="79" t="str">
        <x:v>نوشیدنی‌ها</x:v>
      </x:c>
      <x:c r="I279" s="79" t="str">
        <x:v>6a3782ffdf5573f4e676e24b</x:v>
      </x:c>
      <x:c r="J279" s="79" t="str">
        <x:v>syrup</x:v>
      </x:c>
      <x:c r="K279" s="79" t="str">
        <x:v>EDIBLE</x:v>
      </x:c>
      <x:c r="L279" s="79" t="str">
        <x:v>بله</x:v>
      </x:c>
      <x:c r="M279" s="79" t="str">
        <x:v>OK</x:v>
      </x:c>
      <x:c r="N279" s="79"/>
      <x:c r="O279" s="79" t="str">
        <x:v>خیر</x:v>
      </x:c>
      <x:c r="P279" s="79" t="str">
        <x:v>نوشیدنی‌ها</x:v>
      </x:c>
      <x:c r="Q279" s="79" t="str">
        <x:v>6a3782ffdf5573f4e676e24b</x:v>
      </x:c>
      <x:c r="R279" s="79" t="str">
        <x:v>نیم لیتر</x:v>
      </x:c>
      <x:c r="S279" s="79" t="n">
        <x:v>140000</x:v>
      </x:c>
      <x:c r="T279" s="79" t="str">
        <x:v>1 لیتر</x:v>
      </x:c>
      <x:c r="U279" s="79" t="n">
        <x:v>270000</x:v>
      </x:c>
    </x:row>
    <x:row r="280">
      <x:c r="A280" s="79" t="n">
        <x:v>282</x:v>
      </x:c>
      <x:c r="B280" s="79"/>
      <x:c r="C280" s="79" t="str">
        <x:v>عرق بولاغ اوتی</x:v>
      </x:c>
      <x:c r="D280" s="79" t="str">
        <x:v>عرق بولاغ اوتی</x:v>
      </x:c>
      <x:c r="E280" s="79" t="str">
        <x:v>single_282</x:v>
      </x:c>
      <x:c r="F280" s="79"/>
      <x:c r="G280" s="79" t="str">
        <x:v>canonical_group_row</x:v>
      </x:c>
      <x:c r="H280" s="79" t="str">
        <x:v>نوشیدنی‌ها</x:v>
      </x:c>
      <x:c r="I280" s="79" t="str">
        <x:v>6a3782ffdf5573f4e676e24b</x:v>
      </x:c>
      <x:c r="J280" s="79" t="str">
        <x:v>syrup</x:v>
      </x:c>
      <x:c r="K280" s="79" t="str">
        <x:v>EDIBLE</x:v>
      </x:c>
      <x:c r="L280" s="79" t="str">
        <x:v>بله</x:v>
      </x:c>
      <x:c r="M280" s="79" t="str">
        <x:v>OK</x:v>
      </x:c>
      <x:c r="N280" s="79"/>
      <x:c r="O280" s="79" t="str">
        <x:v>خیر</x:v>
      </x:c>
      <x:c r="P280" s="79" t="str">
        <x:v>نوشیدنی‌ها</x:v>
      </x:c>
      <x:c r="Q280" s="79" t="str">
        <x:v>6a3782ffdf5573f4e676e24b</x:v>
      </x:c>
      <x:c r="R280" s="79" t="str">
        <x:v>نیم لیتر</x:v>
      </x:c>
      <x:c r="S280" s="79" t="n">
        <x:v>70000</x:v>
      </x:c>
      <x:c r="T280" s="79" t="str">
        <x:v>1 لیتر</x:v>
      </x:c>
      <x:c r="U280" s="79" t="n">
        <x:v>130000</x:v>
      </x:c>
    </x:row>
    <x:row r="281">
      <x:c r="A281" s="79" t="n">
        <x:v>283</x:v>
      </x:c>
      <x:c r="B281" s="79"/>
      <x:c r="C281" s="79" t="str">
        <x:v>عرق بیدمشک</x:v>
      </x:c>
      <x:c r="D281" s="79" t="str">
        <x:v>عرق بیدمشک</x:v>
      </x:c>
      <x:c r="E281" s="79" t="str">
        <x:v>single_283</x:v>
      </x:c>
      <x:c r="F281" s="79"/>
      <x:c r="G281" s="79" t="str">
        <x:v>canonical_group_row</x:v>
      </x:c>
      <x:c r="H281" s="79" t="str">
        <x:v>نوشیدنی‌ها</x:v>
      </x:c>
      <x:c r="I281" s="79" t="str">
        <x:v>6a3782ffdf5573f4e676e24b</x:v>
      </x:c>
      <x:c r="J281" s="79" t="str">
        <x:v>syrup</x:v>
      </x:c>
      <x:c r="K281" s="79" t="str">
        <x:v>EDIBLE</x:v>
      </x:c>
      <x:c r="L281" s="79" t="str">
        <x:v>بله</x:v>
      </x:c>
      <x:c r="M281" s="79" t="str">
        <x:v>OK</x:v>
      </x:c>
      <x:c r="N281" s="79"/>
      <x:c r="O281" s="79" t="str">
        <x:v>خیر</x:v>
      </x:c>
      <x:c r="P281" s="79" t="str">
        <x:v>نوشیدنی‌ها</x:v>
      </x:c>
      <x:c r="Q281" s="79" t="str">
        <x:v>6a3782ffdf5573f4e676e24b</x:v>
      </x:c>
      <x:c r="R281" s="79" t="str">
        <x:v>نیم لیتر</x:v>
      </x:c>
      <x:c r="S281" s="79" t="n">
        <x:v>115000</x:v>
      </x:c>
      <x:c r="T281" s="79" t="str">
        <x:v>1 لیتر</x:v>
      </x:c>
      <x:c r="U281" s="79" t="n">
        <x:v>220000</x:v>
      </x:c>
    </x:row>
    <x:row r="282">
      <x:c r="A282" s="79" t="n">
        <x:v>284</x:v>
      </x:c>
      <x:c r="B282" s="79"/>
      <x:c r="C282" s="79" t="str">
        <x:v>عرق پونه</x:v>
      </x:c>
      <x:c r="D282" s="79" t="str">
        <x:v>عرق پونه</x:v>
      </x:c>
      <x:c r="E282" s="79" t="str">
        <x:v>single_284</x:v>
      </x:c>
      <x:c r="F282" s="79"/>
      <x:c r="G282" s="79" t="str">
        <x:v>canonical_group_row</x:v>
      </x:c>
      <x:c r="H282" s="79" t="str">
        <x:v>نوشیدنی‌ها</x:v>
      </x:c>
      <x:c r="I282" s="79" t="str">
        <x:v>6a3782ffdf5573f4e676e24b</x:v>
      </x:c>
      <x:c r="J282" s="79" t="str">
        <x:v>syrup</x:v>
      </x:c>
      <x:c r="K282" s="79" t="str">
        <x:v>EDIBLE</x:v>
      </x:c>
      <x:c r="L282" s="79" t="str">
        <x:v>بله</x:v>
      </x:c>
      <x:c r="M282" s="79" t="str">
        <x:v>OK</x:v>
      </x:c>
      <x:c r="N282" s="79"/>
      <x:c r="O282" s="79" t="str">
        <x:v>خیر</x:v>
      </x:c>
      <x:c r="P282" s="79" t="str">
        <x:v>نوشیدنی‌ها</x:v>
      </x:c>
      <x:c r="Q282" s="79" t="str">
        <x:v>6a3782ffdf5573f4e676e24b</x:v>
      </x:c>
      <x:c r="R282" s="79" t="str">
        <x:v>نیم لیتر</x:v>
      </x:c>
      <x:c r="S282" s="79" t="n">
        <x:v>80000</x:v>
      </x:c>
      <x:c r="T282" s="79" t="str">
        <x:v>1 لیتر</x:v>
      </x:c>
      <x:c r="U282" s="79" t="n">
        <x:v>150000</x:v>
      </x:c>
    </x:row>
    <x:row r="283">
      <x:c r="A283" s="79" t="n">
        <x:v>285</x:v>
      </x:c>
      <x:c r="B283" s="79"/>
      <x:c r="C283" s="79" t="str">
        <x:v>عرق چهل گیاه</x:v>
      </x:c>
      <x:c r="D283" s="79" t="str">
        <x:v>عرق چهل گیاه</x:v>
      </x:c>
      <x:c r="E283" s="79" t="str">
        <x:v>single_285</x:v>
      </x:c>
      <x:c r="F283" s="79"/>
      <x:c r="G283" s="79" t="str">
        <x:v>canonical_group_row</x:v>
      </x:c>
      <x:c r="H283" s="79" t="str">
        <x:v>نوشیدنی‌ها</x:v>
      </x:c>
      <x:c r="I283" s="79" t="str">
        <x:v>6a3782ffdf5573f4e676e24b</x:v>
      </x:c>
      <x:c r="J283" s="79" t="str">
        <x:v>syrup</x:v>
      </x:c>
      <x:c r="K283" s="79" t="str">
        <x:v>EDIBLE</x:v>
      </x:c>
      <x:c r="L283" s="79" t="str">
        <x:v>بله</x:v>
      </x:c>
      <x:c r="M283" s="79" t="str">
        <x:v>OK</x:v>
      </x:c>
      <x:c r="N283" s="79"/>
      <x:c r="O283" s="79" t="str">
        <x:v>خیر</x:v>
      </x:c>
      <x:c r="P283" s="79" t="str">
        <x:v>نوشیدنی‌ها</x:v>
      </x:c>
      <x:c r="Q283" s="79" t="str">
        <x:v>6a3782ffdf5573f4e676e24b</x:v>
      </x:c>
      <x:c r="R283" s="79" t="str">
        <x:v>نیم لیتر</x:v>
      </x:c>
      <x:c r="S283" s="79" t="n">
        <x:v>70000</x:v>
      </x:c>
      <x:c r="T283" s="79" t="str">
        <x:v>1 لیتر</x:v>
      </x:c>
      <x:c r="U283" s="79" t="n">
        <x:v>130000</x:v>
      </x:c>
    </x:row>
    <x:row r="284">
      <x:c r="A284" s="79" t="n">
        <x:v>286</x:v>
      </x:c>
      <x:c r="B284" s="79"/>
      <x:c r="C284" s="79" t="str">
        <x:v>عرق خارشتر</x:v>
      </x:c>
      <x:c r="D284" s="79" t="str">
        <x:v>عرق خارشتر</x:v>
      </x:c>
      <x:c r="E284" s="79" t="str">
        <x:v>single_286</x:v>
      </x:c>
      <x:c r="F284" s="79"/>
      <x:c r="G284" s="79" t="str">
        <x:v>canonical_group_row</x:v>
      </x:c>
      <x:c r="H284" s="79" t="str">
        <x:v>نوشیدنی‌ها</x:v>
      </x:c>
      <x:c r="I284" s="79" t="str">
        <x:v>6a3782ffdf5573f4e676e24b</x:v>
      </x:c>
      <x:c r="J284" s="79" t="str">
        <x:v>syrup</x:v>
      </x:c>
      <x:c r="K284" s="79" t="str">
        <x:v>EDIBLE</x:v>
      </x:c>
      <x:c r="L284" s="79" t="str">
        <x:v>بله</x:v>
      </x:c>
      <x:c r="M284" s="79" t="str">
        <x:v>OK</x:v>
      </x:c>
      <x:c r="N284" s="79"/>
      <x:c r="O284" s="79" t="str">
        <x:v>خیر</x:v>
      </x:c>
      <x:c r="P284" s="79" t="str">
        <x:v>نوشیدنی‌ها</x:v>
      </x:c>
      <x:c r="Q284" s="79" t="str">
        <x:v>6a3782ffdf5573f4e676e24b</x:v>
      </x:c>
      <x:c r="R284" s="79" t="str">
        <x:v>نیم لیتر</x:v>
      </x:c>
      <x:c r="S284" s="79" t="n">
        <x:v>70000</x:v>
      </x:c>
      <x:c r="T284" s="79" t="str">
        <x:v>1 لیتر</x:v>
      </x:c>
      <x:c r="U284" s="79" t="n">
        <x:v>130000</x:v>
      </x:c>
    </x:row>
    <x:row r="285">
      <x:c r="A285" s="79" t="n">
        <x:v>287</x:v>
      </x:c>
      <x:c r="B285" s="79"/>
      <x:c r="C285" s="79" t="str">
        <x:v>عرق دارچین</x:v>
      </x:c>
      <x:c r="D285" s="79" t="str">
        <x:v>عرق دارچین</x:v>
      </x:c>
      <x:c r="E285" s="79" t="str">
        <x:v>single_287</x:v>
      </x:c>
      <x:c r="F285" s="79"/>
      <x:c r="G285" s="79" t="str">
        <x:v>canonical_group_row</x:v>
      </x:c>
      <x:c r="H285" s="79" t="str">
        <x:v>نوشیدنی‌ها</x:v>
      </x:c>
      <x:c r="I285" s="79" t="str">
        <x:v>6a3782ffdf5573f4e676e24b</x:v>
      </x:c>
      <x:c r="J285" s="79" t="str">
        <x:v>syrup</x:v>
      </x:c>
      <x:c r="K285" s="79" t="str">
        <x:v>EDIBLE</x:v>
      </x:c>
      <x:c r="L285" s="79" t="str">
        <x:v>بله</x:v>
      </x:c>
      <x:c r="M285" s="79" t="str">
        <x:v>OK</x:v>
      </x:c>
      <x:c r="N285" s="79"/>
      <x:c r="O285" s="79" t="str">
        <x:v>خیر</x:v>
      </x:c>
      <x:c r="P285" s="79" t="str">
        <x:v>نوشیدنی‌ها</x:v>
      </x:c>
      <x:c r="Q285" s="79" t="str">
        <x:v>6a3782ffdf5573f4e676e24b</x:v>
      </x:c>
      <x:c r="R285" s="79" t="str">
        <x:v>نیم لیتر</x:v>
      </x:c>
      <x:c r="S285" s="79" t="n">
        <x:v>80000</x:v>
      </x:c>
      <x:c r="T285" s="79" t="str">
        <x:v>1 لیتر</x:v>
      </x:c>
      <x:c r="U285" s="79" t="n">
        <x:v>150000</x:v>
      </x:c>
    </x:row>
    <x:row r="286">
      <x:c r="A286" s="79" t="n">
        <x:v>288</x:v>
      </x:c>
      <x:c r="B286" s="79"/>
      <x:c r="C286" s="79" t="str">
        <x:v>عرق رازیانه</x:v>
      </x:c>
      <x:c r="D286" s="79" t="str">
        <x:v>عرق رازیانه</x:v>
      </x:c>
      <x:c r="E286" s="79" t="str">
        <x:v>single_288</x:v>
      </x:c>
      <x:c r="F286" s="79"/>
      <x:c r="G286" s="79" t="str">
        <x:v>canonical_group_row</x:v>
      </x:c>
      <x:c r="H286" s="79" t="str">
        <x:v>نوشیدنی‌ها</x:v>
      </x:c>
      <x:c r="I286" s="79" t="str">
        <x:v>6a3782ffdf5573f4e676e24b</x:v>
      </x:c>
      <x:c r="J286" s="79" t="str">
        <x:v>syrup</x:v>
      </x:c>
      <x:c r="K286" s="79" t="str">
        <x:v>EDIBLE</x:v>
      </x:c>
      <x:c r="L286" s="79" t="str">
        <x:v>بله</x:v>
      </x:c>
      <x:c r="M286" s="79" t="str">
        <x:v>OK</x:v>
      </x:c>
      <x:c r="N286" s="79"/>
      <x:c r="O286" s="79" t="str">
        <x:v>خیر</x:v>
      </x:c>
      <x:c r="P286" s="79" t="str">
        <x:v>نوشیدنی‌ها</x:v>
      </x:c>
      <x:c r="Q286" s="79" t="str">
        <x:v>6a3782ffdf5573f4e676e24b</x:v>
      </x:c>
      <x:c r="R286" s="79" t="str">
        <x:v>نیم لیتر</x:v>
      </x:c>
      <x:c r="S286" s="79" t="n">
        <x:v>90000</x:v>
      </x:c>
      <x:c r="T286" s="79" t="str">
        <x:v>1 لیتر</x:v>
      </x:c>
      <x:c r="U286" s="79" t="n">
        <x:v>170000</x:v>
      </x:c>
    </x:row>
    <x:row r="287">
      <x:c r="A287" s="79" t="n">
        <x:v>289</x:v>
      </x:c>
      <x:c r="B287" s="79"/>
      <x:c r="C287" s="79" t="str">
        <x:v>عرق رزماری</x:v>
      </x:c>
      <x:c r="D287" s="79" t="str">
        <x:v>عرق رزماری</x:v>
      </x:c>
      <x:c r="E287" s="79" t="str">
        <x:v>grp_rosemary_distillate</x:v>
      </x:c>
      <x:c r="F287" s="79"/>
      <x:c r="G287" s="79" t="str">
        <x:v>canonical_group_row</x:v>
      </x:c>
      <x:c r="H287" s="79" t="str">
        <x:v>نوشیدنی‌ها</x:v>
      </x:c>
      <x:c r="I287" s="79" t="str">
        <x:v>6a3782ffdf5573f4e676e24b</x:v>
      </x:c>
      <x:c r="J287" s="79" t="str">
        <x:v>syrup</x:v>
      </x:c>
      <x:c r="K287" s="79" t="str">
        <x:v>EDIBLE</x:v>
      </x:c>
      <x:c r="L287" s="79" t="str">
        <x:v>بله</x:v>
      </x:c>
      <x:c r="M287" s="79" t="str">
        <x:v>MERGED</x:v>
      </x:c>
      <x:c r="N287" s="79"/>
      <x:c r="O287" s="79" t="str">
        <x:v>خیر</x:v>
      </x:c>
      <x:c r="P287" s="79" t="str">
        <x:v>نوشیدنی‌ها</x:v>
      </x:c>
      <x:c r="Q287" s="79" t="str">
        <x:v>6a3782ffdf5573f4e676e24b</x:v>
      </x:c>
      <x:c r="R287" s="79" t="str">
        <x:v>نیم لیتر</x:v>
      </x:c>
      <x:c r="S287" s="79" t="n">
        <x:v>95000</x:v>
      </x:c>
      <x:c r="T287" s="79" t="str">
        <x:v>1 لیتر</x:v>
      </x:c>
      <x:c r="U287" s="79" t="n">
        <x:v>180000</x:v>
      </x:c>
    </x:row>
    <x:row r="288">
      <x:c r="A288" s="79" t="n">
        <x:v>290</x:v>
      </x:c>
      <x:c r="B288" s="79"/>
      <x:c r="C288" s="79" t="str">
        <x:v>عرق رزماری اسپری</x:v>
      </x:c>
      <x:c r="D288" s="79" t="str">
        <x:v>عرق رزماری</x:v>
      </x:c>
      <x:c r="E288" s="79" t="str">
        <x:v>grp_rosemary_distillate</x:v>
      </x:c>
      <x:c r="F288" s="79" t="str">
        <x:v>اسپری</x:v>
      </x:c>
      <x:c r="G288" s="79" t="str">
        <x:v>merge_into_canonical_group</x:v>
      </x:c>
      <x:c r="H288" s="79" t="str">
        <x:v>نوشیدنی‌ها</x:v>
      </x:c>
      <x:c r="I288" s="79" t="str">
        <x:v>6a3782ffdf5573f4e676e24b</x:v>
      </x:c>
      <x:c r="J288" s="79" t="str">
        <x:v>syrup</x:v>
      </x:c>
      <x:c r="K288" s="79" t="str">
        <x:v>EDIBLE</x:v>
      </x:c>
      <x:c r="L288" s="79" t="str">
        <x:v>بله</x:v>
      </x:c>
      <x:c r="M288" s="79" t="str">
        <x:v>MERGED</x:v>
      </x:c>
      <x:c r="N288" s="79"/>
      <x:c r="O288" s="79" t="str">
        <x:v>خیر</x:v>
      </x:c>
      <x:c r="P288" s="79" t="str">
        <x:v>نوشیدنی‌ها</x:v>
      </x:c>
      <x:c r="Q288" s="79" t="str">
        <x:v>6a3782ffdf5573f4e676e24b</x:v>
      </x:c>
      <x:c r="R288" s="79" t="str">
        <x:v>300 میلی لیتر</x:v>
      </x:c>
      <x:c r="S288" s="79" t="n">
        <x:v>105000</x:v>
      </x:c>
      <x:c r="T288" s="79"/>
      <x:c r="U288" s="79"/>
    </x:row>
    <x:row r="289">
      <x:c r="A289" s="79" t="n">
        <x:v>291</x:v>
      </x:c>
      <x:c r="B289" s="79"/>
      <x:c r="C289" s="79" t="str">
        <x:v>عرق زنجبیل</x:v>
      </x:c>
      <x:c r="D289" s="79" t="str">
        <x:v>عرق زنجبیل</x:v>
      </x:c>
      <x:c r="E289" s="79" t="str">
        <x:v>single_291</x:v>
      </x:c>
      <x:c r="F289" s="79"/>
      <x:c r="G289" s="79" t="str">
        <x:v>canonical_group_row</x:v>
      </x:c>
      <x:c r="H289" s="79" t="str">
        <x:v>نوشیدنی‌ها</x:v>
      </x:c>
      <x:c r="I289" s="79" t="str">
        <x:v>6a3782ffdf5573f4e676e24b</x:v>
      </x:c>
      <x:c r="J289" s="79" t="str">
        <x:v>syrup</x:v>
      </x:c>
      <x:c r="K289" s="79" t="str">
        <x:v>EDIBLE</x:v>
      </x:c>
      <x:c r="L289" s="79" t="str">
        <x:v>بله</x:v>
      </x:c>
      <x:c r="M289" s="79" t="str">
        <x:v>OK</x:v>
      </x:c>
      <x:c r="N289" s="79"/>
      <x:c r="O289" s="79" t="str">
        <x:v>خیر</x:v>
      </x:c>
      <x:c r="P289" s="79" t="str">
        <x:v>نوشیدنی‌ها</x:v>
      </x:c>
      <x:c r="Q289" s="79" t="str">
        <x:v>6a3782ffdf5573f4e676e24b</x:v>
      </x:c>
      <x:c r="R289" s="79" t="str">
        <x:v>نیم لیتر</x:v>
      </x:c>
      <x:c r="S289" s="79" t="n">
        <x:v>80000</x:v>
      </x:c>
      <x:c r="T289" s="79" t="str">
        <x:v>1 لیتر</x:v>
      </x:c>
      <x:c r="U289" s="79" t="n">
        <x:v>150000</x:v>
      </x:c>
    </x:row>
    <x:row r="290">
      <x:c r="A290" s="79" t="n">
        <x:v>292</x:v>
      </x:c>
      <x:c r="B290" s="79"/>
      <x:c r="C290" s="79" t="str">
        <x:v>عرق زنیان</x:v>
      </x:c>
      <x:c r="D290" s="79" t="str">
        <x:v>عرق زنیان</x:v>
      </x:c>
      <x:c r="E290" s="79" t="str">
        <x:v>single_292</x:v>
      </x:c>
      <x:c r="F290" s="79"/>
      <x:c r="G290" s="79" t="str">
        <x:v>canonical_group_row</x:v>
      </x:c>
      <x:c r="H290" s="79" t="str">
        <x:v>نوشیدنی‌ها</x:v>
      </x:c>
      <x:c r="I290" s="79" t="str">
        <x:v>6a3782ffdf5573f4e676e24b</x:v>
      </x:c>
      <x:c r="J290" s="79" t="str">
        <x:v>syrup</x:v>
      </x:c>
      <x:c r="K290" s="79" t="str">
        <x:v>EDIBLE</x:v>
      </x:c>
      <x:c r="L290" s="79" t="str">
        <x:v>بله</x:v>
      </x:c>
      <x:c r="M290" s="79" t="str">
        <x:v>OK</x:v>
      </x:c>
      <x:c r="N290" s="79"/>
      <x:c r="O290" s="79" t="str">
        <x:v>خیر</x:v>
      </x:c>
      <x:c r="P290" s="79" t="str">
        <x:v>نوشیدنی‌ها</x:v>
      </x:c>
      <x:c r="Q290" s="79" t="str">
        <x:v>6a3782ffdf5573f4e676e24b</x:v>
      </x:c>
      <x:c r="R290" s="79" t="str">
        <x:v>نیم لیتر</x:v>
      </x:c>
      <x:c r="S290" s="79" t="n">
        <x:v>80000</x:v>
      </x:c>
      <x:c r="T290" s="79" t="str">
        <x:v>1 لیتر</x:v>
      </x:c>
      <x:c r="U290" s="79" t="n">
        <x:v>150000</x:v>
      </x:c>
    </x:row>
    <x:row r="291">
      <x:c r="A291" s="79" t="n">
        <x:v>293</x:v>
      </x:c>
      <x:c r="B291" s="79"/>
      <x:c r="C291" s="79" t="str">
        <x:v>عرق زیره سبز</x:v>
      </x:c>
      <x:c r="D291" s="79" t="str">
        <x:v>عرق زیره سبز</x:v>
      </x:c>
      <x:c r="E291" s="79" t="str">
        <x:v>single_293</x:v>
      </x:c>
      <x:c r="F291" s="79"/>
      <x:c r="G291" s="79" t="str">
        <x:v>canonical_group_row</x:v>
      </x:c>
      <x:c r="H291" s="79" t="str">
        <x:v>نوشیدنی‌ها</x:v>
      </x:c>
      <x:c r="I291" s="79" t="str">
        <x:v>6a3782ffdf5573f4e676e24b</x:v>
      </x:c>
      <x:c r="J291" s="79" t="str">
        <x:v>syrup</x:v>
      </x:c>
      <x:c r="K291" s="79" t="str">
        <x:v>EDIBLE</x:v>
      </x:c>
      <x:c r="L291" s="79" t="str">
        <x:v>بله</x:v>
      </x:c>
      <x:c r="M291" s="79" t="str">
        <x:v>OK</x:v>
      </x:c>
      <x:c r="N291" s="79"/>
      <x:c r="O291" s="79" t="str">
        <x:v>خیر</x:v>
      </x:c>
      <x:c r="P291" s="79" t="str">
        <x:v>نوشیدنی‌ها</x:v>
      </x:c>
      <x:c r="Q291" s="79" t="str">
        <x:v>6a3782ffdf5573f4e676e24b</x:v>
      </x:c>
      <x:c r="R291" s="79" t="str">
        <x:v>نیم لیتر</x:v>
      </x:c>
      <x:c r="S291" s="79" t="n">
        <x:v>105000</x:v>
      </x:c>
      <x:c r="T291" s="79" t="str">
        <x:v>1 لیتر</x:v>
      </x:c>
      <x:c r="U291" s="79" t="n">
        <x:v>200000</x:v>
      </x:c>
    </x:row>
    <x:row r="292">
      <x:c r="A292" s="79" t="n">
        <x:v>294</x:v>
      </x:c>
      <x:c r="B292" s="79"/>
      <x:c r="C292" s="79" t="str">
        <x:v>عرق شاتره</x:v>
      </x:c>
      <x:c r="D292" s="79" t="str">
        <x:v>عرق شاتره</x:v>
      </x:c>
      <x:c r="E292" s="79" t="str">
        <x:v>single_294</x:v>
      </x:c>
      <x:c r="F292" s="79"/>
      <x:c r="G292" s="79" t="str">
        <x:v>canonical_group_row</x:v>
      </x:c>
      <x:c r="H292" s="79" t="str">
        <x:v>نوشیدنی‌ها</x:v>
      </x:c>
      <x:c r="I292" s="79" t="str">
        <x:v>6a3782ffdf5573f4e676e24b</x:v>
      </x:c>
      <x:c r="J292" s="79" t="str">
        <x:v>syrup</x:v>
      </x:c>
      <x:c r="K292" s="79" t="str">
        <x:v>EDIBLE</x:v>
      </x:c>
      <x:c r="L292" s="79" t="str">
        <x:v>بله</x:v>
      </x:c>
      <x:c r="M292" s="79" t="str">
        <x:v>OK</x:v>
      </x:c>
      <x:c r="N292" s="79"/>
      <x:c r="O292" s="79" t="str">
        <x:v>خیر</x:v>
      </x:c>
      <x:c r="P292" s="79" t="str">
        <x:v>نوشیدنی‌ها</x:v>
      </x:c>
      <x:c r="Q292" s="79" t="str">
        <x:v>6a3782ffdf5573f4e676e24b</x:v>
      </x:c>
      <x:c r="R292" s="79" t="str">
        <x:v>نیم لیتر</x:v>
      </x:c>
      <x:c r="S292" s="79" t="n">
        <x:v>80000</x:v>
      </x:c>
      <x:c r="T292" s="79" t="str">
        <x:v>1 لیتر</x:v>
      </x:c>
      <x:c r="U292" s="79" t="n">
        <x:v>150000</x:v>
      </x:c>
    </x:row>
    <x:row r="293">
      <x:c r="A293" s="79" t="n">
        <x:v>295</x:v>
      </x:c>
      <x:c r="B293" s="79"/>
      <x:c r="C293" s="79" t="str">
        <x:v>عرق شنبلیله</x:v>
      </x:c>
      <x:c r="D293" s="79" t="str">
        <x:v>عرق شنبلیله</x:v>
      </x:c>
      <x:c r="E293" s="79" t="str">
        <x:v>single_295</x:v>
      </x:c>
      <x:c r="F293" s="79"/>
      <x:c r="G293" s="79" t="str">
        <x:v>canonical_group_row</x:v>
      </x:c>
      <x:c r="H293" s="79" t="str">
        <x:v>نوشیدنی‌ها</x:v>
      </x:c>
      <x:c r="I293" s="79" t="str">
        <x:v>6a3782ffdf5573f4e676e24b</x:v>
      </x:c>
      <x:c r="J293" s="79" t="str">
        <x:v>syrup</x:v>
      </x:c>
      <x:c r="K293" s="79" t="str">
        <x:v>EDIBLE</x:v>
      </x:c>
      <x:c r="L293" s="79" t="str">
        <x:v>بله</x:v>
      </x:c>
      <x:c r="M293" s="79" t="str">
        <x:v>OK</x:v>
      </x:c>
      <x:c r="N293" s="79"/>
      <x:c r="O293" s="79" t="str">
        <x:v>خیر</x:v>
      </x:c>
      <x:c r="P293" s="79" t="str">
        <x:v>نوشیدنی‌ها</x:v>
      </x:c>
      <x:c r="Q293" s="79" t="str">
        <x:v>6a3782ffdf5573f4e676e24b</x:v>
      </x:c>
      <x:c r="R293" s="79" t="str">
        <x:v>نیم لیتر</x:v>
      </x:c>
      <x:c r="S293" s="79" t="n">
        <x:v>70000</x:v>
      </x:c>
      <x:c r="T293" s="79" t="str">
        <x:v>1 لیتر</x:v>
      </x:c>
      <x:c r="U293" s="79" t="n">
        <x:v>130000</x:v>
      </x:c>
    </x:row>
    <x:row r="294">
      <x:c r="A294" s="79" t="n">
        <x:v>296</x:v>
      </x:c>
      <x:c r="B294" s="79"/>
      <x:c r="C294" s="79" t="str">
        <x:v>عرق شوید</x:v>
      </x:c>
      <x:c r="D294" s="79" t="str">
        <x:v>عرق شوید</x:v>
      </x:c>
      <x:c r="E294" s="79" t="str">
        <x:v>single_296</x:v>
      </x:c>
      <x:c r="F294" s="79"/>
      <x:c r="G294" s="79" t="str">
        <x:v>canonical_group_row</x:v>
      </x:c>
      <x:c r="H294" s="79" t="str">
        <x:v>نوشیدنی‌ها</x:v>
      </x:c>
      <x:c r="I294" s="79" t="str">
        <x:v>6a3782ffdf5573f4e676e24b</x:v>
      </x:c>
      <x:c r="J294" s="79" t="str">
        <x:v>syrup</x:v>
      </x:c>
      <x:c r="K294" s="79" t="str">
        <x:v>EDIBLE</x:v>
      </x:c>
      <x:c r="L294" s="79" t="str">
        <x:v>بله</x:v>
      </x:c>
      <x:c r="M294" s="79" t="str">
        <x:v>OK</x:v>
      </x:c>
      <x:c r="N294" s="79"/>
      <x:c r="O294" s="79" t="str">
        <x:v>خیر</x:v>
      </x:c>
      <x:c r="P294" s="79" t="str">
        <x:v>نوشیدنی‌ها</x:v>
      </x:c>
      <x:c r="Q294" s="79" t="str">
        <x:v>6a3782ffdf5573f4e676e24b</x:v>
      </x:c>
      <x:c r="R294" s="79" t="str">
        <x:v>نیم لیتر</x:v>
      </x:c>
      <x:c r="S294" s="79" t="n">
        <x:v>70000</x:v>
      </x:c>
      <x:c r="T294" s="79" t="str">
        <x:v>1 لیتر</x:v>
      </x:c>
      <x:c r="U294" s="79" t="n">
        <x:v>130000</x:v>
      </x:c>
    </x:row>
    <x:row r="295">
      <x:c r="A295" s="79" t="n">
        <x:v>297</x:v>
      </x:c>
      <x:c r="B295" s="79"/>
      <x:c r="C295" s="79" t="str">
        <x:v>عرق کاسنی</x:v>
      </x:c>
      <x:c r="D295" s="79" t="str">
        <x:v>عرق کاسنی</x:v>
      </x:c>
      <x:c r="E295" s="79" t="str">
        <x:v>single_297</x:v>
      </x:c>
      <x:c r="F295" s="79"/>
      <x:c r="G295" s="79" t="str">
        <x:v>canonical_group_row</x:v>
      </x:c>
      <x:c r="H295" s="79" t="str">
        <x:v>نوشیدنی‌ها</x:v>
      </x:c>
      <x:c r="I295" s="79" t="str">
        <x:v>6a3782ffdf5573f4e676e24b</x:v>
      </x:c>
      <x:c r="J295" s="79" t="str">
        <x:v>syrup</x:v>
      </x:c>
      <x:c r="K295" s="79" t="str">
        <x:v>EDIBLE</x:v>
      </x:c>
      <x:c r="L295" s="79" t="str">
        <x:v>بله</x:v>
      </x:c>
      <x:c r="M295" s="79" t="str">
        <x:v>OK</x:v>
      </x:c>
      <x:c r="N295" s="79"/>
      <x:c r="O295" s="79" t="str">
        <x:v>خیر</x:v>
      </x:c>
      <x:c r="P295" s="79" t="str">
        <x:v>نوشیدنی‌ها</x:v>
      </x:c>
      <x:c r="Q295" s="79" t="str">
        <x:v>6a3782ffdf5573f4e676e24b</x:v>
      </x:c>
      <x:c r="R295" s="79" t="str">
        <x:v>نیم لیتر</x:v>
      </x:c>
      <x:c r="S295" s="79" t="n">
        <x:v>80000</x:v>
      </x:c>
      <x:c r="T295" s="79" t="str">
        <x:v>1 لیتر</x:v>
      </x:c>
      <x:c r="U295" s="79" t="n">
        <x:v>150000</x:v>
      </x:c>
    </x:row>
    <x:row r="296">
      <x:c r="A296" s="79" t="n">
        <x:v>298</x:v>
      </x:c>
      <x:c r="B296" s="79"/>
      <x:c r="C296" s="79" t="str">
        <x:v>عرق کاکوتی</x:v>
      </x:c>
      <x:c r="D296" s="79" t="str">
        <x:v>عرق کاکوتی</x:v>
      </x:c>
      <x:c r="E296" s="79" t="str">
        <x:v>single_298</x:v>
      </x:c>
      <x:c r="F296" s="79"/>
      <x:c r="G296" s="79" t="str">
        <x:v>canonical_group_row</x:v>
      </x:c>
      <x:c r="H296" s="79" t="str">
        <x:v>نوشیدنی‌ها</x:v>
      </x:c>
      <x:c r="I296" s="79" t="str">
        <x:v>6a3782ffdf5573f4e676e24b</x:v>
      </x:c>
      <x:c r="J296" s="79" t="str">
        <x:v>syrup</x:v>
      </x:c>
      <x:c r="K296" s="79" t="str">
        <x:v>EDIBLE</x:v>
      </x:c>
      <x:c r="L296" s="79" t="str">
        <x:v>بله</x:v>
      </x:c>
      <x:c r="M296" s="79" t="str">
        <x:v>OK</x:v>
      </x:c>
      <x:c r="N296" s="79"/>
      <x:c r="O296" s="79" t="str">
        <x:v>خیر</x:v>
      </x:c>
      <x:c r="P296" s="79" t="str">
        <x:v>نوشیدنی‌ها</x:v>
      </x:c>
      <x:c r="Q296" s="79" t="str">
        <x:v>6a3782ffdf5573f4e676e24b</x:v>
      </x:c>
      <x:c r="R296" s="79" t="str">
        <x:v>نیم لیتر</x:v>
      </x:c>
      <x:c r="S296" s="79" t="n">
        <x:v>70000</x:v>
      </x:c>
      <x:c r="T296" s="79" t="str">
        <x:v>1 لیتر</x:v>
      </x:c>
      <x:c r="U296" s="79" t="n">
        <x:v>130000</x:v>
      </x:c>
    </x:row>
    <x:row r="297">
      <x:c r="A297" s="79" t="n">
        <x:v>299</x:v>
      </x:c>
      <x:c r="B297" s="79"/>
      <x:c r="C297" s="79" t="str">
        <x:v>عرق گل گاوزبان</x:v>
      </x:c>
      <x:c r="D297" s="79" t="str">
        <x:v>عرق گل گاوزبان</x:v>
      </x:c>
      <x:c r="E297" s="79" t="str">
        <x:v>single_299</x:v>
      </x:c>
      <x:c r="F297" s="79"/>
      <x:c r="G297" s="79" t="str">
        <x:v>canonical_group_row</x:v>
      </x:c>
      <x:c r="H297" s="79" t="str">
        <x:v>نوشیدنی‌ها</x:v>
      </x:c>
      <x:c r="I297" s="79" t="str">
        <x:v>6a3782ffdf5573f4e676e24b</x:v>
      </x:c>
      <x:c r="J297" s="79" t="str">
        <x:v>syrup</x:v>
      </x:c>
      <x:c r="K297" s="79" t="str">
        <x:v>EDIBLE</x:v>
      </x:c>
      <x:c r="L297" s="79" t="str">
        <x:v>بله</x:v>
      </x:c>
      <x:c r="M297" s="79" t="str">
        <x:v>OK</x:v>
      </x:c>
      <x:c r="N297" s="79"/>
      <x:c r="O297" s="79" t="str">
        <x:v>خیر</x:v>
      </x:c>
      <x:c r="P297" s="79" t="str">
        <x:v>نوشیدنی‌ها</x:v>
      </x:c>
      <x:c r="Q297" s="79" t="str">
        <x:v>6a3782ffdf5573f4e676e24b</x:v>
      </x:c>
      <x:c r="R297" s="79" t="str">
        <x:v>نیم لیتر</x:v>
      </x:c>
      <x:c r="S297" s="79" t="n">
        <x:v>90000</x:v>
      </x:c>
      <x:c r="T297" s="79" t="str">
        <x:v>1 لیتر</x:v>
      </x:c>
      <x:c r="U297" s="79" t="n">
        <x:v>170000</x:v>
      </x:c>
    </x:row>
    <x:row r="298">
      <x:c r="A298" s="79" t="n">
        <x:v>300</x:v>
      </x:c>
      <x:c r="B298" s="79"/>
      <x:c r="C298" s="79" t="str">
        <x:v>عرق گلاب ساده</x:v>
      </x:c>
      <x:c r="D298" s="79" t="str">
        <x:v>عرق گلاب</x:v>
      </x:c>
      <x:c r="E298" s="79" t="str">
        <x:v>grp_rose_water</x:v>
      </x:c>
      <x:c r="F298" s="79" t="str">
        <x:v>ساده</x:v>
      </x:c>
      <x:c r="G298" s="79" t="str">
        <x:v>canonical_group_row</x:v>
      </x:c>
      <x:c r="H298" s="79" t="str">
        <x:v>نوشیدنی‌ها</x:v>
      </x:c>
      <x:c r="I298" s="79" t="str">
        <x:v>6a3782ffdf5573f4e676e24b</x:v>
      </x:c>
      <x:c r="J298" s="79" t="str">
        <x:v>syrup</x:v>
      </x:c>
      <x:c r="K298" s="79" t="str">
        <x:v>EDIBLE</x:v>
      </x:c>
      <x:c r="L298" s="79" t="str">
        <x:v>بله</x:v>
      </x:c>
      <x:c r="M298" s="79" t="str">
        <x:v>MERGED + MISSING_PRICE_REVIEW</x:v>
      </x:c>
      <x:c r="N298" s="79" t="str">
        <x:v>یک یا چند قیمت نامشخص است</x:v>
      </x:c>
      <x:c r="O298" s="79" t="str">
        <x:v>خیر</x:v>
      </x:c>
      <x:c r="P298" s="79" t="str">
        <x:v>نوشیدنی‌ها</x:v>
      </x:c>
      <x:c r="Q298" s="79" t="str">
        <x:v>6a3782ffdf5573f4e676e24b</x:v>
      </x:c>
      <x:c r="R298" s="79" t="str">
        <x:v>نیم لیتر</x:v>
      </x:c>
      <x:c r="S298" s="79"/>
      <x:c r="T298" s="79" t="str">
        <x:v>1 لیتر</x:v>
      </x:c>
      <x:c r="U298" s="79"/>
    </x:row>
    <x:row r="299">
      <x:c r="A299" s="79" t="n">
        <x:v>301</x:v>
      </x:c>
      <x:c r="B299" s="79"/>
      <x:c r="C299" s="79" t="str">
        <x:v>عرق گلاب سنگین</x:v>
      </x:c>
      <x:c r="D299" s="79" t="str">
        <x:v>عرق گلاب</x:v>
      </x:c>
      <x:c r="E299" s="79" t="str">
        <x:v>grp_rose_water</x:v>
      </x:c>
      <x:c r="F299" s="79" t="str">
        <x:v>سنگین</x:v>
      </x:c>
      <x:c r="G299" s="79" t="str">
        <x:v>merge_into_canonical_group</x:v>
      </x:c>
      <x:c r="H299" s="79" t="str">
        <x:v>نوشیدنی‌ها</x:v>
      </x:c>
      <x:c r="I299" s="79" t="str">
        <x:v>6a3782ffdf5573f4e676e24b</x:v>
      </x:c>
      <x:c r="J299" s="79" t="str">
        <x:v>syrup</x:v>
      </x:c>
      <x:c r="K299" s="79" t="str">
        <x:v>EDIBLE</x:v>
      </x:c>
      <x:c r="L299" s="79" t="str">
        <x:v>بله</x:v>
      </x:c>
      <x:c r="M299" s="79" t="str">
        <x:v>MERGED</x:v>
      </x:c>
      <x:c r="N299" s="79"/>
      <x:c r="O299" s="79" t="str">
        <x:v>خیر</x:v>
      </x:c>
      <x:c r="P299" s="79" t="str">
        <x:v>نوشیدنی‌ها</x:v>
      </x:c>
      <x:c r="Q299" s="79" t="str">
        <x:v>6a3782ffdf5573f4e676e24b</x:v>
      </x:c>
      <x:c r="R299" s="79" t="str">
        <x:v>نیم لیتر</x:v>
      </x:c>
      <x:c r="S299" s="79" t="n">
        <x:v>195000</x:v>
      </x:c>
      <x:c r="T299" s="79" t="str">
        <x:v>1 لیتر</x:v>
      </x:c>
      <x:c r="U299" s="79" t="n">
        <x:v>380000</x:v>
      </x:c>
    </x:row>
    <x:row r="300">
      <x:c r="A300" s="79" t="n">
        <x:v>302</x:v>
      </x:c>
      <x:c r="B300" s="79"/>
      <x:c r="C300" s="79" t="str">
        <x:v>عرق گلاب ویژه</x:v>
      </x:c>
      <x:c r="D300" s="79" t="str">
        <x:v>عرق گلاب</x:v>
      </x:c>
      <x:c r="E300" s="79" t="str">
        <x:v>grp_rose_water</x:v>
      </x:c>
      <x:c r="F300" s="79" t="str">
        <x:v>ویژه</x:v>
      </x:c>
      <x:c r="G300" s="79" t="str">
        <x:v>merge_into_canonical_group</x:v>
      </x:c>
      <x:c r="H300" s="79" t="str">
        <x:v>نوشیدنی‌ها</x:v>
      </x:c>
      <x:c r="I300" s="79" t="str">
        <x:v>6a3782ffdf5573f4e676e24b</x:v>
      </x:c>
      <x:c r="J300" s="79" t="str">
        <x:v>syrup</x:v>
      </x:c>
      <x:c r="K300" s="79" t="str">
        <x:v>EDIBLE</x:v>
      </x:c>
      <x:c r="L300" s="79" t="str">
        <x:v>بله</x:v>
      </x:c>
      <x:c r="M300" s="79" t="str">
        <x:v>MERGED + MISSING_PRICE_REVIEW</x:v>
      </x:c>
      <x:c r="N300" s="79" t="str">
        <x:v>یک یا چند قیمت نامشخص است</x:v>
      </x:c>
      <x:c r="O300" s="79" t="str">
        <x:v>خیر</x:v>
      </x:c>
      <x:c r="P300" s="79" t="str">
        <x:v>نوشیدنی‌ها</x:v>
      </x:c>
      <x:c r="Q300" s="79" t="str">
        <x:v>6a3782ffdf5573f4e676e24b</x:v>
      </x:c>
      <x:c r="R300" s="79" t="str">
        <x:v>نیم لیتر</x:v>
      </x:c>
      <x:c r="S300" s="79"/>
      <x:c r="T300" s="79" t="str">
        <x:v>1 لیتر</x:v>
      </x:c>
      <x:c r="U300" s="79"/>
    </x:row>
    <x:row r="301">
      <x:c r="A301" s="79" t="n">
        <x:v>303</x:v>
      </x:c>
      <x:c r="B301" s="79"/>
      <x:c r="C301" s="79" t="str">
        <x:v>عرق محرک پیاز مو</x:v>
      </x:c>
      <x:c r="D301" s="79" t="str">
        <x:v>عرق محرک پیاز مو</x:v>
      </x:c>
      <x:c r="E301" s="79" t="str">
        <x:v>single_303</x:v>
      </x:c>
      <x:c r="F301" s="79"/>
      <x:c r="G301" s="79" t="str">
        <x:v>canonical_group_row</x:v>
      </x:c>
      <x:c r="H301" s="79" t="str">
        <x:v>گیاهان دارویی</x:v>
      </x:c>
      <x:c r="I301" s="79" t="str">
        <x:v>6a3782d7df5573f4e676e243</x:v>
      </x:c>
      <x:c r="J301" s="79" t="str">
        <x:v>medicinal-plants</x:v>
      </x:c>
      <x:c r="K301" s="79" t="str">
        <x:v>TOPICAL</x:v>
      </x:c>
      <x:c r="L301" s="79" t="str">
        <x:v>خیر</x:v>
      </x:c>
      <x:c r="M301" s="79" t="str">
        <x:v>OK</x:v>
      </x:c>
      <x:c r="N301" s="79" t="str">
        <x:v>به دلیل مصرف استنشاقی/موضعی از نوشیدنی‌ها به گیاهان دارویی منتقل شد</x:v>
      </x:c>
      <x:c r="O301" s="79" t="str">
        <x:v>خیر</x:v>
      </x:c>
      <x:c r="P301" s="79" t="str">
        <x:v>نوشیدنی‌ها</x:v>
      </x:c>
      <x:c r="Q301" s="79" t="str">
        <x:v>6a3782ffdf5573f4e676e24b</x:v>
      </x:c>
      <x:c r="R301" s="79" t="str">
        <x:v>نیم لیتر</x:v>
      </x:c>
      <x:c r="S301" s="79" t="n">
        <x:v>120000</x:v>
      </x:c>
      <x:c r="T301" s="79" t="str">
        <x:v>1 لیتر</x:v>
      </x:c>
      <x:c r="U301" s="79" t="n">
        <x:v>240000</x:v>
      </x:c>
    </x:row>
    <x:row r="302">
      <x:c r="A302" s="79" t="n">
        <x:v>304</x:v>
      </x:c>
      <x:c r="B302" s="79"/>
      <x:c r="C302" s="79" t="str">
        <x:v>عرق معجون سنگ کلیه</x:v>
      </x:c>
      <x:c r="D302" s="79" t="str">
        <x:v>عرق معجون سنگ کلیه</x:v>
      </x:c>
      <x:c r="E302" s="79" t="str">
        <x:v>single_304</x:v>
      </x:c>
      <x:c r="F302" s="79"/>
      <x:c r="G302" s="79" t="str">
        <x:v>canonical_group_row</x:v>
      </x:c>
      <x:c r="H302" s="79" t="str">
        <x:v>نوشیدنی‌ها</x:v>
      </x:c>
      <x:c r="I302" s="79" t="str">
        <x:v>6a3782ffdf5573f4e676e24b</x:v>
      </x:c>
      <x:c r="J302" s="79" t="str">
        <x:v>syrup</x:v>
      </x:c>
      <x:c r="K302" s="79" t="str">
        <x:v>EDIBLE</x:v>
      </x:c>
      <x:c r="L302" s="79" t="str">
        <x:v>بله</x:v>
      </x:c>
      <x:c r="M302" s="79" t="str">
        <x:v>OK</x:v>
      </x:c>
      <x:c r="N302" s="79"/>
      <x:c r="O302" s="79" t="str">
        <x:v>خیر</x:v>
      </x:c>
      <x:c r="P302" s="79" t="str">
        <x:v>نوشیدنی‌ها</x:v>
      </x:c>
      <x:c r="Q302" s="79" t="str">
        <x:v>6a3782ffdf5573f4e676e24b</x:v>
      </x:c>
      <x:c r="R302" s="79" t="str">
        <x:v>نیم لیتر</x:v>
      </x:c>
      <x:c r="S302" s="79" t="n">
        <x:v>95000</x:v>
      </x:c>
      <x:c r="T302" s="79" t="str">
        <x:v>1 لیتر</x:v>
      </x:c>
      <x:c r="U302" s="79" t="n">
        <x:v>180000</x:v>
      </x:c>
    </x:row>
    <x:row r="303">
      <x:c r="A303" s="79" t="n">
        <x:v>305</x:v>
      </x:c>
      <x:c r="B303" s="79"/>
      <x:c r="C303" s="79" t="str">
        <x:v>عرق نعناع سنگین</x:v>
      </x:c>
      <x:c r="D303" s="79" t="str">
        <x:v>عرق نعناع سنگین</x:v>
      </x:c>
      <x:c r="E303" s="79" t="str">
        <x:v>single_305</x:v>
      </x:c>
      <x:c r="F303" s="79"/>
      <x:c r="G303" s="79" t="str">
        <x:v>canonical_group_row</x:v>
      </x:c>
      <x:c r="H303" s="79" t="str">
        <x:v>نوشیدنی‌ها</x:v>
      </x:c>
      <x:c r="I303" s="79" t="str">
        <x:v>6a3782ffdf5573f4e676e24b</x:v>
      </x:c>
      <x:c r="J303" s="79" t="str">
        <x:v>syrup</x:v>
      </x:c>
      <x:c r="K303" s="79" t="str">
        <x:v>EDIBLE</x:v>
      </x:c>
      <x:c r="L303" s="79" t="str">
        <x:v>بله</x:v>
      </x:c>
      <x:c r="M303" s="79" t="str">
        <x:v>OK</x:v>
      </x:c>
      <x:c r="N303" s="79"/>
      <x:c r="O303" s="79" t="str">
        <x:v>خیر</x:v>
      </x:c>
      <x:c r="P303" s="79" t="str">
        <x:v>نوشیدنی‌ها</x:v>
      </x:c>
      <x:c r="Q303" s="79" t="str">
        <x:v>6a3782ffdf5573f4e676e24b</x:v>
      </x:c>
      <x:c r="R303" s="79" t="str">
        <x:v>نیم لیتر</x:v>
      </x:c>
      <x:c r="S303" s="79" t="n">
        <x:v>80000</x:v>
      </x:c>
      <x:c r="T303" s="79" t="str">
        <x:v>1 لیتر</x:v>
      </x:c>
      <x:c r="U303" s="79" t="n">
        <x:v>150000</x:v>
      </x:c>
    </x:row>
    <x:row r="304">
      <x:c r="A304" s="79" t="n">
        <x:v>306</x:v>
      </x:c>
      <x:c r="B304" s="79"/>
      <x:c r="C304" s="79" t="str">
        <x:v>عرق نعناع فلفلی</x:v>
      </x:c>
      <x:c r="D304" s="79" t="str">
        <x:v>عرق نعناع فلفلی</x:v>
      </x:c>
      <x:c r="E304" s="79" t="str">
        <x:v>single_306</x:v>
      </x:c>
      <x:c r="F304" s="79"/>
      <x:c r="G304" s="79" t="str">
        <x:v>canonical_group_row</x:v>
      </x:c>
      <x:c r="H304" s="79" t="str">
        <x:v>نوشیدنی‌ها</x:v>
      </x:c>
      <x:c r="I304" s="79" t="str">
        <x:v>6a3782ffdf5573f4e676e24b</x:v>
      </x:c>
      <x:c r="J304" s="79" t="str">
        <x:v>syrup</x:v>
      </x:c>
      <x:c r="K304" s="79" t="str">
        <x:v>EDIBLE</x:v>
      </x:c>
      <x:c r="L304" s="79" t="str">
        <x:v>بله</x:v>
      </x:c>
      <x:c r="M304" s="79" t="str">
        <x:v>OK</x:v>
      </x:c>
      <x:c r="N304" s="79" t="str">
        <x:v>دسته از «ادویه» به «نوشیدنی‌ها» اصلاح شد</x:v>
      </x:c>
      <x:c r="O304" s="79" t="str">
        <x:v>خیر</x:v>
      </x:c>
      <x:c r="P304" s="79" t="str">
        <x:v>ادویه</x:v>
      </x:c>
      <x:c r="Q304" s="79" t="str">
        <x:v>6a3781e4df5573f4e676e226</x:v>
      </x:c>
      <x:c r="R304" s="79" t="str">
        <x:v>نیم لیتر</x:v>
      </x:c>
      <x:c r="S304" s="79" t="n">
        <x:v>75000</x:v>
      </x:c>
      <x:c r="T304" s="79" t="str">
        <x:v>1 لیتر</x:v>
      </x:c>
      <x:c r="U304" s="79" t="n">
        <x:v>140000</x:v>
      </x:c>
    </x:row>
    <x:row r="305">
      <x:c r="A305" s="79" t="n">
        <x:v>307</x:v>
      </x:c>
      <x:c r="B305" s="79"/>
      <x:c r="C305" s="79" t="str">
        <x:v>عرق هل سنگین</x:v>
      </x:c>
      <x:c r="D305" s="79" t="str">
        <x:v>عرق هل سنگین</x:v>
      </x:c>
      <x:c r="E305" s="79" t="str">
        <x:v>single_307</x:v>
      </x:c>
      <x:c r="F305" s="79"/>
      <x:c r="G305" s="79" t="str">
        <x:v>canonical_group_row</x:v>
      </x:c>
      <x:c r="H305" s="79" t="str">
        <x:v>نوشیدنی‌ها</x:v>
      </x:c>
      <x:c r="I305" s="79" t="str">
        <x:v>6a3782ffdf5573f4e676e24b</x:v>
      </x:c>
      <x:c r="J305" s="79" t="str">
        <x:v>syrup</x:v>
      </x:c>
      <x:c r="K305" s="79" t="str">
        <x:v>EDIBLE</x:v>
      </x:c>
      <x:c r="L305" s="79" t="str">
        <x:v>بله</x:v>
      </x:c>
      <x:c r="M305" s="79" t="str">
        <x:v>OK</x:v>
      </x:c>
      <x:c r="N305" s="79"/>
      <x:c r="O305" s="79" t="str">
        <x:v>خیر</x:v>
      </x:c>
      <x:c r="P305" s="79" t="str">
        <x:v>نوشیدنی‌ها</x:v>
      </x:c>
      <x:c r="Q305" s="79" t="str">
        <x:v>6a3782ffdf5573f4e676e24b</x:v>
      </x:c>
      <x:c r="R305" s="79" t="str">
        <x:v>نیم لیتر</x:v>
      </x:c>
      <x:c r="S305" s="79" t="n">
        <x:v>230000</x:v>
      </x:c>
      <x:c r="T305" s="79" t="str">
        <x:v>1 لیتر</x:v>
      </x:c>
      <x:c r="U305" s="79" t="n">
        <x:v>450000</x:v>
      </x:c>
    </x:row>
    <x:row r="306">
      <x:c r="A306" s="79" t="n">
        <x:v>308</x:v>
      </x:c>
      <x:c r="B306" s="79"/>
      <x:c r="C306" s="79" t="str">
        <x:v>عرق یونجه</x:v>
      </x:c>
      <x:c r="D306" s="79" t="str">
        <x:v>عرق یونجه</x:v>
      </x:c>
      <x:c r="E306" s="79" t="str">
        <x:v>single_308</x:v>
      </x:c>
      <x:c r="F306" s="79"/>
      <x:c r="G306" s="79" t="str">
        <x:v>canonical_group_row</x:v>
      </x:c>
      <x:c r="H306" s="79" t="str">
        <x:v>نوشیدنی‌ها</x:v>
      </x:c>
      <x:c r="I306" s="79" t="str">
        <x:v>6a3782ffdf5573f4e676e24b</x:v>
      </x:c>
      <x:c r="J306" s="79" t="str">
        <x:v>syrup</x:v>
      </x:c>
      <x:c r="K306" s="79" t="str">
        <x:v>EDIBLE</x:v>
      </x:c>
      <x:c r="L306" s="79" t="str">
        <x:v>بله</x:v>
      </x:c>
      <x:c r="M306" s="79" t="str">
        <x:v>OK</x:v>
      </x:c>
      <x:c r="N306" s="79"/>
      <x:c r="O306" s="79" t="str">
        <x:v>خیر</x:v>
      </x:c>
      <x:c r="P306" s="79" t="str">
        <x:v>نوشیدنی‌ها</x:v>
      </x:c>
      <x:c r="Q306" s="79" t="str">
        <x:v>6a3782ffdf5573f4e676e24b</x:v>
      </x:c>
      <x:c r="R306" s="79" t="str">
        <x:v>نیم لیتر</x:v>
      </x:c>
      <x:c r="S306" s="79" t="n">
        <x:v>80000</x:v>
      </x:c>
      <x:c r="T306" s="79" t="str">
        <x:v>1 لیتر</x:v>
      </x:c>
      <x:c r="U306" s="79" t="n">
        <x:v>150000</x:v>
      </x:c>
    </x:row>
    <x:row r="307">
      <x:c r="A307" s="79" t="n">
        <x:v>309</x:v>
      </x:c>
      <x:c r="B307" s="79" t="str">
        <x:v>NS-0306-1</x:v>
      </x:c>
      <x:c r="C307" s="79" t="str">
        <x:v>عسل بهار نارنج</x:v>
      </x:c>
      <x:c r="D307" s="79" t="str">
        <x:v>عسل بهار نارنج</x:v>
      </x:c>
      <x:c r="E307" s="79" t="str">
        <x:v>single_309</x:v>
      </x:c>
      <x:c r="F307" s="79"/>
      <x:c r="G307" s="79" t="str">
        <x:v>canonical_group_row</x:v>
      </x:c>
      <x:c r="H307" s="79" t="str">
        <x:v>قنادی و شیرینی</x:v>
      </x:c>
      <x:c r="I307" s="79" t="str">
        <x:v>6a3a00000000000000000003</x:v>
      </x:c>
      <x:c r="J307" s="79" t="str">
        <x:v>confectionery</x:v>
      </x:c>
      <x:c r="K307" s="79" t="str">
        <x:v>EDIBLE</x:v>
      </x:c>
      <x:c r="L307" s="79" t="str">
        <x:v>بله</x:v>
      </x:c>
      <x:c r="M307" s="79" t="str">
        <x:v>OK</x:v>
      </x:c>
      <x:c r="N307" s="79"/>
      <x:c r="O307" s="79" t="str">
        <x:v>بله</x:v>
      </x:c>
      <x:c r="P307" s="79" t="str">
        <x:v>قنادی و شیرینی</x:v>
      </x:c>
      <x:c r="Q307" s="79" t="str">
        <x:v>6a3a00000000000000000003</x:v>
      </x:c>
      <x:c r="R307" s="79" t="str">
        <x:v>بدون موم</x:v>
      </x:c>
      <x:c r="S307" s="79" t="n">
        <x:v>1200000</x:v>
      </x:c>
      <x:c r="T307" s="79" t="str">
        <x:v>با موم</x:v>
      </x:c>
      <x:c r="U307" s="79" t="n">
        <x:v>1300000</x:v>
      </x:c>
    </x:row>
    <x:row r="308">
      <x:c r="A308" s="79" t="n">
        <x:v>310</x:v>
      </x:c>
      <x:c r="B308" s="79" t="str">
        <x:v>NS-0307-1</x:v>
      </x:c>
      <x:c r="C308" s="79" t="str">
        <x:v>عسل جنگلی</x:v>
      </x:c>
      <x:c r="D308" s="79" t="str">
        <x:v>عسل جنگلی</x:v>
      </x:c>
      <x:c r="E308" s="79" t="str">
        <x:v>single_310</x:v>
      </x:c>
      <x:c r="F308" s="79"/>
      <x:c r="G308" s="79" t="str">
        <x:v>canonical_group_row</x:v>
      </x:c>
      <x:c r="H308" s="79" t="str">
        <x:v>قنادی و شیرینی</x:v>
      </x:c>
      <x:c r="I308" s="79" t="str">
        <x:v>6a3a00000000000000000003</x:v>
      </x:c>
      <x:c r="J308" s="79" t="str">
        <x:v>confectionery</x:v>
      </x:c>
      <x:c r="K308" s="79" t="str">
        <x:v>EDIBLE</x:v>
      </x:c>
      <x:c r="L308" s="79" t="str">
        <x:v>بله</x:v>
      </x:c>
      <x:c r="M308" s="79" t="str">
        <x:v>MISSING_PRICE_REVIEW</x:v>
      </x:c>
      <x:c r="N308" s="79" t="str">
        <x:v>یک یا چند قیمت نامشخص است</x:v>
      </x:c>
      <x:c r="O308" s="79" t="str">
        <x:v>بله</x:v>
      </x:c>
      <x:c r="P308" s="79" t="str">
        <x:v>قنادی و شیرینی</x:v>
      </x:c>
      <x:c r="Q308" s="79" t="str">
        <x:v>6a3a00000000000000000003</x:v>
      </x:c>
      <x:c r="R308" s="79" t="str">
        <x:v>کیلو</x:v>
      </x:c>
      <x:c r="S308" s="79"/>
      <x:c r="T308" s="79"/>
      <x:c r="U308" s="79"/>
    </x:row>
    <x:row r="309">
      <x:c r="A309" s="79" t="n">
        <x:v>311</x:v>
      </x:c>
      <x:c r="B309" s="79" t="str">
        <x:v>NS-0308-1</x:v>
      </x:c>
      <x:c r="C309" s="79" t="str">
        <x:v>عسل چند گیاه</x:v>
      </x:c>
      <x:c r="D309" s="79" t="str">
        <x:v>عسل چند گیاه</x:v>
      </x:c>
      <x:c r="E309" s="79" t="str">
        <x:v>single_311</x:v>
      </x:c>
      <x:c r="F309" s="79"/>
      <x:c r="G309" s="79" t="str">
        <x:v>canonical_group_row</x:v>
      </x:c>
      <x:c r="H309" s="79" t="str">
        <x:v>قنادی و شیرینی</x:v>
      </x:c>
      <x:c r="I309" s="79" t="str">
        <x:v>6a3a00000000000000000003</x:v>
      </x:c>
      <x:c r="J309" s="79" t="str">
        <x:v>confectionery</x:v>
      </x:c>
      <x:c r="K309" s="79" t="str">
        <x:v>EDIBLE</x:v>
      </x:c>
      <x:c r="L309" s="79" t="str">
        <x:v>بله</x:v>
      </x:c>
      <x:c r="M309" s="79" t="str">
        <x:v>MISSING_PRICE_REVIEW</x:v>
      </x:c>
      <x:c r="N309" s="79" t="str">
        <x:v>یک یا چند قیمت نامشخص است</x:v>
      </x:c>
      <x:c r="O309" s="79" t="str">
        <x:v>بله</x:v>
      </x:c>
      <x:c r="P309" s="79" t="str">
        <x:v>قنادی و شیرینی</x:v>
      </x:c>
      <x:c r="Q309" s="79" t="str">
        <x:v>6a3a00000000000000000003</x:v>
      </x:c>
      <x:c r="R309" s="79" t="str">
        <x:v>کیلو</x:v>
      </x:c>
      <x:c r="S309" s="79"/>
      <x:c r="T309" s="79"/>
      <x:c r="U309" s="79"/>
    </x:row>
    <x:row r="310">
      <x:c r="A310" s="79" t="n">
        <x:v>312</x:v>
      </x:c>
      <x:c r="B310" s="79" t="str">
        <x:v>NS-0309-1</x:v>
      </x:c>
      <x:c r="C310" s="79" t="str">
        <x:v>عسل سیاهدانه</x:v>
      </x:c>
      <x:c r="D310" s="79" t="str">
        <x:v>عسل سیاهدانه</x:v>
      </x:c>
      <x:c r="E310" s="79" t="str">
        <x:v>single_312</x:v>
      </x:c>
      <x:c r="F310" s="79"/>
      <x:c r="G310" s="79" t="str">
        <x:v>canonical_group_row</x:v>
      </x:c>
      <x:c r="H310" s="79" t="str">
        <x:v>قنادی و شیرینی</x:v>
      </x:c>
      <x:c r="I310" s="79" t="str">
        <x:v>6a3a00000000000000000003</x:v>
      </x:c>
      <x:c r="J310" s="79" t="str">
        <x:v>confectionery</x:v>
      </x:c>
      <x:c r="K310" s="79" t="str">
        <x:v>EDIBLE</x:v>
      </x:c>
      <x:c r="L310" s="79" t="str">
        <x:v>بله</x:v>
      </x:c>
      <x:c r="M310" s="79" t="str">
        <x:v>MISSING_PRICE_REVIEW</x:v>
      </x:c>
      <x:c r="N310" s="79" t="str">
        <x:v>یک یا چند قیمت نامشخص است</x:v>
      </x:c>
      <x:c r="O310" s="79" t="str">
        <x:v>بله</x:v>
      </x:c>
      <x:c r="P310" s="79" t="str">
        <x:v>قنادی و شیرینی</x:v>
      </x:c>
      <x:c r="Q310" s="79" t="str">
        <x:v>6a3a00000000000000000003</x:v>
      </x:c>
      <x:c r="R310" s="79" t="str">
        <x:v>کیلو</x:v>
      </x:c>
      <x:c r="S310" s="79"/>
      <x:c r="T310" s="79"/>
      <x:c r="U310" s="79"/>
    </x:row>
    <x:row r="311">
      <x:c r="A311" s="79" t="n">
        <x:v>313</x:v>
      </x:c>
      <x:c r="B311" s="79" t="str">
        <x:v>NS-0310-1</x:v>
      </x:c>
      <x:c r="C311" s="79" t="str">
        <x:v>عسل کنار</x:v>
      </x:c>
      <x:c r="D311" s="79" t="str">
        <x:v>عسل کنار</x:v>
      </x:c>
      <x:c r="E311" s="79" t="str">
        <x:v>single_313</x:v>
      </x:c>
      <x:c r="F311" s="79"/>
      <x:c r="G311" s="79" t="str">
        <x:v>canonical_group_row</x:v>
      </x:c>
      <x:c r="H311" s="79" t="str">
        <x:v>قنادی و شیرینی</x:v>
      </x:c>
      <x:c r="I311" s="79" t="str">
        <x:v>6a3a00000000000000000003</x:v>
      </x:c>
      <x:c r="J311" s="79" t="str">
        <x:v>confectionery</x:v>
      </x:c>
      <x:c r="K311" s="79" t="str">
        <x:v>EDIBLE</x:v>
      </x:c>
      <x:c r="L311" s="79" t="str">
        <x:v>بله</x:v>
      </x:c>
      <x:c r="M311" s="79" t="str">
        <x:v>OK</x:v>
      </x:c>
      <x:c r="N311" s="79"/>
      <x:c r="O311" s="79" t="str">
        <x:v>بله</x:v>
      </x:c>
      <x:c r="P311" s="79" t="str">
        <x:v>قنادی و شیرینی</x:v>
      </x:c>
      <x:c r="Q311" s="79" t="str">
        <x:v>6a3a00000000000000000003</x:v>
      </x:c>
      <x:c r="R311" s="79" t="str">
        <x:v>کیلو</x:v>
      </x:c>
      <x:c r="S311" s="79" t="n">
        <x:v>700000</x:v>
      </x:c>
      <x:c r="T311" s="79"/>
      <x:c r="U311" s="79"/>
    </x:row>
    <x:row r="312">
      <x:c r="A312" s="79" t="n">
        <x:v>314</x:v>
      </x:c>
      <x:c r="B312" s="79" t="str">
        <x:v>NS-0311-1</x:v>
      </x:c>
      <x:c r="C312" s="79" t="str">
        <x:v>عسل یونجه</x:v>
      </x:c>
      <x:c r="D312" s="79" t="str">
        <x:v>عسل یونجه</x:v>
      </x:c>
      <x:c r="E312" s="79" t="str">
        <x:v>single_314</x:v>
      </x:c>
      <x:c r="F312" s="79"/>
      <x:c r="G312" s="79" t="str">
        <x:v>canonical_group_row</x:v>
      </x:c>
      <x:c r="H312" s="79" t="str">
        <x:v>قنادی و شیرینی</x:v>
      </x:c>
      <x:c r="I312" s="79" t="str">
        <x:v>6a3a00000000000000000003</x:v>
      </x:c>
      <x:c r="J312" s="79" t="str">
        <x:v>confectionery</x:v>
      </x:c>
      <x:c r="K312" s="79" t="str">
        <x:v>EDIBLE</x:v>
      </x:c>
      <x:c r="L312" s="79" t="str">
        <x:v>بله</x:v>
      </x:c>
      <x:c r="M312" s="79" t="str">
        <x:v>MISSING_PRICE_REVIEW</x:v>
      </x:c>
      <x:c r="N312" s="79" t="str">
        <x:v>یک یا چند قیمت نامشخص است</x:v>
      </x:c>
      <x:c r="O312" s="79" t="str">
        <x:v>بله</x:v>
      </x:c>
      <x:c r="P312" s="79" t="str">
        <x:v>قنادی و شیرینی</x:v>
      </x:c>
      <x:c r="Q312" s="79" t="str">
        <x:v>6a3a00000000000000000003</x:v>
      </x:c>
      <x:c r="R312" s="79" t="str">
        <x:v>کیلو</x:v>
      </x:c>
      <x:c r="S312" s="79"/>
      <x:c r="T312" s="79"/>
      <x:c r="U312" s="79"/>
    </x:row>
    <x:row r="313">
      <x:c r="A313" s="79" t="n">
        <x:v>315</x:v>
      </x:c>
      <x:c r="B313" s="79" t="str">
        <x:v>NS-0312-1</x:v>
      </x:c>
      <x:c r="C313" s="79" t="str">
        <x:v>عناب</x:v>
      </x:c>
      <x:c r="D313" s="79" t="str">
        <x:v>عناب خشک</x:v>
      </x:c>
      <x:c r="E313" s="79" t="str">
        <x:v>grp_dried_jujube</x:v>
      </x:c>
      <x:c r="F313" s="79"/>
      <x:c r="G313" s="79" t="str">
        <x:v>canonical_group_row</x:v>
      </x:c>
      <x:c r="H313" s="79" t="str">
        <x:v>خشکبار و آجیل</x:v>
      </x:c>
      <x:c r="I313" s="79" t="str">
        <x:v>6a37810ddf5573f4e676e201</x:v>
      </x:c>
      <x:c r="J313" s="79" t="str">
        <x:v>dried-fruits-nuts</x:v>
      </x:c>
      <x:c r="K313" s="79" t="str">
        <x:v>EDIBLE</x:v>
      </x:c>
      <x:c r="L313" s="79" t="str">
        <x:v>بله</x:v>
      </x:c>
      <x:c r="M313" s="79" t="str">
        <x:v>MERGED</x:v>
      </x:c>
      <x:c r="N313" s="79"/>
      <x:c r="O313" s="79" t="str">
        <x:v>بله</x:v>
      </x:c>
      <x:c r="P313" s="79" t="str">
        <x:v>خشکبار و آجیل</x:v>
      </x:c>
      <x:c r="Q313" s="79" t="str">
        <x:v>6a37810ddf5573f4e676e201</x:v>
      </x:c>
      <x:c r="R313" s="79" t="str">
        <x:v>بسته زرگل</x:v>
      </x:c>
      <x:c r="S313" s="79" t="n">
        <x:v>250000</x:v>
      </x:c>
      <x:c r="T313" s="79" t="str">
        <x:v>بسته طلا</x:v>
      </x:c>
      <x:c r="U313" s="79" t="n">
        <x:v>280000</x:v>
      </x:c>
    </x:row>
    <x:row r="314">
      <x:c r="A314" s="79" t="n">
        <x:v>316</x:v>
      </x:c>
      <x:c r="B314" s="79" t="str">
        <x:v>NS-0313-1</x:v>
      </x:c>
      <x:c r="C314" s="79" t="str">
        <x:v>عناب خشک</x:v>
      </x:c>
      <x:c r="D314" s="79" t="str">
        <x:v>عناب خشک</x:v>
      </x:c>
      <x:c r="E314" s="79" t="str">
        <x:v>grp_dried_jujube</x:v>
      </x:c>
      <x:c r="F314" s="79"/>
      <x:c r="G314" s="79" t="str">
        <x:v>merge_into_canonical_group</x:v>
      </x:c>
      <x:c r="H314" s="79" t="str">
        <x:v>خشکبار و آجیل</x:v>
      </x:c>
      <x:c r="I314" s="79" t="str">
        <x:v>6a37810ddf5573f4e676e201</x:v>
      </x:c>
      <x:c r="J314" s="79" t="str">
        <x:v>dried-fruits-nuts</x:v>
      </x:c>
      <x:c r="K314" s="79" t="str">
        <x:v>EDIBLE</x:v>
      </x:c>
      <x:c r="L314" s="79" t="str">
        <x:v>بله</x:v>
      </x:c>
      <x:c r="M314" s="79" t="str">
        <x:v>MERGED</x:v>
      </x:c>
      <x:c r="N314" s="79"/>
      <x:c r="O314" s="79" t="str">
        <x:v>بله</x:v>
      </x:c>
      <x:c r="P314" s="79" t="str">
        <x:v>خشکبار و آجیل</x:v>
      </x:c>
      <x:c r="Q314" s="79" t="str">
        <x:v>6a37810ddf5573f4e676e201</x:v>
      </x:c>
      <x:c r="R314" s="79" t="str">
        <x:v>کیلو</x:v>
      </x:c>
      <x:c r="S314" s="79" t="n">
        <x:v>410000</x:v>
      </x:c>
      <x:c r="T314" s="79" t="str">
        <x:v>بسته</x:v>
      </x:c>
      <x:c r="U314" s="79" t="n">
        <x:v>150000</x:v>
      </x:c>
    </x:row>
    <x:row r="315">
      <x:c r="A315" s="79" t="n">
        <x:v>317</x:v>
      </x:c>
      <x:c r="B315" s="79" t="str">
        <x:v>NS-0314-1</x:v>
      </x:c>
      <x:c r="C315" s="79" t="str">
        <x:v>عود</x:v>
      </x:c>
      <x:c r="D315" s="79" t="str">
        <x:v>عود</x:v>
      </x:c>
      <x:c r="E315" s="79" t="str">
        <x:v>single_317</x:v>
      </x:c>
      <x:c r="F315" s="79"/>
      <x:c r="G315" s="79" t="str">
        <x:v>canonical_group_row</x:v>
      </x:c>
      <x:c r="H315" s="79" t="str">
        <x:v>گیاهان دارویی</x:v>
      </x:c>
      <x:c r="I315" s="79" t="str">
        <x:v>6a3782d7df5573f4e676e243</x:v>
      </x:c>
      <x:c r="J315" s="79" t="str">
        <x:v>medicinal-plants</x:v>
      </x:c>
      <x:c r="K315" s="79" t="str">
        <x:v>NON_EDIBLE</x:v>
      </x:c>
      <x:c r="L315" s="79" t="str">
        <x:v>خیر</x:v>
      </x:c>
      <x:c r="M315" s="79" t="str">
        <x:v>OK</x:v>
      </x:c>
      <x:c r="N315" s="79" t="str">
        <x:v>دسته قبلاً خالی/نیازمند بررسی بود؛ بر اساس ماهیت موضعی/غیرخوراکی به گیاهان دارویی منتقل شد | غیرخوراکی</x:v>
      </x:c>
      <x:c r="O315" s="79" t="str">
        <x:v>بله</x:v>
      </x:c>
      <x:c r="P315" s="79" t="str">
        <x:v>نیاز به بررسی</x:v>
      </x:c>
      <x:c r="Q315" s="79"/>
      <x:c r="R315" s="79" t="str">
        <x:v>شاخه ای</x:v>
      </x:c>
      <x:c r="S315" s="79" t="n">
        <x:v>30000</x:v>
      </x:c>
      <x:c r="T315" s="79"/>
      <x:c r="U315" s="79"/>
    </x:row>
    <x:row r="316">
      <x:c r="A316" s="79" t="n">
        <x:v>318</x:v>
      </x:c>
      <x:c r="B316" s="79" t="str">
        <x:v>NS-0315-1</x:v>
      </x:c>
      <x:c r="C316" s="79" t="str">
        <x:v>غوره پودر</x:v>
      </x:c>
      <x:c r="D316" s="79" t="str">
        <x:v>غوره پودر</x:v>
      </x:c>
      <x:c r="E316" s="79" t="str">
        <x:v>single_318</x:v>
      </x:c>
      <x:c r="F316" s="79"/>
      <x:c r="G316" s="79" t="str">
        <x:v>canonical_group_row</x:v>
      </x:c>
      <x:c r="H316" s="79" t="str">
        <x:v>ادویه</x:v>
      </x:c>
      <x:c r="I316" s="79" t="str">
        <x:v>6a3781e4df5573f4e676e226</x:v>
      </x:c>
      <x:c r="J316" s="79" t="str">
        <x:v>spice</x:v>
      </x:c>
      <x:c r="K316" s="79" t="str">
        <x:v>EDIBLE</x:v>
      </x:c>
      <x:c r="L316" s="79" t="str">
        <x:v>بله</x:v>
      </x:c>
      <x:c r="M316" s="79" t="str">
        <x:v>MISSING_PRICE_REVIEW</x:v>
      </x:c>
      <x:c r="N316" s="79" t="str">
        <x:v>یک یا چند قیمت نامشخص است</x:v>
      </x:c>
      <x:c r="O316" s="79" t="str">
        <x:v>بله</x:v>
      </x:c>
      <x:c r="P316" s="79" t="str">
        <x:v>ادویه</x:v>
      </x:c>
      <x:c r="Q316" s="79" t="str">
        <x:v>6a3781e4df5573f4e676e226</x:v>
      </x:c>
      <x:c r="R316" s="79" t="str">
        <x:v>کیلو</x:v>
      </x:c>
      <x:c r="S316" s="79"/>
      <x:c r="T316" s="79"/>
      <x:c r="U316" s="79"/>
    </x:row>
    <x:row r="317">
      <x:c r="A317" s="79" t="n">
        <x:v>319</x:v>
      </x:c>
      <x:c r="B317" s="79" t="str">
        <x:v>NS-0316-1</x:v>
      </x:c>
      <x:c r="C317" s="79" t="str">
        <x:v>فلفل ترکی</x:v>
      </x:c>
      <x:c r="D317" s="79" t="str">
        <x:v>فلفل ترکی</x:v>
      </x:c>
      <x:c r="E317" s="79" t="str">
        <x:v>single_319</x:v>
      </x:c>
      <x:c r="F317" s="79"/>
      <x:c r="G317" s="79" t="str">
        <x:v>canonical_group_row</x:v>
      </x:c>
      <x:c r="H317" s="79" t="str">
        <x:v>ادویه</x:v>
      </x:c>
      <x:c r="I317" s="79" t="str">
        <x:v>6a3781e4df5573f4e676e226</x:v>
      </x:c>
      <x:c r="J317" s="79" t="str">
        <x:v>spice</x:v>
      </x:c>
      <x:c r="K317" s="79" t="str">
        <x:v>EDIBLE</x:v>
      </x:c>
      <x:c r="L317" s="79" t="str">
        <x:v>بله</x:v>
      </x:c>
      <x:c r="M317" s="79" t="str">
        <x:v>OK</x:v>
      </x:c>
      <x:c r="N317" s="79"/>
      <x:c r="O317" s="79" t="str">
        <x:v>بله</x:v>
      </x:c>
      <x:c r="P317" s="79" t="str">
        <x:v>ادویه</x:v>
      </x:c>
      <x:c r="Q317" s="79" t="str">
        <x:v>6a3781e4df5573f4e676e226</x:v>
      </x:c>
      <x:c r="R317" s="79" t="str">
        <x:v>کیلو</x:v>
      </x:c>
      <x:c r="S317" s="79" t="n">
        <x:v>850000</x:v>
      </x:c>
      <x:c r="T317" s="79"/>
      <x:c r="U317" s="79"/>
    </x:row>
    <x:row r="318">
      <x:c r="A318" s="79" t="n">
        <x:v>320</x:v>
      </x:c>
      <x:c r="B318" s="79" t="str">
        <x:v>NS-0317-1</x:v>
      </x:c>
      <x:c r="C318" s="79" t="str">
        <x:v>فلفل سیاه</x:v>
      </x:c>
      <x:c r="D318" s="79" t="str">
        <x:v>فلفل سیاه</x:v>
      </x:c>
      <x:c r="E318" s="79" t="str">
        <x:v>single_320</x:v>
      </x:c>
      <x:c r="F318" s="79"/>
      <x:c r="G318" s="79" t="str">
        <x:v>canonical_group_row</x:v>
      </x:c>
      <x:c r="H318" s="79" t="str">
        <x:v>ادویه</x:v>
      </x:c>
      <x:c r="I318" s="79" t="str">
        <x:v>6a3781e4df5573f4e676e226</x:v>
      </x:c>
      <x:c r="J318" s="79" t="str">
        <x:v>spice</x:v>
      </x:c>
      <x:c r="K318" s="79" t="str">
        <x:v>EDIBLE</x:v>
      </x:c>
      <x:c r="L318" s="79" t="str">
        <x:v>بله</x:v>
      </x:c>
      <x:c r="M318" s="79" t="str">
        <x:v>OK</x:v>
      </x:c>
      <x:c r="N318" s="79"/>
      <x:c r="O318" s="79" t="str">
        <x:v>بله</x:v>
      </x:c>
      <x:c r="P318" s="79" t="str">
        <x:v>ادویه</x:v>
      </x:c>
      <x:c r="Q318" s="79" t="str">
        <x:v>6a3781e4df5573f4e676e226</x:v>
      </x:c>
      <x:c r="R318" s="79" t="str">
        <x:v>کیلو</x:v>
      </x:c>
      <x:c r="S318" s="79" t="n">
        <x:v>2300000</x:v>
      </x:c>
      <x:c r="T318" s="79"/>
      <x:c r="U318" s="79"/>
    </x:row>
    <x:row r="319">
      <x:c r="A319" s="79" t="n">
        <x:v>321</x:v>
      </x:c>
      <x:c r="B319" s="79" t="str">
        <x:v>NS-0318-1</x:v>
      </x:c>
      <x:c r="C319" s="79" t="str">
        <x:v>فلفل قرمز ایرانی</x:v>
      </x:c>
      <x:c r="D319" s="79" t="str">
        <x:v>فلفل قرمز ایرانی</x:v>
      </x:c>
      <x:c r="E319" s="79" t="str">
        <x:v>single_321</x:v>
      </x:c>
      <x:c r="F319" s="79"/>
      <x:c r="G319" s="79" t="str">
        <x:v>canonical_group_row</x:v>
      </x:c>
      <x:c r="H319" s="79" t="str">
        <x:v>ادویه</x:v>
      </x:c>
      <x:c r="I319" s="79" t="str">
        <x:v>6a3781e4df5573f4e676e226</x:v>
      </x:c>
      <x:c r="J319" s="79" t="str">
        <x:v>spice</x:v>
      </x:c>
      <x:c r="K319" s="79" t="str">
        <x:v>EDIBLE</x:v>
      </x:c>
      <x:c r="L319" s="79" t="str">
        <x:v>بله</x:v>
      </x:c>
      <x:c r="M319" s="79" t="str">
        <x:v>OK</x:v>
      </x:c>
      <x:c r="N319" s="79"/>
      <x:c r="O319" s="79" t="str">
        <x:v>بله</x:v>
      </x:c>
      <x:c r="P319" s="79" t="str">
        <x:v>ادویه</x:v>
      </x:c>
      <x:c r="Q319" s="79" t="str">
        <x:v>6a3781e4df5573f4e676e226</x:v>
      </x:c>
      <x:c r="R319" s="79" t="str">
        <x:v>کیلو</x:v>
      </x:c>
      <x:c r="S319" s="79" t="n">
        <x:v>600000</x:v>
      </x:c>
      <x:c r="T319" s="79"/>
      <x:c r="U319" s="79"/>
    </x:row>
    <x:row r="320">
      <x:c r="A320" s="79" t="n">
        <x:v>322</x:v>
      </x:c>
      <x:c r="B320" s="79" t="str">
        <x:v>NS-0319-1</x:v>
      </x:c>
      <x:c r="C320" s="79" t="str">
        <x:v>فلفل قرمز هندی (رنگ)</x:v>
      </x:c>
      <x:c r="D320" s="79" t="str">
        <x:v>فلفل قرمز هندی (رنگ)</x:v>
      </x:c>
      <x:c r="E320" s="79" t="str">
        <x:v>single_322</x:v>
      </x:c>
      <x:c r="F320" s="79"/>
      <x:c r="G320" s="79" t="str">
        <x:v>canonical_group_row</x:v>
      </x:c>
      <x:c r="H320" s="79" t="str">
        <x:v>ادویه</x:v>
      </x:c>
      <x:c r="I320" s="79" t="str">
        <x:v>6a3781e4df5573f4e676e226</x:v>
      </x:c>
      <x:c r="J320" s="79" t="str">
        <x:v>spice</x:v>
      </x:c>
      <x:c r="K320" s="79" t="str">
        <x:v>EDIBLE</x:v>
      </x:c>
      <x:c r="L320" s="79" t="str">
        <x:v>بله</x:v>
      </x:c>
      <x:c r="M320" s="79" t="str">
        <x:v>OK</x:v>
      </x:c>
      <x:c r="N320" s="79"/>
      <x:c r="O320" s="79" t="str">
        <x:v>بله</x:v>
      </x:c>
      <x:c r="P320" s="79" t="str">
        <x:v>ادویه</x:v>
      </x:c>
      <x:c r="Q320" s="79" t="str">
        <x:v>6a3781e4df5573f4e676e226</x:v>
      </x:c>
      <x:c r="R320" s="79" t="str">
        <x:v>کیلو</x:v>
      </x:c>
      <x:c r="S320" s="79" t="n">
        <x:v>700000</x:v>
      </x:c>
      <x:c r="T320" s="79"/>
      <x:c r="U320" s="79"/>
    </x:row>
    <x:row r="321">
      <x:c r="A321" s="79" t="n">
        <x:v>323</x:v>
      </x:c>
      <x:c r="B321" s="79" t="str">
        <x:v>NS-0320-1</x:v>
      </x:c>
      <x:c r="C321" s="79" t="str">
        <x:v>فلفل قرمز هندی تند</x:v>
      </x:c>
      <x:c r="D321" s="79" t="str">
        <x:v>فلفل قرمز هندی</x:v>
      </x:c>
      <x:c r="E321" s="79" t="str">
        <x:v>grp_indian_red_pepper</x:v>
      </x:c>
      <x:c r="F321" s="79" t="str">
        <x:v>تند</x:v>
      </x:c>
      <x:c r="G321" s="79" t="str">
        <x:v>canonical_group_row</x:v>
      </x:c>
      <x:c r="H321" s="79" t="str">
        <x:v>ادویه</x:v>
      </x:c>
      <x:c r="I321" s="79" t="str">
        <x:v>6a3781e4df5573f4e676e226</x:v>
      </x:c>
      <x:c r="J321" s="79" t="str">
        <x:v>spice</x:v>
      </x:c>
      <x:c r="K321" s="79" t="str">
        <x:v>EDIBLE</x:v>
      </x:c>
      <x:c r="L321" s="79" t="str">
        <x:v>بله</x:v>
      </x:c>
      <x:c r="M321" s="79" t="str">
        <x:v>OK</x:v>
      </x:c>
      <x:c r="N321" s="79"/>
      <x:c r="O321" s="79" t="str">
        <x:v>بله</x:v>
      </x:c>
      <x:c r="P321" s="79" t="str">
        <x:v>ادویه</x:v>
      </x:c>
      <x:c r="Q321" s="79" t="str">
        <x:v>6a3781e4df5573f4e676e226</x:v>
      </x:c>
      <x:c r="R321" s="79" t="str">
        <x:v>کیلو</x:v>
      </x:c>
      <x:c r="S321" s="79" t="n">
        <x:v>900000</x:v>
      </x:c>
      <x:c r="T321" s="79"/>
      <x:c r="U321" s="79"/>
    </x:row>
    <x:row r="322">
      <x:c r="A322" s="79" t="n">
        <x:v>324</x:v>
      </x:c>
      <x:c r="B322" s="79" t="str">
        <x:v>NS-0321-1</x:v>
      </x:c>
      <x:c r="C322" s="79" t="str">
        <x:v>قرص کمر</x:v>
      </x:c>
      <x:c r="D322" s="79" t="str">
        <x:v>قرص کمر</x:v>
      </x:c>
      <x:c r="E322" s="79" t="str">
        <x:v>single_324</x:v>
      </x:c>
      <x:c r="F322" s="79"/>
      <x:c r="G322" s="79" t="str">
        <x:v>canonical_group_row</x:v>
      </x:c>
      <x:c r="H322" s="79" t="str">
        <x:v>گیاهان دارویی</x:v>
      </x:c>
      <x:c r="I322" s="79" t="str">
        <x:v>6a3782d7df5573f4e676e243</x:v>
      </x:c>
      <x:c r="J322" s="79" t="str">
        <x:v>medicinal-plants</x:v>
      </x:c>
      <x:c r="K322" s="79" t="str">
        <x:v>REVIEW</x:v>
      </x:c>
      <x:c r="L322" s="79" t="str">
        <x:v>نیاز به بررسی</x:v>
      </x:c>
      <x:c r="M322" s="79" t="str">
        <x:v>OK</x:v>
      </x:c>
      <x:c r="N322" s="79" t="str">
        <x:v>دسته با اطمینان متوسط اصلاح شد؛ در صورت حساسیت دستی بازبینی شود | نوع مصرف نیازمند بررسی دستی</x:v>
      </x:c>
      <x:c r="O322" s="79" t="str">
        <x:v>بله</x:v>
      </x:c>
      <x:c r="P322" s="79" t="str">
        <x:v>نیاز به بررسی</x:v>
      </x:c>
      <x:c r="Q322" s="79"/>
      <x:c r="R322" s="79" t="str">
        <x:v>کیلو</x:v>
      </x:c>
      <x:c r="S322" s="79" t="n">
        <x:v>500000</x:v>
      </x:c>
      <x:c r="T322" s="79"/>
      <x:c r="U322" s="79"/>
    </x:row>
    <x:row r="323">
      <x:c r="A323" s="79" t="n">
        <x:v>325</x:v>
      </x:c>
      <x:c r="B323" s="79" t="str">
        <x:v>NS-0322-1</x:v>
      </x:c>
      <x:c r="C323" s="79" t="str">
        <x:v>قره قروت</x:v>
      </x:c>
      <x:c r="D323" s="79" t="str">
        <x:v>قره قروت</x:v>
      </x:c>
      <x:c r="E323" s="79" t="str">
        <x:v>single_325</x:v>
      </x:c>
      <x:c r="F323" s="79"/>
      <x:c r="G323" s="79" t="str">
        <x:v>canonical_group_row</x:v>
      </x:c>
      <x:c r="H323" s="79" t="str">
        <x:v>قنادی و شیرینی</x:v>
      </x:c>
      <x:c r="I323" s="79" t="str">
        <x:v>6a3a00000000000000000003</x:v>
      </x:c>
      <x:c r="J323" s="79" t="str">
        <x:v>confectionery</x:v>
      </x:c>
      <x:c r="K323" s="79" t="str">
        <x:v>EDIBLE</x:v>
      </x:c>
      <x:c r="L323" s="79" t="str">
        <x:v>بله</x:v>
      </x:c>
      <x:c r="M323" s="79" t="str">
        <x:v>OK</x:v>
      </x:c>
      <x:c r="N323" s="79" t="str">
        <x:v>دسته از «نیاز به بررسی» به «قنادی و شیرینی» اصلاح شد</x:v>
      </x:c>
      <x:c r="O323" s="79" t="str">
        <x:v>بله</x:v>
      </x:c>
      <x:c r="P323" s="79" t="str">
        <x:v>نیاز به بررسی</x:v>
      </x:c>
      <x:c r="Q323" s="79"/>
      <x:c r="R323" s="79" t="str">
        <x:v>کیلو</x:v>
      </x:c>
      <x:c r="S323" s="79" t="n">
        <x:v>250000</x:v>
      </x:c>
      <x:c r="T323" s="79"/>
      <x:c r="U323" s="79"/>
    </x:row>
    <x:row r="324">
      <x:c r="A324" s="79" t="n">
        <x:v>326</x:v>
      </x:c>
      <x:c r="B324" s="79" t="str">
        <x:v>NS-0323-1</x:v>
      </x:c>
      <x:c r="C324" s="79" t="str">
        <x:v>قهوه اسپرسو</x:v>
      </x:c>
      <x:c r="D324" s="79" t="str">
        <x:v>قهوه اسپرسو</x:v>
      </x:c>
      <x:c r="E324" s="79" t="str">
        <x:v>single_326</x:v>
      </x:c>
      <x:c r="F324" s="79"/>
      <x:c r="G324" s="79" t="str">
        <x:v>canonical_group_row</x:v>
      </x:c>
      <x:c r="H324" s="79" t="str">
        <x:v>نوشیدنی‌ها</x:v>
      </x:c>
      <x:c r="I324" s="79" t="str">
        <x:v>6a3782ffdf5573f4e676e24b</x:v>
      </x:c>
      <x:c r="J324" s="79" t="str">
        <x:v>syrup</x:v>
      </x:c>
      <x:c r="K324" s="79" t="str">
        <x:v>EDIBLE</x:v>
      </x:c>
      <x:c r="L324" s="79" t="str">
        <x:v>بله</x:v>
      </x:c>
      <x:c r="M324" s="79" t="str">
        <x:v>OK</x:v>
      </x:c>
      <x:c r="N324" s="79" t="str">
        <x:v>دسته از «نیاز به بررسی» به «نوشیدنی‌ها» اصلاح شد</x:v>
      </x:c>
      <x:c r="O324" s="79" t="str">
        <x:v>بله</x:v>
      </x:c>
      <x:c r="P324" s="79" t="str">
        <x:v>نیاز به بررسی</x:v>
      </x:c>
      <x:c r="Q324" s="79"/>
      <x:c r="R324" s="79" t="str">
        <x:v>کیلو</x:v>
      </x:c>
      <x:c r="S324" s="79" t="n">
        <x:v>1850000</x:v>
      </x:c>
      <x:c r="T324" s="79" t="str">
        <x:v>بسته ای</x:v>
      </x:c>
      <x:c r="U324" s="79" t="n">
        <x:v>220000</x:v>
      </x:c>
    </x:row>
    <x:row r="325">
      <x:c r="A325" s="79" t="n">
        <x:v>327</x:v>
      </x:c>
      <x:c r="B325" s="79" t="str">
        <x:v>NS-0324-1</x:v>
      </x:c>
      <x:c r="C325" s="79" t="str">
        <x:v>قهوه ترک</x:v>
      </x:c>
      <x:c r="D325" s="79" t="str">
        <x:v>قهوه ترک</x:v>
      </x:c>
      <x:c r="E325" s="79" t="str">
        <x:v>single_327</x:v>
      </x:c>
      <x:c r="F325" s="79"/>
      <x:c r="G325" s="79" t="str">
        <x:v>canonical_group_row</x:v>
      </x:c>
      <x:c r="H325" s="79" t="str">
        <x:v>نوشیدنی‌ها</x:v>
      </x:c>
      <x:c r="I325" s="79" t="str">
        <x:v>6a3782ffdf5573f4e676e24b</x:v>
      </x:c>
      <x:c r="J325" s="79" t="str">
        <x:v>syrup</x:v>
      </x:c>
      <x:c r="K325" s="79" t="str">
        <x:v>EDIBLE</x:v>
      </x:c>
      <x:c r="L325" s="79" t="str">
        <x:v>بله</x:v>
      </x:c>
      <x:c r="M325" s="79" t="str">
        <x:v>OK</x:v>
      </x:c>
      <x:c r="N325" s="79" t="str">
        <x:v>دسته از «نیاز به بررسی» به «نوشیدنی‌ها» اصلاح شد</x:v>
      </x:c>
      <x:c r="O325" s="79" t="str">
        <x:v>بله</x:v>
      </x:c>
      <x:c r="P325" s="79" t="str">
        <x:v>نیاز به بررسی</x:v>
      </x:c>
      <x:c r="Q325" s="79"/>
      <x:c r="R325" s="79" t="str">
        <x:v>کیلو</x:v>
      </x:c>
      <x:c r="S325" s="79" t="n">
        <x:v>1850000</x:v>
      </x:c>
      <x:c r="T325" s="79" t="str">
        <x:v>بسته ای</x:v>
      </x:c>
      <x:c r="U325" s="79" t="n">
        <x:v>220000</x:v>
      </x:c>
    </x:row>
    <x:row r="326">
      <x:c r="A326" s="79" t="n">
        <x:v>328</x:v>
      </x:c>
      <x:c r="B326" s="79" t="str">
        <x:v>NS-0325-1</x:v>
      </x:c>
      <x:c r="C326" s="79" t="str">
        <x:v>قهوه فوری</x:v>
      </x:c>
      <x:c r="D326" s="79" t="str">
        <x:v>قهوه فوری</x:v>
      </x:c>
      <x:c r="E326" s="79" t="str">
        <x:v>single_328</x:v>
      </x:c>
      <x:c r="F326" s="79"/>
      <x:c r="G326" s="79" t="str">
        <x:v>canonical_group_row</x:v>
      </x:c>
      <x:c r="H326" s="79" t="str">
        <x:v>نوشیدنی‌ها</x:v>
      </x:c>
      <x:c r="I326" s="79" t="str">
        <x:v>6a3782ffdf5573f4e676e24b</x:v>
      </x:c>
      <x:c r="J326" s="79" t="str">
        <x:v>syrup</x:v>
      </x:c>
      <x:c r="K326" s="79" t="str">
        <x:v>EDIBLE</x:v>
      </x:c>
      <x:c r="L326" s="79" t="str">
        <x:v>بله</x:v>
      </x:c>
      <x:c r="M326" s="79" t="str">
        <x:v>OK</x:v>
      </x:c>
      <x:c r="N326" s="79" t="str">
        <x:v>دسته از «نیاز به بررسی» به «نوشیدنی‌ها» اصلاح شد</x:v>
      </x:c>
      <x:c r="O326" s="79" t="str">
        <x:v>بله</x:v>
      </x:c>
      <x:c r="P326" s="79" t="str">
        <x:v>نیاز به بررسی</x:v>
      </x:c>
      <x:c r="Q326" s="79"/>
      <x:c r="R326" s="79" t="str">
        <x:v>کیلو</x:v>
      </x:c>
      <x:c r="S326" s="79" t="n">
        <x:v>4900000</x:v>
      </x:c>
      <x:c r="T326" s="79"/>
      <x:c r="U326" s="79"/>
    </x:row>
    <x:row r="327">
      <x:c r="A327" s="79" t="n">
        <x:v>329</x:v>
      </x:c>
      <x:c r="B327" s="79" t="str">
        <x:v>NS-0326-1</x:v>
      </x:c>
      <x:c r="C327" s="79" t="str">
        <x:v>کاکائو</x:v>
      </x:c>
      <x:c r="D327" s="79" t="str">
        <x:v>کاکائو</x:v>
      </x:c>
      <x:c r="E327" s="79" t="str">
        <x:v>single_329</x:v>
      </x:c>
      <x:c r="F327" s="79"/>
      <x:c r="G327" s="79" t="str">
        <x:v>canonical_group_row</x:v>
      </x:c>
      <x:c r="H327" s="79" t="str">
        <x:v>قنادی و شیرینی</x:v>
      </x:c>
      <x:c r="I327" s="79" t="str">
        <x:v>6a3a00000000000000000003</x:v>
      </x:c>
      <x:c r="J327" s="79" t="str">
        <x:v>confectionery</x:v>
      </x:c>
      <x:c r="K327" s="79" t="str">
        <x:v>EDIBLE</x:v>
      </x:c>
      <x:c r="L327" s="79" t="str">
        <x:v>بله</x:v>
      </x:c>
      <x:c r="M327" s="79" t="str">
        <x:v>OK</x:v>
      </x:c>
      <x:c r="N327" s="79"/>
      <x:c r="O327" s="79" t="str">
        <x:v>بله</x:v>
      </x:c>
      <x:c r="P327" s="79" t="str">
        <x:v>قنادی و شیرینی</x:v>
      </x:c>
      <x:c r="Q327" s="79" t="str">
        <x:v>6a3a00000000000000000003</x:v>
      </x:c>
      <x:c r="R327" s="79" t="str">
        <x:v>کیلو</x:v>
      </x:c>
      <x:c r="S327" s="79" t="n">
        <x:v>3000000</x:v>
      </x:c>
      <x:c r="T327" s="79"/>
      <x:c r="U327" s="79"/>
    </x:row>
    <x:row r="328">
      <x:c r="A328" s="79" t="n">
        <x:v>330</x:v>
      </x:c>
      <x:c r="B328" s="79" t="str">
        <x:v>NS-0327-1</x:v>
      </x:c>
      <x:c r="C328" s="79" t="str">
        <x:v>کپسول خالی</x:v>
      </x:c>
      <x:c r="D328" s="79" t="str">
        <x:v>کپسول خالی</x:v>
      </x:c>
      <x:c r="E328" s="79" t="str">
        <x:v>single_330</x:v>
      </x:c>
      <x:c r="F328" s="79"/>
      <x:c r="G328" s="79" t="str">
        <x:v>skip_do_not_import</x:v>
      </x:c>
      <x:c r="H328" s="79" t="str">
        <x:v>عدم ایمپورت</x:v>
      </x:c>
      <x:c r="I328" s="79"/>
      <x:c r="J328" s="79" t="str">
        <x:v>SKIP</x:v>
      </x:c>
      <x:c r="K328" s="79" t="str">
        <x:v>NON_PRODUCT</x:v>
      </x:c>
      <x:c r="L328" s="79" t="str">
        <x:v>خیر</x:v>
      </x:c>
      <x:c r="M328" s="79" t="str">
        <x:v>SKIP_NON_PRODUCT</x:v>
      </x:c>
      <x:c r="N328" s="79" t="str">
        <x:v>ملزومات/ظرف/ابزار است و چون دسته «ملزومات» حذف شده، برای سایت ایمپورت نشود.</x:v>
      </x:c>
      <x:c r="O328" s="79" t="str">
        <x:v>بله</x:v>
      </x:c>
      <x:c r="P328" s="79" t="str">
        <x:v>نیاز به بررسی</x:v>
      </x:c>
      <x:c r="Q328" s="79"/>
      <x:c r="R328" s="79" t="str">
        <x:v>25 عددی</x:v>
      </x:c>
      <x:c r="S328" s="79" t="n">
        <x:v>50000</x:v>
      </x:c>
      <x:c r="T328" s="79"/>
      <x:c r="U328" s="79"/>
    </x:row>
    <x:row r="329">
      <x:c r="A329" s="79" t="n">
        <x:v>331</x:v>
      </x:c>
      <x:c r="B329" s="79" t="str">
        <x:v>NS-0328-1</x:v>
      </x:c>
      <x:c r="C329" s="79" t="str">
        <x:v>کرم ارده</x:v>
      </x:c>
      <x:c r="D329" s="79" t="str">
        <x:v>کرم ارده</x:v>
      </x:c>
      <x:c r="E329" s="79" t="str">
        <x:v>single_331</x:v>
      </x:c>
      <x:c r="F329" s="79"/>
      <x:c r="G329" s="79" t="str">
        <x:v>canonical_group_row</x:v>
      </x:c>
      <x:c r="H329" s="79" t="str">
        <x:v>قنادی و شیرینی</x:v>
      </x:c>
      <x:c r="I329" s="79" t="str">
        <x:v>6a3a00000000000000000003</x:v>
      </x:c>
      <x:c r="J329" s="79" t="str">
        <x:v>confectionery</x:v>
      </x:c>
      <x:c r="K329" s="79" t="str">
        <x:v>EDIBLE</x:v>
      </x:c>
      <x:c r="L329" s="79" t="str">
        <x:v>بله</x:v>
      </x:c>
      <x:c r="M329" s="79" t="str">
        <x:v>OK</x:v>
      </x:c>
      <x:c r="N329" s="79"/>
      <x:c r="O329" s="79" t="str">
        <x:v>بله</x:v>
      </x:c>
      <x:c r="P329" s="79" t="str">
        <x:v>قنادی و شیرینی</x:v>
      </x:c>
      <x:c r="Q329" s="79" t="str">
        <x:v>6a3a00000000000000000003</x:v>
      </x:c>
      <x:c r="R329" s="79" t="str">
        <x:v>کیلو</x:v>
      </x:c>
      <x:c r="S329" s="79" t="n">
        <x:v>900000</x:v>
      </x:c>
      <x:c r="T329" s="79"/>
      <x:c r="U329" s="79"/>
    </x:row>
    <x:row r="330">
      <x:c r="A330" s="79" t="n">
        <x:v>332</x:v>
      </x:c>
      <x:c r="B330" s="79" t="str">
        <x:v>NS-0329-1</x:v>
      </x:c>
      <x:c r="C330" s="79" t="str">
        <x:v>کرم بادام زمینی</x:v>
      </x:c>
      <x:c r="D330" s="79" t="str">
        <x:v>کرم بادام زمینی</x:v>
      </x:c>
      <x:c r="E330" s="79" t="str">
        <x:v>single_332</x:v>
      </x:c>
      <x:c r="F330" s="79"/>
      <x:c r="G330" s="79" t="str">
        <x:v>canonical_group_row</x:v>
      </x:c>
      <x:c r="H330" s="79" t="str">
        <x:v>خشکبار و آجیل</x:v>
      </x:c>
      <x:c r="I330" s="79" t="str">
        <x:v>6a37810ddf5573f4e676e201</x:v>
      </x:c>
      <x:c r="J330" s="79" t="str">
        <x:v>dried-fruits-nuts</x:v>
      </x:c>
      <x:c r="K330" s="79" t="str">
        <x:v>EDIBLE</x:v>
      </x:c>
      <x:c r="L330" s="79" t="str">
        <x:v>بله</x:v>
      </x:c>
      <x:c r="M330" s="79" t="str">
        <x:v>OK</x:v>
      </x:c>
      <x:c r="N330" s="79"/>
      <x:c r="O330" s="79" t="str">
        <x:v>بله</x:v>
      </x:c>
      <x:c r="P330" s="79" t="str">
        <x:v>خشکبار و آجیل</x:v>
      </x:c>
      <x:c r="Q330" s="79" t="str">
        <x:v>6a37810ddf5573f4e676e201</x:v>
      </x:c>
      <x:c r="R330" s="79" t="str">
        <x:v>کیلو</x:v>
      </x:c>
      <x:c r="S330" s="79" t="n">
        <x:v>1100000</x:v>
      </x:c>
      <x:c r="T330" s="79"/>
      <x:c r="U330" s="79"/>
    </x:row>
    <x:row r="331">
      <x:c r="A331" s="79" t="n">
        <x:v>333</x:v>
      </x:c>
      <x:c r="B331" s="79" t="str">
        <x:v>NS-0330-1</x:v>
      </x:c>
      <x:c r="C331" s="79" t="str">
        <x:v>کرم کنجد</x:v>
      </x:c>
      <x:c r="D331" s="79" t="str">
        <x:v>کرم کنجد</x:v>
      </x:c>
      <x:c r="E331" s="79" t="str">
        <x:v>single_333</x:v>
      </x:c>
      <x:c r="F331" s="79"/>
      <x:c r="G331" s="79" t="str">
        <x:v>canonical_group_row</x:v>
      </x:c>
      <x:c r="H331" s="79" t="str">
        <x:v>خشکبار و آجیل</x:v>
      </x:c>
      <x:c r="I331" s="79" t="str">
        <x:v>6a37810ddf5573f4e676e201</x:v>
      </x:c>
      <x:c r="J331" s="79" t="str">
        <x:v>dried-fruits-nuts</x:v>
      </x:c>
      <x:c r="K331" s="79" t="str">
        <x:v>EDIBLE</x:v>
      </x:c>
      <x:c r="L331" s="79" t="str">
        <x:v>بله</x:v>
      </x:c>
      <x:c r="M331" s="79" t="str">
        <x:v>OK</x:v>
      </x:c>
      <x:c r="N331" s="79"/>
      <x:c r="O331" s="79" t="str">
        <x:v>بله</x:v>
      </x:c>
      <x:c r="P331" s="79" t="str">
        <x:v>خشکبار و آجیل</x:v>
      </x:c>
      <x:c r="Q331" s="79" t="str">
        <x:v>6a37810ddf5573f4e676e201</x:v>
      </x:c>
      <x:c r="R331" s="79" t="str">
        <x:v>کیلو</x:v>
      </x:c>
      <x:c r="S331" s="79" t="n">
        <x:v>900000</x:v>
      </x:c>
      <x:c r="T331" s="79"/>
      <x:c r="U331" s="79"/>
    </x:row>
    <x:row r="332">
      <x:c r="A332" s="79" t="n">
        <x:v>334</x:v>
      </x:c>
      <x:c r="B332" s="79" t="str">
        <x:v>NS-0331-1</x:v>
      </x:c>
      <x:c r="C332" s="79" t="str">
        <x:v>کره بادام درختی</x:v>
      </x:c>
      <x:c r="D332" s="79" t="str">
        <x:v>کره بادام درختی</x:v>
      </x:c>
      <x:c r="E332" s="79" t="str">
        <x:v>single_334</x:v>
      </x:c>
      <x:c r="F332" s="79"/>
      <x:c r="G332" s="79" t="str">
        <x:v>canonical_group_row</x:v>
      </x:c>
      <x:c r="H332" s="79" t="str">
        <x:v>خشکبار و آجیل</x:v>
      </x:c>
      <x:c r="I332" s="79" t="str">
        <x:v>6a37810ddf5573f4e676e201</x:v>
      </x:c>
      <x:c r="J332" s="79" t="str">
        <x:v>dried-fruits-nuts</x:v>
      </x:c>
      <x:c r="K332" s="79" t="str">
        <x:v>EDIBLE</x:v>
      </x:c>
      <x:c r="L332" s="79" t="str">
        <x:v>بله</x:v>
      </x:c>
      <x:c r="M332" s="79" t="str">
        <x:v>OK</x:v>
      </x:c>
      <x:c r="N332" s="79"/>
      <x:c r="O332" s="79" t="str">
        <x:v>بله</x:v>
      </x:c>
      <x:c r="P332" s="79" t="str">
        <x:v>خشکبار و آجیل</x:v>
      </x:c>
      <x:c r="Q332" s="79" t="str">
        <x:v>6a37810ddf5573f4e676e201</x:v>
      </x:c>
      <x:c r="R332" s="79" t="str">
        <x:v>180 گرمی</x:v>
      </x:c>
      <x:c r="S332" s="79" t="n">
        <x:v>400000</x:v>
      </x:c>
      <x:c r="T332" s="79" t="str">
        <x:v>کیلو</x:v>
      </x:c>
      <x:c r="U332" s="79" t="n">
        <x:v>2250000</x:v>
      </x:c>
    </x:row>
    <x:row r="333">
      <x:c r="A333" s="79" t="n">
        <x:v>335</x:v>
      </x:c>
      <x:c r="B333" s="79" t="str">
        <x:v>NS-0332-1</x:v>
      </x:c>
      <x:c r="C333" s="79" t="str">
        <x:v>کره بادام زمینی</x:v>
      </x:c>
      <x:c r="D333" s="79" t="str">
        <x:v>کره بادام زمینی</x:v>
      </x:c>
      <x:c r="E333" s="79" t="str">
        <x:v>grp_peanut_butter</x:v>
      </x:c>
      <x:c r="F333" s="79" t="str">
        <x:v>ساده</x:v>
      </x:c>
      <x:c r="G333" s="79" t="str">
        <x:v>canonical_group_row</x:v>
      </x:c>
      <x:c r="H333" s="79" t="str">
        <x:v>خشکبار و آجیل</x:v>
      </x:c>
      <x:c r="I333" s="79" t="str">
        <x:v>6a37810ddf5573f4e676e201</x:v>
      </x:c>
      <x:c r="J333" s="79" t="str">
        <x:v>dried-fruits-nuts</x:v>
      </x:c>
      <x:c r="K333" s="79" t="str">
        <x:v>EDIBLE</x:v>
      </x:c>
      <x:c r="L333" s="79" t="str">
        <x:v>بله</x:v>
      </x:c>
      <x:c r="M333" s="79" t="str">
        <x:v>MERGED</x:v>
      </x:c>
      <x:c r="N333" s="79"/>
      <x:c r="O333" s="79" t="str">
        <x:v>بله</x:v>
      </x:c>
      <x:c r="P333" s="79" t="str">
        <x:v>خشکبار و آجیل</x:v>
      </x:c>
      <x:c r="Q333" s="79" t="str">
        <x:v>6a37810ddf5573f4e676e201</x:v>
      </x:c>
      <x:c r="R333" s="79" t="str">
        <x:v>کیلو</x:v>
      </x:c>
      <x:c r="S333" s="79" t="n">
        <x:v>690000</x:v>
      </x:c>
      <x:c r="T333" s="79"/>
      <x:c r="U333" s="79"/>
    </x:row>
    <x:row r="334">
      <x:c r="A334" s="79" t="n">
        <x:v>336</x:v>
      </x:c>
      <x:c r="B334" s="79" t="str">
        <x:v>NS-0333-1</x:v>
      </x:c>
      <x:c r="C334" s="79" t="str">
        <x:v>کره بادام زمینی عسلی</x:v>
      </x:c>
      <x:c r="D334" s="79" t="str">
        <x:v>کره بادام زمینی</x:v>
      </x:c>
      <x:c r="E334" s="79" t="str">
        <x:v>grp_peanut_butter</x:v>
      </x:c>
      <x:c r="F334" s="79" t="str">
        <x:v>عسلی</x:v>
      </x:c>
      <x:c r="G334" s="79" t="str">
        <x:v>merge_into_canonical_group</x:v>
      </x:c>
      <x:c r="H334" s="79" t="str">
        <x:v>خشکبار و آجیل</x:v>
      </x:c>
      <x:c r="I334" s="79" t="str">
        <x:v>6a37810ddf5573f4e676e201</x:v>
      </x:c>
      <x:c r="J334" s="79" t="str">
        <x:v>dried-fruits-nuts</x:v>
      </x:c>
      <x:c r="K334" s="79" t="str">
        <x:v>EDIBLE</x:v>
      </x:c>
      <x:c r="L334" s="79" t="str">
        <x:v>بله</x:v>
      </x:c>
      <x:c r="M334" s="79" t="str">
        <x:v>MERGED</x:v>
      </x:c>
      <x:c r="N334" s="79" t="str">
        <x:v>دسته از «قنادی و شیرینی» به «خشکبار و آجیل» اصلاح شد</x:v>
      </x:c>
      <x:c r="O334" s="79" t="str">
        <x:v>بله</x:v>
      </x:c>
      <x:c r="P334" s="79" t="str">
        <x:v>قنادی و شیرینی</x:v>
      </x:c>
      <x:c r="Q334" s="79" t="str">
        <x:v>6a3a00000000000000000003</x:v>
      </x:c>
      <x:c r="R334" s="79" t="str">
        <x:v>کیلو</x:v>
      </x:c>
      <x:c r="S334" s="79" t="n">
        <x:v>900000</x:v>
      </x:c>
      <x:c r="T334" s="79"/>
      <x:c r="U334" s="79"/>
    </x:row>
    <x:row r="335">
      <x:c r="A335" s="79" t="n">
        <x:v>337</x:v>
      </x:c>
      <x:c r="B335" s="79" t="str">
        <x:v>NS-0334-1</x:v>
      </x:c>
      <x:c r="C335" s="79" t="str">
        <x:v>کره بادام هندی</x:v>
      </x:c>
      <x:c r="D335" s="79" t="str">
        <x:v>کره بادام هندی</x:v>
      </x:c>
      <x:c r="E335" s="79" t="str">
        <x:v>single_337</x:v>
      </x:c>
      <x:c r="F335" s="79"/>
      <x:c r="G335" s="79" t="str">
        <x:v>canonical_group_row</x:v>
      </x:c>
      <x:c r="H335" s="79" t="str">
        <x:v>خشکبار و آجیل</x:v>
      </x:c>
      <x:c r="I335" s="79" t="str">
        <x:v>6a37810ddf5573f4e676e201</x:v>
      </x:c>
      <x:c r="J335" s="79" t="str">
        <x:v>dried-fruits-nuts</x:v>
      </x:c>
      <x:c r="K335" s="79" t="str">
        <x:v>EDIBLE</x:v>
      </x:c>
      <x:c r="L335" s="79" t="str">
        <x:v>بله</x:v>
      </x:c>
      <x:c r="M335" s="79" t="str">
        <x:v>MISSING_PRICE_REVIEW</x:v>
      </x:c>
      <x:c r="N335" s="79" t="str">
        <x:v>یک یا چند قیمت نامشخص است</x:v>
      </x:c>
      <x:c r="O335" s="79" t="str">
        <x:v>بله</x:v>
      </x:c>
      <x:c r="P335" s="79" t="str">
        <x:v>خشکبار و آجیل</x:v>
      </x:c>
      <x:c r="Q335" s="79" t="str">
        <x:v>6a37810ddf5573f4e676e201</x:v>
      </x:c>
      <x:c r="R335" s="79" t="str">
        <x:v>کیلو</x:v>
      </x:c>
      <x:c r="S335" s="79"/>
      <x:c r="T335" s="79"/>
      <x:c r="U335" s="79"/>
    </x:row>
    <x:row r="336">
      <x:c r="A336" s="79" t="n">
        <x:v>338</x:v>
      </x:c>
      <x:c r="B336" s="79" t="str">
        <x:v>NS-0335-1</x:v>
      </x:c>
      <x:c r="C336" s="79" t="str">
        <x:v>کره پسته</x:v>
      </x:c>
      <x:c r="D336" s="79" t="str">
        <x:v>کره پسته</x:v>
      </x:c>
      <x:c r="E336" s="79" t="str">
        <x:v>single_338</x:v>
      </x:c>
      <x:c r="F336" s="79"/>
      <x:c r="G336" s="79" t="str">
        <x:v>canonical_group_row</x:v>
      </x:c>
      <x:c r="H336" s="79" t="str">
        <x:v>خشکبار و آجیل</x:v>
      </x:c>
      <x:c r="I336" s="79" t="str">
        <x:v>6a37810ddf5573f4e676e201</x:v>
      </x:c>
      <x:c r="J336" s="79" t="str">
        <x:v>dried-fruits-nuts</x:v>
      </x:c>
      <x:c r="K336" s="79" t="str">
        <x:v>EDIBLE</x:v>
      </x:c>
      <x:c r="L336" s="79" t="str">
        <x:v>بله</x:v>
      </x:c>
      <x:c r="M336" s="79" t="str">
        <x:v>OK</x:v>
      </x:c>
      <x:c r="N336" s="79"/>
      <x:c r="O336" s="79" t="str">
        <x:v>بله</x:v>
      </x:c>
      <x:c r="P336" s="79" t="str">
        <x:v>خشکبار و آجیل</x:v>
      </x:c>
      <x:c r="Q336" s="79" t="str">
        <x:v>6a37810ddf5573f4e676e201</x:v>
      </x:c>
      <x:c r="R336" s="79" t="str">
        <x:v>180 گرمی</x:v>
      </x:c>
      <x:c r="S336" s="79" t="n">
        <x:v>810000</x:v>
      </x:c>
      <x:c r="T336" s="79" t="str">
        <x:v>کیلو</x:v>
      </x:c>
      <x:c r="U336" s="79" t="n">
        <x:v>4500000</x:v>
      </x:c>
    </x:row>
    <x:row r="337">
      <x:c r="A337" s="79" t="n">
        <x:v>339</x:v>
      </x:c>
      <x:c r="B337" s="79" t="str">
        <x:v>NS-0336-1</x:v>
      </x:c>
      <x:c r="C337" s="79" t="str">
        <x:v>کره پنج مغز</x:v>
      </x:c>
      <x:c r="D337" s="79" t="str">
        <x:v>کره پنج مغز</x:v>
      </x:c>
      <x:c r="E337" s="79" t="str">
        <x:v>single_339</x:v>
      </x:c>
      <x:c r="F337" s="79"/>
      <x:c r="G337" s="79" t="str">
        <x:v>canonical_group_row</x:v>
      </x:c>
      <x:c r="H337" s="79" t="str">
        <x:v>خشکبار و آجیل</x:v>
      </x:c>
      <x:c r="I337" s="79" t="str">
        <x:v>6a37810ddf5573f4e676e201</x:v>
      </x:c>
      <x:c r="J337" s="79" t="str">
        <x:v>dried-fruits-nuts</x:v>
      </x:c>
      <x:c r="K337" s="79" t="str">
        <x:v>EDIBLE</x:v>
      </x:c>
      <x:c r="L337" s="79" t="str">
        <x:v>بله</x:v>
      </x:c>
      <x:c r="M337" s="79" t="str">
        <x:v>OK</x:v>
      </x:c>
      <x:c r="N337" s="79" t="str">
        <x:v>دسته از «نیاز به بررسی» به «خشکبار و آجیل» اصلاح شد</x:v>
      </x:c>
      <x:c r="O337" s="79" t="str">
        <x:v>بله</x:v>
      </x:c>
      <x:c r="P337" s="79" t="str">
        <x:v>نیاز به بررسی</x:v>
      </x:c>
      <x:c r="Q337" s="79"/>
      <x:c r="R337" s="79" t="str">
        <x:v>195 گرمی</x:v>
      </x:c>
      <x:c r="S337" s="79" t="n">
        <x:v>500000</x:v>
      </x:c>
      <x:c r="T337" s="79"/>
      <x:c r="U337" s="79"/>
    </x:row>
    <x:row r="338">
      <x:c r="A338" s="79" t="n">
        <x:v>340</x:v>
      </x:c>
      <x:c r="B338" s="79" t="str">
        <x:v>NS-0337-1</x:v>
      </x:c>
      <x:c r="C338" s="79" t="str">
        <x:v>کره فندق</x:v>
      </x:c>
      <x:c r="D338" s="79" t="str">
        <x:v>کره فندق</x:v>
      </x:c>
      <x:c r="E338" s="79" t="str">
        <x:v>single_340</x:v>
      </x:c>
      <x:c r="F338" s="79"/>
      <x:c r="G338" s="79" t="str">
        <x:v>canonical_group_row</x:v>
      </x:c>
      <x:c r="H338" s="79" t="str">
        <x:v>خشکبار و آجیل</x:v>
      </x:c>
      <x:c r="I338" s="79" t="str">
        <x:v>6a37810ddf5573f4e676e201</x:v>
      </x:c>
      <x:c r="J338" s="79" t="str">
        <x:v>dried-fruits-nuts</x:v>
      </x:c>
      <x:c r="K338" s="79" t="str">
        <x:v>EDIBLE</x:v>
      </x:c>
      <x:c r="L338" s="79" t="str">
        <x:v>بله</x:v>
      </x:c>
      <x:c r="M338" s="79" t="str">
        <x:v>OK</x:v>
      </x:c>
      <x:c r="N338" s="79"/>
      <x:c r="O338" s="79" t="str">
        <x:v>بله</x:v>
      </x:c>
      <x:c r="P338" s="79" t="str">
        <x:v>خشکبار و آجیل</x:v>
      </x:c>
      <x:c r="Q338" s="79" t="str">
        <x:v>6a37810ddf5573f4e676e201</x:v>
      </x:c>
      <x:c r="R338" s="79" t="str">
        <x:v>195 گرمی</x:v>
      </x:c>
      <x:c r="S338" s="79" t="n">
        <x:v>500000</x:v>
      </x:c>
      <x:c r="T338" s="79"/>
      <x:c r="U338" s="79"/>
    </x:row>
    <x:row r="339">
      <x:c r="A339" s="79" t="n">
        <x:v>341</x:v>
      </x:c>
      <x:c r="B339" s="79" t="str">
        <x:v>NS-0338-1</x:v>
      </x:c>
      <x:c r="C339" s="79" t="str">
        <x:v>کره کدو</x:v>
      </x:c>
      <x:c r="D339" s="79" t="str">
        <x:v>کره کدو</x:v>
      </x:c>
      <x:c r="E339" s="79" t="str">
        <x:v>single_341</x:v>
      </x:c>
      <x:c r="F339" s="79"/>
      <x:c r="G339" s="79" t="str">
        <x:v>canonical_group_row</x:v>
      </x:c>
      <x:c r="H339" s="79" t="str">
        <x:v>خشکبار و آجیل</x:v>
      </x:c>
      <x:c r="I339" s="79" t="str">
        <x:v>6a37810ddf5573f4e676e201</x:v>
      </x:c>
      <x:c r="J339" s="79" t="str">
        <x:v>dried-fruits-nuts</x:v>
      </x:c>
      <x:c r="K339" s="79" t="str">
        <x:v>EDIBLE</x:v>
      </x:c>
      <x:c r="L339" s="79" t="str">
        <x:v>بله</x:v>
      </x:c>
      <x:c r="M339" s="79" t="str">
        <x:v>MISSING_PRICE_REVIEW</x:v>
      </x:c>
      <x:c r="N339" s="79" t="str">
        <x:v>دسته از «نیاز به بررسی» به «خشکبار و آجیل» اصلاح شد | یک یا چند قیمت نامشخص است</x:v>
      </x:c>
      <x:c r="O339" s="79" t="str">
        <x:v>بله</x:v>
      </x:c>
      <x:c r="P339" s="79" t="str">
        <x:v>نیاز به بررسی</x:v>
      </x:c>
      <x:c r="Q339" s="79"/>
      <x:c r="R339" s="79" t="str">
        <x:v>کیلو</x:v>
      </x:c>
      <x:c r="S339" s="79"/>
      <x:c r="T339" s="79"/>
      <x:c r="U339" s="79"/>
    </x:row>
    <x:row r="340">
      <x:c r="A340" s="79" t="n">
        <x:v>342</x:v>
      </x:c>
      <x:c r="B340" s="79" t="str">
        <x:v>NS-0339-1</x:v>
      </x:c>
      <x:c r="C340" s="79" t="str">
        <x:v>کره نارگیل</x:v>
      </x:c>
      <x:c r="D340" s="79" t="str">
        <x:v>کره نارگیل</x:v>
      </x:c>
      <x:c r="E340" s="79" t="str">
        <x:v>single_342</x:v>
      </x:c>
      <x:c r="F340" s="79"/>
      <x:c r="G340" s="79" t="str">
        <x:v>canonical_group_row</x:v>
      </x:c>
      <x:c r="H340" s="79" t="str">
        <x:v>خشکبار و آجیل</x:v>
      </x:c>
      <x:c r="I340" s="79" t="str">
        <x:v>6a37810ddf5573f4e676e201</x:v>
      </x:c>
      <x:c r="J340" s="79" t="str">
        <x:v>dried-fruits-nuts</x:v>
      </x:c>
      <x:c r="K340" s="79" t="str">
        <x:v>EDIBLE</x:v>
      </x:c>
      <x:c r="L340" s="79" t="str">
        <x:v>بله</x:v>
      </x:c>
      <x:c r="M340" s="79" t="str">
        <x:v>OK</x:v>
      </x:c>
      <x:c r="N340" s="79" t="str">
        <x:v>دسته از «نیاز به بررسی» به «خشکبار و آجیل» اصلاح شد</x:v>
      </x:c>
      <x:c r="O340" s="79" t="str">
        <x:v>بله</x:v>
      </x:c>
      <x:c r="P340" s="79" t="str">
        <x:v>نیاز به بررسی</x:v>
      </x:c>
      <x:c r="Q340" s="79"/>
      <x:c r="R340" s="79" t="str">
        <x:v>195 گرمی</x:v>
      </x:c>
      <x:c r="S340" s="79" t="n">
        <x:v>350000</x:v>
      </x:c>
      <x:c r="T340" s="79" t="str">
        <x:v>255 گرمی</x:v>
      </x:c>
      <x:c r="U340" s="79" t="n">
        <x:v>460000</x:v>
      </x:c>
    </x:row>
    <x:row r="341">
      <x:c r="A341" s="79" t="n">
        <x:v>343</x:v>
      </x:c>
      <x:c r="B341" s="79" t="str">
        <x:v>NS-0340-1</x:v>
      </x:c>
      <x:c r="C341" s="79" t="str">
        <x:v>کشمش با هسته (مویز)</x:v>
      </x:c>
      <x:c r="D341" s="79" t="str">
        <x:v>کشمش با هسته (مویز)</x:v>
      </x:c>
      <x:c r="E341" s="79" t="str">
        <x:v>single_343</x:v>
      </x:c>
      <x:c r="F341" s="79"/>
      <x:c r="G341" s="79" t="str">
        <x:v>canonical_group_row</x:v>
      </x:c>
      <x:c r="H341" s="79" t="str">
        <x:v>خشکبار و آجیل</x:v>
      </x:c>
      <x:c r="I341" s="79" t="str">
        <x:v>6a37810ddf5573f4e676e201</x:v>
      </x:c>
      <x:c r="J341" s="79" t="str">
        <x:v>dried-fruits-nuts</x:v>
      </x:c>
      <x:c r="K341" s="79" t="str">
        <x:v>EDIBLE</x:v>
      </x:c>
      <x:c r="L341" s="79" t="str">
        <x:v>بله</x:v>
      </x:c>
      <x:c r="M341" s="79" t="str">
        <x:v>OK</x:v>
      </x:c>
      <x:c r="N341" s="79"/>
      <x:c r="O341" s="79" t="str">
        <x:v>بله</x:v>
      </x:c>
      <x:c r="P341" s="79" t="str">
        <x:v>خشکبار و آجیل</x:v>
      </x:c>
      <x:c r="Q341" s="79" t="str">
        <x:v>6a37810ddf5573f4e676e201</x:v>
      </x:c>
      <x:c r="R341" s="79" t="str">
        <x:v>کیلو</x:v>
      </x:c>
      <x:c r="S341" s="79" t="n">
        <x:v>800000</x:v>
      </x:c>
      <x:c r="T341" s="79"/>
      <x:c r="U341" s="79"/>
    </x:row>
    <x:row r="342">
      <x:c r="A342" s="79" t="n">
        <x:v>344</x:v>
      </x:c>
      <x:c r="B342" s="79" t="str">
        <x:v>NS-0341-1</x:v>
      </x:c>
      <x:c r="C342" s="79" t="str">
        <x:v>کشمش سبز</x:v>
      </x:c>
      <x:c r="D342" s="79" t="str">
        <x:v>کشمش سبز</x:v>
      </x:c>
      <x:c r="E342" s="79" t="str">
        <x:v>single_344</x:v>
      </x:c>
      <x:c r="F342" s="79"/>
      <x:c r="G342" s="79" t="str">
        <x:v>canonical_group_row</x:v>
      </x:c>
      <x:c r="H342" s="79" t="str">
        <x:v>خشکبار و آجیل</x:v>
      </x:c>
      <x:c r="I342" s="79" t="str">
        <x:v>6a37810ddf5573f4e676e201</x:v>
      </x:c>
      <x:c r="J342" s="79" t="str">
        <x:v>dried-fruits-nuts</x:v>
      </x:c>
      <x:c r="K342" s="79" t="str">
        <x:v>EDIBLE</x:v>
      </x:c>
      <x:c r="L342" s="79" t="str">
        <x:v>بله</x:v>
      </x:c>
      <x:c r="M342" s="79" t="str">
        <x:v>OK</x:v>
      </x:c>
      <x:c r="N342" s="79"/>
      <x:c r="O342" s="79" t="str">
        <x:v>بله</x:v>
      </x:c>
      <x:c r="P342" s="79" t="str">
        <x:v>خشکبار و آجیل</x:v>
      </x:c>
      <x:c r="Q342" s="79" t="str">
        <x:v>6a37810ddf5573f4e676e201</x:v>
      </x:c>
      <x:c r="R342" s="79" t="str">
        <x:v>کیلو</x:v>
      </x:c>
      <x:c r="S342" s="79" t="n">
        <x:v>700000</x:v>
      </x:c>
      <x:c r="T342" s="79"/>
      <x:c r="U342" s="79"/>
    </x:row>
    <x:row r="343">
      <x:c r="A343" s="79" t="n">
        <x:v>345</x:v>
      </x:c>
      <x:c r="B343" s="79" t="str">
        <x:v>NS-0342-1</x:v>
      </x:c>
      <x:c r="C343" s="79" t="str">
        <x:v>کلوچه زنجبیلی با شکر قهوه ای</x:v>
      </x:c>
      <x:c r="D343" s="79" t="str">
        <x:v>کلوچه زنجبیلی با شکر قهوه ای</x:v>
      </x:c>
      <x:c r="E343" s="79" t="str">
        <x:v>single_345</x:v>
      </x:c>
      <x:c r="F343" s="79"/>
      <x:c r="G343" s="79" t="str">
        <x:v>canonical_group_row</x:v>
      </x:c>
      <x:c r="H343" s="79" t="str">
        <x:v>قنادی و شیرینی</x:v>
      </x:c>
      <x:c r="I343" s="79" t="str">
        <x:v>6a3a00000000000000000003</x:v>
      </x:c>
      <x:c r="J343" s="79" t="str">
        <x:v>confectionery</x:v>
      </x:c>
      <x:c r="K343" s="79" t="str">
        <x:v>EDIBLE</x:v>
      </x:c>
      <x:c r="L343" s="79" t="str">
        <x:v>بله</x:v>
      </x:c>
      <x:c r="M343" s="79" t="str">
        <x:v>OK</x:v>
      </x:c>
      <x:c r="N343" s="79"/>
      <x:c r="O343" s="79" t="str">
        <x:v>بله</x:v>
      </x:c>
      <x:c r="P343" s="79" t="str">
        <x:v>قنادی و شیرینی</x:v>
      </x:c>
      <x:c r="Q343" s="79" t="str">
        <x:v>6a3a00000000000000000003</x:v>
      </x:c>
      <x:c r="R343" s="79" t="str">
        <x:v>کیلو</x:v>
      </x:c>
      <x:c r="S343" s="79" t="n">
        <x:v>350000</x:v>
      </x:c>
      <x:c r="T343" s="79"/>
      <x:c r="U343" s="79"/>
    </x:row>
    <x:row r="344">
      <x:c r="A344" s="79" t="n">
        <x:v>346</x:v>
      </x:c>
      <x:c r="B344" s="79" t="str">
        <x:v>NS-0343-1</x:v>
      </x:c>
      <x:c r="C344" s="79" t="str">
        <x:v>کلوچه زنجبیلی با مغز خرما</x:v>
      </x:c>
      <x:c r="D344" s="79" t="str">
        <x:v>کلوچه زنجبیلی با مغز خرما</x:v>
      </x:c>
      <x:c r="E344" s="79" t="str">
        <x:v>single_346</x:v>
      </x:c>
      <x:c r="F344" s="79"/>
      <x:c r="G344" s="79" t="str">
        <x:v>canonical_group_row</x:v>
      </x:c>
      <x:c r="H344" s="79" t="str">
        <x:v>قنادی و شیرینی</x:v>
      </x:c>
      <x:c r="I344" s="79" t="str">
        <x:v>6a3a00000000000000000003</x:v>
      </x:c>
      <x:c r="J344" s="79" t="str">
        <x:v>confectionery</x:v>
      </x:c>
      <x:c r="K344" s="79" t="str">
        <x:v>EDIBLE</x:v>
      </x:c>
      <x:c r="L344" s="79" t="str">
        <x:v>بله</x:v>
      </x:c>
      <x:c r="M344" s="79" t="str">
        <x:v>OK</x:v>
      </x:c>
      <x:c r="N344" s="79"/>
      <x:c r="O344" s="79" t="str">
        <x:v>بله</x:v>
      </x:c>
      <x:c r="P344" s="79" t="str">
        <x:v>قنادی و شیرینی</x:v>
      </x:c>
      <x:c r="Q344" s="79" t="str">
        <x:v>6a3a00000000000000000003</x:v>
      </x:c>
      <x:c r="R344" s="79" t="str">
        <x:v>کیلو</x:v>
      </x:c>
      <x:c r="S344" s="79" t="n">
        <x:v>500000</x:v>
      </x:c>
      <x:c r="T344" s="79"/>
      <x:c r="U344" s="79"/>
    </x:row>
    <x:row r="345">
      <x:c r="A345" s="79" t="n">
        <x:v>347</x:v>
      </x:c>
      <x:c r="B345" s="79" t="str">
        <x:v>NS-0344-1</x:v>
      </x:c>
      <x:c r="C345" s="79" t="str">
        <x:v>کلوچه کلمپه</x:v>
      </x:c>
      <x:c r="D345" s="79" t="str">
        <x:v>کلوچه کلمپه</x:v>
      </x:c>
      <x:c r="E345" s="79" t="str">
        <x:v>single_347</x:v>
      </x:c>
      <x:c r="F345" s="79"/>
      <x:c r="G345" s="79" t="str">
        <x:v>canonical_group_row</x:v>
      </x:c>
      <x:c r="H345" s="79" t="str">
        <x:v>قنادی و شیرینی</x:v>
      </x:c>
      <x:c r="I345" s="79" t="str">
        <x:v>6a3a00000000000000000003</x:v>
      </x:c>
      <x:c r="J345" s="79" t="str">
        <x:v>confectionery</x:v>
      </x:c>
      <x:c r="K345" s="79" t="str">
        <x:v>EDIBLE</x:v>
      </x:c>
      <x:c r="L345" s="79" t="str">
        <x:v>بله</x:v>
      </x:c>
      <x:c r="M345" s="79" t="str">
        <x:v>OK</x:v>
      </x:c>
      <x:c r="N345" s="79" t="str">
        <x:v>دسته از «نیاز به بررسی» به «قنادی و شیرینی» اصلاح شد</x:v>
      </x:c>
      <x:c r="O345" s="79" t="str">
        <x:v>بله</x:v>
      </x:c>
      <x:c r="P345" s="79" t="str">
        <x:v>نیاز به بررسی</x:v>
      </x:c>
      <x:c r="Q345" s="79"/>
      <x:c r="R345" s="79" t="str">
        <x:v>عددی</x:v>
      </x:c>
      <x:c r="S345" s="79" t="n">
        <x:v>25000</x:v>
      </x:c>
      <x:c r="T345" s="79"/>
      <x:c r="U345" s="79"/>
    </x:row>
    <x:row r="346">
      <x:c r="A346" s="79" t="n">
        <x:v>348</x:v>
      </x:c>
      <x:c r="B346" s="79" t="str">
        <x:v>NS-0345-1</x:v>
      </x:c>
      <x:c r="C346" s="79" t="str">
        <x:v>کنجد خام ایرانی</x:v>
      </x:c>
      <x:c r="D346" s="79" t="str">
        <x:v>کنجد</x:v>
      </x:c>
      <x:c r="E346" s="79" t="str">
        <x:v>grp_sesame</x:v>
      </x:c>
      <x:c r="F346" s="79" t="str">
        <x:v>خام ایرانی</x:v>
      </x:c>
      <x:c r="G346" s="79" t="str">
        <x:v>canonical_group_row</x:v>
      </x:c>
      <x:c r="H346" s="79" t="str">
        <x:v>خشکبار و آجیل</x:v>
      </x:c>
      <x:c r="I346" s="79" t="str">
        <x:v>6a37810ddf5573f4e676e201</x:v>
      </x:c>
      <x:c r="J346" s="79" t="str">
        <x:v>dried-fruits-nuts</x:v>
      </x:c>
      <x:c r="K346" s="79" t="str">
        <x:v>EDIBLE</x:v>
      </x:c>
      <x:c r="L346" s="79" t="str">
        <x:v>بله</x:v>
      </x:c>
      <x:c r="M346" s="79" t="str">
        <x:v>MERGED + MISSING_PRICE_REVIEW</x:v>
      </x:c>
      <x:c r="N346" s="79" t="str">
        <x:v>یک یا چند قیمت نامشخص است</x:v>
      </x:c>
      <x:c r="O346" s="79" t="str">
        <x:v>بله</x:v>
      </x:c>
      <x:c r="P346" s="79" t="str">
        <x:v>خشکبار و آجیل</x:v>
      </x:c>
      <x:c r="Q346" s="79" t="str">
        <x:v>6a37810ddf5573f4e676e201</x:v>
      </x:c>
      <x:c r="R346" s="79" t="str">
        <x:v>کیلو</x:v>
      </x:c>
      <x:c r="S346" s="79"/>
      <x:c r="T346" s="79"/>
      <x:c r="U346" s="79"/>
    </x:row>
    <x:row r="347">
      <x:c r="A347" s="79" t="n">
        <x:v>349</x:v>
      </x:c>
      <x:c r="B347" s="79" t="str">
        <x:v>NS-0346-1</x:v>
      </x:c>
      <x:c r="C347" s="79" t="str">
        <x:v>کنجد دزفول</x:v>
      </x:c>
      <x:c r="D347" s="79" t="str">
        <x:v>کنجد</x:v>
      </x:c>
      <x:c r="E347" s="79" t="str">
        <x:v>grp_sesame</x:v>
      </x:c>
      <x:c r="F347" s="79" t="str">
        <x:v>دزفول</x:v>
      </x:c>
      <x:c r="G347" s="79" t="str">
        <x:v>merge_into_canonical_group</x:v>
      </x:c>
      <x:c r="H347" s="79" t="str">
        <x:v>خشکبار و آجیل</x:v>
      </x:c>
      <x:c r="I347" s="79" t="str">
        <x:v>6a37810ddf5573f4e676e201</x:v>
      </x:c>
      <x:c r="J347" s="79" t="str">
        <x:v>dried-fruits-nuts</x:v>
      </x:c>
      <x:c r="K347" s="79" t="str">
        <x:v>EDIBLE</x:v>
      </x:c>
      <x:c r="L347" s="79" t="str">
        <x:v>بله</x:v>
      </x:c>
      <x:c r="M347" s="79" t="str">
        <x:v>MERGED + MISSING_PRICE_REVIEW</x:v>
      </x:c>
      <x:c r="N347" s="79" t="str">
        <x:v>یک یا چند قیمت نامشخص است</x:v>
      </x:c>
      <x:c r="O347" s="79" t="str">
        <x:v>بله</x:v>
      </x:c>
      <x:c r="P347" s="79" t="str">
        <x:v>خشکبار و آجیل</x:v>
      </x:c>
      <x:c r="Q347" s="79" t="str">
        <x:v>6a37810ddf5573f4e676e201</x:v>
      </x:c>
      <x:c r="R347" s="79" t="str">
        <x:v>کیلو</x:v>
      </x:c>
      <x:c r="S347" s="79"/>
      <x:c r="T347" s="79"/>
      <x:c r="U347" s="79"/>
    </x:row>
    <x:row r="348">
      <x:c r="A348" s="79" t="n">
        <x:v>350</x:v>
      </x:c>
      <x:c r="B348" s="79" t="str">
        <x:v>NS-0347-1</x:v>
      </x:c>
      <x:c r="C348" s="79" t="str">
        <x:v>کنجد سفید</x:v>
      </x:c>
      <x:c r="D348" s="79" t="str">
        <x:v>کنجد</x:v>
      </x:c>
      <x:c r="E348" s="79" t="str">
        <x:v>grp_sesame</x:v>
      </x:c>
      <x:c r="F348" s="79" t="str">
        <x:v>سفید</x:v>
      </x:c>
      <x:c r="G348" s="79" t="str">
        <x:v>merge_into_canonical_group</x:v>
      </x:c>
      <x:c r="H348" s="79" t="str">
        <x:v>خشکبار و آجیل</x:v>
      </x:c>
      <x:c r="I348" s="79" t="str">
        <x:v>6a37810ddf5573f4e676e201</x:v>
      </x:c>
      <x:c r="J348" s="79" t="str">
        <x:v>dried-fruits-nuts</x:v>
      </x:c>
      <x:c r="K348" s="79" t="str">
        <x:v>EDIBLE</x:v>
      </x:c>
      <x:c r="L348" s="79" t="str">
        <x:v>بله</x:v>
      </x:c>
      <x:c r="M348" s="79" t="str">
        <x:v>MERGED</x:v>
      </x:c>
      <x:c r="N348" s="79"/>
      <x:c r="O348" s="79" t="str">
        <x:v>بله</x:v>
      </x:c>
      <x:c r="P348" s="79" t="str">
        <x:v>خشکبار و آجیل</x:v>
      </x:c>
      <x:c r="Q348" s="79" t="str">
        <x:v>6a37810ddf5573f4e676e201</x:v>
      </x:c>
      <x:c r="R348" s="79" t="str">
        <x:v>کیلو</x:v>
      </x:c>
      <x:c r="S348" s="79" t="n">
        <x:v>700000</x:v>
      </x:c>
      <x:c r="T348" s="79"/>
      <x:c r="U348" s="79"/>
    </x:row>
    <x:row r="349">
      <x:c r="A349" s="79" t="n">
        <x:v>351</x:v>
      </x:c>
      <x:c r="B349" s="79" t="str">
        <x:v>NS-0348-1</x:v>
      </x:c>
      <x:c r="C349" s="79" t="str">
        <x:v>کنجد قهوه ای</x:v>
      </x:c>
      <x:c r="D349" s="79" t="str">
        <x:v>کنجد</x:v>
      </x:c>
      <x:c r="E349" s="79" t="str">
        <x:v>grp_sesame</x:v>
      </x:c>
      <x:c r="F349" s="79" t="str">
        <x:v>قهوه‌ای</x:v>
      </x:c>
      <x:c r="G349" s="79" t="str">
        <x:v>merge_into_canonical_group</x:v>
      </x:c>
      <x:c r="H349" s="79" t="str">
        <x:v>خشکبار و آجیل</x:v>
      </x:c>
      <x:c r="I349" s="79" t="str">
        <x:v>6a37810ddf5573f4e676e201</x:v>
      </x:c>
      <x:c r="J349" s="79" t="str">
        <x:v>dried-fruits-nuts</x:v>
      </x:c>
      <x:c r="K349" s="79" t="str">
        <x:v>EDIBLE</x:v>
      </x:c>
      <x:c r="L349" s="79" t="str">
        <x:v>بله</x:v>
      </x:c>
      <x:c r="M349" s="79" t="str">
        <x:v>MERGED</x:v>
      </x:c>
      <x:c r="N349" s="79"/>
      <x:c r="O349" s="79" t="str">
        <x:v>بله</x:v>
      </x:c>
      <x:c r="P349" s="79" t="str">
        <x:v>خشکبار و آجیل</x:v>
      </x:c>
      <x:c r="Q349" s="79" t="str">
        <x:v>6a37810ddf5573f4e676e201</x:v>
      </x:c>
      <x:c r="R349" s="79" t="str">
        <x:v>کیلو</x:v>
      </x:c>
      <x:c r="S349" s="79" t="n">
        <x:v>600000</x:v>
      </x:c>
      <x:c r="T349" s="79"/>
      <x:c r="U349" s="79"/>
    </x:row>
    <x:row r="350">
      <x:c r="A350" s="79" t="n">
        <x:v>352</x:v>
      </x:c>
      <x:c r="B350" s="79" t="str">
        <x:v>NS-0349-1</x:v>
      </x:c>
      <x:c r="C350" s="79" t="str">
        <x:v>کنجد لار ارده</x:v>
      </x:c>
      <x:c r="D350" s="79" t="str">
        <x:v>کنجد</x:v>
      </x:c>
      <x:c r="E350" s="79" t="str">
        <x:v>grp_sesame</x:v>
      </x:c>
      <x:c r="F350" s="79" t="str">
        <x:v>لار ارده</x:v>
      </x:c>
      <x:c r="G350" s="79" t="str">
        <x:v>merge_into_canonical_group</x:v>
      </x:c>
      <x:c r="H350" s="79" t="str">
        <x:v>خشکبار و آجیل</x:v>
      </x:c>
      <x:c r="I350" s="79" t="str">
        <x:v>6a37810ddf5573f4e676e201</x:v>
      </x:c>
      <x:c r="J350" s="79" t="str">
        <x:v>dried-fruits-nuts</x:v>
      </x:c>
      <x:c r="K350" s="79" t="str">
        <x:v>EDIBLE</x:v>
      </x:c>
      <x:c r="L350" s="79" t="str">
        <x:v>بله</x:v>
      </x:c>
      <x:c r="M350" s="79" t="str">
        <x:v>MERGED</x:v>
      </x:c>
      <x:c r="N350" s="79" t="str">
        <x:v>دسته از «قنادی و شیرینی» به «خشکبار و آجیل» اصلاح شد</x:v>
      </x:c>
      <x:c r="O350" s="79" t="str">
        <x:v>بله</x:v>
      </x:c>
      <x:c r="P350" s="79" t="str">
        <x:v>قنادی و شیرینی</x:v>
      </x:c>
      <x:c r="Q350" s="79" t="str">
        <x:v>6a3a00000000000000000003</x:v>
      </x:c>
      <x:c r="R350" s="79" t="str">
        <x:v>کیلو</x:v>
      </x:c>
      <x:c r="S350" s="79" t="n">
        <x:v>680000</x:v>
      </x:c>
      <x:c r="T350" s="79"/>
      <x:c r="U350" s="79"/>
    </x:row>
    <x:row r="351">
      <x:c r="A351" s="79" t="n">
        <x:v>353</x:v>
      </x:c>
      <x:c r="B351" s="79" t="str">
        <x:v>NS-0350-1</x:v>
      </x:c>
      <x:c r="C351" s="79" t="str">
        <x:v>کندر خوراکی</x:v>
      </x:c>
      <x:c r="D351" s="79" t="str">
        <x:v>کندر خوراکی</x:v>
      </x:c>
      <x:c r="E351" s="79" t="str">
        <x:v>single_353</x:v>
      </x:c>
      <x:c r="F351" s="79"/>
      <x:c r="G351" s="79" t="str">
        <x:v>canonical_group_row</x:v>
      </x:c>
      <x:c r="H351" s="79" t="str">
        <x:v>گیاهان دارویی</x:v>
      </x:c>
      <x:c r="I351" s="79" t="str">
        <x:v>6a3782d7df5573f4e676e243</x:v>
      </x:c>
      <x:c r="J351" s="79" t="str">
        <x:v>medicinal-plants</x:v>
      </x:c>
      <x:c r="K351" s="79" t="str">
        <x:v>EDIBLE</x:v>
      </x:c>
      <x:c r="L351" s="79" t="str">
        <x:v>بله</x:v>
      </x:c>
      <x:c r="M351" s="79" t="str">
        <x:v>OK</x:v>
      </x:c>
      <x:c r="N351" s="79" t="str">
        <x:v>دسته از «نیاز به بررسی» به «گیاهان دارویی» اصلاح شد</x:v>
      </x:c>
      <x:c r="O351" s="79" t="str">
        <x:v>بله</x:v>
      </x:c>
      <x:c r="P351" s="79" t="str">
        <x:v>نیاز به بررسی</x:v>
      </x:c>
      <x:c r="Q351" s="79"/>
      <x:c r="R351" s="79" t="str">
        <x:v>کیلو</x:v>
      </x:c>
      <x:c r="S351" s="79" t="n">
        <x:v>4400000</x:v>
      </x:c>
      <x:c r="T351" s="79"/>
      <x:c r="U351" s="79"/>
    </x:row>
    <x:row r="352">
      <x:c r="A352" s="79" t="n">
        <x:v>354</x:v>
      </x:c>
      <x:c r="B352" s="79" t="str">
        <x:v>NS-0351-1</x:v>
      </x:c>
      <x:c r="C352" s="79" t="str">
        <x:v>کینوا سفید</x:v>
      </x:c>
      <x:c r="D352" s="79" t="str">
        <x:v>کینوا سفید</x:v>
      </x:c>
      <x:c r="E352" s="79" t="str">
        <x:v>single_354</x:v>
      </x:c>
      <x:c r="F352" s="79"/>
      <x:c r="G352" s="79" t="str">
        <x:v>canonical_group_row</x:v>
      </x:c>
      <x:c r="H352" s="79" t="str">
        <x:v>حبوبات و غلات</x:v>
      </x:c>
      <x:c r="I352" s="79" t="str">
        <x:v>6a3a00000000000000000002</x:v>
      </x:c>
      <x:c r="J352" s="79" t="str">
        <x:v>legumes-grains</x:v>
      </x:c>
      <x:c r="K352" s="79" t="str">
        <x:v>EDIBLE</x:v>
      </x:c>
      <x:c r="L352" s="79" t="str">
        <x:v>بله</x:v>
      </x:c>
      <x:c r="M352" s="79" t="str">
        <x:v>OK</x:v>
      </x:c>
      <x:c r="N352" s="79"/>
      <x:c r="O352" s="79" t="str">
        <x:v>بله</x:v>
      </x:c>
      <x:c r="P352" s="79" t="str">
        <x:v>حبوبات و غلات</x:v>
      </x:c>
      <x:c r="Q352" s="79" t="str">
        <x:v>6a3a00000000000000000002</x:v>
      </x:c>
      <x:c r="R352" s="79" t="str">
        <x:v>کیلو</x:v>
      </x:c>
      <x:c r="S352" s="79" t="n">
        <x:v>600000</x:v>
      </x:c>
      <x:c r="T352" s="79"/>
      <x:c r="U352" s="79"/>
    </x:row>
    <x:row r="353">
      <x:c r="A353" s="79" t="n">
        <x:v>355</x:v>
      </x:c>
      <x:c r="B353" s="79" t="str">
        <x:v>NS-0352-1</x:v>
      </x:c>
      <x:c r="C353" s="79" t="str">
        <x:v>گرده گل</x:v>
      </x:c>
      <x:c r="D353" s="79" t="str">
        <x:v>گرده گل</x:v>
      </x:c>
      <x:c r="E353" s="79" t="str">
        <x:v>single_355</x:v>
      </x:c>
      <x:c r="F353" s="79"/>
      <x:c r="G353" s="79" t="str">
        <x:v>canonical_group_row</x:v>
      </x:c>
      <x:c r="H353" s="79" t="str">
        <x:v>گیاهان دارویی</x:v>
      </x:c>
      <x:c r="I353" s="79" t="str">
        <x:v>6a3782d7df5573f4e676e243</x:v>
      </x:c>
      <x:c r="J353" s="79" t="str">
        <x:v>medicinal-plants</x:v>
      </x:c>
      <x:c r="K353" s="79" t="str">
        <x:v>EDIBLE</x:v>
      </x:c>
      <x:c r="L353" s="79" t="str">
        <x:v>بله</x:v>
      </x:c>
      <x:c r="M353" s="79" t="str">
        <x:v>OK</x:v>
      </x:c>
      <x:c r="N353" s="79" t="str">
        <x:v>دسته از «نیاز به بررسی» به «گیاهان دارویی» اصلاح شد</x:v>
      </x:c>
      <x:c r="O353" s="79" t="str">
        <x:v>بله</x:v>
      </x:c>
      <x:c r="P353" s="79" t="str">
        <x:v>نیاز به بررسی</x:v>
      </x:c>
      <x:c r="Q353" s="79"/>
      <x:c r="R353" s="79" t="str">
        <x:v>کیلو</x:v>
      </x:c>
      <x:c r="S353" s="79" t="n">
        <x:v>1200000</x:v>
      </x:c>
      <x:c r="T353" s="79"/>
      <x:c r="U353" s="79"/>
    </x:row>
    <x:row r="354">
      <x:c r="A354" s="79" t="n">
        <x:v>356</x:v>
      </x:c>
      <x:c r="B354" s="79" t="str">
        <x:v>NS-0353-1</x:v>
      </x:c>
      <x:c r="C354" s="79" t="str">
        <x:v>گشنیز</x:v>
      </x:c>
      <x:c r="D354" s="79" t="str">
        <x:v>گشنیز</x:v>
      </x:c>
      <x:c r="E354" s="79" t="str">
        <x:v>single_356</x:v>
      </x:c>
      <x:c r="F354" s="79"/>
      <x:c r="G354" s="79" t="str">
        <x:v>canonical_group_row</x:v>
      </x:c>
      <x:c r="H354" s="79" t="str">
        <x:v>ادویه</x:v>
      </x:c>
      <x:c r="I354" s="79" t="str">
        <x:v>6a3781e4df5573f4e676e226</x:v>
      </x:c>
      <x:c r="J354" s="79" t="str">
        <x:v>spice</x:v>
      </x:c>
      <x:c r="K354" s="79" t="str">
        <x:v>EDIBLE</x:v>
      </x:c>
      <x:c r="L354" s="79" t="str">
        <x:v>بله</x:v>
      </x:c>
      <x:c r="M354" s="79" t="str">
        <x:v>OK</x:v>
      </x:c>
      <x:c r="N354" s="79" t="str">
        <x:v>دسته از «نیاز به بررسی» به «ادویه» اصلاح شد</x:v>
      </x:c>
      <x:c r="O354" s="79" t="str">
        <x:v>بله</x:v>
      </x:c>
      <x:c r="P354" s="79" t="str">
        <x:v>نیاز به بررسی</x:v>
      </x:c>
      <x:c r="Q354" s="79"/>
      <x:c r="R354" s="79" t="str">
        <x:v>کیلو</x:v>
      </x:c>
      <x:c r="S354" s="79" t="n">
        <x:v>450000</x:v>
      </x:c>
      <x:c r="T354" s="79"/>
      <x:c r="U354" s="79"/>
    </x:row>
    <x:row r="355">
      <x:c r="A355" s="79" t="n">
        <x:v>357</x:v>
      </x:c>
      <x:c r="B355" s="79" t="str">
        <x:v>NS-0354-1</x:v>
      </x:c>
      <x:c r="C355" s="79" t="str">
        <x:v>گل ختمی</x:v>
      </x:c>
      <x:c r="D355" s="79" t="str">
        <x:v>گل ختمی</x:v>
      </x:c>
      <x:c r="E355" s="79" t="str">
        <x:v>single_357</x:v>
      </x:c>
      <x:c r="F355" s="79"/>
      <x:c r="G355" s="79" t="str">
        <x:v>canonical_group_row</x:v>
      </x:c>
      <x:c r="H355" s="79" t="str">
        <x:v>گیاهان دارویی</x:v>
      </x:c>
      <x:c r="I355" s="79" t="str">
        <x:v>6a3782d7df5573f4e676e243</x:v>
      </x:c>
      <x:c r="J355" s="79" t="str">
        <x:v>medicinal-plants</x:v>
      </x:c>
      <x:c r="K355" s="79" t="str">
        <x:v>EDIBLE</x:v>
      </x:c>
      <x:c r="L355" s="79" t="str">
        <x:v>بله</x:v>
      </x:c>
      <x:c r="M355" s="79" t="str">
        <x:v>OK</x:v>
      </x:c>
      <x:c r="N355" s="79"/>
      <x:c r="O355" s="79" t="str">
        <x:v>بله</x:v>
      </x:c>
      <x:c r="P355" s="79" t="str">
        <x:v>گیاهان دارویی</x:v>
      </x:c>
      <x:c r="Q355" s="79" t="str">
        <x:v>6a3782d7df5573f4e676e243</x:v>
      </x:c>
      <x:c r="R355" s="79" t="str">
        <x:v>کیلو</x:v>
      </x:c>
      <x:c r="S355" s="79" t="n">
        <x:v>1100000</x:v>
      </x:c>
      <x:c r="T355" s="79"/>
      <x:c r="U355" s="79"/>
    </x:row>
    <x:row r="356">
      <x:c r="A356" s="79" t="n">
        <x:v>358</x:v>
      </x:c>
      <x:c r="B356" s="79" t="str">
        <x:v>NS-0355-1</x:v>
      </x:c>
      <x:c r="C356" s="79" t="str">
        <x:v>گل سرخ پرک</x:v>
      </x:c>
      <x:c r="D356" s="79" t="str">
        <x:v>گل سرخ</x:v>
      </x:c>
      <x:c r="E356" s="79" t="str">
        <x:v>grp_rose_flower</x:v>
      </x:c>
      <x:c r="F356" s="79" t="str">
        <x:v>پرک</x:v>
      </x:c>
      <x:c r="G356" s="79" t="str">
        <x:v>canonical_group_row</x:v>
      </x:c>
      <x:c r="H356" s="79" t="str">
        <x:v>گیاهان دارویی</x:v>
      </x:c>
      <x:c r="I356" s="79" t="str">
        <x:v>6a3782d7df5573f4e676e243</x:v>
      </x:c>
      <x:c r="J356" s="79" t="str">
        <x:v>medicinal-plants</x:v>
      </x:c>
      <x:c r="K356" s="79" t="str">
        <x:v>EDIBLE</x:v>
      </x:c>
      <x:c r="L356" s="79" t="str">
        <x:v>بله</x:v>
      </x:c>
      <x:c r="M356" s="79" t="str">
        <x:v>MERGED</x:v>
      </x:c>
      <x:c r="N356" s="79" t="str">
        <x:v>دسته از «نیاز به بررسی» به «گیاهان دارویی» اصلاح شد</x:v>
      </x:c>
      <x:c r="O356" s="79" t="str">
        <x:v>بله</x:v>
      </x:c>
      <x:c r="P356" s="79" t="str">
        <x:v>نیاز به بررسی</x:v>
      </x:c>
      <x:c r="Q356" s="79"/>
      <x:c r="R356" s="79" t="str">
        <x:v>کیلو</x:v>
      </x:c>
      <x:c r="S356" s="79" t="n">
        <x:v>4500000</x:v>
      </x:c>
      <x:c r="T356" s="79"/>
      <x:c r="U356" s="79"/>
    </x:row>
    <x:row r="357">
      <x:c r="A357" s="79" t="n">
        <x:v>359</x:v>
      </x:c>
      <x:c r="B357" s="79" t="str">
        <x:v>NS-0356-1</x:v>
      </x:c>
      <x:c r="C357" s="79" t="str">
        <x:v>گل سرخ غنچه</x:v>
      </x:c>
      <x:c r="D357" s="79" t="str">
        <x:v>گل سرخ</x:v>
      </x:c>
      <x:c r="E357" s="79" t="str">
        <x:v>grp_rose_flower</x:v>
      </x:c>
      <x:c r="F357" s="79" t="str">
        <x:v>غنچه</x:v>
      </x:c>
      <x:c r="G357" s="79" t="str">
        <x:v>merge_into_canonical_group</x:v>
      </x:c>
      <x:c r="H357" s="79" t="str">
        <x:v>گیاهان دارویی</x:v>
      </x:c>
      <x:c r="I357" s="79" t="str">
        <x:v>6a3782d7df5573f4e676e243</x:v>
      </x:c>
      <x:c r="J357" s="79" t="str">
        <x:v>medicinal-plants</x:v>
      </x:c>
      <x:c r="K357" s="79" t="str">
        <x:v>EDIBLE</x:v>
      </x:c>
      <x:c r="L357" s="79" t="str">
        <x:v>بله</x:v>
      </x:c>
      <x:c r="M357" s="79" t="str">
        <x:v>MERGED</x:v>
      </x:c>
      <x:c r="N357" s="79" t="str">
        <x:v>دسته از «نیاز به بررسی» به «گیاهان دارویی» اصلاح شد</x:v>
      </x:c>
      <x:c r="O357" s="79" t="str">
        <x:v>بله</x:v>
      </x:c>
      <x:c r="P357" s="79" t="str">
        <x:v>نیاز به بررسی</x:v>
      </x:c>
      <x:c r="Q357" s="79"/>
      <x:c r="R357" s="79" t="str">
        <x:v>کیلو</x:v>
      </x:c>
      <x:c r="S357" s="79" t="n">
        <x:v>4900000</x:v>
      </x:c>
      <x:c r="T357" s="79"/>
      <x:c r="U357" s="79"/>
    </x:row>
    <x:row r="358">
      <x:c r="A358" s="79" t="n">
        <x:v>360</x:v>
      </x:c>
      <x:c r="B358" s="79" t="str">
        <x:v>NS-0357-1</x:v>
      </x:c>
      <x:c r="C358" s="79" t="str">
        <x:v>گل گاوزبان</x:v>
      </x:c>
      <x:c r="D358" s="79" t="str">
        <x:v>گل گاوزبان</x:v>
      </x:c>
      <x:c r="E358" s="79" t="str">
        <x:v>single_360</x:v>
      </x:c>
      <x:c r="F358" s="79"/>
      <x:c r="G358" s="79" t="str">
        <x:v>canonical_group_row</x:v>
      </x:c>
      <x:c r="H358" s="79" t="str">
        <x:v>گیاهان دارویی</x:v>
      </x:c>
      <x:c r="I358" s="79" t="str">
        <x:v>6a3782d7df5573f4e676e243</x:v>
      </x:c>
      <x:c r="J358" s="79" t="str">
        <x:v>medicinal-plants</x:v>
      </x:c>
      <x:c r="K358" s="79" t="str">
        <x:v>EDIBLE</x:v>
      </x:c>
      <x:c r="L358" s="79" t="str">
        <x:v>بله</x:v>
      </x:c>
      <x:c r="M358" s="79" t="str">
        <x:v>OK</x:v>
      </x:c>
      <x:c r="N358" s="79"/>
      <x:c r="O358" s="79" t="str">
        <x:v>بله</x:v>
      </x:c>
      <x:c r="P358" s="79" t="str">
        <x:v>گیاهان دارویی</x:v>
      </x:c>
      <x:c r="Q358" s="79" t="str">
        <x:v>6a3782d7df5573f4e676e243</x:v>
      </x:c>
      <x:c r="R358" s="79" t="str">
        <x:v>کیلو</x:v>
      </x:c>
      <x:c r="S358" s="79" t="n">
        <x:v>4100000</x:v>
      </x:c>
      <x:c r="T358" s="79"/>
      <x:c r="U358" s="79"/>
    </x:row>
    <x:row r="359">
      <x:c r="A359" s="79" t="n">
        <x:v>361</x:v>
      </x:c>
      <x:c r="B359" s="79" t="str">
        <x:v>NS-0358-1</x:v>
      </x:c>
      <x:c r="C359" s="79" t="str">
        <x:v>گلپر</x:v>
      </x:c>
      <x:c r="D359" s="79" t="str">
        <x:v>گلپر</x:v>
      </x:c>
      <x:c r="E359" s="79" t="str">
        <x:v>single_361</x:v>
      </x:c>
      <x:c r="F359" s="79"/>
      <x:c r="G359" s="79" t="str">
        <x:v>canonical_group_row</x:v>
      </x:c>
      <x:c r="H359" s="79" t="str">
        <x:v>ادویه</x:v>
      </x:c>
      <x:c r="I359" s="79" t="str">
        <x:v>6a3781e4df5573f4e676e226</x:v>
      </x:c>
      <x:c r="J359" s="79" t="str">
        <x:v>spice</x:v>
      </x:c>
      <x:c r="K359" s="79" t="str">
        <x:v>EDIBLE</x:v>
      </x:c>
      <x:c r="L359" s="79" t="str">
        <x:v>بله</x:v>
      </x:c>
      <x:c r="M359" s="79" t="str">
        <x:v>OK</x:v>
      </x:c>
      <x:c r="N359" s="79"/>
      <x:c r="O359" s="79" t="str">
        <x:v>بله</x:v>
      </x:c>
      <x:c r="P359" s="79" t="str">
        <x:v>ادویه</x:v>
      </x:c>
      <x:c r="Q359" s="79" t="str">
        <x:v>6a3781e4df5573f4e676e226</x:v>
      </x:c>
      <x:c r="R359" s="79" t="str">
        <x:v>کیلو</x:v>
      </x:c>
      <x:c r="S359" s="79" t="n">
        <x:v>450000</x:v>
      </x:c>
      <x:c r="T359" s="79"/>
      <x:c r="U359" s="79"/>
    </x:row>
    <x:row r="360">
      <x:c r="A360" s="79" t="n">
        <x:v>362</x:v>
      </x:c>
      <x:c r="B360" s="79" t="str">
        <x:v>NS-0359-1</x:v>
      </x:c>
      <x:c r="C360" s="79" t="str">
        <x:v>گلرنگ</x:v>
      </x:c>
      <x:c r="D360" s="79" t="str">
        <x:v>گلرنگ</x:v>
      </x:c>
      <x:c r="E360" s="79" t="str">
        <x:v>single_362</x:v>
      </x:c>
      <x:c r="F360" s="79"/>
      <x:c r="G360" s="79" t="str">
        <x:v>canonical_group_row</x:v>
      </x:c>
      <x:c r="H360" s="79" t="str">
        <x:v>گیاهان دارویی</x:v>
      </x:c>
      <x:c r="I360" s="79" t="str">
        <x:v>6a3782d7df5573f4e676e243</x:v>
      </x:c>
      <x:c r="J360" s="79" t="str">
        <x:v>medicinal-plants</x:v>
      </x:c>
      <x:c r="K360" s="79" t="str">
        <x:v>EDIBLE</x:v>
      </x:c>
      <x:c r="L360" s="79" t="str">
        <x:v>بله</x:v>
      </x:c>
      <x:c r="M360" s="79" t="str">
        <x:v>OK</x:v>
      </x:c>
      <x:c r="N360" s="79" t="str">
        <x:v>دسته از «نیاز به بررسی» به «گیاهان دارویی» اصلاح شد</x:v>
      </x:c>
      <x:c r="O360" s="79" t="str">
        <x:v>بله</x:v>
      </x:c>
      <x:c r="P360" s="79" t="str">
        <x:v>نیاز به بررسی</x:v>
      </x:c>
      <x:c r="Q360" s="79"/>
      <x:c r="R360" s="79" t="str">
        <x:v>کیلو</x:v>
      </x:c>
      <x:c r="S360" s="79" t="n">
        <x:v>3200000</x:v>
      </x:c>
      <x:c r="T360" s="79"/>
      <x:c r="U360" s="79"/>
    </x:row>
    <x:row r="361">
      <x:c r="A361" s="79" t="n">
        <x:v>363</x:v>
      </x:c>
      <x:c r="B361" s="79" t="str">
        <x:v>NS-0360-1</x:v>
      </x:c>
      <x:c r="C361" s="79" t="str">
        <x:v>گندم</x:v>
      </x:c>
      <x:c r="D361" s="79" t="str">
        <x:v>گندم</x:v>
      </x:c>
      <x:c r="E361" s="79" t="str">
        <x:v>single_363</x:v>
      </x:c>
      <x:c r="F361" s="79"/>
      <x:c r="G361" s="79" t="str">
        <x:v>canonical_group_row</x:v>
      </x:c>
      <x:c r="H361" s="79" t="str">
        <x:v>حبوبات و غلات</x:v>
      </x:c>
      <x:c r="I361" s="79" t="str">
        <x:v>6a3a00000000000000000002</x:v>
      </x:c>
      <x:c r="J361" s="79" t="str">
        <x:v>legumes-grains</x:v>
      </x:c>
      <x:c r="K361" s="79" t="str">
        <x:v>EDIBLE</x:v>
      </x:c>
      <x:c r="L361" s="79" t="str">
        <x:v>بله</x:v>
      </x:c>
      <x:c r="M361" s="79" t="str">
        <x:v>OK</x:v>
      </x:c>
      <x:c r="N361" s="79"/>
      <x:c r="O361" s="79" t="str">
        <x:v>بله</x:v>
      </x:c>
      <x:c r="P361" s="79" t="str">
        <x:v>حبوبات و غلات</x:v>
      </x:c>
      <x:c r="Q361" s="79" t="str">
        <x:v>6a3a00000000000000000002</x:v>
      </x:c>
      <x:c r="R361" s="79" t="str">
        <x:v>کیلو</x:v>
      </x:c>
      <x:c r="S361" s="79" t="n">
        <x:v>120000</x:v>
      </x:c>
      <x:c r="T361" s="79"/>
      <x:c r="U361" s="79"/>
    </x:row>
    <x:row r="362">
      <x:c r="A362" s="79" t="n">
        <x:v>364</x:v>
      </x:c>
      <x:c r="B362" s="79" t="str">
        <x:v>NS-0361-1</x:v>
      </x:c>
      <x:c r="C362" s="79" t="str">
        <x:v>گوجه پودر</x:v>
      </x:c>
      <x:c r="D362" s="79" t="str">
        <x:v>گوجه پودر</x:v>
      </x:c>
      <x:c r="E362" s="79" t="str">
        <x:v>single_364</x:v>
      </x:c>
      <x:c r="F362" s="79"/>
      <x:c r="G362" s="79" t="str">
        <x:v>canonical_group_row</x:v>
      </x:c>
      <x:c r="H362" s="79" t="str">
        <x:v>ادویه</x:v>
      </x:c>
      <x:c r="I362" s="79" t="str">
        <x:v>6a3781e4df5573f4e676e226</x:v>
      </x:c>
      <x:c r="J362" s="79" t="str">
        <x:v>spice</x:v>
      </x:c>
      <x:c r="K362" s="79" t="str">
        <x:v>EDIBLE</x:v>
      </x:c>
      <x:c r="L362" s="79" t="str">
        <x:v>بله</x:v>
      </x:c>
      <x:c r="M362" s="79" t="str">
        <x:v>OK</x:v>
      </x:c>
      <x:c r="N362" s="79"/>
      <x:c r="O362" s="79" t="str">
        <x:v>بله</x:v>
      </x:c>
      <x:c r="P362" s="79" t="str">
        <x:v>ادویه</x:v>
      </x:c>
      <x:c r="Q362" s="79" t="str">
        <x:v>6a3781e4df5573f4e676e226</x:v>
      </x:c>
      <x:c r="R362" s="79" t="str">
        <x:v>کیلو</x:v>
      </x:c>
      <x:c r="S362" s="79" t="n">
        <x:v>790000</x:v>
      </x:c>
      <x:c r="T362" s="79"/>
      <x:c r="U362" s="79"/>
    </x:row>
    <x:row r="363">
      <x:c r="A363" s="79" t="n">
        <x:v>365</x:v>
      </x:c>
      <x:c r="B363" s="79" t="str">
        <x:v>NS-0362-1</x:v>
      </x:c>
      <x:c r="C363" s="79" t="str">
        <x:v>لبو</x:v>
      </x:c>
      <x:c r="D363" s="79" t="str">
        <x:v>لبو</x:v>
      </x:c>
      <x:c r="E363" s="79" t="str">
        <x:v>single_365</x:v>
      </x:c>
      <x:c r="F363" s="79"/>
      <x:c r="G363" s="79" t="str">
        <x:v>canonical_group_row</x:v>
      </x:c>
      <x:c r="H363" s="79" t="str">
        <x:v>نوشیدنی‌ها</x:v>
      </x:c>
      <x:c r="I363" s="79" t="str">
        <x:v>6a3782ffdf5573f4e676e24b</x:v>
      </x:c>
      <x:c r="J363" s="79" t="str">
        <x:v>syrup</x:v>
      </x:c>
      <x:c r="K363" s="79" t="str">
        <x:v>EDIBLE</x:v>
      </x:c>
      <x:c r="L363" s="79" t="str">
        <x:v>بله</x:v>
      </x:c>
      <x:c r="M363" s="79" t="str">
        <x:v>MISSING_PRICE_REVIEW</x:v>
      </x:c>
      <x:c r="N363" s="79" t="str">
        <x:v>دسته از «نیاز به بررسی» به «نوشیدنی‌ها» اصلاح شد | یک یا چند قیمت نامشخص است</x:v>
      </x:c>
      <x:c r="O363" s="79" t="str">
        <x:v>بله</x:v>
      </x:c>
      <x:c r="P363" s="79" t="str">
        <x:v>نیاز به بررسی</x:v>
      </x:c>
      <x:c r="Q363" s="79"/>
      <x:c r="R363" s="79" t="str">
        <x:v>کیلو</x:v>
      </x:c>
      <x:c r="S363" s="79"/>
      <x:c r="T363" s="79"/>
      <x:c r="U363" s="79"/>
    </x:row>
    <x:row r="364">
      <x:c r="A364" s="79" t="n">
        <x:v>366</x:v>
      </x:c>
      <x:c r="B364" s="79" t="str">
        <x:v>NS-0363-1</x:v>
      </x:c>
      <x:c r="C364" s="79" t="str">
        <x:v>لواشک</x:v>
      </x:c>
      <x:c r="D364" s="79" t="str">
        <x:v>لواشک</x:v>
      </x:c>
      <x:c r="E364" s="79" t="str">
        <x:v>single_366</x:v>
      </x:c>
      <x:c r="F364" s="79"/>
      <x:c r="G364" s="79" t="str">
        <x:v>canonical_group_row</x:v>
      </x:c>
      <x:c r="H364" s="79" t="str">
        <x:v>خشکبار و آجیل</x:v>
      </x:c>
      <x:c r="I364" s="79" t="str">
        <x:v>6a37810ddf5573f4e676e201</x:v>
      </x:c>
      <x:c r="J364" s="79" t="str">
        <x:v>dried-fruits-nuts</x:v>
      </x:c>
      <x:c r="K364" s="79" t="str">
        <x:v>EDIBLE</x:v>
      </x:c>
      <x:c r="L364" s="79" t="str">
        <x:v>بله</x:v>
      </x:c>
      <x:c r="M364" s="79" t="str">
        <x:v>MISSING_PRICE_REVIEW</x:v>
      </x:c>
      <x:c r="N364" s="79" t="str">
        <x:v>دسته از «نیاز به بررسی» به «خشکبار و آجیل» اصلاح شد | یک یا چند قیمت نامشخص است</x:v>
      </x:c>
      <x:c r="O364" s="79" t="str">
        <x:v>بله</x:v>
      </x:c>
      <x:c r="P364" s="79" t="str">
        <x:v>نیاز به بررسی</x:v>
      </x:c>
      <x:c r="Q364" s="79"/>
      <x:c r="R364" s="79" t="str">
        <x:v>کیلو</x:v>
      </x:c>
      <x:c r="S364" s="79"/>
      <x:c r="T364" s="79"/>
      <x:c r="U364" s="79"/>
    </x:row>
    <x:row r="365">
      <x:c r="A365" s="79" t="n">
        <x:v>367</x:v>
      </x:c>
      <x:c r="B365" s="79" t="str">
        <x:v>NS-0364-1</x:v>
      </x:c>
      <x:c r="C365" s="79" t="str">
        <x:v>لیمو اسلایس</x:v>
      </x:c>
      <x:c r="D365" s="79" t="str">
        <x:v>لیمو اسلایس</x:v>
      </x:c>
      <x:c r="E365" s="79" t="str">
        <x:v>single_367</x:v>
      </x:c>
      <x:c r="F365" s="79"/>
      <x:c r="G365" s="79" t="str">
        <x:v>canonical_group_row</x:v>
      </x:c>
      <x:c r="H365" s="79" t="str">
        <x:v>ادویه</x:v>
      </x:c>
      <x:c r="I365" s="79" t="str">
        <x:v>6a3781e4df5573f4e676e226</x:v>
      </x:c>
      <x:c r="J365" s="79" t="str">
        <x:v>spice</x:v>
      </x:c>
      <x:c r="K365" s="79" t="str">
        <x:v>EDIBLE</x:v>
      </x:c>
      <x:c r="L365" s="79" t="str">
        <x:v>بله</x:v>
      </x:c>
      <x:c r="M365" s="79" t="str">
        <x:v>OK</x:v>
      </x:c>
      <x:c r="N365" s="79" t="str">
        <x:v>دسته از «نیاز به بررسی» به «ادویه» اصلاح شد</x:v>
      </x:c>
      <x:c r="O365" s="79" t="str">
        <x:v>بله</x:v>
      </x:c>
      <x:c r="P365" s="79" t="str">
        <x:v>نیاز به بررسی</x:v>
      </x:c>
      <x:c r="Q365" s="79"/>
      <x:c r="R365" s="79" t="str">
        <x:v>کیلو</x:v>
      </x:c>
      <x:c r="S365" s="79" t="n">
        <x:v>900000</x:v>
      </x:c>
      <x:c r="T365" s="79"/>
      <x:c r="U365" s="79"/>
    </x:row>
    <x:row r="366">
      <x:c r="A366" s="79" t="n">
        <x:v>368</x:v>
      </x:c>
      <x:c r="B366" s="79" t="str">
        <x:v>NS-0365-1</x:v>
      </x:c>
      <x:c r="C366" s="79" t="str">
        <x:v>لیمو ببری</x:v>
      </x:c>
      <x:c r="D366" s="79" t="str">
        <x:v>لیمو ببری</x:v>
      </x:c>
      <x:c r="E366" s="79" t="str">
        <x:v>single_368</x:v>
      </x:c>
      <x:c r="F366" s="79"/>
      <x:c r="G366" s="79" t="str">
        <x:v>canonical_group_row</x:v>
      </x:c>
      <x:c r="H366" s="79" t="str">
        <x:v>ادویه</x:v>
      </x:c>
      <x:c r="I366" s="79" t="str">
        <x:v>6a3781e4df5573f4e676e226</x:v>
      </x:c>
      <x:c r="J366" s="79" t="str">
        <x:v>spice</x:v>
      </x:c>
      <x:c r="K366" s="79" t="str">
        <x:v>EDIBLE</x:v>
      </x:c>
      <x:c r="L366" s="79" t="str">
        <x:v>بله</x:v>
      </x:c>
      <x:c r="M366" s="79" t="str">
        <x:v>OK</x:v>
      </x:c>
      <x:c r="N366" s="79" t="str">
        <x:v>دسته از «نیاز به بررسی» به «ادویه» اصلاح شد</x:v>
      </x:c>
      <x:c r="O366" s="79" t="str">
        <x:v>بله</x:v>
      </x:c>
      <x:c r="P366" s="79" t="str">
        <x:v>نیاز به بررسی</x:v>
      </x:c>
      <x:c r="Q366" s="79"/>
      <x:c r="R366" s="79" t="str">
        <x:v>کیلو</x:v>
      </x:c>
      <x:c r="S366" s="79" t="n">
        <x:v>2200000</x:v>
      </x:c>
      <x:c r="T366" s="79"/>
      <x:c r="U366" s="79"/>
    </x:row>
    <x:row r="367">
      <x:c r="A367" s="79" t="n">
        <x:v>369</x:v>
      </x:c>
      <x:c r="B367" s="79" t="str">
        <x:v>NS-0366-1</x:v>
      </x:c>
      <x:c r="C367" s="79" t="str">
        <x:v>مرزه</x:v>
      </x:c>
      <x:c r="D367" s="79" t="str">
        <x:v>مرزه</x:v>
      </x:c>
      <x:c r="E367" s="79" t="str">
        <x:v>single_369</x:v>
      </x:c>
      <x:c r="F367" s="79"/>
      <x:c r="G367" s="79" t="str">
        <x:v>canonical_group_row</x:v>
      </x:c>
      <x:c r="H367" s="79" t="str">
        <x:v>گیاهان دارویی</x:v>
      </x:c>
      <x:c r="I367" s="79" t="str">
        <x:v>6a3782d7df5573f4e676e243</x:v>
      </x:c>
      <x:c r="J367" s="79" t="str">
        <x:v>medicinal-plants</x:v>
      </x:c>
      <x:c r="K367" s="79" t="str">
        <x:v>EDIBLE</x:v>
      </x:c>
      <x:c r="L367" s="79" t="str">
        <x:v>بله</x:v>
      </x:c>
      <x:c r="M367" s="79" t="str">
        <x:v>OK</x:v>
      </x:c>
      <x:c r="N367" s="79"/>
      <x:c r="O367" s="79" t="str">
        <x:v>بله</x:v>
      </x:c>
      <x:c r="P367" s="79" t="str">
        <x:v>گیاهان دارویی</x:v>
      </x:c>
      <x:c r="Q367" s="79" t="str">
        <x:v>6a3782d7df5573f4e676e243</x:v>
      </x:c>
      <x:c r="R367" s="79" t="str">
        <x:v>کیلو</x:v>
      </x:c>
      <x:c r="S367" s="79" t="n">
        <x:v>850000</x:v>
      </x:c>
      <x:c r="T367" s="79"/>
      <x:c r="U367" s="79"/>
    </x:row>
    <x:row r="368">
      <x:c r="A368" s="79" t="n">
        <x:v>370</x:v>
      </x:c>
      <x:c r="B368" s="79" t="str">
        <x:v>NS-0367-1</x:v>
      </x:c>
      <x:c r="C368" s="79" t="str">
        <x:v>مصفی خون</x:v>
      </x:c>
      <x:c r="D368" s="79" t="str">
        <x:v>مصفی خون</x:v>
      </x:c>
      <x:c r="E368" s="79" t="str">
        <x:v>single_370</x:v>
      </x:c>
      <x:c r="F368" s="79"/>
      <x:c r="G368" s="79" t="str">
        <x:v>canonical_group_row</x:v>
      </x:c>
      <x:c r="H368" s="79" t="str">
        <x:v>گیاهان دارویی</x:v>
      </x:c>
      <x:c r="I368" s="79" t="str">
        <x:v>6a3782d7df5573f4e676e243</x:v>
      </x:c>
      <x:c r="J368" s="79" t="str">
        <x:v>medicinal-plants</x:v>
      </x:c>
      <x:c r="K368" s="79" t="str">
        <x:v>REVIEW</x:v>
      </x:c>
      <x:c r="L368" s="79" t="str">
        <x:v>نیاز به بررسی</x:v>
      </x:c>
      <x:c r="M368" s="79" t="str">
        <x:v>MISSING_PRICE_REVIEW</x:v>
      </x:c>
      <x:c r="N368" s="79" t="str">
        <x:v>دسته با اطمینان متوسط اصلاح شد؛ در صورت حساسیت دستی بازبینی شود | نوع مصرف نیازمند بررسی دستی | یک یا چند قیمت نامشخص است</x:v>
      </x:c>
      <x:c r="O368" s="79" t="str">
        <x:v>بله</x:v>
      </x:c>
      <x:c r="P368" s="79" t="str">
        <x:v>نیاز به بررسی</x:v>
      </x:c>
      <x:c r="Q368" s="79"/>
      <x:c r="R368" s="79" t="str">
        <x:v>کیلو</x:v>
      </x:c>
      <x:c r="S368" s="79"/>
      <x:c r="T368" s="79"/>
      <x:c r="U368" s="79"/>
    </x:row>
    <x:row r="369">
      <x:c r="A369" s="79" t="n">
        <x:v>371</x:v>
      </x:c>
      <x:c r="B369" s="79" t="str">
        <x:v>NS-0368-1</x:v>
      </x:c>
      <x:c r="C369" s="79" t="str">
        <x:v>موسیر</x:v>
      </x:c>
      <x:c r="D369" s="79" t="str">
        <x:v>موسیر</x:v>
      </x:c>
      <x:c r="E369" s="79" t="str">
        <x:v>single_371</x:v>
      </x:c>
      <x:c r="F369" s="79"/>
      <x:c r="G369" s="79" t="str">
        <x:v>canonical_group_row</x:v>
      </x:c>
      <x:c r="H369" s="79" t="str">
        <x:v>ادویه</x:v>
      </x:c>
      <x:c r="I369" s="79" t="str">
        <x:v>6a3781e4df5573f4e676e226</x:v>
      </x:c>
      <x:c r="J369" s="79" t="str">
        <x:v>spice</x:v>
      </x:c>
      <x:c r="K369" s="79" t="str">
        <x:v>EDIBLE</x:v>
      </x:c>
      <x:c r="L369" s="79" t="str">
        <x:v>بله</x:v>
      </x:c>
      <x:c r="M369" s="79" t="str">
        <x:v>OK</x:v>
      </x:c>
      <x:c r="N369" s="79"/>
      <x:c r="O369" s="79" t="str">
        <x:v>بله</x:v>
      </x:c>
      <x:c r="P369" s="79" t="str">
        <x:v>ادویه</x:v>
      </x:c>
      <x:c r="Q369" s="79" t="str">
        <x:v>6a3781e4df5573f4e676e226</x:v>
      </x:c>
      <x:c r="R369" s="79" t="str">
        <x:v>کیلو</x:v>
      </x:c>
      <x:c r="S369" s="79" t="n">
        <x:v>3500000</x:v>
      </x:c>
      <x:c r="T369" s="79"/>
      <x:c r="U369" s="79"/>
    </x:row>
    <x:row r="370">
      <x:c r="A370" s="79" t="n">
        <x:v>372</x:v>
      </x:c>
      <x:c r="B370" s="79" t="str">
        <x:v>NS-0369-1</x:v>
      </x:c>
      <x:c r="C370" s="79" t="str">
        <x:v>میخک</x:v>
      </x:c>
      <x:c r="D370" s="79" t="str">
        <x:v>میخک</x:v>
      </x:c>
      <x:c r="E370" s="79" t="str">
        <x:v>single_372</x:v>
      </x:c>
      <x:c r="F370" s="79"/>
      <x:c r="G370" s="79" t="str">
        <x:v>canonical_group_row</x:v>
      </x:c>
      <x:c r="H370" s="79" t="str">
        <x:v>ادویه</x:v>
      </x:c>
      <x:c r="I370" s="79" t="str">
        <x:v>6a3781e4df5573f4e676e226</x:v>
      </x:c>
      <x:c r="J370" s="79" t="str">
        <x:v>spice</x:v>
      </x:c>
      <x:c r="K370" s="79" t="str">
        <x:v>EDIBLE</x:v>
      </x:c>
      <x:c r="L370" s="79" t="str">
        <x:v>بله</x:v>
      </x:c>
      <x:c r="M370" s="79" t="str">
        <x:v>OK</x:v>
      </x:c>
      <x:c r="N370" s="79"/>
      <x:c r="O370" s="79" t="str">
        <x:v>بله</x:v>
      </x:c>
      <x:c r="P370" s="79" t="str">
        <x:v>ادویه</x:v>
      </x:c>
      <x:c r="Q370" s="79" t="str">
        <x:v>6a3781e4df5573f4e676e226</x:v>
      </x:c>
      <x:c r="R370" s="79" t="str">
        <x:v>کیلو</x:v>
      </x:c>
      <x:c r="S370" s="79" t="n">
        <x:v>3300000</x:v>
      </x:c>
      <x:c r="T370" s="79"/>
      <x:c r="U370" s="79"/>
    </x:row>
    <x:row r="371">
      <x:c r="A371" s="79" t="n">
        <x:v>373</x:v>
      </x:c>
      <x:c r="B371" s="79" t="str">
        <x:v>NS-0370-1</x:v>
      </x:c>
      <x:c r="C371" s="79" t="str">
        <x:v>نارگیل سریلانکا چرب</x:v>
      </x:c>
      <x:c r="D371" s="79" t="str">
        <x:v>نارگیل سریلانکا چرب</x:v>
      </x:c>
      <x:c r="E371" s="79" t="str">
        <x:v>single_373</x:v>
      </x:c>
      <x:c r="F371" s="79"/>
      <x:c r="G371" s="79" t="str">
        <x:v>canonical_group_row</x:v>
      </x:c>
      <x:c r="H371" s="79" t="str">
        <x:v>خشکبار و آجیل</x:v>
      </x:c>
      <x:c r="I371" s="79" t="str">
        <x:v>6a37810ddf5573f4e676e201</x:v>
      </x:c>
      <x:c r="J371" s="79" t="str">
        <x:v>dried-fruits-nuts</x:v>
      </x:c>
      <x:c r="K371" s="79" t="str">
        <x:v>EDIBLE</x:v>
      </x:c>
      <x:c r="L371" s="79" t="str">
        <x:v>بله</x:v>
      </x:c>
      <x:c r="M371" s="79" t="str">
        <x:v>OK</x:v>
      </x:c>
      <x:c r="N371" s="79" t="str">
        <x:v>دسته از «نیاز به بررسی» به «خشکبار و آجیل» اصلاح شد</x:v>
      </x:c>
      <x:c r="O371" s="79" t="str">
        <x:v>بله</x:v>
      </x:c>
      <x:c r="P371" s="79" t="str">
        <x:v>نیاز به بررسی</x:v>
      </x:c>
      <x:c r="Q371" s="79"/>
      <x:c r="R371" s="79" t="str">
        <x:v>کیلو</x:v>
      </x:c>
      <x:c r="S371" s="79" t="n">
        <x:v>1750000</x:v>
      </x:c>
      <x:c r="T371" s="79"/>
      <x:c r="U371" s="79"/>
    </x:row>
    <x:row r="372">
      <x:c r="A372" s="79" t="n">
        <x:v>374</x:v>
      </x:c>
      <x:c r="B372" s="79" t="str">
        <x:v>NS-0371-1</x:v>
      </x:c>
      <x:c r="C372" s="79" t="str">
        <x:v>نشاسته ذرت</x:v>
      </x:c>
      <x:c r="D372" s="79" t="str">
        <x:v>نشاسته ذرت</x:v>
      </x:c>
      <x:c r="E372" s="79" t="str">
        <x:v>single_374</x:v>
      </x:c>
      <x:c r="F372" s="79"/>
      <x:c r="G372" s="79" t="str">
        <x:v>canonical_group_row</x:v>
      </x:c>
      <x:c r="H372" s="79" t="str">
        <x:v>آرد و قنادی</x:v>
      </x:c>
      <x:c r="I372" s="79" t="str">
        <x:v>6a3a00000000000000000004</x:v>
      </x:c>
      <x:c r="J372" s="79" t="str">
        <x:v>flour-confectionery</x:v>
      </x:c>
      <x:c r="K372" s="79" t="str">
        <x:v>EDIBLE</x:v>
      </x:c>
      <x:c r="L372" s="79" t="str">
        <x:v>بله</x:v>
      </x:c>
      <x:c r="M372" s="79" t="str">
        <x:v>OK</x:v>
      </x:c>
      <x:c r="N372" s="79"/>
      <x:c r="O372" s="79" t="str">
        <x:v>بله</x:v>
      </x:c>
      <x:c r="P372" s="79" t="str">
        <x:v>آرد و قنادی</x:v>
      </x:c>
      <x:c r="Q372" s="79" t="str">
        <x:v>6a3a00000000000000000004</x:v>
      </x:c>
      <x:c r="R372" s="79" t="str">
        <x:v>کیلو</x:v>
      </x:c>
      <x:c r="S372" s="79" t="n">
        <x:v>270000</x:v>
      </x:c>
      <x:c r="T372" s="79"/>
      <x:c r="U372" s="79"/>
    </x:row>
    <x:row r="373">
      <x:c r="A373" s="79" t="n">
        <x:v>375</x:v>
      </x:c>
      <x:c r="B373" s="79" t="str">
        <x:v>NS-0372-1</x:v>
      </x:c>
      <x:c r="C373" s="79" t="str">
        <x:v>نشاسته گندم گل</x:v>
      </x:c>
      <x:c r="D373" s="79" t="str">
        <x:v>نشاسته گندم گل</x:v>
      </x:c>
      <x:c r="E373" s="79" t="str">
        <x:v>single_375</x:v>
      </x:c>
      <x:c r="F373" s="79"/>
      <x:c r="G373" s="79" t="str">
        <x:v>canonical_group_row</x:v>
      </x:c>
      <x:c r="H373" s="79" t="str">
        <x:v>آرد و قنادی</x:v>
      </x:c>
      <x:c r="I373" s="79" t="str">
        <x:v>6a3a00000000000000000004</x:v>
      </x:c>
      <x:c r="J373" s="79" t="str">
        <x:v>flour-confectionery</x:v>
      </x:c>
      <x:c r="K373" s="79" t="str">
        <x:v>EDIBLE</x:v>
      </x:c>
      <x:c r="L373" s="79" t="str">
        <x:v>بله</x:v>
      </x:c>
      <x:c r="M373" s="79" t="str">
        <x:v>OK</x:v>
      </x:c>
      <x:c r="N373" s="79"/>
      <x:c r="O373" s="79" t="str">
        <x:v>بله</x:v>
      </x:c>
      <x:c r="P373" s="79" t="str">
        <x:v>آرد و قنادی</x:v>
      </x:c>
      <x:c r="Q373" s="79" t="str">
        <x:v>6a3a00000000000000000004</x:v>
      </x:c>
      <x:c r="R373" s="79" t="str">
        <x:v>کیلو</x:v>
      </x:c>
      <x:c r="S373" s="79" t="n">
        <x:v>250000</x:v>
      </x:c>
      <x:c r="T373" s="79"/>
      <x:c r="U373" s="79"/>
    </x:row>
    <x:row r="374">
      <x:c r="A374" s="79" t="n">
        <x:v>376</x:v>
      </x:c>
      <x:c r="B374" s="79" t="str">
        <x:v>NS-0373-1</x:v>
      </x:c>
      <x:c r="C374" s="79" t="str">
        <x:v>نعناع خشک</x:v>
      </x:c>
      <x:c r="D374" s="79" t="str">
        <x:v>نعناع خشک</x:v>
      </x:c>
      <x:c r="E374" s="79" t="str">
        <x:v>single_376</x:v>
      </x:c>
      <x:c r="F374" s="79"/>
      <x:c r="G374" s="79" t="str">
        <x:v>canonical_group_row</x:v>
      </x:c>
      <x:c r="H374" s="79" t="str">
        <x:v>گیاهان دارویی</x:v>
      </x:c>
      <x:c r="I374" s="79" t="str">
        <x:v>6a3782d7df5573f4e676e243</x:v>
      </x:c>
      <x:c r="J374" s="79" t="str">
        <x:v>medicinal-plants</x:v>
      </x:c>
      <x:c r="K374" s="79" t="str">
        <x:v>EDIBLE</x:v>
      </x:c>
      <x:c r="L374" s="79" t="str">
        <x:v>بله</x:v>
      </x:c>
      <x:c r="M374" s="79" t="str">
        <x:v>OK</x:v>
      </x:c>
      <x:c r="N374" s="79"/>
      <x:c r="O374" s="79" t="str">
        <x:v>بله</x:v>
      </x:c>
      <x:c r="P374" s="79" t="str">
        <x:v>گیاهان دارویی</x:v>
      </x:c>
      <x:c r="Q374" s="79" t="str">
        <x:v>6a3782d7df5573f4e676e243</x:v>
      </x:c>
      <x:c r="R374" s="79" t="str">
        <x:v>کیلو</x:v>
      </x:c>
      <x:c r="S374" s="79" t="n">
        <x:v>750000</x:v>
      </x:c>
      <x:c r="T374" s="79"/>
      <x:c r="U374" s="79"/>
    </x:row>
    <x:row r="375">
      <x:c r="A375" s="79" t="n">
        <x:v>377</x:v>
      </x:c>
      <x:c r="B375" s="79" t="str">
        <x:v>NS-0374-1</x:v>
      </x:c>
      <x:c r="C375" s="79" t="str">
        <x:v>نمک ارومیه</x:v>
      </x:c>
      <x:c r="D375" s="79" t="str">
        <x:v>نمک ارومیه</x:v>
      </x:c>
      <x:c r="E375" s="79" t="str">
        <x:v>single_377</x:v>
      </x:c>
      <x:c r="F375" s="79"/>
      <x:c r="G375" s="79" t="str">
        <x:v>canonical_group_row</x:v>
      </x:c>
      <x:c r="H375" s="79" t="str">
        <x:v>ادویه</x:v>
      </x:c>
      <x:c r="I375" s="79" t="str">
        <x:v>6a3781e4df5573f4e676e226</x:v>
      </x:c>
      <x:c r="J375" s="79" t="str">
        <x:v>spice</x:v>
      </x:c>
      <x:c r="K375" s="79" t="str">
        <x:v>EDIBLE</x:v>
      </x:c>
      <x:c r="L375" s="79" t="str">
        <x:v>بله</x:v>
      </x:c>
      <x:c r="M375" s="79" t="str">
        <x:v>OK</x:v>
      </x:c>
      <x:c r="N375" s="79"/>
      <x:c r="O375" s="79" t="str">
        <x:v>بله</x:v>
      </x:c>
      <x:c r="P375" s="79" t="str">
        <x:v>ادویه</x:v>
      </x:c>
      <x:c r="Q375" s="79" t="str">
        <x:v>6a3781e4df5573f4e676e226</x:v>
      </x:c>
      <x:c r="R375" s="79" t="str">
        <x:v>بسته ای</x:v>
      </x:c>
      <x:c r="S375" s="79" t="n">
        <x:v>120000</x:v>
      </x:c>
      <x:c r="T375" s="79"/>
      <x:c r="U375" s="79"/>
    </x:row>
    <x:row r="376">
      <x:c r="A376" s="79" t="n">
        <x:v>378</x:v>
      </x:c>
      <x:c r="B376" s="79" t="str">
        <x:v>NS-0375-1</x:v>
      </x:c>
      <x:c r="C376" s="79" t="str">
        <x:v>نمک جهرم دل نمک</x:v>
      </x:c>
      <x:c r="D376" s="79" t="str">
        <x:v>نمک جهرم دل نمک</x:v>
      </x:c>
      <x:c r="E376" s="79" t="str">
        <x:v>single_378</x:v>
      </x:c>
      <x:c r="F376" s="79"/>
      <x:c r="G376" s="79" t="str">
        <x:v>canonical_group_row</x:v>
      </x:c>
      <x:c r="H376" s="79" t="str">
        <x:v>ادویه</x:v>
      </x:c>
      <x:c r="I376" s="79" t="str">
        <x:v>6a3781e4df5573f4e676e226</x:v>
      </x:c>
      <x:c r="J376" s="79" t="str">
        <x:v>spice</x:v>
      </x:c>
      <x:c r="K376" s="79" t="str">
        <x:v>EDIBLE</x:v>
      </x:c>
      <x:c r="L376" s="79" t="str">
        <x:v>بله</x:v>
      </x:c>
      <x:c r="M376" s="79" t="str">
        <x:v>OK</x:v>
      </x:c>
      <x:c r="N376" s="79"/>
      <x:c r="O376" s="79" t="str">
        <x:v>بله</x:v>
      </x:c>
      <x:c r="P376" s="79" t="str">
        <x:v>ادویه</x:v>
      </x:c>
      <x:c r="Q376" s="79" t="str">
        <x:v>6a3781e4df5573f4e676e226</x:v>
      </x:c>
      <x:c r="R376" s="79" t="str">
        <x:v>کیلو</x:v>
      </x:c>
      <x:c r="S376" s="79" t="n">
        <x:v>220000</x:v>
      </x:c>
      <x:c r="T376" s="79"/>
      <x:c r="U376" s="79"/>
    </x:row>
    <x:row r="377">
      <x:c r="A377" s="79" t="n">
        <x:v>379</x:v>
      </x:c>
      <x:c r="B377" s="79" t="str">
        <x:v>NS-0376-1</x:v>
      </x:c>
      <x:c r="C377" s="79" t="str">
        <x:v>نمک دریا</x:v>
      </x:c>
      <x:c r="D377" s="79" t="str">
        <x:v>نمک دریا</x:v>
      </x:c>
      <x:c r="E377" s="79" t="str">
        <x:v>single_379</x:v>
      </x:c>
      <x:c r="F377" s="79"/>
      <x:c r="G377" s="79" t="str">
        <x:v>canonical_group_row</x:v>
      </x:c>
      <x:c r="H377" s="79" t="str">
        <x:v>ادویه</x:v>
      </x:c>
      <x:c r="I377" s="79" t="str">
        <x:v>6a3781e4df5573f4e676e226</x:v>
      </x:c>
      <x:c r="J377" s="79" t="str">
        <x:v>spice</x:v>
      </x:c>
      <x:c r="K377" s="79" t="str">
        <x:v>EDIBLE</x:v>
      </x:c>
      <x:c r="L377" s="79" t="str">
        <x:v>بله</x:v>
      </x:c>
      <x:c r="M377" s="79" t="str">
        <x:v>OK</x:v>
      </x:c>
      <x:c r="N377" s="79"/>
      <x:c r="O377" s="79" t="str">
        <x:v>بله</x:v>
      </x:c>
      <x:c r="P377" s="79" t="str">
        <x:v>ادویه</x:v>
      </x:c>
      <x:c r="Q377" s="79" t="str">
        <x:v>6a3781e4df5573f4e676e226</x:v>
      </x:c>
      <x:c r="R377" s="79" t="str">
        <x:v>بسته ای</x:v>
      </x:c>
      <x:c r="S377" s="79" t="n">
        <x:v>100000</x:v>
      </x:c>
      <x:c r="T377" s="79"/>
      <x:c r="U377" s="79"/>
    </x:row>
    <x:row r="378">
      <x:c r="A378" s="79" t="n">
        <x:v>380</x:v>
      </x:c>
      <x:c r="B378" s="79" t="str">
        <x:v>NS-0377-1</x:v>
      </x:c>
      <x:c r="C378" s="79" t="str">
        <x:v>نمک صورتی</x:v>
      </x:c>
      <x:c r="D378" s="79" t="str">
        <x:v>نمک صورتی</x:v>
      </x:c>
      <x:c r="E378" s="79" t="str">
        <x:v>grp_pink_salt</x:v>
      </x:c>
      <x:c r="F378" s="79" t="str">
        <x:v>پودری</x:v>
      </x:c>
      <x:c r="G378" s="79" t="str">
        <x:v>canonical_group_row</x:v>
      </x:c>
      <x:c r="H378" s="79" t="str">
        <x:v>ادویه</x:v>
      </x:c>
      <x:c r="I378" s="79" t="str">
        <x:v>6a3781e4df5573f4e676e226</x:v>
      </x:c>
      <x:c r="J378" s="79" t="str">
        <x:v>spice</x:v>
      </x:c>
      <x:c r="K378" s="79" t="str">
        <x:v>EDIBLE</x:v>
      </x:c>
      <x:c r="L378" s="79" t="str">
        <x:v>بله</x:v>
      </x:c>
      <x:c r="M378" s="79" t="str">
        <x:v>MERGED</x:v>
      </x:c>
      <x:c r="N378" s="79"/>
      <x:c r="O378" s="79" t="str">
        <x:v>بله</x:v>
      </x:c>
      <x:c r="P378" s="79" t="str">
        <x:v>ادویه</x:v>
      </x:c>
      <x:c r="Q378" s="79" t="str">
        <x:v>6a3781e4df5573f4e676e226</x:v>
      </x:c>
      <x:c r="R378" s="79" t="str">
        <x:v>کیلو</x:v>
      </x:c>
      <x:c r="S378" s="79" t="n">
        <x:v>150000</x:v>
      </x:c>
      <x:c r="T378" s="79"/>
      <x:c r="U378" s="79"/>
    </x:row>
    <x:row r="379">
      <x:c r="A379" s="79" t="n">
        <x:v>381</x:v>
      </x:c>
      <x:c r="B379" s="79" t="str">
        <x:v>NS-0378-1</x:v>
      </x:c>
      <x:c r="C379" s="79" t="str">
        <x:v>نمک صورتی سنگ</x:v>
      </x:c>
      <x:c r="D379" s="79" t="str">
        <x:v>نمک صورتی</x:v>
      </x:c>
      <x:c r="E379" s="79" t="str">
        <x:v>grp_pink_salt</x:v>
      </x:c>
      <x:c r="F379" s="79" t="str">
        <x:v>سنگ</x:v>
      </x:c>
      <x:c r="G379" s="79" t="str">
        <x:v>merge_into_canonical_group</x:v>
      </x:c>
      <x:c r="H379" s="79" t="str">
        <x:v>ادویه</x:v>
      </x:c>
      <x:c r="I379" s="79" t="str">
        <x:v>6a3781e4df5573f4e676e226</x:v>
      </x:c>
      <x:c r="J379" s="79" t="str">
        <x:v>spice</x:v>
      </x:c>
      <x:c r="K379" s="79" t="str">
        <x:v>EDIBLE</x:v>
      </x:c>
      <x:c r="L379" s="79" t="str">
        <x:v>بله</x:v>
      </x:c>
      <x:c r="M379" s="79" t="str">
        <x:v>MERGED</x:v>
      </x:c>
      <x:c r="N379" s="79"/>
      <x:c r="O379" s="79" t="str">
        <x:v>بله</x:v>
      </x:c>
      <x:c r="P379" s="79" t="str">
        <x:v>ادویه</x:v>
      </x:c>
      <x:c r="Q379" s="79" t="str">
        <x:v>6a3781e4df5573f4e676e226</x:v>
      </x:c>
      <x:c r="R379" s="79" t="str">
        <x:v>کیلو</x:v>
      </x:c>
      <x:c r="S379" s="79" t="n">
        <x:v>120000</x:v>
      </x:c>
      <x:c r="T379" s="79"/>
      <x:c r="U379" s="79"/>
    </x:row>
    <x:row r="380">
      <x:c r="A380" s="79" t="n">
        <x:v>382</x:v>
      </x:c>
      <x:c r="B380" s="79" t="str">
        <x:v>NS-0379-1</x:v>
      </x:c>
      <x:c r="C380" s="79" t="str">
        <x:v>نمک نارنجی</x:v>
      </x:c>
      <x:c r="D380" s="79" t="str">
        <x:v>نمک نارنجی</x:v>
      </x:c>
      <x:c r="E380" s="79" t="str">
        <x:v>single_382</x:v>
      </x:c>
      <x:c r="F380" s="79"/>
      <x:c r="G380" s="79" t="str">
        <x:v>canonical_group_row</x:v>
      </x:c>
      <x:c r="H380" s="79" t="str">
        <x:v>ادویه</x:v>
      </x:c>
      <x:c r="I380" s="79" t="str">
        <x:v>6a3781e4df5573f4e676e226</x:v>
      </x:c>
      <x:c r="J380" s="79" t="str">
        <x:v>spice</x:v>
      </x:c>
      <x:c r="K380" s="79" t="str">
        <x:v>EDIBLE</x:v>
      </x:c>
      <x:c r="L380" s="79" t="str">
        <x:v>بله</x:v>
      </x:c>
      <x:c r="M380" s="79" t="str">
        <x:v>OK</x:v>
      </x:c>
      <x:c r="N380" s="79"/>
      <x:c r="O380" s="79" t="str">
        <x:v>بله</x:v>
      </x:c>
      <x:c r="P380" s="79" t="str">
        <x:v>ادویه</x:v>
      </x:c>
      <x:c r="Q380" s="79" t="str">
        <x:v>6a3781e4df5573f4e676e226</x:v>
      </x:c>
      <x:c r="R380" s="79" t="str">
        <x:v>کیلو</x:v>
      </x:c>
      <x:c r="S380" s="79" t="n">
        <x:v>150000</x:v>
      </x:c>
      <x:c r="T380" s="79"/>
      <x:c r="U380" s="79"/>
    </x:row>
    <x:row r="381">
      <x:c r="A381" s="79" t="n">
        <x:v>383</x:v>
      </x:c>
      <x:c r="B381" s="79" t="str">
        <x:v>NS-0380-1</x:v>
      </x:c>
      <x:c r="C381" s="79" t="str">
        <x:v>نمک نخودی (سنگ)</x:v>
      </x:c>
      <x:c r="D381" s="79" t="str">
        <x:v>نمک نخودی (سنگ)</x:v>
      </x:c>
      <x:c r="E381" s="79" t="str">
        <x:v>single_383</x:v>
      </x:c>
      <x:c r="F381" s="79"/>
      <x:c r="G381" s="79" t="str">
        <x:v>canonical_group_row</x:v>
      </x:c>
      <x:c r="H381" s="79" t="str">
        <x:v>ادویه</x:v>
      </x:c>
      <x:c r="I381" s="79" t="str">
        <x:v>6a3781e4df5573f4e676e226</x:v>
      </x:c>
      <x:c r="J381" s="79" t="str">
        <x:v>spice</x:v>
      </x:c>
      <x:c r="K381" s="79" t="str">
        <x:v>EDIBLE</x:v>
      </x:c>
      <x:c r="L381" s="79" t="str">
        <x:v>بله</x:v>
      </x:c>
      <x:c r="M381" s="79" t="str">
        <x:v>OK</x:v>
      </x:c>
      <x:c r="N381" s="79"/>
      <x:c r="O381" s="79" t="str">
        <x:v>بله</x:v>
      </x:c>
      <x:c r="P381" s="79" t="str">
        <x:v>ادویه</x:v>
      </x:c>
      <x:c r="Q381" s="79" t="str">
        <x:v>6a3781e4df5573f4e676e226</x:v>
      </x:c>
      <x:c r="R381" s="79" t="str">
        <x:v>کیلو</x:v>
      </x:c>
      <x:c r="S381" s="79" t="n">
        <x:v>50000</x:v>
      </x:c>
      <x:c r="T381" s="79"/>
      <x:c r="U381" s="79"/>
    </x:row>
    <x:row r="382">
      <x:c r="A382" s="79" t="n">
        <x:v>384</x:v>
      </x:c>
      <x:c r="B382" s="79" t="str">
        <x:v>NS-0381-1</x:v>
      </x:c>
      <x:c r="C382" s="79" t="str">
        <x:v>نوتلا</x:v>
      </x:c>
      <x:c r="D382" s="79" t="str">
        <x:v>نوتلا ناب سرا</x:v>
      </x:c>
      <x:c r="E382" s="79" t="str">
        <x:v>grp_nabsara_nutella</x:v>
      </x:c>
      <x:c r="F382" s="79"/>
      <x:c r="G382" s="79" t="str">
        <x:v>canonical_group_row</x:v>
      </x:c>
      <x:c r="H382" s="79" t="str">
        <x:v>قنادی و شیرینی</x:v>
      </x:c>
      <x:c r="I382" s="79" t="str">
        <x:v>6a3a00000000000000000003</x:v>
      </x:c>
      <x:c r="J382" s="79" t="str">
        <x:v>confectionery</x:v>
      </x:c>
      <x:c r="K382" s="79" t="str">
        <x:v>EDIBLE</x:v>
      </x:c>
      <x:c r="L382" s="79" t="str">
        <x:v>بله</x:v>
      </x:c>
      <x:c r="M382" s="79" t="str">
        <x:v>MERGED + MISSING_PRICE_REVIEW</x:v>
      </x:c>
      <x:c r="N382" s="79" t="str">
        <x:v>یک یا چند قیمت نامشخص است</x:v>
      </x:c>
      <x:c r="O382" s="79" t="str">
        <x:v>بله</x:v>
      </x:c>
      <x:c r="P382" s="79" t="str">
        <x:v>قنادی و شیرینی</x:v>
      </x:c>
      <x:c r="Q382" s="79" t="str">
        <x:v>6a3a00000000000000000003</x:v>
      </x:c>
      <x:c r="R382" s="79" t="str">
        <x:v>کیلو</x:v>
      </x:c>
      <x:c r="S382" s="79"/>
      <x:c r="T382" s="79"/>
      <x:c r="U382" s="79"/>
    </x:row>
    <x:row r="383">
      <x:c r="A383" s="79" t="n">
        <x:v>385</x:v>
      </x:c>
      <x:c r="B383" s="79" t="str">
        <x:v>NS-0382-1</x:v>
      </x:c>
      <x:c r="C383" s="79" t="str">
        <x:v>نوتلا ناب سرا</x:v>
      </x:c>
      <x:c r="D383" s="79" t="str">
        <x:v>نوتلا ناب سرا</x:v>
      </x:c>
      <x:c r="E383" s="79" t="str">
        <x:v>grp_nabsara_nutella</x:v>
      </x:c>
      <x:c r="F383" s="79"/>
      <x:c r="G383" s="79" t="str">
        <x:v>merge_into_canonical_group</x:v>
      </x:c>
      <x:c r="H383" s="79" t="str">
        <x:v>قنادی و شیرینی</x:v>
      </x:c>
      <x:c r="I383" s="79" t="str">
        <x:v>6a3a00000000000000000003</x:v>
      </x:c>
      <x:c r="J383" s="79" t="str">
        <x:v>confectionery</x:v>
      </x:c>
      <x:c r="K383" s="79" t="str">
        <x:v>EDIBLE</x:v>
      </x:c>
      <x:c r="L383" s="79" t="str">
        <x:v>بله</x:v>
      </x:c>
      <x:c r="M383" s="79" t="str">
        <x:v>MERGED</x:v>
      </x:c>
      <x:c r="N383" s="79"/>
      <x:c r="O383" s="79" t="str">
        <x:v>بله</x:v>
      </x:c>
      <x:c r="P383" s="79" t="str">
        <x:v>قنادی و شیرینی</x:v>
      </x:c>
      <x:c r="Q383" s="79" t="str">
        <x:v>6a3a00000000000000000003</x:v>
      </x:c>
      <x:c r="R383" s="79" t="str">
        <x:v>کیلویی</x:v>
      </x:c>
      <x:c r="S383" s="79" t="n">
        <x:v>1500000</x:v>
      </x:c>
      <x:c r="T383" s="79" t="str">
        <x:v>بسته بندی</x:v>
      </x:c>
      <x:c r="U383" s="79" t="n">
        <x:v>260000</x:v>
      </x:c>
    </x:row>
    <x:row r="384">
      <x:c r="A384" s="79" t="n">
        <x:v>386</x:v>
      </x:c>
      <x:c r="B384" s="79" t="str">
        <x:v>NS-0383-1</x:v>
      </x:c>
      <x:c r="C384" s="79" t="str">
        <x:v>نوره</x:v>
      </x:c>
      <x:c r="D384" s="79" t="str">
        <x:v>نوره</x:v>
      </x:c>
      <x:c r="E384" s="79" t="str">
        <x:v>single_386</x:v>
      </x:c>
      <x:c r="F384" s="79"/>
      <x:c r="G384" s="79" t="str">
        <x:v>canonical_group_row</x:v>
      </x:c>
      <x:c r="H384" s="79" t="str">
        <x:v>گیاهان دارویی</x:v>
      </x:c>
      <x:c r="I384" s="79" t="str">
        <x:v>6a3782d7df5573f4e676e243</x:v>
      </x:c>
      <x:c r="J384" s="79" t="str">
        <x:v>medicinal-plants</x:v>
      </x:c>
      <x:c r="K384" s="79" t="str">
        <x:v>TOPICAL</x:v>
      </x:c>
      <x:c r="L384" s="79" t="str">
        <x:v>خیر</x:v>
      </x:c>
      <x:c r="M384" s="79" t="str">
        <x:v>OK</x:v>
      </x:c>
      <x:c r="N384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  <x:c r="O384" s="79" t="str">
        <x:v>بله</x:v>
      </x:c>
      <x:c r="P384" s="79" t="str">
        <x:v>نیاز به بررسی</x:v>
      </x:c>
      <x:c r="Q384" s="79"/>
      <x:c r="R384" s="79" t="str">
        <x:v>نیم کیلو</x:v>
      </x:c>
      <x:c r="S384" s="79" t="n">
        <x:v>110000</x:v>
      </x:c>
      <x:c r="T384" s="79"/>
      <x:c r="U384" s="79"/>
    </x:row>
    <x:row r="385">
      <x:c r="A385" s="79" t="n">
        <x:v>387</x:v>
      </x:c>
      <x:c r="B385" s="79" t="str">
        <x:v>NS-0384-1</x:v>
      </x:c>
      <x:c r="C385" s="79" t="str">
        <x:v>هل باد</x:v>
      </x:c>
      <x:c r="D385" s="79" t="str">
        <x:v>هل باد</x:v>
      </x:c>
      <x:c r="E385" s="79" t="str">
        <x:v>single_387</x:v>
      </x:c>
      <x:c r="F385" s="79"/>
      <x:c r="G385" s="79" t="str">
        <x:v>canonical_group_row</x:v>
      </x:c>
      <x:c r="H385" s="79" t="str">
        <x:v>ادویه</x:v>
      </x:c>
      <x:c r="I385" s="79" t="str">
        <x:v>6a3781e4df5573f4e676e226</x:v>
      </x:c>
      <x:c r="J385" s="79" t="str">
        <x:v>spice</x:v>
      </x:c>
      <x:c r="K385" s="79" t="str">
        <x:v>EDIBLE</x:v>
      </x:c>
      <x:c r="L385" s="79" t="str">
        <x:v>بله</x:v>
      </x:c>
      <x:c r="M385" s="79" t="str">
        <x:v>OK</x:v>
      </x:c>
      <x:c r="N385" s="79"/>
      <x:c r="O385" s="79" t="str">
        <x:v>بله</x:v>
      </x:c>
      <x:c r="P385" s="79" t="str">
        <x:v>ادویه</x:v>
      </x:c>
      <x:c r="Q385" s="79" t="str">
        <x:v>6a3781e4df5573f4e676e226</x:v>
      </x:c>
      <x:c r="R385" s="79" t="str">
        <x:v>کیلو</x:v>
      </x:c>
      <x:c r="S385" s="79" t="n">
        <x:v>3500000</x:v>
      </x:c>
      <x:c r="T385" s="79"/>
      <x:c r="U385" s="79"/>
    </x:row>
    <x:row r="386">
      <x:c r="A386" s="79" t="n">
        <x:v>388</x:v>
      </x:c>
      <x:c r="B386" s="79" t="str">
        <x:v>NS-0385-1</x:v>
      </x:c>
      <x:c r="C386" s="79" t="str">
        <x:v>هل پودر</x:v>
      </x:c>
      <x:c r="D386" s="79" t="str">
        <x:v>هل پودر</x:v>
      </x:c>
      <x:c r="E386" s="79" t="str">
        <x:v>single_388</x:v>
      </x:c>
      <x:c r="F386" s="79"/>
      <x:c r="G386" s="79" t="str">
        <x:v>canonical_group_row</x:v>
      </x:c>
      <x:c r="H386" s="79" t="str">
        <x:v>ادویه</x:v>
      </x:c>
      <x:c r="I386" s="79" t="str">
        <x:v>6a3781e4df5573f4e676e226</x:v>
      </x:c>
      <x:c r="J386" s="79" t="str">
        <x:v>spice</x:v>
      </x:c>
      <x:c r="K386" s="79" t="str">
        <x:v>EDIBLE</x:v>
      </x:c>
      <x:c r="L386" s="79" t="str">
        <x:v>بله</x:v>
      </x:c>
      <x:c r="M386" s="79" t="str">
        <x:v>OK</x:v>
      </x:c>
      <x:c r="N386" s="79"/>
      <x:c r="O386" s="79" t="str">
        <x:v>بله</x:v>
      </x:c>
      <x:c r="P386" s="79" t="str">
        <x:v>ادویه</x:v>
      </x:c>
      <x:c r="Q386" s="79" t="str">
        <x:v>6a3781e4df5573f4e676e226</x:v>
      </x:c>
      <x:c r="R386" s="79" t="str">
        <x:v>کیلو</x:v>
      </x:c>
      <x:c r="S386" s="79" t="n">
        <x:v>12500000</x:v>
      </x:c>
      <x:c r="T386" s="79"/>
      <x:c r="U386" s="79"/>
    </x:row>
    <x:row r="387">
      <x:c r="A387" s="79" t="n">
        <x:v>389</x:v>
      </x:c>
      <x:c r="B387" s="79" t="str">
        <x:v>NS-0386-1</x:v>
      </x:c>
      <x:c r="C387" s="79" t="str">
        <x:v>هل پیور اسپایس</x:v>
      </x:c>
      <x:c r="D387" s="79" t="str">
        <x:v>هل پیور اسپایس</x:v>
      </x:c>
      <x:c r="E387" s="79" t="str">
        <x:v>single_389</x:v>
      </x:c>
      <x:c r="F387" s="79"/>
      <x:c r="G387" s="79" t="str">
        <x:v>canonical_group_row</x:v>
      </x:c>
      <x:c r="H387" s="79" t="str">
        <x:v>ادویه</x:v>
      </x:c>
      <x:c r="I387" s="79" t="str">
        <x:v>6a3781e4df5573f4e676e226</x:v>
      </x:c>
      <x:c r="J387" s="79" t="str">
        <x:v>spice</x:v>
      </x:c>
      <x:c r="K387" s="79" t="str">
        <x:v>EDIBLE</x:v>
      </x:c>
      <x:c r="L387" s="79" t="str">
        <x:v>بله</x:v>
      </x:c>
      <x:c r="M387" s="79" t="str">
        <x:v>OK</x:v>
      </x:c>
      <x:c r="N387" s="79"/>
      <x:c r="O387" s="79" t="str">
        <x:v>بله</x:v>
      </x:c>
      <x:c r="P387" s="79" t="str">
        <x:v>ادویه</x:v>
      </x:c>
      <x:c r="Q387" s="79" t="str">
        <x:v>6a3781e4df5573f4e676e226</x:v>
      </x:c>
      <x:c r="R387" s="79" t="str">
        <x:v>کیلو</x:v>
      </x:c>
      <x:c r="S387" s="79" t="n">
        <x:v>12500000</x:v>
      </x:c>
      <x:c r="T387" s="79"/>
      <x:c r="U387" s="79"/>
    </x:row>
    <x:row r="388">
      <x:c r="A388" s="79" t="n">
        <x:v>390</x:v>
      </x:c>
      <x:c r="B388" s="79" t="str">
        <x:v>NS-0387-1</x:v>
      </x:c>
      <x:c r="C388" s="79" t="str">
        <x:v>هلیله سیاه</x:v>
      </x:c>
      <x:c r="D388" s="79" t="str">
        <x:v>هلیله سیاه</x:v>
      </x:c>
      <x:c r="E388" s="79" t="str">
        <x:v>single_390</x:v>
      </x:c>
      <x:c r="F388" s="79"/>
      <x:c r="G388" s="79" t="str">
        <x:v>canonical_group_row</x:v>
      </x:c>
      <x:c r="H388" s="79" t="str">
        <x:v>ادویه</x:v>
      </x:c>
      <x:c r="I388" s="79" t="str">
        <x:v>6a3781e4df5573f4e676e226</x:v>
      </x:c>
      <x:c r="J388" s="79" t="str">
        <x:v>spice</x:v>
      </x:c>
      <x:c r="K388" s="79" t="str">
        <x:v>EDIBLE</x:v>
      </x:c>
      <x:c r="L388" s="79" t="str">
        <x:v>بله</x:v>
      </x:c>
      <x:c r="M388" s="79" t="str">
        <x:v>OK</x:v>
      </x:c>
      <x:c r="N388" s="79"/>
      <x:c r="O388" s="79" t="str">
        <x:v>بله</x:v>
      </x:c>
      <x:c r="P388" s="79" t="str">
        <x:v>ادویه</x:v>
      </x:c>
      <x:c r="Q388" s="79" t="str">
        <x:v>6a3781e4df5573f4e676e226</x:v>
      </x:c>
      <x:c r="R388" s="79" t="str">
        <x:v>کیلو</x:v>
      </x:c>
      <x:c r="S388" s="79" t="n">
        <x:v>1500000</x:v>
      </x:c>
      <x:c r="T388" s="79"/>
      <x:c r="U388" s="79"/>
    </x:row>
    <x:row r="389">
      <x:c r="A389" s="79" t="n">
        <x:v>391</x:v>
      </x:c>
      <x:c r="B389" s="79" t="str">
        <x:v>NS-0388-1</x:v>
      </x:c>
      <x:c r="C389" s="79" t="str">
        <x:v>وانیل خرسی شکری</x:v>
      </x:c>
      <x:c r="D389" s="79" t="str">
        <x:v>وانیل خرسی شکری</x:v>
      </x:c>
      <x:c r="E389" s="79" t="str">
        <x:v>single_391</x:v>
      </x:c>
      <x:c r="F389" s="79"/>
      <x:c r="G389" s="79" t="str">
        <x:v>canonical_group_row</x:v>
      </x:c>
      <x:c r="H389" s="79" t="str">
        <x:v>قنادی و شیرینی</x:v>
      </x:c>
      <x:c r="I389" s="79" t="str">
        <x:v>6a3a00000000000000000003</x:v>
      </x:c>
      <x:c r="J389" s="79" t="str">
        <x:v>confectionery</x:v>
      </x:c>
      <x:c r="K389" s="79" t="str">
        <x:v>EDIBLE</x:v>
      </x:c>
      <x:c r="L389" s="79" t="str">
        <x:v>بله</x:v>
      </x:c>
      <x:c r="M389" s="79" t="str">
        <x:v>OK</x:v>
      </x:c>
      <x:c r="N389" s="79"/>
      <x:c r="O389" s="79" t="str">
        <x:v>بله</x:v>
      </x:c>
      <x:c r="P389" s="79" t="str">
        <x:v>قنادی و شیرینی</x:v>
      </x:c>
      <x:c r="Q389" s="79" t="str">
        <x:v>6a3a00000000000000000003</x:v>
      </x:c>
      <x:c r="R389" s="79" t="str">
        <x:v>کیلو</x:v>
      </x:c>
      <x:c r="S389" s="79" t="n">
        <x:v>800000</x:v>
      </x:c>
      <x:c r="T389" s="79"/>
      <x:c r="U389" s="79"/>
    </x:row>
  </x:sheetData>
  <x:conditionalFormatting sqref="G2:G389">
    <x:cfRule type="expression" dxfId="17" priority="1">
      <x:formula>G2="merge_into_canonical_group"</x:formula>
    </x:cfRule>
    <x:cfRule type="expression" dxfId="18" priority="2">
      <x:formula>G2="skip_do_not_import"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7c1ce084b6496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34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32" hidden="0" customWidth="1"/>
  </x:cols>
  <x:sheetData>
    <x:row r="1">
      <x:c r="A1" s="122" t="str">
        <x:v>source_row</x:v>
      </x:c>
      <x:c r="B1" s="122" t="str">
        <x:v>product_name</x:v>
      </x:c>
      <x:c r="C1" s="122" t="str">
        <x:v>old_category</x:v>
      </x:c>
      <x:c r="D1" s="122" t="str">
        <x:v>new_category</x:v>
      </x:c>
      <x:c r="E1" s="122" t="str">
        <x:v>old_usageType</x:v>
      </x:c>
      <x:c r="F1" s="122" t="str">
        <x:v>new_usageType</x:v>
      </x:c>
      <x:c r="G1" s="122" t="str">
        <x:v>final_action</x:v>
      </x:c>
      <x:c r="H1" s="122" t="str">
        <x:v>note</x:v>
      </x:c>
    </x:row>
    <x:row r="2">
      <x:c r="A2" s="79" t="n">
        <x:v>27</x:v>
      </x:c>
      <x:c r="B2" s="79" t="str">
        <x:v>ارده</x:v>
      </x:c>
      <x:c r="C2" s="79" t="str">
        <x:v>قنادی و شیرینی</x:v>
      </x:c>
      <x:c r="D2" s="79" t="str">
        <x:v>قنادی و شیرینی</x:v>
      </x:c>
      <x:c r="E2" s="79" t="str">
        <x:v>REVIEW</x:v>
      </x:c>
      <x:c r="F2" s="79" t="str">
        <x:v>EDIBLE</x:v>
      </x:c>
      <x:c r="G2" s="79" t="str">
        <x:v>canonical_group_row</x:v>
      </x:c>
      <x:c r="H2" s="79" t="str">
        <x:v>OK</x:v>
      </x:c>
    </x:row>
    <x:row r="3">
      <x:c r="A3" s="79" t="n">
        <x:v>30</x:v>
      </x:c>
      <x:c r="B3" s="79" t="str">
        <x:v>اسپند نخودی</x:v>
      </x:c>
      <x:c r="C3" s="79" t="str">
        <x:v>حبوبات و غلات</x:v>
      </x:c>
      <x:c r="D3" s="79" t="str">
        <x:v>حبوبات و غلات</x:v>
      </x:c>
      <x:c r="E3" s="79" t="str">
        <x:v>REVIEW</x:v>
      </x:c>
      <x:c r="F3" s="79" t="str">
        <x:v>EDIBLE</x:v>
      </x:c>
      <x:c r="G3" s="79" t="str">
        <x:v>canonical_group_row</x:v>
      </x:c>
      <x:c r="H3" s="79" t="str">
        <x:v>OK</x:v>
      </x:c>
    </x:row>
    <x:row r="4">
      <x:c r="A4" s="79" t="n">
        <x:v>33</x:v>
      </x:c>
      <x:c r="B4" s="79" t="str">
        <x:v>انبه پودر</x:v>
      </x:c>
      <x:c r="C4" s="79" t="str">
        <x:v>نیاز به بررسی</x:v>
      </x:c>
      <x:c r="D4" s="79" t="str">
        <x:v>نوشیدنی‌ها</x:v>
      </x:c>
      <x:c r="E4" s="79" t="str">
        <x:v>REVIEW</x:v>
      </x:c>
      <x:c r="F4" s="79" t="str">
        <x:v>EDIBLE</x:v>
      </x:c>
      <x:c r="G4" s="79" t="str">
        <x:v>canonical_group_row</x:v>
      </x:c>
      <x:c r="H4" s="79" t="str">
        <x:v>دسته از «نیاز به بررسی» به «نوشیدنی‌ها» اصلاح شد</x:v>
      </x:c>
    </x:row>
    <x:row r="5">
      <x:c r="A5" s="79" t="n">
        <x:v>34</x:v>
      </x:c>
      <x:c r="B5" s="79" t="str">
        <x:v>انجیر خشک</x:v>
      </x:c>
      <x:c r="C5" s="79" t="str">
        <x:v>خشکبار و آجیل</x:v>
      </x:c>
      <x:c r="D5" s="79" t="str">
        <x:v>خشکبار و آجیل</x:v>
      </x:c>
      <x:c r="E5" s="79" t="str">
        <x:v>REVIEW</x:v>
      </x:c>
      <x:c r="F5" s="79" t="str">
        <x:v>EDIBLE</x:v>
      </x:c>
      <x:c r="G5" s="79" t="str">
        <x:v>canonical_group_row</x:v>
      </x:c>
      <x:c r="H5" s="79" t="str">
        <x:v>OK</x:v>
      </x:c>
    </x:row>
    <x:row r="6">
      <x:c r="A6" s="79" t="n">
        <x:v>35</x:v>
      </x:c>
      <x:c r="B6" s="79" t="str">
        <x:v>آب زرشک</x:v>
      </x:c>
      <x:c r="C6" s="79" t="str">
        <x:v>نوشیدنی‌ها</x:v>
      </x:c>
      <x:c r="D6" s="79" t="str">
        <x:v>نوشیدنی‌ها</x:v>
      </x:c>
      <x:c r="E6" s="79" t="str">
        <x:v>EDIBLE</x:v>
      </x:c>
      <x:c r="F6" s="79" t="str">
        <x:v>EDIBLE</x:v>
      </x:c>
      <x:c r="G6" s="79" t="str">
        <x:v>canonical_group_row</x:v>
      </x:c>
      <x:c r="H6" s="79" t="str">
        <x:v>یک یا چند قیمت نامشخص است</x:v>
      </x:c>
    </x:row>
    <x:row r="7">
      <x:c r="A7" s="79" t="n">
        <x:v>37</x:v>
      </x:c>
      <x:c r="B7" s="79" t="str">
        <x:v>آرد برنج</x:v>
      </x:c>
      <x:c r="C7" s="79" t="str">
        <x:v>آرد و قنادی</x:v>
      </x:c>
      <x:c r="D7" s="79" t="str">
        <x:v>آرد و قنادی</x:v>
      </x:c>
      <x:c r="E7" s="79" t="str">
        <x:v>REVIEW</x:v>
      </x:c>
      <x:c r="F7" s="79" t="str">
        <x:v>EDIBLE</x:v>
      </x:c>
      <x:c r="G7" s="79" t="str">
        <x:v>canonical_group_row</x:v>
      </x:c>
      <x:c r="H7" s="79" t="str">
        <x:v>OK</x:v>
      </x:c>
    </x:row>
    <x:row r="8">
      <x:c r="A8" s="79" t="n">
        <x:v>38</x:v>
      </x:c>
      <x:c r="B8" s="79" t="str">
        <x:v>آرد سوخاری</x:v>
      </x:c>
      <x:c r="C8" s="79" t="str">
        <x:v>آرد و قنادی</x:v>
      </x:c>
      <x:c r="D8" s="79" t="str">
        <x:v>آرد و قنادی</x:v>
      </x:c>
      <x:c r="E8" s="79" t="str">
        <x:v>REVIEW</x:v>
      </x:c>
      <x:c r="F8" s="79" t="str">
        <x:v>EDIBLE</x:v>
      </x:c>
      <x:c r="G8" s="79" t="str">
        <x:v>canonical_group_row</x:v>
      </x:c>
      <x:c r="H8" s="79" t="str">
        <x:v>OK</x:v>
      </x:c>
    </x:row>
    <x:row r="9">
      <x:c r="A9" s="79" t="n">
        <x:v>39</x:v>
      </x:c>
      <x:c r="B9" s="79" t="str">
        <x:v>آرد نخودچی</x:v>
      </x:c>
      <x:c r="C9" s="79" t="str">
        <x:v>آرد و قنادی</x:v>
      </x:c>
      <x:c r="D9" s="79" t="str">
        <x:v>آرد و قنادی</x:v>
      </x:c>
      <x:c r="E9" s="79" t="str">
        <x:v>REVIEW</x:v>
      </x:c>
      <x:c r="F9" s="79" t="str">
        <x:v>EDIBLE</x:v>
      </x:c>
      <x:c r="G9" s="79" t="str">
        <x:v>canonical_group_row</x:v>
      </x:c>
      <x:c r="H9" s="79" t="str">
        <x:v>OK</x:v>
      </x:c>
    </x:row>
    <x:row r="10">
      <x:c r="A10" s="79" t="n">
        <x:v>40</x:v>
      </x:c>
      <x:c r="B10" s="79" t="str">
        <x:v>آسیاب ادویه</x:v>
      </x:c>
      <x:c r="C10" s="79" t="str">
        <x:v>نیاز به بررسی</x:v>
      </x:c>
      <x:c r="D10" s="79" t="str">
        <x:v>عدم ایمپورت</x:v>
      </x:c>
      <x:c r="E10" s="79" t="str">
        <x:v>TOPICAL</x:v>
      </x:c>
      <x:c r="F10" s="79" t="str">
        <x:v>NON_PRODUCT</x:v>
      </x:c>
      <x:c r="G10" s="79" t="str">
        <x:v>skip_do_not_import</x:v>
      </x:c>
      <x:c r="H10" s="79" t="str">
        <x:v>ملزومات/ظرف/ابزار است و چون دسته «ملزومات» حذف شده، برای سایت ایمپورت نشود.</x:v>
      </x:c>
    </x:row>
    <x:row r="11">
      <x:c r="A11" s="79" t="n">
        <x:v>44</x:v>
      </x:c>
      <x:c r="B11" s="79" t="str">
        <x:v>بادام زمینی</x:v>
      </x:c>
      <x:c r="C11" s="79" t="str">
        <x:v>خشکبار و آجیل</x:v>
      </x:c>
      <x:c r="D11" s="79" t="str">
        <x:v>خشکبار و آجیل</x:v>
      </x:c>
      <x:c r="E11" s="79" t="str">
        <x:v>REVIEW</x:v>
      </x:c>
      <x:c r="F11" s="79" t="str">
        <x:v>EDIBLE</x:v>
      </x:c>
      <x:c r="G11" s="79" t="str">
        <x:v>canonical_group_row</x:v>
      </x:c>
      <x:c r="H11" s="79" t="str">
        <x:v>MERGED</x:v>
      </x:c>
    </x:row>
    <x:row r="12">
      <x:c r="A12" s="79" t="n">
        <x:v>45</x:v>
      </x:c>
      <x:c r="B12" s="79" t="str">
        <x:v>بادام زمینی آستانه</x:v>
      </x:c>
      <x:c r="C12" s="79" t="str">
        <x:v>خشکبار و آجیل</x:v>
      </x:c>
      <x:c r="D12" s="79" t="str">
        <x:v>خشکبار و آجیل</x:v>
      </x:c>
      <x:c r="E12" s="79" t="str">
        <x:v>REVIEW</x:v>
      </x:c>
      <x:c r="F12" s="79" t="str">
        <x:v>EDIBLE</x:v>
      </x:c>
      <x:c r="G12" s="79" t="str">
        <x:v>merge_into_canonical_group</x:v>
      </x:c>
      <x:c r="H12" s="79" t="str">
        <x:v>یک یا چند قیمت نامشخص است</x:v>
      </x:c>
    </x:row>
    <x:row r="13">
      <x:c r="A13" s="79" t="n">
        <x:v>49</x:v>
      </x:c>
      <x:c r="B13" s="79" t="str">
        <x:v>باقلا خشک</x:v>
      </x:c>
      <x:c r="C13" s="79" t="str">
        <x:v>حبوبات و غلات</x:v>
      </x:c>
      <x:c r="D13" s="79" t="str">
        <x:v>حبوبات و غلات</x:v>
      </x:c>
      <x:c r="E13" s="79" t="str">
        <x:v>REVIEW</x:v>
      </x:c>
      <x:c r="F13" s="79" t="str">
        <x:v>EDIBLE</x:v>
      </x:c>
      <x:c r="G13" s="79" t="str">
        <x:v>canonical_group_row</x:v>
      </x:c>
      <x:c r="H13" s="79" t="str">
        <x:v>OK</x:v>
      </x:c>
    </x:row>
    <x:row r="14">
      <x:c r="A14" s="79" t="n">
        <x:v>50</x:v>
      </x:c>
      <x:c r="B14" s="79" t="str">
        <x:v>بامیه پودر</x:v>
      </x:c>
      <x:c r="C14" s="79" t="str">
        <x:v>نیاز به بررسی</x:v>
      </x:c>
      <x:c r="D14" s="79" t="str">
        <x:v>گیاهان دارویی</x:v>
      </x:c>
      <x:c r="E14" s="79" t="str">
        <x:v>REVIEW</x:v>
      </x:c>
      <x:c r="F14" s="79" t="str">
        <x:v>EDIBLE</x:v>
      </x:c>
      <x:c r="G14" s="79" t="str">
        <x:v>canonical_group_row</x:v>
      </x:c>
      <x:c r="H14" s="79" t="str">
        <x:v>دسته از «نیاز به بررسی» به «گیاهان دارویی» اصلاح شد</x:v>
      </x:c>
    </x:row>
    <x:row r="15">
      <x:c r="A15" s="79" t="n">
        <x:v>52</x:v>
      </x:c>
      <x:c r="B15" s="79" t="str">
        <x:v>بکینگ پودر</x:v>
      </x:c>
      <x:c r="C15" s="79" t="str">
        <x:v>آرد و قنادی</x:v>
      </x:c>
      <x:c r="D15" s="79" t="str">
        <x:v>آرد و قنادی</x:v>
      </x:c>
      <x:c r="E15" s="79" t="str">
        <x:v>REVIEW</x:v>
      </x:c>
      <x:c r="F15" s="79" t="str">
        <x:v>EDIBLE</x:v>
      </x:c>
      <x:c r="G15" s="79" t="str">
        <x:v>canonical_group_row</x:v>
      </x:c>
      <x:c r="H15" s="79" t="str">
        <x:v>OK</x:v>
      </x:c>
    </x:row>
    <x:row r="16">
      <x:c r="A16" s="79" t="n">
        <x:v>53</x:v>
      </x:c>
      <x:c r="B16" s="79" t="str">
        <x:v>بلوط</x:v>
      </x:c>
      <x:c r="C16" s="79" t="str">
        <x:v>نیاز به بررسی</x:v>
      </x:c>
      <x:c r="D16" s="79" t="str">
        <x:v>خشکبار و آجیل</x:v>
      </x:c>
      <x:c r="E16" s="79" t="str">
        <x:v>REVIEW</x:v>
      </x:c>
      <x:c r="F16" s="79" t="str">
        <x:v>EDIBLE</x:v>
      </x:c>
      <x:c r="G16" s="79" t="str">
        <x:v>canonical_group_row</x:v>
      </x:c>
      <x:c r="H16" s="79" t="str">
        <x:v>دسته از «نیاز به بررسی» به «خشکبار و آجیل» اصلاح شد</x:v>
      </x:c>
    </x:row>
    <x:row r="17">
      <x:c r="A17" s="79" t="n">
        <x:v>56</x:v>
      </x:c>
      <x:c r="B17" s="79" t="str">
        <x:v>پاکت</x:v>
      </x:c>
      <x:c r="C17" s="79" t="str">
        <x:v>نیاز به بررسی</x:v>
      </x:c>
      <x:c r="D17" s="79" t="str">
        <x:v>عدم ایمپورت</x:v>
      </x:c>
      <x:c r="E17" s="79" t="str">
        <x:v>TOPICAL</x:v>
      </x:c>
      <x:c r="F17" s="79" t="str">
        <x:v>NON_PRODUCT</x:v>
      </x:c>
      <x:c r="G17" s="79" t="str">
        <x:v>skip_do_not_import</x:v>
      </x:c>
      <x:c r="H17" s="79" t="str">
        <x:v>ملزومات/ظرف/ابزار است و چون دسته «ملزومات» حذف شده، برای سایت ایمپورت نشود.</x:v>
      </x:c>
    </x:row>
    <x:row r="18">
      <x:c r="A18" s="79" t="n">
        <x:v>57</x:v>
      </x:c>
      <x:c r="B18" s="79" t="str">
        <x:v>پماد سرد</x:v>
      </x:c>
      <x:c r="C18" s="79" t="str">
        <x:v>نیاز به بررسی</x:v>
      </x:c>
      <x:c r="D18" s="79" t="str">
        <x:v>گیاهان دارویی</x:v>
      </x:c>
      <x:c r="E18" s="79" t="str">
        <x:v>TOPICAL</x:v>
      </x:c>
      <x:c r="F18" s="79" t="str">
        <x:v>TOPICAL</x:v>
      </x:c>
      <x:c r="G18" s="79" t="str">
        <x:v>canonical_group_row</x:v>
      </x:c>
      <x:c r="H1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9">
      <x:c r="A19" s="79" t="n">
        <x:v>58</x:v>
      </x:c>
      <x:c r="B19" s="79" t="str">
        <x:v>پماد سیاه</x:v>
      </x:c>
      <x:c r="C19" s="79" t="str">
        <x:v>نیاز به بررسی</x:v>
      </x:c>
      <x:c r="D19" s="79" t="str">
        <x:v>گیاهان دارویی</x:v>
      </x:c>
      <x:c r="E19" s="79" t="str">
        <x:v>TOPICAL</x:v>
      </x:c>
      <x:c r="F19" s="79" t="str">
        <x:v>TOPICAL</x:v>
      </x:c>
      <x:c r="G19" s="79" t="str">
        <x:v>canonical_group_row</x:v>
      </x:c>
      <x:c r="H19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0">
      <x:c r="A20" s="79" t="n">
        <x:v>59</x:v>
      </x:c>
      <x:c r="B20" s="79" t="str">
        <x:v>پماد گرم</x:v>
      </x:c>
      <x:c r="C20" s="79" t="str">
        <x:v>نیاز به بررسی</x:v>
      </x:c>
      <x:c r="D20" s="79" t="str">
        <x:v>گیاهان دارویی</x:v>
      </x:c>
      <x:c r="E20" s="79" t="str">
        <x:v>TOPICAL</x:v>
      </x:c>
      <x:c r="F20" s="79" t="str">
        <x:v>TOPICAL</x:v>
      </x:c>
      <x:c r="G20" s="79" t="str">
        <x:v>canonical_group_row</x:v>
      </x:c>
      <x:c r="H2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1">
      <x:c r="A21" s="79" t="n">
        <x:v>60</x:v>
      </x:c>
      <x:c r="B21" s="79" t="str">
        <x:v>پماد لطیف</x:v>
      </x:c>
      <x:c r="C21" s="79" t="str">
        <x:v>نیاز به بررسی</x:v>
      </x:c>
      <x:c r="D21" s="79" t="str">
        <x:v>گیاهان دارویی</x:v>
      </x:c>
      <x:c r="E21" s="79" t="str">
        <x:v>TOPICAL</x:v>
      </x:c>
      <x:c r="F21" s="79" t="str">
        <x:v>TOPICAL</x:v>
      </x:c>
      <x:c r="G21" s="79" t="str">
        <x:v>canonical_group_row</x:v>
      </x:c>
      <x:c r="H21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2">
      <x:c r="A22" s="79" t="n">
        <x:v>61</x:v>
      </x:c>
      <x:c r="B22" s="79" t="str">
        <x:v>پمادر درد (پماد ویکس)</x:v>
      </x:c>
      <x:c r="C22" s="79" t="str">
        <x:v>نیاز به بررسی</x:v>
      </x:c>
      <x:c r="D22" s="79" t="str">
        <x:v>گیاهان دارویی</x:v>
      </x:c>
      <x:c r="E22" s="79" t="str">
        <x:v>TOPICAL</x:v>
      </x:c>
      <x:c r="F22" s="79" t="str">
        <x:v>TOPICAL</x:v>
      </x:c>
      <x:c r="G22" s="79" t="str">
        <x:v>canonical_group_row</x:v>
      </x:c>
      <x:c r="H2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3">
      <x:c r="A23" s="79" t="n">
        <x:v>62</x:v>
      </x:c>
      <x:c r="B23" s="79" t="str">
        <x:v>پمادر درد (پماد ویکس) 55 گرمی</x:v>
      </x:c>
      <x:c r="C23" s="79" t="str">
        <x:v>نیاز به بررسی</x:v>
      </x:c>
      <x:c r="D23" s="79" t="str">
        <x:v>گیاهان دارویی</x:v>
      </x:c>
      <x:c r="E23" s="79" t="str">
        <x:v>TOPICAL</x:v>
      </x:c>
      <x:c r="F23" s="79" t="str">
        <x:v>TOPICAL</x:v>
      </x:c>
      <x:c r="G23" s="79" t="str">
        <x:v>canonical_group_row</x:v>
      </x:c>
      <x:c r="H2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4">
      <x:c r="A24" s="79" t="n">
        <x:v>63</x:v>
      </x:c>
      <x:c r="B24" s="79" t="str">
        <x:v>پودر خربزه</x:v>
      </x:c>
      <x:c r="C24" s="79" t="str">
        <x:v>نیاز به بررسی</x:v>
      </x:c>
      <x:c r="D24" s="79" t="str">
        <x:v>گیاهان دارویی</x:v>
      </x:c>
      <x:c r="E24" s="79" t="str">
        <x:v>REVIEW</x:v>
      </x:c>
      <x:c r="F24" s="79" t="str">
        <x:v>EDIBLE</x:v>
      </x:c>
      <x:c r="G24" s="79" t="str">
        <x:v>canonical_group_row</x:v>
      </x:c>
      <x:c r="H24" s="79" t="str">
        <x:v>دسته از «نیاز به بررسی» به «گیاهان دارویی» اصلاح شد | یک یا چند قیمت نامشخص است</x:v>
      </x:c>
    </x:row>
    <x:row r="25">
      <x:c r="A25" s="79" t="n">
        <x:v>64</x:v>
      </x:c>
      <x:c r="B25" s="79" t="str">
        <x:v>پودر سوخاری دانه درشت نارنجی</x:v>
      </x:c>
      <x:c r="C25" s="79" t="str">
        <x:v>نیاز به بررسی</x:v>
      </x:c>
      <x:c r="D25" s="79" t="str">
        <x:v>آرد و قنادی</x:v>
      </x:c>
      <x:c r="E25" s="79" t="str">
        <x:v>REVIEW</x:v>
      </x:c>
      <x:c r="F25" s="79" t="str">
        <x:v>EDIBLE</x:v>
      </x:c>
      <x:c r="G25" s="79" t="str">
        <x:v>canonical_group_row</x:v>
      </x:c>
      <x:c r="H25" s="79" t="str">
        <x:v>دسته از «نیاز به بررسی» به «آرد و قنادی» اصلاح شد</x:v>
      </x:c>
    </x:row>
    <x:row r="26">
      <x:c r="A26" s="79" t="n">
        <x:v>66</x:v>
      </x:c>
      <x:c r="B26" s="79" t="str">
        <x:v>پودر کشک گوسفندی</x:v>
      </x:c>
      <x:c r="C26" s="79" t="str">
        <x:v>نیاز به بررسی</x:v>
      </x:c>
      <x:c r="D26" s="79" t="str">
        <x:v>قنادی و شیرینی</x:v>
      </x:c>
      <x:c r="E26" s="79" t="str">
        <x:v>REVIEW</x:v>
      </x:c>
      <x:c r="F26" s="79" t="str">
        <x:v>EDIBLE</x:v>
      </x:c>
      <x:c r="G26" s="79" t="str">
        <x:v>canonical_group_row</x:v>
      </x:c>
      <x:c r="H26" s="79" t="str">
        <x:v>دسته از «نیاز به بررسی» به «قنادی و شیرینی» اصلاح شد</x:v>
      </x:c>
    </x:row>
    <x:row r="27">
      <x:c r="A27" s="79" t="n">
        <x:v>67</x:v>
      </x:c>
      <x:c r="B27" s="79" t="str">
        <x:v>پونه خشک</x:v>
      </x:c>
      <x:c r="C27" s="79" t="str">
        <x:v>نیاز به بررسی</x:v>
      </x:c>
      <x:c r="D27" s="79" t="str">
        <x:v>گیاهان دارویی</x:v>
      </x:c>
      <x:c r="E27" s="79" t="str">
        <x:v>REVIEW</x:v>
      </x:c>
      <x:c r="F27" s="79" t="str">
        <x:v>EDIBLE</x:v>
      </x:c>
      <x:c r="G27" s="79" t="str">
        <x:v>canonical_group_row</x:v>
      </x:c>
      <x:c r="H27" s="79" t="str">
        <x:v>دسته از «نیاز به بررسی» به «گیاهان دارویی» اصلاح شد</x:v>
      </x:c>
    </x:row>
    <x:row r="28">
      <x:c r="A28" s="79" t="n">
        <x:v>74</x:v>
      </x:c>
      <x:c r="B28" s="79" t="str">
        <x:v>تمرهندی</x:v>
      </x:c>
      <x:c r="C28" s="79" t="str">
        <x:v>نیاز به بررسی</x:v>
      </x:c>
      <x:c r="D28" s="79" t="str">
        <x:v>خشکبار و آجیل</x:v>
      </x:c>
      <x:c r="E28" s="79" t="str">
        <x:v>REVIEW</x:v>
      </x:c>
      <x:c r="F28" s="79" t="str">
        <x:v>EDIBLE</x:v>
      </x:c>
      <x:c r="G28" s="79" t="str">
        <x:v>canonical_group_row</x:v>
      </x:c>
      <x:c r="H28" s="79" t="str">
        <x:v>دسته از «نیاز به بررسی» به «خشکبار و آجیل» اصلاح شد</x:v>
      </x:c>
    </x:row>
    <x:row r="29">
      <x:c r="A29" s="79" t="n">
        <x:v>75</x:v>
      </x:c>
      <x:c r="B29" s="79" t="str">
        <x:v>توت خشک</x:v>
      </x:c>
      <x:c r="C29" s="79" t="str">
        <x:v>خشکبار و آجیل</x:v>
      </x:c>
      <x:c r="D29" s="79" t="str">
        <x:v>خشکبار و آجیل</x:v>
      </x:c>
      <x:c r="E29" s="79" t="str">
        <x:v>REVIEW</x:v>
      </x:c>
      <x:c r="F29" s="79" t="str">
        <x:v>EDIBLE</x:v>
      </x:c>
      <x:c r="G29" s="79" t="str">
        <x:v>canonical_group_row</x:v>
      </x:c>
      <x:c r="H29" s="79" t="str">
        <x:v>یک یا چند قیمت نامشخص است</x:v>
      </x:c>
    </x:row>
    <x:row r="30">
      <x:c r="A30" s="79" t="n">
        <x:v>80</x:v>
      </x:c>
      <x:c r="B30" s="79" t="str">
        <x:v>جدوار</x:v>
      </x:c>
      <x:c r="C30" s="79" t="str">
        <x:v>نیاز به بررسی</x:v>
      </x:c>
      <x:c r="D30" s="79" t="str">
        <x:v>گیاهان دارویی</x:v>
      </x:c>
      <x:c r="E30" s="79" t="str">
        <x:v>REVIEW</x:v>
      </x:c>
      <x:c r="F30" s="79" t="str">
        <x:v>EDIBLE</x:v>
      </x:c>
      <x:c r="G30" s="79" t="str">
        <x:v>canonical_group_row</x:v>
      </x:c>
      <x:c r="H30" s="79" t="str">
        <x:v>دسته از «نیاز به بررسی» به «گیاهان دارویی» اصلاح شد</x:v>
      </x:c>
    </x:row>
    <x:row r="31">
      <x:c r="A31" s="79" t="n">
        <x:v>81</x:v>
      </x:c>
      <x:c r="B31" s="79" t="str">
        <x:v>جو دوسر پرک خارجی</x:v>
      </x:c>
      <x:c r="C31" s="79" t="str">
        <x:v>حبوبات و غلات</x:v>
      </x:c>
      <x:c r="D31" s="79" t="str">
        <x:v>حبوبات و غلات</x:v>
      </x:c>
      <x:c r="E31" s="79" t="str">
        <x:v>REVIEW</x:v>
      </x:c>
      <x:c r="F31" s="79" t="str">
        <x:v>EDIBLE</x:v>
      </x:c>
      <x:c r="G31" s="79" t="str">
        <x:v>canonical_group_row</x:v>
      </x:c>
      <x:c r="H31" s="79" t="str">
        <x:v>OK</x:v>
      </x:c>
    </x:row>
    <x:row r="32">
      <x:c r="A32" s="79" t="n">
        <x:v>82</x:v>
      </x:c>
      <x:c r="B32" s="79" t="str">
        <x:v>جوانه گندم</x:v>
      </x:c>
      <x:c r="C32" s="79" t="str">
        <x:v>حبوبات و غلات</x:v>
      </x:c>
      <x:c r="D32" s="79" t="str">
        <x:v>حبوبات و غلات</x:v>
      </x:c>
      <x:c r="E32" s="79" t="str">
        <x:v>REVIEW</x:v>
      </x:c>
      <x:c r="F32" s="79" t="str">
        <x:v>EDIBLE</x:v>
      </x:c>
      <x:c r="G32" s="79" t="str">
        <x:v>canonical_group_row</x:v>
      </x:c>
      <x:c r="H32" s="79" t="str">
        <x:v>OK</x:v>
      </x:c>
    </x:row>
    <x:row r="33">
      <x:c r="A33" s="79" t="n">
        <x:v>84</x:v>
      </x:c>
      <x:c r="B33" s="79" t="str">
        <x:v>جوش شیرین</x:v>
      </x:c>
      <x:c r="C33" s="79" t="str">
        <x:v>حبوبات و غلات</x:v>
      </x:c>
      <x:c r="D33" s="79" t="str">
        <x:v>حبوبات و غلات</x:v>
      </x:c>
      <x:c r="E33" s="79" t="str">
        <x:v>REVIEW</x:v>
      </x:c>
      <x:c r="F33" s="79" t="str">
        <x:v>EDIBLE</x:v>
      </x:c>
      <x:c r="G33" s="79" t="str">
        <x:v>canonical_group_row</x:v>
      </x:c>
      <x:c r="H33" s="79" t="str">
        <x:v>OK</x:v>
      </x:c>
    </x:row>
    <x:row r="34">
      <x:c r="A34" s="79" t="n">
        <x:v>87</x:v>
      </x:c>
      <x:c r="B34" s="79" t="str">
        <x:v>چای ترش ایرانی</x:v>
      </x:c>
      <x:c r="C34" s="79" t="str">
        <x:v>چای</x:v>
      </x:c>
      <x:c r="D34" s="79" t="str">
        <x:v>چای</x:v>
      </x:c>
      <x:c r="E34" s="79" t="str">
        <x:v>EDIBLE</x:v>
      </x:c>
      <x:c r="F34" s="79" t="str">
        <x:v>EDIBLE</x:v>
      </x:c>
      <x:c r="G34" s="79" t="str">
        <x:v>canonical_group_row</x:v>
      </x:c>
      <x:c r="H34" s="79" t="str">
        <x:v>MERGED</x:v>
      </x:c>
    </x:row>
    <x:row r="35">
      <x:c r="A35" s="79" t="n">
        <x:v>88</x:v>
      </x:c>
      <x:c r="B35" s="79" t="str">
        <x:v>چای ترش خارجی</x:v>
      </x:c>
      <x:c r="C35" s="79" t="str">
        <x:v>چای</x:v>
      </x:c>
      <x:c r="D35" s="79" t="str">
        <x:v>چای</x:v>
      </x:c>
      <x:c r="E35" s="79" t="str">
        <x:v>EDIBLE</x:v>
      </x:c>
      <x:c r="F35" s="79" t="str">
        <x:v>EDIBLE</x:v>
      </x:c>
      <x:c r="G35" s="79" t="str">
        <x:v>merge_into_canonical_group</x:v>
      </x:c>
      <x:c r="H35" s="79" t="str">
        <x:v>یک یا چند قیمت نامشخص است</x:v>
      </x:c>
    </x:row>
    <x:row r="36">
      <x:c r="A36" s="79" t="n">
        <x:v>101</x:v>
      </x:c>
      <x:c r="B36" s="79" t="str">
        <x:v>چوبک</x:v>
      </x:c>
      <x:c r="C36" s="79" t="str">
        <x:v>نیاز به بررسی</x:v>
      </x:c>
      <x:c r="D36" s="79" t="str">
        <x:v>گیاهان دارویی</x:v>
      </x:c>
      <x:c r="E36" s="79" t="str">
        <x:v>REVIEW</x:v>
      </x:c>
      <x:c r="F36" s="79" t="str">
        <x:v>EDIBLE</x:v>
      </x:c>
      <x:c r="G36" s="79" t="str">
        <x:v>canonical_group_row</x:v>
      </x:c>
      <x:c r="H36" s="79" t="str">
        <x:v>دسته از «نیاز به بررسی» به «گیاهان دارویی» اصلاح شد</x:v>
      </x:c>
    </x:row>
    <x:row r="37">
      <x:c r="A37" s="79" t="n">
        <x:v>102</x:v>
      </x:c>
      <x:c r="B37" s="79" t="str">
        <x:v>چیاسید</x:v>
      </x:c>
      <x:c r="C37" s="79" t="str">
        <x:v>نیاز به بررسی</x:v>
      </x:c>
      <x:c r="D37" s="79" t="str">
        <x:v>خشکبار و آجیل</x:v>
      </x:c>
      <x:c r="E37" s="79" t="str">
        <x:v>REVIEW</x:v>
      </x:c>
      <x:c r="F37" s="79" t="str">
        <x:v>EDIBLE</x:v>
      </x:c>
      <x:c r="G37" s="79" t="str">
        <x:v>canonical_group_row</x:v>
      </x:c>
      <x:c r="H37" s="79" t="str">
        <x:v>دسته از «نیاز به بررسی» به «خشکبار و آجیل» اصلاح شد</x:v>
      </x:c>
    </x:row>
    <x:row r="38">
      <x:c r="A38" s="79" t="n">
        <x:v>103</x:v>
      </x:c>
      <x:c r="B38" s="79" t="str">
        <x:v>حلوا ارده پسته ای</x:v>
      </x:c>
      <x:c r="C38" s="79" t="str">
        <x:v>قنادی و شیرینی</x:v>
      </x:c>
      <x:c r="D38" s="79" t="str">
        <x:v>قنادی و شیرینی</x:v>
      </x:c>
      <x:c r="E38" s="79" t="str">
        <x:v>REVIEW</x:v>
      </x:c>
      <x:c r="F38" s="79" t="str">
        <x:v>EDIBLE</x:v>
      </x:c>
      <x:c r="G38" s="79" t="str">
        <x:v>canonical_group_row</x:v>
      </x:c>
      <x:c r="H38" s="79" t="str">
        <x:v>MERGED</x:v>
      </x:c>
    </x:row>
    <x:row r="39">
      <x:c r="A39" s="79" t="n">
        <x:v>104</x:v>
      </x:c>
      <x:c r="B39" s="79" t="str">
        <x:v>حلوا ارده ساده</x:v>
      </x:c>
      <x:c r="C39" s="79" t="str">
        <x:v>قنادی و شیرینی</x:v>
      </x:c>
      <x:c r="D39" s="79" t="str">
        <x:v>قنادی و شیرینی</x:v>
      </x:c>
      <x:c r="E39" s="79" t="str">
        <x:v>REVIEW</x:v>
      </x:c>
      <x:c r="F39" s="79" t="str">
        <x:v>EDIBLE</x:v>
      </x:c>
      <x:c r="G39" s="79" t="str">
        <x:v>merge_into_canonical_group</x:v>
      </x:c>
      <x:c r="H39" s="79" t="str">
        <x:v>MERGED</x:v>
      </x:c>
    </x:row>
    <x:row r="40">
      <x:c r="A40" s="79" t="n">
        <x:v>105</x:v>
      </x:c>
      <x:c r="B40" s="79" t="str">
        <x:v>حلوا پشمکی</x:v>
      </x:c>
      <x:c r="C40" s="79" t="str">
        <x:v>قنادی و شیرینی</x:v>
      </x:c>
      <x:c r="D40" s="79" t="str">
        <x:v>قنادی و شیرینی</x:v>
      </x:c>
      <x:c r="E40" s="79" t="str">
        <x:v>REVIEW</x:v>
      </x:c>
      <x:c r="F40" s="79" t="str">
        <x:v>EDIBLE</x:v>
      </x:c>
      <x:c r="G40" s="79" t="str">
        <x:v>canonical_group_row</x:v>
      </x:c>
      <x:c r="H40" s="79" t="str">
        <x:v>OK</x:v>
      </x:c>
    </x:row>
    <x:row r="41">
      <x:c r="A41" s="79" t="n">
        <x:v>106</x:v>
      </x:c>
      <x:c r="B41" s="79" t="str">
        <x:v>حلوا روغنی</x:v>
      </x:c>
      <x:c r="C41" s="79" t="str">
        <x:v>روغن</x:v>
      </x:c>
      <x:c r="D41" s="79" t="str">
        <x:v>قنادی و شیرینی</x:v>
      </x:c>
      <x:c r="E41" s="79" t="str">
        <x:v>REVIEW</x:v>
      </x:c>
      <x:c r="F41" s="79" t="str">
        <x:v>EDIBLE</x:v>
      </x:c>
      <x:c r="G41" s="79" t="str">
        <x:v>canonical_group_row</x:v>
      </x:c>
      <x:c r="H41" s="79" t="str">
        <x:v>دسته از «روغن» به «قنادی و شیرینی» اصلاح شد</x:v>
      </x:c>
    </x:row>
    <x:row r="42">
      <x:c r="A42" s="79" t="n">
        <x:v>107</x:v>
      </x:c>
      <x:c r="B42" s="79" t="str">
        <x:v>حلوا طنابی</x:v>
      </x:c>
      <x:c r="C42" s="79" t="str">
        <x:v>قنادی و شیرینی</x:v>
      </x:c>
      <x:c r="D42" s="79" t="str">
        <x:v>قنادی و شیرینی</x:v>
      </x:c>
      <x:c r="E42" s="79" t="str">
        <x:v>REVIEW</x:v>
      </x:c>
      <x:c r="F42" s="79" t="str">
        <x:v>EDIBLE</x:v>
      </x:c>
      <x:c r="G42" s="79" t="str">
        <x:v>canonical_group_row</x:v>
      </x:c>
      <x:c r="H42" s="79" t="str">
        <x:v>OK</x:v>
      </x:c>
    </x:row>
    <x:row r="43">
      <x:c r="A43" s="79" t="n">
        <x:v>108</x:v>
      </x:c>
      <x:c r="B43" s="79" t="str">
        <x:v>حلوا کشی</x:v>
      </x:c>
      <x:c r="C43" s="79" t="str">
        <x:v>قنادی و شیرینی</x:v>
      </x:c>
      <x:c r="D43" s="79" t="str">
        <x:v>قنادی و شیرینی</x:v>
      </x:c>
      <x:c r="E43" s="79" t="str">
        <x:v>REVIEW</x:v>
      </x:c>
      <x:c r="F43" s="79" t="str">
        <x:v>EDIBLE</x:v>
      </x:c>
      <x:c r="G43" s="79" t="str">
        <x:v>canonical_group_row</x:v>
      </x:c>
      <x:c r="H43" s="79" t="str">
        <x:v>OK</x:v>
      </x:c>
    </x:row>
    <x:row r="44">
      <x:c r="A44" s="79" t="n">
        <x:v>109</x:v>
      </x:c>
      <x:c r="B44" s="79" t="str">
        <x:v>حنا</x:v>
      </x:c>
      <x:c r="C44" s="79" t="str">
        <x:v>نیاز به بررسی</x:v>
      </x:c>
      <x:c r="D44" s="79" t="str">
        <x:v>گیاهان دارویی</x:v>
      </x:c>
      <x:c r="E44" s="79" t="str">
        <x:v>TOPICAL</x:v>
      </x:c>
      <x:c r="F44" s="79" t="str">
        <x:v>TOPICAL</x:v>
      </x:c>
      <x:c r="G44" s="79" t="str">
        <x:v>canonical_group_row</x:v>
      </x:c>
      <x:c r="H44" s="79" t="str">
        <x:v>دسته قبلاً خالی/نیازمند بررسی بود؛ بر اساس ماهیت موضعی/غیرخوراکی به گیاهان دارویی منتقل شد | نوع مصرف به موضعی/غیرخوراکی اصلاح شد | یک یا چند قیمت نامشخص است</x:v>
      </x:c>
    </x:row>
    <x:row r="45">
      <x:c r="A45" s="79" t="n">
        <x:v>110</x:v>
      </x:c>
      <x:c r="B45" s="79" t="str">
        <x:v>حنا بی رنگ</x:v>
      </x:c>
      <x:c r="C45" s="79" t="str">
        <x:v>نیاز به بررسی</x:v>
      </x:c>
      <x:c r="D45" s="79" t="str">
        <x:v>گیاهان دارویی</x:v>
      </x:c>
      <x:c r="E45" s="79" t="str">
        <x:v>TOPICAL</x:v>
      </x:c>
      <x:c r="F45" s="79" t="str">
        <x:v>TOPICAL</x:v>
      </x:c>
      <x:c r="G45" s="79" t="str">
        <x:v>canonical_group_row</x:v>
      </x:c>
      <x:c r="H45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46">
      <x:c r="A46" s="79" t="n">
        <x:v>112</x:v>
      </x:c>
      <x:c r="B46" s="79" t="str">
        <x:v>خرفه</x:v>
      </x:c>
      <x:c r="C46" s="79" t="str">
        <x:v>نیاز به بررسی</x:v>
      </x:c>
      <x:c r="D46" s="79" t="str">
        <x:v>گیاهان دارویی</x:v>
      </x:c>
      <x:c r="E46" s="79" t="str">
        <x:v>REVIEW</x:v>
      </x:c>
      <x:c r="F46" s="79" t="str">
        <x:v>EDIBLE</x:v>
      </x:c>
      <x:c r="G46" s="79" t="str">
        <x:v>canonical_group_row</x:v>
      </x:c>
      <x:c r="H46" s="79" t="str">
        <x:v>دسته از «نیاز به بررسی» به «گیاهان دارویی» اصلاح شد</x:v>
      </x:c>
    </x:row>
    <x:row r="47">
      <x:c r="A47" s="79" t="n">
        <x:v>113</x:v>
      </x:c>
      <x:c r="B47" s="79" t="str">
        <x:v>خمیر مایه فریمان</x:v>
      </x:c>
      <x:c r="C47" s="79" t="str">
        <x:v>نیاز به بررسی</x:v>
      </x:c>
      <x:c r="D47" s="79" t="str">
        <x:v>آرد و قنادی</x:v>
      </x:c>
      <x:c r="E47" s="79" t="str">
        <x:v>REVIEW</x:v>
      </x:c>
      <x:c r="F47" s="79" t="str">
        <x:v>EDIBLE</x:v>
      </x:c>
      <x:c r="G47" s="79" t="str">
        <x:v>canonical_group_row</x:v>
      </x:c>
      <x:c r="H47" s="79" t="str">
        <x:v>دسته از «نیاز به بررسی» به «آرد و قنادی» اصلاح شد</x:v>
      </x:c>
    </x:row>
    <x:row r="48">
      <x:c r="A48" s="79" t="n">
        <x:v>115</x:v>
      </x:c>
      <x:c r="B48" s="79" t="str">
        <x:v>دارچین سیلان</x:v>
      </x:c>
      <x:c r="C48" s="79" t="str">
        <x:v>ادویه</x:v>
      </x:c>
      <x:c r="D48" s="79" t="str">
        <x:v>ادویه</x:v>
      </x:c>
      <x:c r="E48" s="79" t="str">
        <x:v>EDIBLE</x:v>
      </x:c>
      <x:c r="F48" s="79" t="str">
        <x:v>EDIBLE</x:v>
      </x:c>
      <x:c r="G48" s="79" t="str">
        <x:v>canonical_group_row</x:v>
      </x:c>
      <x:c r="H48" s="79" t="str">
        <x:v>یک یا چند قیمت نامشخص است</x:v>
      </x:c>
    </x:row>
    <x:row r="49">
      <x:c r="A49" s="79" t="n">
        <x:v>119</x:v>
      </x:c>
      <x:c r="B49" s="79" t="str">
        <x:v>ذرت مکزیکی</x:v>
      </x:c>
      <x:c r="C49" s="79" t="str">
        <x:v>حبوبات و غلات</x:v>
      </x:c>
      <x:c r="D49" s="79" t="str">
        <x:v>حبوبات و غلات</x:v>
      </x:c>
      <x:c r="E49" s="79" t="str">
        <x:v>REVIEW</x:v>
      </x:c>
      <x:c r="F49" s="79" t="str">
        <x:v>EDIBLE</x:v>
      </x:c>
      <x:c r="G49" s="79" t="str">
        <x:v>canonical_group_row</x:v>
      </x:c>
      <x:c r="H49" s="79" t="str">
        <x:v>یک یا چند قیمت نامشخص است</x:v>
      </x:c>
    </x:row>
    <x:row r="50">
      <x:c r="A50" s="79" t="n">
        <x:v>121</x:v>
      </x:c>
      <x:c r="B50" s="79" t="str">
        <x:v>رب انار</x:v>
      </x:c>
      <x:c r="C50" s="79" t="str">
        <x:v>نیاز به بررسی</x:v>
      </x:c>
      <x:c r="D50" s="79" t="str">
        <x:v>نوشیدنی‌ها</x:v>
      </x:c>
      <x:c r="E50" s="79" t="str">
        <x:v>REVIEW</x:v>
      </x:c>
      <x:c r="F50" s="79" t="str">
        <x:v>EDIBLE</x:v>
      </x:c>
      <x:c r="G50" s="79" t="str">
        <x:v>canonical_group_row</x:v>
      </x:c>
      <x:c r="H50" s="79" t="str">
        <x:v>دسته از «نیاز به بررسی» به «نوشیدنی‌ها» اصلاح شد</x:v>
      </x:c>
    </x:row>
    <x:row r="51">
      <x:c r="A51" s="79" t="n">
        <x:v>124</x:v>
      </x:c>
      <x:c r="B51" s="79" t="str">
        <x:v>روغن اسطوخودوس</x:v>
      </x:c>
      <x:c r="C51" s="79" t="str">
        <x:v>روغن</x:v>
      </x:c>
      <x:c r="D51" s="79" t="str">
        <x:v>روغن</x:v>
      </x:c>
      <x:c r="E51" s="79" t="str">
        <x:v>REVIEW</x:v>
      </x:c>
      <x:c r="F51" s="79" t="str">
        <x:v>EDIBLE</x:v>
      </x:c>
      <x:c r="G51" s="79" t="str">
        <x:v>canonical_group_row</x:v>
      </x:c>
      <x:c r="H51" s="79" t="str">
        <x:v>OK</x:v>
      </x:c>
    </x:row>
    <x:row r="52">
      <x:c r="A52" s="79" t="n">
        <x:v>125</x:v>
      </x:c>
      <x:c r="B52" s="79" t="str">
        <x:v>روغن اکالیپتوس</x:v>
      </x:c>
      <x:c r="C52" s="79" t="str">
        <x:v>روغن</x:v>
      </x:c>
      <x:c r="D52" s="79" t="str">
        <x:v>روغن</x:v>
      </x:c>
      <x:c r="E52" s="79" t="str">
        <x:v>REVIEW</x:v>
      </x:c>
      <x:c r="F52" s="79" t="str">
        <x:v>EDIBLE</x:v>
      </x:c>
      <x:c r="G52" s="79" t="str">
        <x:v>canonical_group_row</x:v>
      </x:c>
      <x:c r="H52" s="79" t="str">
        <x:v>OK</x:v>
      </x:c>
    </x:row>
    <x:row r="53">
      <x:c r="A53" s="79" t="n">
        <x:v>126</x:v>
      </x:c>
      <x:c r="B53" s="79" t="str">
        <x:v>روغن الاغ</x:v>
      </x:c>
      <x:c r="C53" s="79" t="str">
        <x:v>روغن</x:v>
      </x:c>
      <x:c r="D53" s="79" t="str">
        <x:v>روغن</x:v>
      </x:c>
      <x:c r="E53" s="79" t="str">
        <x:v>REVIEW</x:v>
      </x:c>
      <x:c r="F53" s="79" t="str">
        <x:v>EDIBLE</x:v>
      </x:c>
      <x:c r="G53" s="79" t="str">
        <x:v>canonical_group_row</x:v>
      </x:c>
      <x:c r="H53" s="79" t="str">
        <x:v>OK</x:v>
      </x:c>
    </x:row>
    <x:row r="54">
      <x:c r="A54" s="79" t="n">
        <x:v>128</x:v>
      </x:c>
      <x:c r="B54" s="79" t="str">
        <x:v>روغن آرگان درجه 1</x:v>
      </x:c>
      <x:c r="C54" s="79" t="str">
        <x:v>روغن</x:v>
      </x:c>
      <x:c r="D54" s="79" t="str">
        <x:v>روغن</x:v>
      </x:c>
      <x:c r="E54" s="79" t="str">
        <x:v>REVIEW</x:v>
      </x:c>
      <x:c r="F54" s="79" t="str">
        <x:v>EDIBLE</x:v>
      </x:c>
      <x:c r="G54" s="79" t="str">
        <x:v>canonical_group_row</x:v>
      </x:c>
      <x:c r="H54" s="79" t="str">
        <x:v>MERGED</x:v>
      </x:c>
    </x:row>
    <x:row r="55">
      <x:c r="A55" s="79" t="n">
        <x:v>129</x:v>
      </x:c>
      <x:c r="B55" s="79" t="str">
        <x:v>روغن آرگان درجه 2</x:v>
      </x:c>
      <x:c r="C55" s="79" t="str">
        <x:v>روغن</x:v>
      </x:c>
      <x:c r="D55" s="79" t="str">
        <x:v>روغن</x:v>
      </x:c>
      <x:c r="E55" s="79" t="str">
        <x:v>REVIEW</x:v>
      </x:c>
      <x:c r="F55" s="79" t="str">
        <x:v>EDIBLE</x:v>
      </x:c>
      <x:c r="G55" s="79" t="str">
        <x:v>merge_into_canonical_group</x:v>
      </x:c>
      <x:c r="H55" s="79" t="str">
        <x:v>MERGED</x:v>
      </x:c>
    </x:row>
    <x:row r="56">
      <x:c r="A56" s="79" t="n">
        <x:v>130</x:v>
      </x:c>
      <x:c r="B56" s="79" t="str">
        <x:v>روغن آرگان مراکش درجه 1</x:v>
      </x:c>
      <x:c r="C56" s="79" t="str">
        <x:v>روغن</x:v>
      </x:c>
      <x:c r="D56" s="79" t="str">
        <x:v>روغن</x:v>
      </x:c>
      <x:c r="E56" s="79" t="str">
        <x:v>REVIEW</x:v>
      </x:c>
      <x:c r="F56" s="79" t="str">
        <x:v>EDIBLE</x:v>
      </x:c>
      <x:c r="G56" s="79" t="str">
        <x:v>merge_into_canonical_group</x:v>
      </x:c>
      <x:c r="H56" s="79" t="str">
        <x:v>MERGED</x:v>
      </x:c>
    </x:row>
    <x:row r="57">
      <x:c r="A57" s="79" t="n">
        <x:v>131</x:v>
      </x:c>
      <x:c r="B57" s="79" t="str">
        <x:v>روغن آرگان مراکش درجه 2</x:v>
      </x:c>
      <x:c r="C57" s="79" t="str">
        <x:v>روغن</x:v>
      </x:c>
      <x:c r="D57" s="79" t="str">
        <x:v>روغن</x:v>
      </x:c>
      <x:c r="E57" s="79" t="str">
        <x:v>REVIEW</x:v>
      </x:c>
      <x:c r="F57" s="79" t="str">
        <x:v>EDIBLE</x:v>
      </x:c>
      <x:c r="G57" s="79" t="str">
        <x:v>merge_into_canonical_group</x:v>
      </x:c>
      <x:c r="H57" s="79" t="str">
        <x:v>MERGED</x:v>
      </x:c>
    </x:row>
    <x:row r="58">
      <x:c r="A58" s="79" t="n">
        <x:v>133</x:v>
      </x:c>
      <x:c r="B58" s="79" t="str">
        <x:v>روغن آمله</x:v>
      </x:c>
      <x:c r="C58" s="79" t="str">
        <x:v>روغن</x:v>
      </x:c>
      <x:c r="D58" s="79" t="str">
        <x:v>روغن</x:v>
      </x:c>
      <x:c r="E58" s="79" t="str">
        <x:v>REVIEW</x:v>
      </x:c>
      <x:c r="F58" s="79" t="str">
        <x:v>EDIBLE</x:v>
      </x:c>
      <x:c r="G58" s="79" t="str">
        <x:v>canonical_group_row</x:v>
      </x:c>
      <x:c r="H58" s="79" t="str">
        <x:v>OK</x:v>
      </x:c>
    </x:row>
    <x:row r="59">
      <x:c r="A59" s="79" t="n">
        <x:v>135</x:v>
      </x:c>
      <x:c r="B59" s="79" t="str">
        <x:v>روغن بابونه</x:v>
      </x:c>
      <x:c r="C59" s="79" t="str">
        <x:v>روغن</x:v>
      </x:c>
      <x:c r="D59" s="79" t="str">
        <x:v>روغن</x:v>
      </x:c>
      <x:c r="E59" s="79" t="str">
        <x:v>REVIEW</x:v>
      </x:c>
      <x:c r="F59" s="79" t="str">
        <x:v>EDIBLE</x:v>
      </x:c>
      <x:c r="G59" s="79" t="str">
        <x:v>canonical_group_row</x:v>
      </x:c>
      <x:c r="H59" s="79" t="str">
        <x:v>OK</x:v>
      </x:c>
    </x:row>
    <x:row r="60">
      <x:c r="A60" s="79" t="n">
        <x:v>136</x:v>
      </x:c>
      <x:c r="B60" s="79" t="str">
        <x:v>روغن بادام تلخ</x:v>
      </x:c>
      <x:c r="C60" s="79" t="str">
        <x:v>روغن</x:v>
      </x:c>
      <x:c r="D60" s="79" t="str">
        <x:v>روغن</x:v>
      </x:c>
      <x:c r="E60" s="79" t="str">
        <x:v>REVIEW</x:v>
      </x:c>
      <x:c r="F60" s="79" t="str">
        <x:v>EDIBLE</x:v>
      </x:c>
      <x:c r="G60" s="79" t="str">
        <x:v>canonical_group_row</x:v>
      </x:c>
      <x:c r="H60" s="79" t="str">
        <x:v>MERGED</x:v>
      </x:c>
    </x:row>
    <x:row r="61">
      <x:c r="A61" s="79" t="n">
        <x:v>137</x:v>
      </x:c>
      <x:c r="B61" s="79" t="str">
        <x:v>روغن بادام تلخ</x:v>
      </x:c>
      <x:c r="C61" s="79" t="str">
        <x:v>روغن</x:v>
      </x:c>
      <x:c r="D61" s="79" t="str">
        <x:v>روغن</x:v>
      </x:c>
      <x:c r="E61" s="79" t="str">
        <x:v>REVIEW</x:v>
      </x:c>
      <x:c r="F61" s="79" t="str">
        <x:v>EDIBLE</x:v>
      </x:c>
      <x:c r="G61" s="79" t="str">
        <x:v>merge_into_canonical_group</x:v>
      </x:c>
      <x:c r="H61" s="79" t="str">
        <x:v>MERGED</x:v>
      </x:c>
    </x:row>
    <x:row r="62">
      <x:c r="A62" s="79" t="n">
        <x:v>138</x:v>
      </x:c>
      <x:c r="B62" s="79" t="str">
        <x:v>روغن بادام شیرین</x:v>
      </x:c>
      <x:c r="C62" s="79" t="str">
        <x:v>روغن</x:v>
      </x:c>
      <x:c r="D62" s="79" t="str">
        <x:v>روغن</x:v>
      </x:c>
      <x:c r="E62" s="79" t="str">
        <x:v>EDIBLE</x:v>
      </x:c>
      <x:c r="F62" s="79" t="str">
        <x:v>EDIBLE</x:v>
      </x:c>
      <x:c r="G62" s="79" t="str">
        <x:v>canonical_group_row</x:v>
      </x:c>
      <x:c r="H62" s="79" t="str">
        <x:v>MERGED</x:v>
      </x:c>
    </x:row>
    <x:row r="63">
      <x:c r="A63" s="79" t="n">
        <x:v>139</x:v>
      </x:c>
      <x:c r="B63" s="79" t="str">
        <x:v>روغن بادام شیرین</x:v>
      </x:c>
      <x:c r="C63" s="79" t="str">
        <x:v>روغن</x:v>
      </x:c>
      <x:c r="D63" s="79" t="str">
        <x:v>روغن</x:v>
      </x:c>
      <x:c r="E63" s="79" t="str">
        <x:v>EDIBLE</x:v>
      </x:c>
      <x:c r="F63" s="79" t="str">
        <x:v>EDIBLE</x:v>
      </x:c>
      <x:c r="G63" s="79" t="str">
        <x:v>merge_into_canonical_group</x:v>
      </x:c>
      <x:c r="H63" s="79" t="str">
        <x:v>MERGED</x:v>
      </x:c>
    </x:row>
    <x:row r="64">
      <x:c r="A64" s="79" t="n">
        <x:v>140</x:v>
      </x:c>
      <x:c r="B64" s="79" t="str">
        <x:v>روغن بنفشه</x:v>
      </x:c>
      <x:c r="C64" s="79" t="str">
        <x:v>روغن</x:v>
      </x:c>
      <x:c r="D64" s="79" t="str">
        <x:v>روغن</x:v>
      </x:c>
      <x:c r="E64" s="79" t="str">
        <x:v>REVIEW</x:v>
      </x:c>
      <x:c r="F64" s="79" t="str">
        <x:v>EDIBLE</x:v>
      </x:c>
      <x:c r="G64" s="79" t="str">
        <x:v>canonical_group_row</x:v>
      </x:c>
      <x:c r="H64" s="79" t="str">
        <x:v>OK</x:v>
      </x:c>
    </x:row>
    <x:row r="65">
      <x:c r="A65" s="79" t="n">
        <x:v>141</x:v>
      </x:c>
      <x:c r="B65" s="79" t="str">
        <x:v>روغن پونه</x:v>
      </x:c>
      <x:c r="C65" s="79" t="str">
        <x:v>روغن</x:v>
      </x:c>
      <x:c r="D65" s="79" t="str">
        <x:v>روغن</x:v>
      </x:c>
      <x:c r="E65" s="79" t="str">
        <x:v>REVIEW</x:v>
      </x:c>
      <x:c r="F65" s="79" t="str">
        <x:v>EDIBLE</x:v>
      </x:c>
      <x:c r="G65" s="79" t="str">
        <x:v>canonical_group_row</x:v>
      </x:c>
      <x:c r="H65" s="79" t="str">
        <x:v>OK</x:v>
      </x:c>
    </x:row>
    <x:row r="66">
      <x:c r="A66" s="79" t="n">
        <x:v>142</x:v>
      </x:c>
      <x:c r="B66" s="79" t="str">
        <x:v>روغن ترخون</x:v>
      </x:c>
      <x:c r="C66" s="79" t="str">
        <x:v>روغن</x:v>
      </x:c>
      <x:c r="D66" s="79" t="str">
        <x:v>روغن</x:v>
      </x:c>
      <x:c r="E66" s="79" t="str">
        <x:v>REVIEW</x:v>
      </x:c>
      <x:c r="F66" s="79" t="str">
        <x:v>EDIBLE</x:v>
      </x:c>
      <x:c r="G66" s="79" t="str">
        <x:v>canonical_group_row</x:v>
      </x:c>
      <x:c r="H66" s="79" t="str">
        <x:v>OK</x:v>
      </x:c>
    </x:row>
    <x:row r="67">
      <x:c r="A67" s="79" t="n">
        <x:v>143</x:v>
      </x:c>
      <x:c r="B67" s="79" t="str">
        <x:v>روغن تقویت مو (ناب سرا)</x:v>
      </x:c>
      <x:c r="C67" s="79" t="str">
        <x:v>روغن</x:v>
      </x:c>
      <x:c r="D67" s="79" t="str">
        <x:v>روغن</x:v>
      </x:c>
      <x:c r="E67" s="79" t="str">
        <x:v>REVIEW</x:v>
      </x:c>
      <x:c r="F67" s="79" t="str">
        <x:v>EDIBLE</x:v>
      </x:c>
      <x:c r="G67" s="79" t="str">
        <x:v>canonical_group_row</x:v>
      </x:c>
      <x:c r="H67" s="79" t="str">
        <x:v>OK</x:v>
      </x:c>
    </x:row>
    <x:row r="68">
      <x:c r="A68" s="79" t="n">
        <x:v>144</x:v>
      </x:c>
      <x:c r="B68" s="79" t="str">
        <x:v>روغن جوانه گندم</x:v>
      </x:c>
      <x:c r="C68" s="79" t="str">
        <x:v>روغن</x:v>
      </x:c>
      <x:c r="D68" s="79" t="str">
        <x:v>روغن</x:v>
      </x:c>
      <x:c r="E68" s="79" t="str">
        <x:v>REVIEW</x:v>
      </x:c>
      <x:c r="F68" s="79" t="str">
        <x:v>EDIBLE</x:v>
      </x:c>
      <x:c r="G68" s="79" t="str">
        <x:v>canonical_group_row</x:v>
      </x:c>
      <x:c r="H68" s="79" t="str">
        <x:v>OK</x:v>
      </x:c>
    </x:row>
    <x:row r="69">
      <x:c r="A69" s="79" t="n">
        <x:v>145</x:v>
      </x:c>
      <x:c r="B69" s="79" t="str">
        <x:v>روغن جوجوبا</x:v>
      </x:c>
      <x:c r="C69" s="79" t="str">
        <x:v>روغن</x:v>
      </x:c>
      <x:c r="D69" s="79" t="str">
        <x:v>روغن</x:v>
      </x:c>
      <x:c r="E69" s="79" t="str">
        <x:v>REVIEW</x:v>
      </x:c>
      <x:c r="F69" s="79" t="str">
        <x:v>EDIBLE</x:v>
      </x:c>
      <x:c r="G69" s="79" t="str">
        <x:v>canonical_group_row</x:v>
      </x:c>
      <x:c r="H69" s="79" t="str">
        <x:v>OK</x:v>
      </x:c>
    </x:row>
    <x:row r="70">
      <x:c r="A70" s="79" t="n">
        <x:v>146</x:v>
      </x:c>
      <x:c r="B70" s="79" t="str">
        <x:v>روغن حنظل</x:v>
      </x:c>
      <x:c r="C70" s="79" t="str">
        <x:v>روغن</x:v>
      </x:c>
      <x:c r="D70" s="79" t="str">
        <x:v>روغن</x:v>
      </x:c>
      <x:c r="E70" s="79" t="str">
        <x:v>REVIEW</x:v>
      </x:c>
      <x:c r="F70" s="79" t="str">
        <x:v>EDIBLE</x:v>
      </x:c>
      <x:c r="G70" s="79" t="str">
        <x:v>canonical_group_row</x:v>
      </x:c>
      <x:c r="H70" s="79" t="str">
        <x:v>OK</x:v>
      </x:c>
    </x:row>
    <x:row r="71">
      <x:c r="A71" s="79" t="n">
        <x:v>147</x:v>
      </x:c>
      <x:c r="B71" s="79" t="str">
        <x:v>روغن خارمریم</x:v>
      </x:c>
      <x:c r="C71" s="79" t="str">
        <x:v>روغن</x:v>
      </x:c>
      <x:c r="D71" s="79" t="str">
        <x:v>روغن</x:v>
      </x:c>
      <x:c r="E71" s="79" t="str">
        <x:v>REVIEW</x:v>
      </x:c>
      <x:c r="F71" s="79" t="str">
        <x:v>EDIBLE</x:v>
      </x:c>
      <x:c r="G71" s="79" t="str">
        <x:v>canonical_group_row</x:v>
      </x:c>
      <x:c r="H71" s="79" t="str">
        <x:v>OK</x:v>
      </x:c>
    </x:row>
    <x:row r="72">
      <x:c r="A72" s="79" t="n">
        <x:v>148</x:v>
      </x:c>
      <x:c r="B72" s="79" t="str">
        <x:v>روغن خراطین</x:v>
      </x:c>
      <x:c r="C72" s="79" t="str">
        <x:v>روغن</x:v>
      </x:c>
      <x:c r="D72" s="79" t="str">
        <x:v>روغن</x:v>
      </x:c>
      <x:c r="E72" s="79" t="str">
        <x:v>REVIEW</x:v>
      </x:c>
      <x:c r="F72" s="79" t="str">
        <x:v>EDIBLE</x:v>
      </x:c>
      <x:c r="G72" s="79" t="str">
        <x:v>canonical_group_row</x:v>
      </x:c>
      <x:c r="H72" s="79" t="str">
        <x:v>OK</x:v>
      </x:c>
    </x:row>
    <x:row r="73">
      <x:c r="A73" s="79" t="n">
        <x:v>149</x:v>
      </x:c>
      <x:c r="B73" s="79" t="str">
        <x:v>روغن خشخاش</x:v>
      </x:c>
      <x:c r="C73" s="79" t="str">
        <x:v>روغن</x:v>
      </x:c>
      <x:c r="D73" s="79" t="str">
        <x:v>روغن</x:v>
      </x:c>
      <x:c r="E73" s="79" t="str">
        <x:v>REVIEW</x:v>
      </x:c>
      <x:c r="F73" s="79" t="str">
        <x:v>EDIBLE</x:v>
      </x:c>
      <x:c r="G73" s="79" t="str">
        <x:v>canonical_group_row</x:v>
      </x:c>
      <x:c r="H73" s="79" t="str">
        <x:v>OK</x:v>
      </x:c>
    </x:row>
    <x:row r="74">
      <x:c r="A74" s="79" t="n">
        <x:v>150</x:v>
      </x:c>
      <x:c r="B74" s="79" t="str">
        <x:v>روغن درخت چای</x:v>
      </x:c>
      <x:c r="C74" s="79" t="str">
        <x:v>روغن</x:v>
      </x:c>
      <x:c r="D74" s="79" t="str">
        <x:v>روغن</x:v>
      </x:c>
      <x:c r="E74" s="79" t="str">
        <x:v>REVIEW</x:v>
      </x:c>
      <x:c r="F74" s="79" t="str">
        <x:v>EDIBLE</x:v>
      </x:c>
      <x:c r="G74" s="79" t="str">
        <x:v>canonical_group_row</x:v>
      </x:c>
      <x:c r="H74" s="79" t="str">
        <x:v>OK</x:v>
      </x:c>
    </x:row>
    <x:row r="75">
      <x:c r="A75" s="79" t="n">
        <x:v>151</x:v>
      </x:c>
      <x:c r="B75" s="79" t="str">
        <x:v>روغن درمنه</x:v>
      </x:c>
      <x:c r="C75" s="79" t="str">
        <x:v>روغن</x:v>
      </x:c>
      <x:c r="D75" s="79" t="str">
        <x:v>روغن</x:v>
      </x:c>
      <x:c r="E75" s="79" t="str">
        <x:v>REVIEW</x:v>
      </x:c>
      <x:c r="F75" s="79" t="str">
        <x:v>EDIBLE</x:v>
      </x:c>
      <x:c r="G75" s="79" t="str">
        <x:v>canonical_group_row</x:v>
      </x:c>
      <x:c r="H75" s="79" t="str">
        <x:v>OK</x:v>
      </x:c>
    </x:row>
    <x:row r="76">
      <x:c r="A76" s="79" t="n">
        <x:v>152</x:v>
      </x:c>
      <x:c r="B76" s="79" t="str">
        <x:v>روغن رازیانه</x:v>
      </x:c>
      <x:c r="C76" s="79" t="str">
        <x:v>روغن</x:v>
      </x:c>
      <x:c r="D76" s="79" t="str">
        <x:v>روغن</x:v>
      </x:c>
      <x:c r="E76" s="79" t="str">
        <x:v>REVIEW</x:v>
      </x:c>
      <x:c r="F76" s="79" t="str">
        <x:v>EDIBLE</x:v>
      </x:c>
      <x:c r="G76" s="79" t="str">
        <x:v>canonical_group_row</x:v>
      </x:c>
      <x:c r="H76" s="79" t="str">
        <x:v>OK</x:v>
      </x:c>
    </x:row>
    <x:row r="77">
      <x:c r="A77" s="79" t="n">
        <x:v>153</x:v>
      </x:c>
      <x:c r="B77" s="79" t="str">
        <x:v>روغن رزماری</x:v>
      </x:c>
      <x:c r="C77" s="79" t="str">
        <x:v>روغن</x:v>
      </x:c>
      <x:c r="D77" s="79" t="str">
        <x:v>روغن</x:v>
      </x:c>
      <x:c r="E77" s="79" t="str">
        <x:v>REVIEW</x:v>
      </x:c>
      <x:c r="F77" s="79" t="str">
        <x:v>EDIBLE</x:v>
      </x:c>
      <x:c r="G77" s="79" t="str">
        <x:v>canonical_group_row</x:v>
      </x:c>
      <x:c r="H77" s="79" t="str">
        <x:v>MERGED</x:v>
      </x:c>
    </x:row>
    <x:row r="78">
      <x:c r="A78" s="79" t="n">
        <x:v>154</x:v>
      </x:c>
      <x:c r="B78" s="79" t="str">
        <x:v>روغن رزماری</x:v>
      </x:c>
      <x:c r="C78" s="79" t="str">
        <x:v>روغن</x:v>
      </x:c>
      <x:c r="D78" s="79" t="str">
        <x:v>روغن</x:v>
      </x:c>
      <x:c r="E78" s="79" t="str">
        <x:v>REVIEW</x:v>
      </x:c>
      <x:c r="F78" s="79" t="str">
        <x:v>EDIBLE</x:v>
      </x:c>
      <x:c r="G78" s="79" t="str">
        <x:v>merge_into_canonical_group</x:v>
      </x:c>
      <x:c r="H78" s="79" t="str">
        <x:v>MERGED</x:v>
      </x:c>
    </x:row>
    <x:row r="79">
      <x:c r="A79" s="79" t="n">
        <x:v>155</x:v>
      </x:c>
      <x:c r="B79" s="79" t="str">
        <x:v>روغن زردچوبه</x:v>
      </x:c>
      <x:c r="C79" s="79" t="str">
        <x:v>روغن</x:v>
      </x:c>
      <x:c r="D79" s="79" t="str">
        <x:v>روغن</x:v>
      </x:c>
      <x:c r="E79" s="79" t="str">
        <x:v>REVIEW</x:v>
      </x:c>
      <x:c r="F79" s="79" t="str">
        <x:v>EDIBLE</x:v>
      </x:c>
      <x:c r="G79" s="79" t="str">
        <x:v>canonical_group_row</x:v>
      </x:c>
      <x:c r="H79" s="79" t="str">
        <x:v>OK</x:v>
      </x:c>
    </x:row>
    <x:row r="80">
      <x:c r="A80" s="79" t="n">
        <x:v>156</x:v>
      </x:c>
      <x:c r="B80" s="79" t="str">
        <x:v>روغن زنجبیل</x:v>
      </x:c>
      <x:c r="C80" s="79" t="str">
        <x:v>روغن</x:v>
      </x:c>
      <x:c r="D80" s="79" t="str">
        <x:v>روغن</x:v>
      </x:c>
      <x:c r="E80" s="79" t="str">
        <x:v>REVIEW</x:v>
      </x:c>
      <x:c r="F80" s="79" t="str">
        <x:v>EDIBLE</x:v>
      </x:c>
      <x:c r="G80" s="79" t="str">
        <x:v>canonical_group_row</x:v>
      </x:c>
      <x:c r="H80" s="79" t="str">
        <x:v>OK</x:v>
      </x:c>
    </x:row>
    <x:row r="81">
      <x:c r="A81" s="79" t="n">
        <x:v>157</x:v>
      </x:c>
      <x:c r="B81" s="79" t="str">
        <x:v>روغن زنیان</x:v>
      </x:c>
      <x:c r="C81" s="79" t="str">
        <x:v>روغن</x:v>
      </x:c>
      <x:c r="D81" s="79" t="str">
        <x:v>روغن</x:v>
      </x:c>
      <x:c r="E81" s="79" t="str">
        <x:v>REVIEW</x:v>
      </x:c>
      <x:c r="F81" s="79" t="str">
        <x:v>EDIBLE</x:v>
      </x:c>
      <x:c r="G81" s="79" t="str">
        <x:v>canonical_group_row</x:v>
      </x:c>
      <x:c r="H81" s="79" t="str">
        <x:v>OK</x:v>
      </x:c>
    </x:row>
    <x:row r="82">
      <x:c r="A82" s="79" t="n">
        <x:v>159</x:v>
      </x:c>
      <x:c r="B82" s="79" t="str">
        <x:v>روغن زیتون موضعی</x:v>
      </x:c>
      <x:c r="C82" s="79" t="str">
        <x:v>روغن</x:v>
      </x:c>
      <x:c r="D82" s="79" t="str">
        <x:v>روغن</x:v>
      </x:c>
      <x:c r="E82" s="79" t="str">
        <x:v>EDIBLE</x:v>
      </x:c>
      <x:c r="F82" s="79" t="str">
        <x:v>EDIBLE</x:v>
      </x:c>
      <x:c r="G82" s="79" t="str">
        <x:v>canonical_group_row</x:v>
      </x:c>
      <x:c r="H82" s="79" t="str">
        <x:v>یک یا چند قیمت نامشخص است</x:v>
      </x:c>
    </x:row>
    <x:row r="83">
      <x:c r="A83" s="79" t="n">
        <x:v>160</x:v>
      </x:c>
      <x:c r="B83" s="79" t="str">
        <x:v>روغن سقز</x:v>
      </x:c>
      <x:c r="C83" s="79" t="str">
        <x:v>روغن</x:v>
      </x:c>
      <x:c r="D83" s="79" t="str">
        <x:v>روغن</x:v>
      </x:c>
      <x:c r="E83" s="79" t="str">
        <x:v>REVIEW</x:v>
      </x:c>
      <x:c r="F83" s="79" t="str">
        <x:v>EDIBLE</x:v>
      </x:c>
      <x:c r="G83" s="79" t="str">
        <x:v>canonical_group_row</x:v>
      </x:c>
      <x:c r="H83" s="79" t="str">
        <x:v>OK</x:v>
      </x:c>
    </x:row>
    <x:row r="84">
      <x:c r="A84" s="79" t="n">
        <x:v>161</x:v>
      </x:c>
      <x:c r="B84" s="79" t="str">
        <x:v>روغن سیاهدانه</x:v>
      </x:c>
      <x:c r="C84" s="79" t="str">
        <x:v>روغن</x:v>
      </x:c>
      <x:c r="D84" s="79" t="str">
        <x:v>روغن</x:v>
      </x:c>
      <x:c r="E84" s="79" t="str">
        <x:v>EDIBLE</x:v>
      </x:c>
      <x:c r="F84" s="79" t="str">
        <x:v>EDIBLE</x:v>
      </x:c>
      <x:c r="G84" s="79" t="str">
        <x:v>canonical_group_row</x:v>
      </x:c>
      <x:c r="H84" s="79" t="str">
        <x:v>MERGED</x:v>
      </x:c>
    </x:row>
    <x:row r="85">
      <x:c r="A85" s="79" t="n">
        <x:v>162</x:v>
      </x:c>
      <x:c r="B85" s="79" t="str">
        <x:v>روغن سیاهدانه هندی</x:v>
      </x:c>
      <x:c r="C85" s="79" t="str">
        <x:v>روغن</x:v>
      </x:c>
      <x:c r="D85" s="79" t="str">
        <x:v>روغن</x:v>
      </x:c>
      <x:c r="E85" s="79" t="str">
        <x:v>EDIBLE</x:v>
      </x:c>
      <x:c r="F85" s="79" t="str">
        <x:v>EDIBLE</x:v>
      </x:c>
      <x:c r="G85" s="79" t="str">
        <x:v>merge_into_canonical_group</x:v>
      </x:c>
      <x:c r="H85" s="79" t="str">
        <x:v>MERGED</x:v>
      </x:c>
    </x:row>
    <x:row r="86">
      <x:c r="A86" s="79" t="n">
        <x:v>163</x:v>
      </x:c>
      <x:c r="B86" s="79" t="str">
        <x:v>روغن سیر</x:v>
      </x:c>
      <x:c r="C86" s="79" t="str">
        <x:v>روغن</x:v>
      </x:c>
      <x:c r="D86" s="79" t="str">
        <x:v>روغن</x:v>
      </x:c>
      <x:c r="E86" s="79" t="str">
        <x:v>REVIEW</x:v>
      </x:c>
      <x:c r="F86" s="79" t="str">
        <x:v>EDIBLE</x:v>
      </x:c>
      <x:c r="G86" s="79" t="str">
        <x:v>canonical_group_row</x:v>
      </x:c>
      <x:c r="H86" s="79" t="str">
        <x:v>OK</x:v>
      </x:c>
    </x:row>
    <x:row r="87">
      <x:c r="A87" s="79" t="n">
        <x:v>164</x:v>
      </x:c>
      <x:c r="B87" s="79" t="str">
        <x:v>روغن شترمرغ</x:v>
      </x:c>
      <x:c r="C87" s="79" t="str">
        <x:v>روغن</x:v>
      </x:c>
      <x:c r="D87" s="79" t="str">
        <x:v>روغن</x:v>
      </x:c>
      <x:c r="E87" s="79" t="str">
        <x:v>REVIEW</x:v>
      </x:c>
      <x:c r="F87" s="79" t="str">
        <x:v>EDIBLE</x:v>
      </x:c>
      <x:c r="G87" s="79" t="str">
        <x:v>canonical_group_row</x:v>
      </x:c>
      <x:c r="H87" s="79" t="str">
        <x:v>OK</x:v>
      </x:c>
    </x:row>
    <x:row r="88">
      <x:c r="A88" s="79" t="n">
        <x:v>165</x:v>
      </x:c>
      <x:c r="B88" s="79" t="str">
        <x:v>روغن شوید</x:v>
      </x:c>
      <x:c r="C88" s="79" t="str">
        <x:v>روغن</x:v>
      </x:c>
      <x:c r="D88" s="79" t="str">
        <x:v>روغن</x:v>
      </x:c>
      <x:c r="E88" s="79" t="str">
        <x:v>REVIEW</x:v>
      </x:c>
      <x:c r="F88" s="79" t="str">
        <x:v>EDIBLE</x:v>
      </x:c>
      <x:c r="G88" s="79" t="str">
        <x:v>canonical_group_row</x:v>
      </x:c>
      <x:c r="H88" s="79" t="str">
        <x:v>OK</x:v>
      </x:c>
    </x:row>
    <x:row r="89">
      <x:c r="A89" s="79" t="n">
        <x:v>166</x:v>
      </x:c>
      <x:c r="B89" s="79" t="str">
        <x:v>روغن شی باتر</x:v>
      </x:c>
      <x:c r="C89" s="79" t="str">
        <x:v>روغن</x:v>
      </x:c>
      <x:c r="D89" s="79" t="str">
        <x:v>روغن</x:v>
      </x:c>
      <x:c r="E89" s="79" t="str">
        <x:v>REVIEW</x:v>
      </x:c>
      <x:c r="F89" s="79" t="str">
        <x:v>EDIBLE</x:v>
      </x:c>
      <x:c r="G89" s="79" t="str">
        <x:v>canonical_group_row</x:v>
      </x:c>
      <x:c r="H89" s="79" t="str">
        <x:v>OK</x:v>
      </x:c>
    </x:row>
    <x:row r="90">
      <x:c r="A90" s="79" t="n">
        <x:v>167</x:v>
      </x:c>
      <x:c r="B90" s="79" t="str">
        <x:v>روغن ضد التهاب</x:v>
      </x:c>
      <x:c r="C90" s="79" t="str">
        <x:v>روغن</x:v>
      </x:c>
      <x:c r="D90" s="79" t="str">
        <x:v>روغن</x:v>
      </x:c>
      <x:c r="E90" s="79" t="str">
        <x:v>REVIEW</x:v>
      </x:c>
      <x:c r="F90" s="79" t="str">
        <x:v>EDIBLE</x:v>
      </x:c>
      <x:c r="G90" s="79" t="str">
        <x:v>canonical_group_row</x:v>
      </x:c>
      <x:c r="H90" s="79" t="str">
        <x:v>یک یا چند قیمت نامشخص است</x:v>
      </x:c>
    </x:row>
    <x:row r="91">
      <x:c r="A91" s="79" t="n">
        <x:v>168</x:v>
      </x:c>
      <x:c r="B91" s="79" t="str">
        <x:v>روغن ضد درد</x:v>
      </x:c>
      <x:c r="C91" s="79" t="str">
        <x:v>روغن</x:v>
      </x:c>
      <x:c r="D91" s="79" t="str">
        <x:v>روغن</x:v>
      </x:c>
      <x:c r="E91" s="79" t="str">
        <x:v>REVIEW</x:v>
      </x:c>
      <x:c r="F91" s="79" t="str">
        <x:v>EDIBLE</x:v>
      </x:c>
      <x:c r="G91" s="79" t="str">
        <x:v>canonical_group_row</x:v>
      </x:c>
      <x:c r="H91" s="79" t="str">
        <x:v>MERGED</x:v>
      </x:c>
    </x:row>
    <x:row r="92">
      <x:c r="A92" s="79" t="n">
        <x:v>169</x:v>
      </x:c>
      <x:c r="B92" s="79" t="str">
        <x:v>روغن ضد درد</x:v>
      </x:c>
      <x:c r="C92" s="79" t="str">
        <x:v>روغن</x:v>
      </x:c>
      <x:c r="D92" s="79" t="str">
        <x:v>روغن</x:v>
      </x:c>
      <x:c r="E92" s="79" t="str">
        <x:v>REVIEW</x:v>
      </x:c>
      <x:c r="F92" s="79" t="str">
        <x:v>EDIBLE</x:v>
      </x:c>
      <x:c r="G92" s="79" t="str">
        <x:v>merge_into_canonical_group</x:v>
      </x:c>
      <x:c r="H92" s="79" t="str">
        <x:v>MERGED</x:v>
      </x:c>
    </x:row>
    <x:row r="93">
      <x:c r="A93" s="79" t="n">
        <x:v>172</x:v>
      </x:c>
      <x:c r="B93" s="79" t="str">
        <x:v>روغن کرچک</x:v>
      </x:c>
      <x:c r="C93" s="79" t="str">
        <x:v>روغن</x:v>
      </x:c>
      <x:c r="D93" s="79" t="str">
        <x:v>روغن</x:v>
      </x:c>
      <x:c r="E93" s="79" t="str">
        <x:v>REVIEW</x:v>
      </x:c>
      <x:c r="F93" s="79" t="str">
        <x:v>EDIBLE</x:v>
      </x:c>
      <x:c r="G93" s="79" t="str">
        <x:v>canonical_group_row</x:v>
      </x:c>
      <x:c r="H93" s="79" t="str">
        <x:v>MERGED</x:v>
      </x:c>
    </x:row>
    <x:row r="94">
      <x:c r="A94" s="79" t="n">
        <x:v>173</x:v>
      </x:c>
      <x:c r="B94" s="79" t="str">
        <x:v>روغن کرچک</x:v>
      </x:c>
      <x:c r="C94" s="79" t="str">
        <x:v>روغن</x:v>
      </x:c>
      <x:c r="D94" s="79" t="str">
        <x:v>روغن</x:v>
      </x:c>
      <x:c r="E94" s="79" t="str">
        <x:v>REVIEW</x:v>
      </x:c>
      <x:c r="F94" s="79" t="str">
        <x:v>EDIBLE</x:v>
      </x:c>
      <x:c r="G94" s="79" t="str">
        <x:v>merge_into_canonical_group</x:v>
      </x:c>
      <x:c r="H94" s="79" t="str">
        <x:v>MERGED</x:v>
      </x:c>
    </x:row>
    <x:row r="95">
      <x:c r="A95" s="79" t="n">
        <x:v>174</x:v>
      </x:c>
      <x:c r="B95" s="79" t="str">
        <x:v>روغن کلزا</x:v>
      </x:c>
      <x:c r="C95" s="79" t="str">
        <x:v>روغن</x:v>
      </x:c>
      <x:c r="D95" s="79" t="str">
        <x:v>روغن</x:v>
      </x:c>
      <x:c r="E95" s="79" t="str">
        <x:v>REVIEW</x:v>
      </x:c>
      <x:c r="F95" s="79" t="str">
        <x:v>EDIBLE</x:v>
      </x:c>
      <x:c r="G95" s="79" t="str">
        <x:v>canonical_group_row</x:v>
      </x:c>
      <x:c r="H95" s="79" t="str">
        <x:v>OK</x:v>
      </x:c>
    </x:row>
    <x:row r="96">
      <x:c r="A96" s="79" t="n">
        <x:v>175</x:v>
      </x:c>
      <x:c r="B96" s="79" t="str">
        <x:v>روغن کنجد</x:v>
      </x:c>
      <x:c r="C96" s="79" t="str">
        <x:v>روغن</x:v>
      </x:c>
      <x:c r="D96" s="79" t="str">
        <x:v>روغن</x:v>
      </x:c>
      <x:c r="E96" s="79" t="str">
        <x:v>EDIBLE</x:v>
      </x:c>
      <x:c r="F96" s="79" t="str">
        <x:v>EDIBLE</x:v>
      </x:c>
      <x:c r="G96" s="79" t="str">
        <x:v>canonical_group_row</x:v>
      </x:c>
      <x:c r="H96" s="79" t="str">
        <x:v>MERGED</x:v>
      </x:c>
    </x:row>
    <x:row r="97">
      <x:c r="A97" s="79" t="n">
        <x:v>176</x:v>
      </x:c>
      <x:c r="B97" s="79" t="str">
        <x:v>روغن کنجد #</x:v>
      </x:c>
      <x:c r="C97" s="79" t="str">
        <x:v>روغن</x:v>
      </x:c>
      <x:c r="D97" s="79" t="str">
        <x:v>روغن</x:v>
      </x:c>
      <x:c r="E97" s="79" t="str">
        <x:v>EDIBLE</x:v>
      </x:c>
      <x:c r="F97" s="79" t="str">
        <x:v>EDIBLE</x:v>
      </x:c>
      <x:c r="G97" s="79" t="str">
        <x:v>merge_into_canonical_group</x:v>
      </x:c>
      <x:c r="H97" s="79" t="str">
        <x:v>یک یا چند قیمت نامشخص است</x:v>
      </x:c>
    </x:row>
    <x:row r="98">
      <x:c r="A98" s="79" t="n">
        <x:v>178</x:v>
      </x:c>
      <x:c r="B98" s="79" t="str">
        <x:v>روغن کندر</x:v>
      </x:c>
      <x:c r="C98" s="79" t="str">
        <x:v>روغن</x:v>
      </x:c>
      <x:c r="D98" s="79" t="str">
        <x:v>روغن</x:v>
      </x:c>
      <x:c r="E98" s="79" t="str">
        <x:v>REVIEW</x:v>
      </x:c>
      <x:c r="F98" s="79" t="str">
        <x:v>EDIBLE</x:v>
      </x:c>
      <x:c r="G98" s="79" t="str">
        <x:v>canonical_group_row</x:v>
      </x:c>
      <x:c r="H98" s="79" t="str">
        <x:v>OK</x:v>
      </x:c>
    </x:row>
    <x:row r="99">
      <x:c r="A99" s="79" t="n">
        <x:v>179</x:v>
      </x:c>
      <x:c r="B99" s="79" t="str">
        <x:v>روغن کندش</x:v>
      </x:c>
      <x:c r="C99" s="79" t="str">
        <x:v>روغن</x:v>
      </x:c>
      <x:c r="D99" s="79" t="str">
        <x:v>روغن</x:v>
      </x:c>
      <x:c r="E99" s="79" t="str">
        <x:v>REVIEW</x:v>
      </x:c>
      <x:c r="F99" s="79" t="str">
        <x:v>EDIBLE</x:v>
      </x:c>
      <x:c r="G99" s="79" t="str">
        <x:v>canonical_group_row</x:v>
      </x:c>
      <x:c r="H99" s="79" t="str">
        <x:v>OK</x:v>
      </x:c>
    </x:row>
    <x:row r="100">
      <x:c r="A100" s="79" t="n">
        <x:v>180</x:v>
      </x:c>
      <x:c r="B100" s="79" t="str">
        <x:v>روغن کوسه</x:v>
      </x:c>
      <x:c r="C100" s="79" t="str">
        <x:v>روغن</x:v>
      </x:c>
      <x:c r="D100" s="79" t="str">
        <x:v>روغن</x:v>
      </x:c>
      <x:c r="E100" s="79" t="str">
        <x:v>REVIEW</x:v>
      </x:c>
      <x:c r="F100" s="79" t="str">
        <x:v>EDIBLE</x:v>
      </x:c>
      <x:c r="G100" s="79" t="str">
        <x:v>canonical_group_row</x:v>
      </x:c>
      <x:c r="H100" s="79" t="str">
        <x:v>OK</x:v>
      </x:c>
    </x:row>
    <x:row r="101">
      <x:c r="A101" s="79" t="n">
        <x:v>181</x:v>
      </x:c>
      <x:c r="B101" s="79" t="str">
        <x:v>روغن کوهان شتر</x:v>
      </x:c>
      <x:c r="C101" s="79" t="str">
        <x:v>روغن</x:v>
      </x:c>
      <x:c r="D101" s="79" t="str">
        <x:v>روغن</x:v>
      </x:c>
      <x:c r="E101" s="79" t="str">
        <x:v>REVIEW</x:v>
      </x:c>
      <x:c r="F101" s="79" t="str">
        <x:v>EDIBLE</x:v>
      </x:c>
      <x:c r="G101" s="79" t="str">
        <x:v>canonical_group_row</x:v>
      </x:c>
      <x:c r="H101" s="79" t="str">
        <x:v>OK</x:v>
      </x:c>
    </x:row>
    <x:row r="102">
      <x:c r="A102" s="79" t="n">
        <x:v>182</x:v>
      </x:c>
      <x:c r="B102" s="79" t="str">
        <x:v>روغن گردو</x:v>
      </x:c>
      <x:c r="C102" s="79" t="str">
        <x:v>روغن</x:v>
      </x:c>
      <x:c r="D102" s="79" t="str">
        <x:v>روغن</x:v>
      </x:c>
      <x:c r="E102" s="79" t="str">
        <x:v>REVIEW</x:v>
      </x:c>
      <x:c r="F102" s="79" t="str">
        <x:v>EDIBLE</x:v>
      </x:c>
      <x:c r="G102" s="79" t="str">
        <x:v>canonical_group_row</x:v>
      </x:c>
      <x:c r="H102" s="79" t="str">
        <x:v>OK</x:v>
      </x:c>
    </x:row>
    <x:row r="103">
      <x:c r="A103" s="79" t="n">
        <x:v>183</x:v>
      </x:c>
      <x:c r="B103" s="79" t="str">
        <x:v>روغن گل سرخ</x:v>
      </x:c>
      <x:c r="C103" s="79" t="str">
        <x:v>روغن</x:v>
      </x:c>
      <x:c r="D103" s="79" t="str">
        <x:v>روغن</x:v>
      </x:c>
      <x:c r="E103" s="79" t="str">
        <x:v>REVIEW</x:v>
      </x:c>
      <x:c r="F103" s="79" t="str">
        <x:v>EDIBLE</x:v>
      </x:c>
      <x:c r="G103" s="79" t="str">
        <x:v>canonical_group_row</x:v>
      </x:c>
      <x:c r="H103" s="79" t="str">
        <x:v>OK</x:v>
      </x:c>
    </x:row>
    <x:row r="104">
      <x:c r="A104" s="79" t="n">
        <x:v>184</x:v>
      </x:c>
      <x:c r="B104" s="79" t="str">
        <x:v>روغن گلیسیرین</x:v>
      </x:c>
      <x:c r="C104" s="79" t="str">
        <x:v>روغن</x:v>
      </x:c>
      <x:c r="D104" s="79" t="str">
        <x:v>روغن</x:v>
      </x:c>
      <x:c r="E104" s="79" t="str">
        <x:v>REVIEW</x:v>
      </x:c>
      <x:c r="F104" s="79" t="str">
        <x:v>EDIBLE</x:v>
      </x:c>
      <x:c r="G104" s="79" t="str">
        <x:v>canonical_group_row</x:v>
      </x:c>
      <x:c r="H104" s="79" t="str">
        <x:v>OK</x:v>
      </x:c>
    </x:row>
    <x:row r="105">
      <x:c r="A105" s="79" t="n">
        <x:v>185</x:v>
      </x:c>
      <x:c r="B105" s="79" t="str">
        <x:v>روغن لیمو</x:v>
      </x:c>
      <x:c r="C105" s="79" t="str">
        <x:v>روغن</x:v>
      </x:c>
      <x:c r="D105" s="79" t="str">
        <x:v>روغن</x:v>
      </x:c>
      <x:c r="E105" s="79" t="str">
        <x:v>REVIEW</x:v>
      </x:c>
      <x:c r="F105" s="79" t="str">
        <x:v>EDIBLE</x:v>
      </x:c>
      <x:c r="G105" s="79" t="str">
        <x:v>canonical_group_row</x:v>
      </x:c>
      <x:c r="H105" s="79" t="str">
        <x:v>OK</x:v>
      </x:c>
    </x:row>
    <x:row r="106">
      <x:c r="A106" s="79" t="n">
        <x:v>186</x:v>
      </x:c>
      <x:c r="B106" s="79" t="str">
        <x:v>روغن ماکادمیا</x:v>
      </x:c>
      <x:c r="C106" s="79" t="str">
        <x:v>روغن</x:v>
      </x:c>
      <x:c r="D106" s="79" t="str">
        <x:v>روغن</x:v>
      </x:c>
      <x:c r="E106" s="79" t="str">
        <x:v>REVIEW</x:v>
      </x:c>
      <x:c r="F106" s="79" t="str">
        <x:v>EDIBLE</x:v>
      </x:c>
      <x:c r="G106" s="79" t="str">
        <x:v>canonical_group_row</x:v>
      </x:c>
      <x:c r="H106" s="79" t="str">
        <x:v>OK</x:v>
      </x:c>
    </x:row>
    <x:row r="107">
      <x:c r="A107" s="79" t="n">
        <x:v>187</x:v>
      </x:c>
      <x:c r="B107" s="79" t="str">
        <x:v>روغن مورد</x:v>
      </x:c>
      <x:c r="C107" s="79" t="str">
        <x:v>روغن</x:v>
      </x:c>
      <x:c r="D107" s="79" t="str">
        <x:v>روغن</x:v>
      </x:c>
      <x:c r="E107" s="79" t="str">
        <x:v>REVIEW</x:v>
      </x:c>
      <x:c r="F107" s="79" t="str">
        <x:v>EDIBLE</x:v>
      </x:c>
      <x:c r="G107" s="79" t="str">
        <x:v>canonical_group_row</x:v>
      </x:c>
      <x:c r="H107" s="79" t="str">
        <x:v>OK</x:v>
      </x:c>
    </x:row>
    <x:row r="108">
      <x:c r="A108" s="79" t="n">
        <x:v>188</x:v>
      </x:c>
      <x:c r="B108" s="79" t="str">
        <x:v>روغن مورینگا</x:v>
      </x:c>
      <x:c r="C108" s="79" t="str">
        <x:v>روغن</x:v>
      </x:c>
      <x:c r="D108" s="79" t="str">
        <x:v>روغن</x:v>
      </x:c>
      <x:c r="E108" s="79" t="str">
        <x:v>REVIEW</x:v>
      </x:c>
      <x:c r="F108" s="79" t="str">
        <x:v>EDIBLE</x:v>
      </x:c>
      <x:c r="G108" s="79" t="str">
        <x:v>canonical_group_row</x:v>
      </x:c>
      <x:c r="H108" s="79" t="str">
        <x:v>OK</x:v>
      </x:c>
    </x:row>
    <x:row r="109">
      <x:c r="A109" s="79" t="n">
        <x:v>189</x:v>
      </x:c>
      <x:c r="B109" s="79" t="str">
        <x:v>روغن میخک</x:v>
      </x:c>
      <x:c r="C109" s="79" t="str">
        <x:v>روغن</x:v>
      </x:c>
      <x:c r="D109" s="79" t="str">
        <x:v>روغن</x:v>
      </x:c>
      <x:c r="E109" s="79" t="str">
        <x:v>REVIEW</x:v>
      </x:c>
      <x:c r="F109" s="79" t="str">
        <x:v>EDIBLE</x:v>
      </x:c>
      <x:c r="G109" s="79" t="str">
        <x:v>canonical_group_row</x:v>
      </x:c>
      <x:c r="H109" s="79" t="str">
        <x:v>OK</x:v>
      </x:c>
    </x:row>
    <x:row r="110">
      <x:c r="A110" s="79" t="n">
        <x:v>190</x:v>
      </x:c>
      <x:c r="B110" s="79" t="str">
        <x:v>روغن نارگیل</x:v>
      </x:c>
      <x:c r="C110" s="79" t="str">
        <x:v>روغن</x:v>
      </x:c>
      <x:c r="D110" s="79" t="str">
        <x:v>روغن</x:v>
      </x:c>
      <x:c r="E110" s="79" t="str">
        <x:v>EDIBLE</x:v>
      </x:c>
      <x:c r="F110" s="79" t="str">
        <x:v>EDIBLE</x:v>
      </x:c>
      <x:c r="G110" s="79" t="str">
        <x:v>canonical_group_row</x:v>
      </x:c>
      <x:c r="H110" s="79" t="str">
        <x:v>MERGED</x:v>
      </x:c>
    </x:row>
    <x:row r="111">
      <x:c r="A111" s="79" t="n">
        <x:v>191</x:v>
      </x:c>
      <x:c r="B111" s="79" t="str">
        <x:v>روغن نارگیل</x:v>
      </x:c>
      <x:c r="C111" s="79" t="str">
        <x:v>روغن</x:v>
      </x:c>
      <x:c r="D111" s="79" t="str">
        <x:v>روغن</x:v>
      </x:c>
      <x:c r="E111" s="79" t="str">
        <x:v>EDIBLE</x:v>
      </x:c>
      <x:c r="F111" s="79" t="str">
        <x:v>EDIBLE</x:v>
      </x:c>
      <x:c r="G111" s="79" t="str">
        <x:v>merge_into_canonical_group</x:v>
      </x:c>
      <x:c r="H111" s="79" t="str">
        <x:v>MERGED</x:v>
      </x:c>
    </x:row>
    <x:row r="112">
      <x:c r="A112" s="79" t="n">
        <x:v>193</x:v>
      </x:c>
      <x:c r="B112" s="79" t="str">
        <x:v>روغن هسته نارنج</x:v>
      </x:c>
      <x:c r="C112" s="79" t="str">
        <x:v>روغن</x:v>
      </x:c>
      <x:c r="D112" s="79" t="str">
        <x:v>روغن</x:v>
      </x:c>
      <x:c r="E112" s="79" t="str">
        <x:v>REVIEW</x:v>
      </x:c>
      <x:c r="F112" s="79" t="str">
        <x:v>EDIBLE</x:v>
      </x:c>
      <x:c r="G112" s="79" t="str">
        <x:v>canonical_group_row</x:v>
      </x:c>
      <x:c r="H112" s="79" t="str">
        <x:v>یک یا چند قیمت نامشخص است</x:v>
      </x:c>
    </x:row>
    <x:row r="113">
      <x:c r="A113" s="79" t="n">
        <x:v>194</x:v>
      </x:c>
      <x:c r="B113" s="79" t="str">
        <x:v>زاج</x:v>
      </x:c>
      <x:c r="C113" s="79" t="str">
        <x:v>نیاز به بررسی</x:v>
      </x:c>
      <x:c r="D113" s="79" t="str">
        <x:v>گیاهان دارویی</x:v>
      </x:c>
      <x:c r="E113" s="79" t="str">
        <x:v>TOPICAL</x:v>
      </x:c>
      <x:c r="F113" s="79" t="str">
        <x:v>TOPICAL</x:v>
      </x:c>
      <x:c r="G113" s="79" t="str">
        <x:v>canonical_group_row</x:v>
      </x:c>
      <x:c r="H11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14">
      <x:c r="A114" s="79" t="n">
        <x:v>195</x:v>
      </x:c>
      <x:c r="B114" s="79" t="str">
        <x:v>زردچوبه چارمنار</x:v>
      </x:c>
      <x:c r="C114" s="79" t="str">
        <x:v>ادویه</x:v>
      </x:c>
      <x:c r="D114" s="79" t="str">
        <x:v>ادویه</x:v>
      </x:c>
      <x:c r="E114" s="79" t="str">
        <x:v>EDIBLE</x:v>
      </x:c>
      <x:c r="F114" s="79" t="str">
        <x:v>EDIBLE</x:v>
      </x:c>
      <x:c r="G114" s="79" t="str">
        <x:v>canonical_group_row</x:v>
      </x:c>
      <x:c r="H114" s="79" t="str">
        <x:v>MERGED</x:v>
      </x:c>
    </x:row>
    <x:row r="115">
      <x:c r="A115" s="79" t="n">
        <x:v>196</x:v>
      </x:c>
      <x:c r="B115" s="79" t="str">
        <x:v>زردچوبه زرین</x:v>
      </x:c>
      <x:c r="C115" s="79" t="str">
        <x:v>ادویه</x:v>
      </x:c>
      <x:c r="D115" s="79" t="str">
        <x:v>ادویه</x:v>
      </x:c>
      <x:c r="E115" s="79" t="str">
        <x:v>EDIBLE</x:v>
      </x:c>
      <x:c r="F115" s="79" t="str">
        <x:v>EDIBLE</x:v>
      </x:c>
      <x:c r="G115" s="79" t="str">
        <x:v>merge_into_canonical_group</x:v>
      </x:c>
      <x:c r="H115" s="79" t="str">
        <x:v>یک یا چند قیمت نامشخص است</x:v>
      </x:c>
    </x:row>
    <x:row r="116">
      <x:c r="A116" s="79" t="n">
        <x:v>197</x:v>
      </x:c>
      <x:c r="B116" s="79" t="str">
        <x:v>زرشک پفکی</x:v>
      </x:c>
      <x:c r="C116" s="79" t="str">
        <x:v>خشکبار و آجیل</x:v>
      </x:c>
      <x:c r="D116" s="79" t="str">
        <x:v>خشکبار و آجیل</x:v>
      </x:c>
      <x:c r="E116" s="79" t="str">
        <x:v>REVIEW</x:v>
      </x:c>
      <x:c r="F116" s="79" t="str">
        <x:v>EDIBLE</x:v>
      </x:c>
      <x:c r="G116" s="79" t="str">
        <x:v>canonical_group_row</x:v>
      </x:c>
      <x:c r="H116" s="79" t="str">
        <x:v>یک یا چند قیمت نامشخص است</x:v>
      </x:c>
    </x:row>
    <x:row r="117">
      <x:c r="A117" s="79" t="n">
        <x:v>198</x:v>
      </x:c>
      <x:c r="B117" s="79" t="str">
        <x:v>زرشک ناپاک</x:v>
      </x:c>
      <x:c r="C117" s="79" t="str">
        <x:v>خشکبار و آجیل</x:v>
      </x:c>
      <x:c r="D117" s="79" t="str">
        <x:v>خشکبار و آجیل</x:v>
      </x:c>
      <x:c r="E117" s="79" t="str">
        <x:v>REVIEW</x:v>
      </x:c>
      <x:c r="F117" s="79" t="str">
        <x:v>EDIBLE</x:v>
      </x:c>
      <x:c r="G117" s="79" t="str">
        <x:v>merge_into_canonical_group</x:v>
      </x:c>
      <x:c r="H117" s="79" t="str">
        <x:v>یک یا چند قیمت نامشخص است</x:v>
      </x:c>
    </x:row>
    <x:row r="118">
      <x:c r="A118" s="79" t="n">
        <x:v>199</x:v>
      </x:c>
      <x:c r="B118" s="79" t="str">
        <x:v>زعفران</x:v>
      </x:c>
      <x:c r="C118" s="79" t="str">
        <x:v>ادویه</x:v>
      </x:c>
      <x:c r="D118" s="79" t="str">
        <x:v>ادویه</x:v>
      </x:c>
      <x:c r="E118" s="79" t="str">
        <x:v>EDIBLE</x:v>
      </x:c>
      <x:c r="F118" s="79" t="str">
        <x:v>EDIBLE</x:v>
      </x:c>
      <x:c r="G118" s="79" t="str">
        <x:v>canonical_group_row</x:v>
      </x:c>
      <x:c r="H118" s="79" t="str">
        <x:v>یک یا چند قیمت نامشخص است</x:v>
      </x:c>
    </x:row>
    <x:row r="119">
      <x:c r="A119" s="79" t="n">
        <x:v>204</x:v>
      </x:c>
      <x:c r="B119" s="79" t="str">
        <x:v>ژلاتین</x:v>
      </x:c>
      <x:c r="C119" s="79" t="str">
        <x:v>آرد و قنادی</x:v>
      </x:c>
      <x:c r="D119" s="79" t="str">
        <x:v>آرد و قنادی</x:v>
      </x:c>
      <x:c r="E119" s="79" t="str">
        <x:v>REVIEW</x:v>
      </x:c>
      <x:c r="F119" s="79" t="str">
        <x:v>EDIBLE</x:v>
      </x:c>
      <x:c r="G119" s="79" t="str">
        <x:v>canonical_group_row</x:v>
      </x:c>
      <x:c r="H119" s="79" t="str">
        <x:v>OK</x:v>
      </x:c>
    </x:row>
    <x:row r="120">
      <x:c r="A120" s="79" t="n">
        <x:v>205</x:v>
      </x:c>
      <x:c r="B120" s="79" t="str">
        <x:v>سدر</x:v>
      </x:c>
      <x:c r="C120" s="79" t="str">
        <x:v>نیاز به بررسی</x:v>
      </x:c>
      <x:c r="D120" s="79" t="str">
        <x:v>گیاهان دارویی</x:v>
      </x:c>
      <x:c r="E120" s="79" t="str">
        <x:v>TOPICAL</x:v>
      </x:c>
      <x:c r="F120" s="79" t="str">
        <x:v>TOPICAL</x:v>
      </x:c>
      <x:c r="G120" s="79" t="str">
        <x:v>canonical_group_row</x:v>
      </x:c>
      <x:c r="H120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21">
      <x:c r="A121" s="79" t="n">
        <x:v>208</x:v>
      </x:c>
      <x:c r="B121" s="79" t="str">
        <x:v>سرمه</x:v>
      </x:c>
      <x:c r="C121" s="79" t="str">
        <x:v>نیاز به بررسی</x:v>
      </x:c>
      <x:c r="D121" s="79" t="str">
        <x:v>گیاهان دارویی</x:v>
      </x:c>
      <x:c r="E121" s="79" t="str">
        <x:v>TOPICAL</x:v>
      </x:c>
      <x:c r="F121" s="79" t="str">
        <x:v>TOPICAL</x:v>
      </x:c>
      <x:c r="G121" s="79" t="str">
        <x:v>canonical_group_row</x:v>
      </x:c>
      <x:c r="H121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22">
      <x:c r="A122" s="79" t="n">
        <x:v>209</x:v>
      </x:c>
      <x:c r="B122" s="79" t="str">
        <x:v>سفیده تخم مرغ</x:v>
      </x:c>
      <x:c r="C122" s="79" t="str">
        <x:v>ادویه</x:v>
      </x:c>
      <x:c r="D122" s="79" t="str">
        <x:v>قنادی و شیرینی</x:v>
      </x:c>
      <x:c r="E122" s="79" t="str">
        <x:v>EDIBLE</x:v>
      </x:c>
      <x:c r="F122" s="79" t="str">
        <x:v>EDIBLE</x:v>
      </x:c>
      <x:c r="G122" s="79" t="str">
        <x:v>canonical_group_row</x:v>
      </x:c>
      <x:c r="H122" s="79" t="str">
        <x:v>دسته از «ادویه» به «قنادی و شیرینی» اصلاح شد</x:v>
      </x:c>
    </x:row>
    <x:row r="123">
      <x:c r="A123" s="79" t="n">
        <x:v>213</x:v>
      </x:c>
      <x:c r="B123" s="79" t="str">
        <x:v>سمنو</x:v>
      </x:c>
      <x:c r="C123" s="79" t="str">
        <x:v>نیاز به بررسی</x:v>
      </x:c>
      <x:c r="D123" s="79" t="str">
        <x:v>قنادی و شیرینی</x:v>
      </x:c>
      <x:c r="E123" s="79" t="str">
        <x:v>REVIEW</x:v>
      </x:c>
      <x:c r="F123" s="79" t="str">
        <x:v>EDIBLE</x:v>
      </x:c>
      <x:c r="G123" s="79" t="str">
        <x:v>canonical_group_row</x:v>
      </x:c>
      <x:c r="H123" s="79" t="str">
        <x:v>دسته از «نیاز به بررسی» به «قنادی و شیرینی» اصلاح شد</x:v>
      </x:c>
    </x:row>
    <x:row r="124">
      <x:c r="A124" s="79" t="n">
        <x:v>215</x:v>
      </x:c>
      <x:c r="B124" s="79" t="str">
        <x:v>سنجد</x:v>
      </x:c>
      <x:c r="C124" s="79" t="str">
        <x:v>خشکبار و آجیل</x:v>
      </x:c>
      <x:c r="D124" s="79" t="str">
        <x:v>خشکبار و آجیل</x:v>
      </x:c>
      <x:c r="E124" s="79" t="str">
        <x:v>REVIEW</x:v>
      </x:c>
      <x:c r="F124" s="79" t="str">
        <x:v>EDIBLE</x:v>
      </x:c>
      <x:c r="G124" s="79" t="str">
        <x:v>canonical_group_row</x:v>
      </x:c>
      <x:c r="H124" s="79" t="str">
        <x:v>MERGED</x:v>
      </x:c>
    </x:row>
    <x:row r="125">
      <x:c r="A125" s="79" t="n">
        <x:v>216</x:v>
      </x:c>
      <x:c r="B125" s="79" t="str">
        <x:v>سنجد پودر</x:v>
      </x:c>
      <x:c r="C125" s="79" t="str">
        <x:v>خشکبار و آجیل</x:v>
      </x:c>
      <x:c r="D125" s="79" t="str">
        <x:v>خشکبار و آجیل</x:v>
      </x:c>
      <x:c r="E125" s="79" t="str">
        <x:v>REVIEW</x:v>
      </x:c>
      <x:c r="F125" s="79" t="str">
        <x:v>EDIBLE</x:v>
      </x:c>
      <x:c r="G125" s="79" t="str">
        <x:v>merge_into_canonical_group</x:v>
      </x:c>
      <x:c r="H125" s="79" t="str">
        <x:v>MERGED</x:v>
      </x:c>
    </x:row>
    <x:row r="126">
      <x:c r="A126" s="79" t="n">
        <x:v>217</x:v>
      </x:c>
      <x:c r="B126" s="79" t="str">
        <x:v>سویق ترکیبی</x:v>
      </x:c>
      <x:c r="C126" s="79" t="str">
        <x:v>نیاز به بررسی</x:v>
      </x:c>
      <x:c r="D126" s="79" t="str">
        <x:v>حبوبات و غلات</x:v>
      </x:c>
      <x:c r="E126" s="79" t="str">
        <x:v>REVIEW</x:v>
      </x:c>
      <x:c r="F126" s="79" t="str">
        <x:v>EDIBLE</x:v>
      </x:c>
      <x:c r="G126" s="79" t="str">
        <x:v>canonical_group_row</x:v>
      </x:c>
      <x:c r="H126" s="79" t="str">
        <x:v>دسته از «نیاز به بررسی» به «حبوبات و غلات» اصلاح شد</x:v>
      </x:c>
    </x:row>
    <x:row r="127">
      <x:c r="A127" s="79" t="n">
        <x:v>218</x:v>
      </x:c>
      <x:c r="B127" s="79" t="str">
        <x:v>سویق جوانه جو</x:v>
      </x:c>
      <x:c r="C127" s="79" t="str">
        <x:v>حبوبات و غلات</x:v>
      </x:c>
      <x:c r="D127" s="79" t="str">
        <x:v>حبوبات و غلات</x:v>
      </x:c>
      <x:c r="E127" s="79" t="str">
        <x:v>REVIEW</x:v>
      </x:c>
      <x:c r="F127" s="79" t="str">
        <x:v>EDIBLE</x:v>
      </x:c>
      <x:c r="G127" s="79" t="str">
        <x:v>canonical_group_row</x:v>
      </x:c>
      <x:c r="H127" s="79" t="str">
        <x:v>OK</x:v>
      </x:c>
    </x:row>
    <x:row r="128">
      <x:c r="A128" s="79" t="n">
        <x:v>219</x:v>
      </x:c>
      <x:c r="B128" s="79" t="str">
        <x:v>سویق جوانه عدس</x:v>
      </x:c>
      <x:c r="C128" s="79" t="str">
        <x:v>حبوبات و غلات</x:v>
      </x:c>
      <x:c r="D128" s="79" t="str">
        <x:v>حبوبات و غلات</x:v>
      </x:c>
      <x:c r="E128" s="79" t="str">
        <x:v>REVIEW</x:v>
      </x:c>
      <x:c r="F128" s="79" t="str">
        <x:v>EDIBLE</x:v>
      </x:c>
      <x:c r="G128" s="79" t="str">
        <x:v>canonical_group_row</x:v>
      </x:c>
      <x:c r="H128" s="79" t="str">
        <x:v>OK</x:v>
      </x:c>
    </x:row>
    <x:row r="129">
      <x:c r="A129" s="79" t="n">
        <x:v>220</x:v>
      </x:c>
      <x:c r="B129" s="79" t="str">
        <x:v>سویق جوانه گندم</x:v>
      </x:c>
      <x:c r="C129" s="79" t="str">
        <x:v>حبوبات و غلات</x:v>
      </x:c>
      <x:c r="D129" s="79" t="str">
        <x:v>حبوبات و غلات</x:v>
      </x:c>
      <x:c r="E129" s="79" t="str">
        <x:v>REVIEW</x:v>
      </x:c>
      <x:c r="F129" s="79" t="str">
        <x:v>EDIBLE</x:v>
      </x:c>
      <x:c r="G129" s="79" t="str">
        <x:v>canonical_group_row</x:v>
      </x:c>
      <x:c r="H129" s="79" t="str">
        <x:v>OK</x:v>
      </x:c>
    </x:row>
    <x:row r="130">
      <x:c r="A130" s="79" t="n">
        <x:v>221</x:v>
      </x:c>
      <x:c r="B130" s="79" t="str">
        <x:v>سویق جوانه ماش</x:v>
      </x:c>
      <x:c r="C130" s="79" t="str">
        <x:v>حبوبات و غلات</x:v>
      </x:c>
      <x:c r="D130" s="79" t="str">
        <x:v>حبوبات و غلات</x:v>
      </x:c>
      <x:c r="E130" s="79" t="str">
        <x:v>REVIEW</x:v>
      </x:c>
      <x:c r="F130" s="79" t="str">
        <x:v>EDIBLE</x:v>
      </x:c>
      <x:c r="G130" s="79" t="str">
        <x:v>canonical_group_row</x:v>
      </x:c>
      <x:c r="H130" s="79" t="str">
        <x:v>OK</x:v>
      </x:c>
    </x:row>
    <x:row r="131">
      <x:c r="A131" s="79" t="n">
        <x:v>222</x:v>
      </x:c>
      <x:c r="B131" s="79" t="str">
        <x:v>سیاهدانه</x:v>
      </x:c>
      <x:c r="C131" s="79" t="str">
        <x:v>نیاز به بررسی</x:v>
      </x:c>
      <x:c r="D131" s="79" t="str">
        <x:v>گیاهان دارویی</x:v>
      </x:c>
      <x:c r="E131" s="79" t="str">
        <x:v>REVIEW</x:v>
      </x:c>
      <x:c r="F131" s="79" t="str">
        <x:v>EDIBLE</x:v>
      </x:c>
      <x:c r="G131" s="79" t="str">
        <x:v>canonical_group_row</x:v>
      </x:c>
      <x:c r="H131" s="79" t="str">
        <x:v>دسته از «نیاز به بررسی» به «گیاهان دارویی» اصلاح شد</x:v>
      </x:c>
    </x:row>
    <x:row r="132">
      <x:c r="A132" s="79" t="n">
        <x:v>225</x:v>
      </x:c>
      <x:c r="B132" s="79" t="str">
        <x:v>سیر هندی</x:v>
      </x:c>
      <x:c r="C132" s="79" t="str">
        <x:v>ادویه</x:v>
      </x:c>
      <x:c r="D132" s="79" t="str">
        <x:v>ادویه</x:v>
      </x:c>
      <x:c r="E132" s="79" t="str">
        <x:v>EDIBLE</x:v>
      </x:c>
      <x:c r="F132" s="79" t="str">
        <x:v>EDIBLE</x:v>
      </x:c>
      <x:c r="G132" s="79" t="str">
        <x:v>canonical_group_row</x:v>
      </x:c>
      <x:c r="H132" s="79" t="str">
        <x:v>یک یا چند قیمت نامشخص است</x:v>
      </x:c>
    </x:row>
    <x:row r="133">
      <x:c r="A133" s="79" t="n">
        <x:v>226</x:v>
      </x:c>
      <x:c r="B133" s="79" t="str">
        <x:v>شربت آلبالو</x:v>
      </x:c>
      <x:c r="C133" s="79" t="str">
        <x:v>نوشیدنی‌ها</x:v>
      </x:c>
      <x:c r="D133" s="79" t="str">
        <x:v>نوشیدنی‌ها</x:v>
      </x:c>
      <x:c r="E133" s="79" t="str">
        <x:v>EDIBLE</x:v>
      </x:c>
      <x:c r="F133" s="79" t="str">
        <x:v>EDIBLE</x:v>
      </x:c>
      <x:c r="G133" s="79" t="str">
        <x:v>canonical_group_row</x:v>
      </x:c>
      <x:c r="H133" s="79" t="str">
        <x:v>یک یا چند قیمت نامشخص است</x:v>
      </x:c>
    </x:row>
    <x:row r="134">
      <x:c r="A134" s="79" t="n">
        <x:v>229</x:v>
      </x:c>
      <x:c r="B134" s="79" t="str">
        <x:v>شکر سفید</x:v>
      </x:c>
      <x:c r="C134" s="79" t="str">
        <x:v>قنادی و شیرینی</x:v>
      </x:c>
      <x:c r="D134" s="79" t="str">
        <x:v>قنادی و شیرینی</x:v>
      </x:c>
      <x:c r="E134" s="79" t="str">
        <x:v>REVIEW</x:v>
      </x:c>
      <x:c r="F134" s="79" t="str">
        <x:v>EDIBLE</x:v>
      </x:c>
      <x:c r="G134" s="79" t="str">
        <x:v>canonical_group_row</x:v>
      </x:c>
      <x:c r="H134" s="79" t="str">
        <x:v>یک یا چند قیمت نامشخص است</x:v>
      </x:c>
    </x:row>
    <x:row r="135">
      <x:c r="A135" s="79" t="n">
        <x:v>230</x:v>
      </x:c>
      <x:c r="B135" s="79" t="str">
        <x:v>شکر قهوه ای</x:v>
      </x:c>
      <x:c r="C135" s="79" t="str">
        <x:v>قنادی و شیرینی</x:v>
      </x:c>
      <x:c r="D135" s="79" t="str">
        <x:v>قنادی و شیرینی</x:v>
      </x:c>
      <x:c r="E135" s="79" t="str">
        <x:v>REVIEW</x:v>
      </x:c>
      <x:c r="F135" s="79" t="str">
        <x:v>EDIBLE</x:v>
      </x:c>
      <x:c r="G135" s="79" t="str">
        <x:v>canonical_group_row</x:v>
      </x:c>
      <x:c r="H135" s="79" t="str">
        <x:v>OK</x:v>
      </x:c>
    </x:row>
    <x:row r="136">
      <x:c r="A136" s="79" t="n">
        <x:v>231</x:v>
      </x:c>
      <x:c r="B136" s="79" t="str">
        <x:v>شکلات تخته ای وانیلی</x:v>
      </x:c>
      <x:c r="C136" s="79" t="str">
        <x:v>قنادی و شیرینی</x:v>
      </x:c>
      <x:c r="D136" s="79" t="str">
        <x:v>قنادی و شیرینی</x:v>
      </x:c>
      <x:c r="E136" s="79" t="str">
        <x:v>REVIEW</x:v>
      </x:c>
      <x:c r="F136" s="79" t="str">
        <x:v>EDIBLE</x:v>
      </x:c>
      <x:c r="G136" s="79" t="str">
        <x:v>canonical_group_row</x:v>
      </x:c>
      <x:c r="H136" s="79" t="str">
        <x:v>OK</x:v>
      </x:c>
    </x:row>
    <x:row r="137">
      <x:c r="A137" s="79" t="n">
        <x:v>232</x:v>
      </x:c>
      <x:c r="B137" s="79" t="str">
        <x:v>شکلات چیپسی تلخ</x:v>
      </x:c>
      <x:c r="C137" s="79" t="str">
        <x:v>قنادی و شیرینی</x:v>
      </x:c>
      <x:c r="D137" s="79" t="str">
        <x:v>قنادی و شیرینی</x:v>
      </x:c>
      <x:c r="E137" s="79" t="str">
        <x:v>REVIEW</x:v>
      </x:c>
      <x:c r="F137" s="79" t="str">
        <x:v>EDIBLE</x:v>
      </x:c>
      <x:c r="G137" s="79" t="str">
        <x:v>canonical_group_row</x:v>
      </x:c>
      <x:c r="H137" s="79" t="str">
        <x:v>OK</x:v>
      </x:c>
    </x:row>
    <x:row r="138">
      <x:c r="A138" s="79" t="n">
        <x:v>233</x:v>
      </x:c>
      <x:c r="B138" s="79" t="str">
        <x:v>شکلات نسوز کوکی</x:v>
      </x:c>
      <x:c r="C138" s="79" t="str">
        <x:v>قنادی و شیرینی</x:v>
      </x:c>
      <x:c r="D138" s="79" t="str">
        <x:v>قنادی و شیرینی</x:v>
      </x:c>
      <x:c r="E138" s="79" t="str">
        <x:v>REVIEW</x:v>
      </x:c>
      <x:c r="F138" s="79" t="str">
        <x:v>EDIBLE</x:v>
      </x:c>
      <x:c r="G138" s="79" t="str">
        <x:v>canonical_group_row</x:v>
      </x:c>
      <x:c r="H138" s="79" t="str">
        <x:v>OK</x:v>
      </x:c>
    </x:row>
    <x:row r="139">
      <x:c r="A139" s="79" t="n">
        <x:v>234</x:v>
      </x:c>
      <x:c r="B139" s="79" t="str">
        <x:v>شلغم پودر</x:v>
      </x:c>
      <x:c r="C139" s="79" t="str">
        <x:v>نیاز به بررسی</x:v>
      </x:c>
      <x:c r="D139" s="79" t="str">
        <x:v>گیاهان دارویی</x:v>
      </x:c>
      <x:c r="E139" s="79" t="str">
        <x:v>REVIEW</x:v>
      </x:c>
      <x:c r="F139" s="79" t="str">
        <x:v>EDIBLE</x:v>
      </x:c>
      <x:c r="G139" s="79" t="str">
        <x:v>canonical_group_row</x:v>
      </x:c>
      <x:c r="H139" s="79" t="str">
        <x:v>دسته از «نیاز به بررسی» به «گیاهان دارویی» اصلاح شد | یک یا چند قیمت نامشخص است</x:v>
      </x:c>
    </x:row>
    <x:row r="140">
      <x:c r="A140" s="79" t="n">
        <x:v>236</x:v>
      </x:c>
      <x:c r="B140" s="79" t="str">
        <x:v>شنبلیله تخم</x:v>
      </x:c>
      <x:c r="C140" s="79" t="str">
        <x:v>خشکبار و آجیل</x:v>
      </x:c>
      <x:c r="D140" s="79" t="str">
        <x:v>گیاهان دارویی</x:v>
      </x:c>
      <x:c r="E140" s="79" t="str">
        <x:v>EDIBLE</x:v>
      </x:c>
      <x:c r="F140" s="79" t="str">
        <x:v>EDIBLE</x:v>
      </x:c>
      <x:c r="G140" s="79" t="str">
        <x:v>canonical_group_row</x:v>
      </x:c>
      <x:c r="H140" s="79" t="str">
        <x:v>دسته از «خشکبار و آجیل» به «گیاهان دارویی» اصلاح شد</x:v>
      </x:c>
    </x:row>
    <x:row r="141">
      <x:c r="A141" s="79" t="n">
        <x:v>237</x:v>
      </x:c>
      <x:c r="B141" s="79" t="str">
        <x:v>شوید خشک</x:v>
      </x:c>
      <x:c r="C141" s="79" t="str">
        <x:v>نیاز به بررسی</x:v>
      </x:c>
      <x:c r="D141" s="79" t="str">
        <x:v>گیاهان دارویی</x:v>
      </x:c>
      <x:c r="E141" s="79" t="str">
        <x:v>REVIEW</x:v>
      </x:c>
      <x:c r="F141" s="79" t="str">
        <x:v>EDIBLE</x:v>
      </x:c>
      <x:c r="G141" s="79" t="str">
        <x:v>canonical_group_row</x:v>
      </x:c>
      <x:c r="H141" s="79" t="str">
        <x:v>دسته از «نیاز به بررسی» به «گیاهان دارویی» اصلاح شد</x:v>
      </x:c>
    </x:row>
    <x:row r="142">
      <x:c r="A142" s="79" t="n">
        <x:v>238</x:v>
      </x:c>
      <x:c r="B142" s="79" t="str">
        <x:v>شیرخشک قنادی</x:v>
      </x:c>
      <x:c r="C142" s="79" t="str">
        <x:v>نیاز به بررسی</x:v>
      </x:c>
      <x:c r="D142" s="79" t="str">
        <x:v>قنادی و شیرینی</x:v>
      </x:c>
      <x:c r="E142" s="79" t="str">
        <x:v>REVIEW</x:v>
      </x:c>
      <x:c r="F142" s="79" t="str">
        <x:v>EDIBLE</x:v>
      </x:c>
      <x:c r="G142" s="79" t="str">
        <x:v>canonical_group_row</x:v>
      </x:c>
      <x:c r="H142" s="79" t="str">
        <x:v>دسته از «نیاز به بررسی» به «قنادی و شیرینی» اصلاح شد</x:v>
      </x:c>
    </x:row>
    <x:row r="143">
      <x:c r="A143" s="79" t="n">
        <x:v>239</x:v>
      </x:c>
      <x:c r="B143" s="79" t="str">
        <x:v>شیره 3 شیره</x:v>
      </x:c>
      <x:c r="C143" s="79" t="str">
        <x:v>نیاز به بررسی</x:v>
      </x:c>
      <x:c r="D143" s="79" t="str">
        <x:v>نوشیدنی‌ها</x:v>
      </x:c>
      <x:c r="E143" s="79" t="str">
        <x:v>REVIEW</x:v>
      </x:c>
      <x:c r="F143" s="79" t="str">
        <x:v>EDIBLE</x:v>
      </x:c>
      <x:c r="G143" s="79" t="str">
        <x:v>canonical_group_row</x:v>
      </x:c>
      <x:c r="H143" s="79" t="str">
        <x:v>دسته از «نیاز به بررسی» به «نوشیدنی‌ها» اصلاح شد</x:v>
      </x:c>
    </x:row>
    <x:row r="144">
      <x:c r="A144" s="79" t="n">
        <x:v>240</x:v>
      </x:c>
      <x:c r="B144" s="79" t="str">
        <x:v>شیره 4 شیره</x:v>
      </x:c>
      <x:c r="C144" s="79" t="str">
        <x:v>نیاز به بررسی</x:v>
      </x:c>
      <x:c r="D144" s="79" t="str">
        <x:v>نوشیدنی‌ها</x:v>
      </x:c>
      <x:c r="E144" s="79" t="str">
        <x:v>REVIEW</x:v>
      </x:c>
      <x:c r="F144" s="79" t="str">
        <x:v>EDIBLE</x:v>
      </x:c>
      <x:c r="G144" s="79" t="str">
        <x:v>canonical_group_row</x:v>
      </x:c>
      <x:c r="H144" s="79" t="str">
        <x:v>دسته از «نیاز به بررسی» به «نوشیدنی‌ها» اصلاح شد</x:v>
      </x:c>
    </x:row>
    <x:row r="145">
      <x:c r="A145" s="79" t="n">
        <x:v>241</x:v>
      </x:c>
      <x:c r="B145" s="79" t="str">
        <x:v>شیره انجیر</x:v>
      </x:c>
      <x:c r="C145" s="79" t="str">
        <x:v>خشکبار و آجیل</x:v>
      </x:c>
      <x:c r="D145" s="79" t="str">
        <x:v>خشکبار و آجیل</x:v>
      </x:c>
      <x:c r="E145" s="79" t="str">
        <x:v>REVIEW</x:v>
      </x:c>
      <x:c r="F145" s="79" t="str">
        <x:v>EDIBLE</x:v>
      </x:c>
      <x:c r="G145" s="79" t="str">
        <x:v>canonical_group_row</x:v>
      </x:c>
      <x:c r="H145" s="79" t="str">
        <x:v>OK</x:v>
      </x:c>
    </x:row>
    <x:row r="146">
      <x:c r="A146" s="79" t="n">
        <x:v>242</x:v>
      </x:c>
      <x:c r="B146" s="79" t="str">
        <x:v>شیره انگور</x:v>
      </x:c>
      <x:c r="C146" s="79" t="str">
        <x:v>نیاز به بررسی</x:v>
      </x:c>
      <x:c r="D146" s="79" t="str">
        <x:v>نوشیدنی‌ها</x:v>
      </x:c>
      <x:c r="E146" s="79" t="str">
        <x:v>REVIEW</x:v>
      </x:c>
      <x:c r="F146" s="79" t="str">
        <x:v>EDIBLE</x:v>
      </x:c>
      <x:c r="G146" s="79" t="str">
        <x:v>canonical_group_row</x:v>
      </x:c>
      <x:c r="H146" s="79" t="str">
        <x:v>دسته از «نیاز به بررسی» به «نوشیدنی‌ها» اصلاح شد</x:v>
      </x:c>
    </x:row>
    <x:row r="147">
      <x:c r="A147" s="79" t="n">
        <x:v>243</x:v>
      </x:c>
      <x:c r="B147" s="79" t="str">
        <x:v>شیره توت</x:v>
      </x:c>
      <x:c r="C147" s="79" t="str">
        <x:v>نیاز به بررسی</x:v>
      </x:c>
      <x:c r="D147" s="79" t="str">
        <x:v>نوشیدنی‌ها</x:v>
      </x:c>
      <x:c r="E147" s="79" t="str">
        <x:v>REVIEW</x:v>
      </x:c>
      <x:c r="F147" s="79" t="str">
        <x:v>EDIBLE</x:v>
      </x:c>
      <x:c r="G147" s="79" t="str">
        <x:v>canonical_group_row</x:v>
      </x:c>
      <x:c r="H147" s="79" t="str">
        <x:v>دسته از «نیاز به بررسی» به «نوشیدنی‌ها» اصلاح شد</x:v>
      </x:c>
    </x:row>
    <x:row r="148">
      <x:c r="A148" s="79" t="n">
        <x:v>244</x:v>
      </x:c>
      <x:c r="B148" s="79" t="str">
        <x:v>شیره خرما</x:v>
      </x:c>
      <x:c r="C148" s="79" t="str">
        <x:v>قنادی و شیرینی</x:v>
      </x:c>
      <x:c r="D148" s="79" t="str">
        <x:v>قنادی و شیرینی</x:v>
      </x:c>
      <x:c r="E148" s="79" t="str">
        <x:v>REVIEW</x:v>
      </x:c>
      <x:c r="F148" s="79" t="str">
        <x:v>EDIBLE</x:v>
      </x:c>
      <x:c r="G148" s="79" t="str">
        <x:v>canonical_group_row</x:v>
      </x:c>
      <x:c r="H148" s="79" t="str">
        <x:v>OK</x:v>
      </x:c>
    </x:row>
    <x:row r="149">
      <x:c r="A149" s="79" t="n">
        <x:v>245</x:v>
      </x:c>
      <x:c r="B149" s="79" t="str">
        <x:v>شیره سفید</x:v>
      </x:c>
      <x:c r="C149" s="79" t="str">
        <x:v>نیاز به بررسی</x:v>
      </x:c>
      <x:c r="D149" s="79" t="str">
        <x:v>نوشیدنی‌ها</x:v>
      </x:c>
      <x:c r="E149" s="79" t="str">
        <x:v>REVIEW</x:v>
      </x:c>
      <x:c r="F149" s="79" t="str">
        <x:v>EDIBLE</x:v>
      </x:c>
      <x:c r="G149" s="79" t="str">
        <x:v>canonical_group_row</x:v>
      </x:c>
      <x:c r="H149" s="79" t="str">
        <x:v>دسته از «نیاز به بررسی» به «نوشیدنی‌ها» اصلاح شد</x:v>
      </x:c>
    </x:row>
    <x:row r="150">
      <x:c r="A150" s="79" t="n">
        <x:v>246</x:v>
      </x:c>
      <x:c r="B150" s="79" t="str">
        <x:v>شیره سیب</x:v>
      </x:c>
      <x:c r="C150" s="79" t="str">
        <x:v>نیاز به بررسی</x:v>
      </x:c>
      <x:c r="D150" s="79" t="str">
        <x:v>نوشیدنی‌ها</x:v>
      </x:c>
      <x:c r="E150" s="79" t="str">
        <x:v>REVIEW</x:v>
      </x:c>
      <x:c r="F150" s="79" t="str">
        <x:v>EDIBLE</x:v>
      </x:c>
      <x:c r="G150" s="79" t="str">
        <x:v>canonical_group_row</x:v>
      </x:c>
      <x:c r="H150" s="79" t="str">
        <x:v>دسته از «نیاز به بررسی» به «نوشیدنی‌ها» اصلاح شد</x:v>
      </x:c>
    </x:row>
    <x:row r="151">
      <x:c r="A151" s="79" t="n">
        <x:v>249</x:v>
      </x:c>
      <x:c r="B151" s="79" t="str">
        <x:v>صابون 7 گیاه</x:v>
      </x:c>
      <x:c r="C151" s="79" t="str">
        <x:v>نیاز به بررسی</x:v>
      </x:c>
      <x:c r="D151" s="79" t="str">
        <x:v>گیاهان دارویی</x:v>
      </x:c>
      <x:c r="E151" s="79" t="str">
        <x:v>TOPICAL</x:v>
      </x:c>
      <x:c r="F151" s="79" t="str">
        <x:v>TOPICAL</x:v>
      </x:c>
      <x:c r="G151" s="79" t="str">
        <x:v>canonical_group_row</x:v>
      </x:c>
      <x:c r="H151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52">
      <x:c r="A152" s="79" t="n">
        <x:v>250</x:v>
      </x:c>
      <x:c r="B152" s="79" t="str">
        <x:v>صابون انار</x:v>
      </x:c>
      <x:c r="C152" s="79" t="str">
        <x:v>نیاز به بررسی</x:v>
      </x:c>
      <x:c r="D152" s="79" t="str">
        <x:v>گیاهان دارویی</x:v>
      </x:c>
      <x:c r="E152" s="79" t="str">
        <x:v>TOPICAL</x:v>
      </x:c>
      <x:c r="F152" s="79" t="str">
        <x:v>TOPICAL</x:v>
      </x:c>
      <x:c r="G152" s="79" t="str">
        <x:v>canonical_group_row</x:v>
      </x:c>
      <x:c r="H15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53">
      <x:c r="A153" s="79" t="n">
        <x:v>251</x:v>
      </x:c>
      <x:c r="B153" s="79" t="str">
        <x:v>صابون انگور</x:v>
      </x:c>
      <x:c r="C153" s="79" t="str">
        <x:v>نیاز به بررسی</x:v>
      </x:c>
      <x:c r="D153" s="79" t="str">
        <x:v>گیاهان دارویی</x:v>
      </x:c>
      <x:c r="E153" s="79" t="str">
        <x:v>TOPICAL</x:v>
      </x:c>
      <x:c r="F153" s="79" t="str">
        <x:v>TOPICAL</x:v>
      </x:c>
      <x:c r="G153" s="79" t="str">
        <x:v>canonical_group_row</x:v>
      </x:c>
      <x:c r="H15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54">
      <x:c r="A154" s="79" t="n">
        <x:v>252</x:v>
      </x:c>
      <x:c r="B154" s="79" t="str">
        <x:v>صابون آرگان</x:v>
      </x:c>
      <x:c r="C154" s="79" t="str">
        <x:v>نیاز به بررسی</x:v>
      </x:c>
      <x:c r="D154" s="79" t="str">
        <x:v>گیاهان دارویی</x:v>
      </x:c>
      <x:c r="E154" s="79" t="str">
        <x:v>TOPICAL</x:v>
      </x:c>
      <x:c r="F154" s="79" t="str">
        <x:v>TOPICAL</x:v>
      </x:c>
      <x:c r="G154" s="79" t="str">
        <x:v>canonical_group_row</x:v>
      </x:c>
      <x:c r="H154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55">
      <x:c r="A155" s="79" t="n">
        <x:v>253</x:v>
      </x:c>
      <x:c r="B155" s="79" t="str">
        <x:v>صابون آلبالو</x:v>
      </x:c>
      <x:c r="C155" s="79" t="str">
        <x:v>نیاز به بررسی</x:v>
      </x:c>
      <x:c r="D155" s="79" t="str">
        <x:v>گیاهان دارویی</x:v>
      </x:c>
      <x:c r="E155" s="79" t="str">
        <x:v>TOPICAL</x:v>
      </x:c>
      <x:c r="F155" s="79" t="str">
        <x:v>TOPICAL</x:v>
      </x:c>
      <x:c r="G155" s="79" t="str">
        <x:v>canonical_group_row</x:v>
      </x:c>
      <x:c r="H155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56">
      <x:c r="A156" s="79" t="n">
        <x:v>254</x:v>
      </x:c>
      <x:c r="B156" s="79" t="str">
        <x:v>صابون تریاک</x:v>
      </x:c>
      <x:c r="C156" s="79" t="str">
        <x:v>نیاز به بررسی</x:v>
      </x:c>
      <x:c r="D156" s="79" t="str">
        <x:v>گیاهان دارویی</x:v>
      </x:c>
      <x:c r="E156" s="79" t="str">
        <x:v>TOPICAL</x:v>
      </x:c>
      <x:c r="F156" s="79" t="str">
        <x:v>TOPICAL</x:v>
      </x:c>
      <x:c r="G156" s="79" t="str">
        <x:v>canonical_group_row</x:v>
      </x:c>
      <x:c r="H156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57">
      <x:c r="A157" s="79" t="n">
        <x:v>255</x:v>
      </x:c>
      <x:c r="B157" s="79" t="str">
        <x:v>صابون درخت چای</x:v>
      </x:c>
      <x:c r="C157" s="79" t="str">
        <x:v>نیاز به بررسی</x:v>
      </x:c>
      <x:c r="D157" s="79" t="str">
        <x:v>گیاهان دارویی</x:v>
      </x:c>
      <x:c r="E157" s="79" t="str">
        <x:v>TOPICAL</x:v>
      </x:c>
      <x:c r="F157" s="79" t="str">
        <x:v>TOPICAL</x:v>
      </x:c>
      <x:c r="G157" s="79" t="str">
        <x:v>canonical_group_row</x:v>
      </x:c>
      <x:c r="H157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58">
      <x:c r="A158" s="79" t="n">
        <x:v>256</x:v>
      </x:c>
      <x:c r="B158" s="79" t="str">
        <x:v>صابون ذغال اکتیو</x:v>
      </x:c>
      <x:c r="C158" s="79" t="str">
        <x:v>نیاز به بررسی</x:v>
      </x:c>
      <x:c r="D158" s="79" t="str">
        <x:v>گیاهان دارویی</x:v>
      </x:c>
      <x:c r="E158" s="79" t="str">
        <x:v>TOPICAL</x:v>
      </x:c>
      <x:c r="F158" s="79" t="str">
        <x:v>TOPICAL</x:v>
      </x:c>
      <x:c r="G158" s="79" t="str">
        <x:v>canonical_group_row</x:v>
      </x:c>
      <x:c r="H158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59">
      <x:c r="A159" s="79" t="n">
        <x:v>257</x:v>
      </x:c>
      <x:c r="B159" s="79" t="str">
        <x:v>صابون زردآلو</x:v>
      </x:c>
      <x:c r="C159" s="79" t="str">
        <x:v>خشکبار و آجیل</x:v>
      </x:c>
      <x:c r="D159" s="79" t="str">
        <x:v>گیاهان دارویی</x:v>
      </x:c>
      <x:c r="E159" s="79" t="str">
        <x:v>TOPICAL</x:v>
      </x:c>
      <x:c r="F159" s="79" t="str">
        <x:v>TOPICAL</x:v>
      </x:c>
      <x:c r="G159" s="79" t="str">
        <x:v>canonical_group_row</x:v>
      </x:c>
      <x:c r="H159" s="79" t="str">
        <x:v>دسته از «خشکبار و آجیل» به «گیاهان دارویی» اصلاح شد | نوع مصرف به موضعی/غیرخوراکی اصلاح شد</x:v>
      </x:c>
    </x:row>
    <x:row r="160">
      <x:c r="A160" s="79" t="n">
        <x:v>258</x:v>
      </x:c>
      <x:c r="B160" s="79" t="str">
        <x:v>صابون زردچوبه</x:v>
      </x:c>
      <x:c r="C160" s="79" t="str">
        <x:v>ادویه</x:v>
      </x:c>
      <x:c r="D160" s="79" t="str">
        <x:v>گیاهان دارویی</x:v>
      </x:c>
      <x:c r="E160" s="79" t="str">
        <x:v>TOPICAL</x:v>
      </x:c>
      <x:c r="F160" s="79" t="str">
        <x:v>TOPICAL</x:v>
      </x:c>
      <x:c r="G160" s="79" t="str">
        <x:v>canonical_group_row</x:v>
      </x:c>
      <x:c r="H160" s="79" t="str">
        <x:v>دسته از «ادویه» به «گیاهان دارویی» اصلاح شد | نوع مصرف به موضعی/غیرخوراکی اصلاح شد</x:v>
      </x:c>
    </x:row>
    <x:row r="161">
      <x:c r="A161" s="79" t="n">
        <x:v>259</x:v>
      </x:c>
      <x:c r="B161" s="79" t="str">
        <x:v>صابون زیتون</x:v>
      </x:c>
      <x:c r="C161" s="79" t="str">
        <x:v>نیاز به بررسی</x:v>
      </x:c>
      <x:c r="D161" s="79" t="str">
        <x:v>گیاهان دارویی</x:v>
      </x:c>
      <x:c r="E161" s="79" t="str">
        <x:v>TOPICAL</x:v>
      </x:c>
      <x:c r="F161" s="79" t="str">
        <x:v>TOPICAL</x:v>
      </x:c>
      <x:c r="G161" s="79" t="str">
        <x:v>canonical_group_row</x:v>
      </x:c>
      <x:c r="H161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62">
      <x:c r="A162" s="79" t="n">
        <x:v>260</x:v>
      </x:c>
      <x:c r="B162" s="79" t="str">
        <x:v>صابون سفیداب</x:v>
      </x:c>
      <x:c r="C162" s="79" t="str">
        <x:v>نیاز به بررسی</x:v>
      </x:c>
      <x:c r="D162" s="79" t="str">
        <x:v>گیاهان دارویی</x:v>
      </x:c>
      <x:c r="E162" s="79" t="str">
        <x:v>TOPICAL</x:v>
      </x:c>
      <x:c r="F162" s="79" t="str">
        <x:v>TOPICAL</x:v>
      </x:c>
      <x:c r="G162" s="79" t="str">
        <x:v>canonical_group_row</x:v>
      </x:c>
      <x:c r="H162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63">
      <x:c r="A163" s="79" t="n">
        <x:v>261</x:v>
      </x:c>
      <x:c r="B163" s="79" t="str">
        <x:v>صابون سیاهدانه</x:v>
      </x:c>
      <x:c r="C163" s="79" t="str">
        <x:v>نیاز به بررسی</x:v>
      </x:c>
      <x:c r="D163" s="79" t="str">
        <x:v>گیاهان دارویی</x:v>
      </x:c>
      <x:c r="E163" s="79" t="str">
        <x:v>TOPICAL</x:v>
      </x:c>
      <x:c r="F163" s="79" t="str">
        <x:v>TOPICAL</x:v>
      </x:c>
      <x:c r="G163" s="79" t="str">
        <x:v>canonical_group_row</x:v>
      </x:c>
      <x:c r="H163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64">
      <x:c r="A164" s="79" t="n">
        <x:v>262</x:v>
      </x:c>
      <x:c r="B164" s="79" t="str">
        <x:v>صابون شیرالاغ</x:v>
      </x:c>
      <x:c r="C164" s="79" t="str">
        <x:v>نیاز به بررسی</x:v>
      </x:c>
      <x:c r="D164" s="79" t="str">
        <x:v>گیاهان دارویی</x:v>
      </x:c>
      <x:c r="E164" s="79" t="str">
        <x:v>TOPICAL</x:v>
      </x:c>
      <x:c r="F164" s="79" t="str">
        <x:v>TOPICAL</x:v>
      </x:c>
      <x:c r="G164" s="79" t="str">
        <x:v>canonical_group_row</x:v>
      </x:c>
      <x:c r="H164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65">
      <x:c r="A165" s="79" t="n">
        <x:v>263</x:v>
      </x:c>
      <x:c r="B165" s="79" t="str">
        <x:v>صابون فندق</x:v>
      </x:c>
      <x:c r="C165" s="79" t="str">
        <x:v>خشکبار و آجیل</x:v>
      </x:c>
      <x:c r="D165" s="79" t="str">
        <x:v>گیاهان دارویی</x:v>
      </x:c>
      <x:c r="E165" s="79" t="str">
        <x:v>TOPICAL</x:v>
      </x:c>
      <x:c r="F165" s="79" t="str">
        <x:v>TOPICAL</x:v>
      </x:c>
      <x:c r="G165" s="79" t="str">
        <x:v>canonical_group_row</x:v>
      </x:c>
      <x:c r="H165" s="79" t="str">
        <x:v>دسته از «خشکبار و آجیل» به «گیاهان دارویی» اصلاح شد | نوع مصرف به موضعی/غیرخوراکی اصلاح شد</x:v>
      </x:c>
    </x:row>
    <x:row r="166">
      <x:c r="A166" s="79" t="n">
        <x:v>264</x:v>
      </x:c>
      <x:c r="B166" s="79" t="str">
        <x:v>صابون ماکادمیا</x:v>
      </x:c>
      <x:c r="C166" s="79" t="str">
        <x:v>نیاز به بررسی</x:v>
      </x:c>
      <x:c r="D166" s="79" t="str">
        <x:v>گیاهان دارویی</x:v>
      </x:c>
      <x:c r="E166" s="79" t="str">
        <x:v>TOPICAL</x:v>
      </x:c>
      <x:c r="F166" s="79" t="str">
        <x:v>TOPICAL</x:v>
      </x:c>
      <x:c r="G166" s="79" t="str">
        <x:v>canonical_group_row</x:v>
      </x:c>
      <x:c r="H166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167">
      <x:c r="A167" s="79" t="n">
        <x:v>265</x:v>
      </x:c>
      <x:c r="B167" s="79" t="str">
        <x:v>صمغ</x:v>
      </x:c>
      <x:c r="C167" s="79" t="str">
        <x:v>نیاز به بررسی</x:v>
      </x:c>
      <x:c r="D167" s="79" t="str">
        <x:v>گیاهان دارویی</x:v>
      </x:c>
      <x:c r="E167" s="79" t="str">
        <x:v>REVIEW</x:v>
      </x:c>
      <x:c r="F167" s="79" t="str">
        <x:v>EDIBLE</x:v>
      </x:c>
      <x:c r="G167" s="79" t="str">
        <x:v>canonical_group_row</x:v>
      </x:c>
      <x:c r="H167" s="79" t="str">
        <x:v>دسته از «نیاز به بررسی» به «گیاهان دارویی» اصلاح شد</x:v>
      </x:c>
    </x:row>
    <x:row r="168">
      <x:c r="A168" s="79" t="n">
        <x:v>266</x:v>
      </x:c>
      <x:c r="B168" s="79" t="str">
        <x:v>ظرف 300 گرمی</x:v>
      </x:c>
      <x:c r="C168" s="79" t="str">
        <x:v>نیاز به بررسی</x:v>
      </x:c>
      <x:c r="D168" s="79" t="str">
        <x:v>عدم ایمپورت</x:v>
      </x:c>
      <x:c r="E168" s="79" t="str">
        <x:v>TOPICAL</x:v>
      </x:c>
      <x:c r="F168" s="79" t="str">
        <x:v>NON_PRODUCT</x:v>
      </x:c>
      <x:c r="G168" s="79" t="str">
        <x:v>skip_do_not_import</x:v>
      </x:c>
      <x:c r="H168" s="79" t="str">
        <x:v>ملزومات/ظرف/ابزار است و چون دسته «ملزومات» حذف شده، برای سایت ایمپورت نشود.</x:v>
      </x:c>
    </x:row>
    <x:row r="169">
      <x:c r="A169" s="79" t="n">
        <x:v>267</x:v>
      </x:c>
      <x:c r="B169" s="79" t="str">
        <x:v>ظرف اسپری</x:v>
      </x:c>
      <x:c r="C169" s="79" t="str">
        <x:v>نیاز به بررسی</x:v>
      </x:c>
      <x:c r="D169" s="79" t="str">
        <x:v>عدم ایمپورت</x:v>
      </x:c>
      <x:c r="E169" s="79" t="str">
        <x:v>TOPICAL</x:v>
      </x:c>
      <x:c r="F169" s="79" t="str">
        <x:v>NON_PRODUCT</x:v>
      </x:c>
      <x:c r="G169" s="79" t="str">
        <x:v>skip_do_not_import</x:v>
      </x:c>
      <x:c r="H169" s="79" t="str">
        <x:v>ملزومات/ظرف/ابزار است و چون دسته «ملزومات» حذف شده، برای سایت ایمپورت نشود.</x:v>
      </x:c>
    </x:row>
    <x:row r="170">
      <x:c r="A170" s="79" t="n">
        <x:v>268</x:v>
      </x:c>
      <x:c r="B170" s="79" t="str">
        <x:v>ظرف بطری پلاستیکی</x:v>
      </x:c>
      <x:c r="C170" s="79" t="str">
        <x:v>نیاز به بررسی</x:v>
      </x:c>
      <x:c r="D170" s="79" t="str">
        <x:v>عدم ایمپورت</x:v>
      </x:c>
      <x:c r="E170" s="79" t="str">
        <x:v>TOPICAL</x:v>
      </x:c>
      <x:c r="F170" s="79" t="str">
        <x:v>NON_PRODUCT</x:v>
      </x:c>
      <x:c r="G170" s="79" t="str">
        <x:v>skip_do_not_import</x:v>
      </x:c>
      <x:c r="H170" s="79" t="str">
        <x:v>ملزومات/ظرف/ابزار است و چون دسته «ملزومات» حذف شده، برای سایت ایمپورت نشود.</x:v>
      </x:c>
    </x:row>
    <x:row r="171">
      <x:c r="A171" s="79" t="n">
        <x:v>269</x:v>
      </x:c>
      <x:c r="B171" s="79" t="str">
        <x:v>ظرف بطری شیشه ای</x:v>
      </x:c>
      <x:c r="C171" s="79" t="str">
        <x:v>نیاز به بررسی</x:v>
      </x:c>
      <x:c r="D171" s="79" t="str">
        <x:v>عدم ایمپورت</x:v>
      </x:c>
      <x:c r="E171" s="79" t="str">
        <x:v>TOPICAL</x:v>
      </x:c>
      <x:c r="F171" s="79" t="str">
        <x:v>NON_PRODUCT</x:v>
      </x:c>
      <x:c r="G171" s="79" t="str">
        <x:v>skip_do_not_import</x:v>
      </x:c>
      <x:c r="H171" s="79" t="str">
        <x:v>ملزومات/ظرف/ابزار است و چون دسته «ملزومات» حذف شده، برای سایت ایمپورت نشود.</x:v>
      </x:c>
    </x:row>
    <x:row r="172">
      <x:c r="A172" s="79" t="n">
        <x:v>270</x:v>
      </x:c>
      <x:c r="B172" s="79" t="str">
        <x:v>ظرف جار</x:v>
      </x:c>
      <x:c r="C172" s="79" t="str">
        <x:v>نیاز به بررسی</x:v>
      </x:c>
      <x:c r="D172" s="79" t="str">
        <x:v>عدم ایمپورت</x:v>
      </x:c>
      <x:c r="E172" s="79" t="str">
        <x:v>TOPICAL</x:v>
      </x:c>
      <x:c r="F172" s="79" t="str">
        <x:v>NON_PRODUCT</x:v>
      </x:c>
      <x:c r="G172" s="79" t="str">
        <x:v>skip_do_not_import</x:v>
      </x:c>
      <x:c r="H172" s="79" t="str">
        <x:v>ملزومات/ظرف/ابزار است و چون دسته «ملزومات» حذف شده، برای سایت ایمپورت نشود.</x:v>
      </x:c>
    </x:row>
    <x:row r="173">
      <x:c r="A173" s="79" t="n">
        <x:v>271</x:v>
      </x:c>
      <x:c r="B173" s="79" t="str">
        <x:v>ظرف جار سایز 2</x:v>
      </x:c>
      <x:c r="C173" s="79" t="str">
        <x:v>نیاز به بررسی</x:v>
      </x:c>
      <x:c r="D173" s="79" t="str">
        <x:v>عدم ایمپورت</x:v>
      </x:c>
      <x:c r="E173" s="79" t="str">
        <x:v>TOPICAL</x:v>
      </x:c>
      <x:c r="F173" s="79" t="str">
        <x:v>NON_PRODUCT</x:v>
      </x:c>
      <x:c r="G173" s="79" t="str">
        <x:v>skip_do_not_import</x:v>
      </x:c>
      <x:c r="H173" s="79" t="str">
        <x:v>ملزومات/ظرف/ابزار است و چون دسته «ملزومات» حذف شده، برای سایت ایمپورت نشود.</x:v>
      </x:c>
    </x:row>
    <x:row r="174">
      <x:c r="A174" s="79" t="n">
        <x:v>272</x:v>
      </x:c>
      <x:c r="B174" s="79" t="str">
        <x:v>ظرف روغن موضعی</x:v>
      </x:c>
      <x:c r="C174" s="79" t="str">
        <x:v>نیاز به بررسی</x:v>
      </x:c>
      <x:c r="D174" s="79" t="str">
        <x:v>عدم ایمپورت</x:v>
      </x:c>
      <x:c r="E174" s="79" t="str">
        <x:v>TOPICAL</x:v>
      </x:c>
      <x:c r="F174" s="79" t="str">
        <x:v>NON_PRODUCT</x:v>
      </x:c>
      <x:c r="G174" s="79" t="str">
        <x:v>skip_do_not_import</x:v>
      </x:c>
      <x:c r="H174" s="79" t="str">
        <x:v>ملزومات/ظرف/ابزار است و چون دسته «ملزومات» حذف شده، برای سایت ایمپورت نشود.</x:v>
      </x:c>
    </x:row>
    <x:row r="175">
      <x:c r="A175" s="79" t="n">
        <x:v>273</x:v>
      </x:c>
      <x:c r="B175" s="79" t="str">
        <x:v>ظرف سطلی یک کیلویی</x:v>
      </x:c>
      <x:c r="C175" s="79" t="str">
        <x:v>نیاز به بررسی</x:v>
      </x:c>
      <x:c r="D175" s="79" t="str">
        <x:v>عدم ایمپورت</x:v>
      </x:c>
      <x:c r="E175" s="79" t="str">
        <x:v>TOPICAL</x:v>
      </x:c>
      <x:c r="F175" s="79" t="str">
        <x:v>NON_PRODUCT</x:v>
      </x:c>
      <x:c r="G175" s="79" t="str">
        <x:v>skip_do_not_import</x:v>
      </x:c>
      <x:c r="H175" s="79" t="str">
        <x:v>ملزومات/ظرف/ابزار است و چون دسته «ملزومات» حذف شده، برای سایت ایمپورت نشود.</x:v>
      </x:c>
    </x:row>
    <x:row r="176">
      <x:c r="A176" s="79" t="n">
        <x:v>274</x:v>
      </x:c>
      <x:c r="B176" s="79" t="str">
        <x:v>ظرف کتابی</x:v>
      </x:c>
      <x:c r="C176" s="79" t="str">
        <x:v>نیاز به بررسی</x:v>
      </x:c>
      <x:c r="D176" s="79" t="str">
        <x:v>عدم ایمپورت</x:v>
      </x:c>
      <x:c r="E176" s="79" t="str">
        <x:v>TOPICAL</x:v>
      </x:c>
      <x:c r="F176" s="79" t="str">
        <x:v>NON_PRODUCT</x:v>
      </x:c>
      <x:c r="G176" s="79" t="str">
        <x:v>skip_do_not_import</x:v>
      </x:c>
      <x:c r="H176" s="79" t="str">
        <x:v>ملزومات/ظرف/ابزار است و چون دسته «ملزومات» حذف شده، برای سایت ایمپورت نشود.</x:v>
      </x:c>
    </x:row>
    <x:row r="177">
      <x:c r="A177" s="79" t="n">
        <x:v>275</x:v>
      </x:c>
      <x:c r="B177" s="79" t="str">
        <x:v>ظرف کوزه ای</x:v>
      </x:c>
      <x:c r="C177" s="79" t="str">
        <x:v>نیاز به بررسی</x:v>
      </x:c>
      <x:c r="D177" s="79" t="str">
        <x:v>عدم ایمپورت</x:v>
      </x:c>
      <x:c r="E177" s="79" t="str">
        <x:v>TOPICAL</x:v>
      </x:c>
      <x:c r="F177" s="79" t="str">
        <x:v>NON_PRODUCT</x:v>
      </x:c>
      <x:c r="G177" s="79" t="str">
        <x:v>skip_do_not_import</x:v>
      </x:c>
      <x:c r="H177" s="79" t="str">
        <x:v>ملزومات/ظرف/ابزار است و چون دسته «ملزومات» حذف شده، برای سایت ایمپورت نشود.</x:v>
      </x:c>
    </x:row>
    <x:row r="178">
      <x:c r="A178" s="79" t="n">
        <x:v>276</x:v>
      </x:c>
      <x:c r="B178" s="79" t="str">
        <x:v>عرق استنشاقی</x:v>
      </x:c>
      <x:c r="C178" s="79" t="str">
        <x:v>نوشیدنی‌ها</x:v>
      </x:c>
      <x:c r="D178" s="79" t="str">
        <x:v>گیاهان دارویی</x:v>
      </x:c>
      <x:c r="E178" s="79" t="str">
        <x:v>EDIBLE</x:v>
      </x:c>
      <x:c r="F178" s="79" t="str">
        <x:v>TOPICAL</x:v>
      </x:c>
      <x:c r="G178" s="79" t="str">
        <x:v>canonical_group_row</x:v>
      </x:c>
      <x:c r="H178" s="79" t="str">
        <x:v>به دلیل مصرف استنشاقی/موضعی از نوشیدنی‌ها به گیاهان دارویی منتقل شد</x:v>
      </x:c>
    </x:row>
    <x:row r="179">
      <x:c r="A179" s="79" t="n">
        <x:v>289</x:v>
      </x:c>
      <x:c r="B179" s="79" t="str">
        <x:v>عرق رزماری</x:v>
      </x:c>
      <x:c r="C179" s="79" t="str">
        <x:v>نوشیدنی‌ها</x:v>
      </x:c>
      <x:c r="D179" s="79" t="str">
        <x:v>نوشیدنی‌ها</x:v>
      </x:c>
      <x:c r="E179" s="79" t="str">
        <x:v>EDIBLE</x:v>
      </x:c>
      <x:c r="F179" s="79" t="str">
        <x:v>EDIBLE</x:v>
      </x:c>
      <x:c r="G179" s="79" t="str">
        <x:v>canonical_group_row</x:v>
      </x:c>
      <x:c r="H179" s="79" t="str">
        <x:v>MERGED</x:v>
      </x:c>
    </x:row>
    <x:row r="180">
      <x:c r="A180" s="79" t="n">
        <x:v>290</x:v>
      </x:c>
      <x:c r="B180" s="79" t="str">
        <x:v>عرق رزماری اسپری</x:v>
      </x:c>
      <x:c r="C180" s="79" t="str">
        <x:v>نوشیدنی‌ها</x:v>
      </x:c>
      <x:c r="D180" s="79" t="str">
        <x:v>نوشیدنی‌ها</x:v>
      </x:c>
      <x:c r="E180" s="79" t="str">
        <x:v>EDIBLE</x:v>
      </x:c>
      <x:c r="F180" s="79" t="str">
        <x:v>EDIBLE</x:v>
      </x:c>
      <x:c r="G180" s="79" t="str">
        <x:v>merge_into_canonical_group</x:v>
      </x:c>
      <x:c r="H180" s="79" t="str">
        <x:v>MERGED</x:v>
      </x:c>
    </x:row>
    <x:row r="181">
      <x:c r="A181" s="79" t="n">
        <x:v>300</x:v>
      </x:c>
      <x:c r="B181" s="79" t="str">
        <x:v>عرق گلاب ساده</x:v>
      </x:c>
      <x:c r="C181" s="79" t="str">
        <x:v>نوشیدنی‌ها</x:v>
      </x:c>
      <x:c r="D181" s="79" t="str">
        <x:v>نوشیدنی‌ها</x:v>
      </x:c>
      <x:c r="E181" s="79" t="str">
        <x:v>EDIBLE</x:v>
      </x:c>
      <x:c r="F181" s="79" t="str">
        <x:v>EDIBLE</x:v>
      </x:c>
      <x:c r="G181" s="79" t="str">
        <x:v>canonical_group_row</x:v>
      </x:c>
      <x:c r="H181" s="79" t="str">
        <x:v>یک یا چند قیمت نامشخص است</x:v>
      </x:c>
    </x:row>
    <x:row r="182">
      <x:c r="A182" s="79" t="n">
        <x:v>301</x:v>
      </x:c>
      <x:c r="B182" s="79" t="str">
        <x:v>عرق گلاب سنگین</x:v>
      </x:c>
      <x:c r="C182" s="79" t="str">
        <x:v>نوشیدنی‌ها</x:v>
      </x:c>
      <x:c r="D182" s="79" t="str">
        <x:v>نوشیدنی‌ها</x:v>
      </x:c>
      <x:c r="E182" s="79" t="str">
        <x:v>EDIBLE</x:v>
      </x:c>
      <x:c r="F182" s="79" t="str">
        <x:v>EDIBLE</x:v>
      </x:c>
      <x:c r="G182" s="79" t="str">
        <x:v>merge_into_canonical_group</x:v>
      </x:c>
      <x:c r="H182" s="79" t="str">
        <x:v>MERGED</x:v>
      </x:c>
    </x:row>
    <x:row r="183">
      <x:c r="A183" s="79" t="n">
        <x:v>302</x:v>
      </x:c>
      <x:c r="B183" s="79" t="str">
        <x:v>عرق گلاب ویژه</x:v>
      </x:c>
      <x:c r="C183" s="79" t="str">
        <x:v>نوشیدنی‌ها</x:v>
      </x:c>
      <x:c r="D183" s="79" t="str">
        <x:v>نوشیدنی‌ها</x:v>
      </x:c>
      <x:c r="E183" s="79" t="str">
        <x:v>EDIBLE</x:v>
      </x:c>
      <x:c r="F183" s="79" t="str">
        <x:v>EDIBLE</x:v>
      </x:c>
      <x:c r="G183" s="79" t="str">
        <x:v>merge_into_canonical_group</x:v>
      </x:c>
      <x:c r="H183" s="79" t="str">
        <x:v>یک یا چند قیمت نامشخص است</x:v>
      </x:c>
    </x:row>
    <x:row r="184">
      <x:c r="A184" s="79" t="n">
        <x:v>303</x:v>
      </x:c>
      <x:c r="B184" s="79" t="str">
        <x:v>عرق محرک پیاز مو</x:v>
      </x:c>
      <x:c r="C184" s="79" t="str">
        <x:v>نوشیدنی‌ها</x:v>
      </x:c>
      <x:c r="D184" s="79" t="str">
        <x:v>گیاهان دارویی</x:v>
      </x:c>
      <x:c r="E184" s="79" t="str">
        <x:v>EDIBLE</x:v>
      </x:c>
      <x:c r="F184" s="79" t="str">
        <x:v>TOPICAL</x:v>
      </x:c>
      <x:c r="G184" s="79" t="str">
        <x:v>canonical_group_row</x:v>
      </x:c>
      <x:c r="H184" s="79" t="str">
        <x:v>به دلیل مصرف استنشاقی/موضعی از نوشیدنی‌ها به گیاهان دارویی منتقل شد</x:v>
      </x:c>
    </x:row>
    <x:row r="185">
      <x:c r="A185" s="79" t="n">
        <x:v>306</x:v>
      </x:c>
      <x:c r="B185" s="79" t="str">
        <x:v>عرق نعناع فلفلی</x:v>
      </x:c>
      <x:c r="C185" s="79" t="str">
        <x:v>ادویه</x:v>
      </x:c>
      <x:c r="D185" s="79" t="str">
        <x:v>نوشیدنی‌ها</x:v>
      </x:c>
      <x:c r="E185" s="79" t="str">
        <x:v>EDIBLE</x:v>
      </x:c>
      <x:c r="F185" s="79" t="str">
        <x:v>EDIBLE</x:v>
      </x:c>
      <x:c r="G185" s="79" t="str">
        <x:v>canonical_group_row</x:v>
      </x:c>
      <x:c r="H185" s="79" t="str">
        <x:v>دسته از «ادویه» به «نوشیدنی‌ها» اصلاح شد</x:v>
      </x:c>
    </x:row>
    <x:row r="186">
      <x:c r="A186" s="79" t="n">
        <x:v>309</x:v>
      </x:c>
      <x:c r="B186" s="79" t="str">
        <x:v>عسل بهار نارنج</x:v>
      </x:c>
      <x:c r="C186" s="79" t="str">
        <x:v>قنادی و شیرینی</x:v>
      </x:c>
      <x:c r="D186" s="79" t="str">
        <x:v>قنادی و شیرینی</x:v>
      </x:c>
      <x:c r="E186" s="79" t="str">
        <x:v>REVIEW</x:v>
      </x:c>
      <x:c r="F186" s="79" t="str">
        <x:v>EDIBLE</x:v>
      </x:c>
      <x:c r="G186" s="79" t="str">
        <x:v>canonical_group_row</x:v>
      </x:c>
      <x:c r="H186" s="79" t="str">
        <x:v>OK</x:v>
      </x:c>
    </x:row>
    <x:row r="187">
      <x:c r="A187" s="79" t="n">
        <x:v>310</x:v>
      </x:c>
      <x:c r="B187" s="79" t="str">
        <x:v>عسل جنگلی</x:v>
      </x:c>
      <x:c r="C187" s="79" t="str">
        <x:v>قنادی و شیرینی</x:v>
      </x:c>
      <x:c r="D187" s="79" t="str">
        <x:v>قنادی و شیرینی</x:v>
      </x:c>
      <x:c r="E187" s="79" t="str">
        <x:v>REVIEW</x:v>
      </x:c>
      <x:c r="F187" s="79" t="str">
        <x:v>EDIBLE</x:v>
      </x:c>
      <x:c r="G187" s="79" t="str">
        <x:v>canonical_group_row</x:v>
      </x:c>
      <x:c r="H187" s="79" t="str">
        <x:v>یک یا چند قیمت نامشخص است</x:v>
      </x:c>
    </x:row>
    <x:row r="188">
      <x:c r="A188" s="79" t="n">
        <x:v>311</x:v>
      </x:c>
      <x:c r="B188" s="79" t="str">
        <x:v>عسل چند گیاه</x:v>
      </x:c>
      <x:c r="C188" s="79" t="str">
        <x:v>قنادی و شیرینی</x:v>
      </x:c>
      <x:c r="D188" s="79" t="str">
        <x:v>قنادی و شیرینی</x:v>
      </x:c>
      <x:c r="E188" s="79" t="str">
        <x:v>REVIEW</x:v>
      </x:c>
      <x:c r="F188" s="79" t="str">
        <x:v>EDIBLE</x:v>
      </x:c>
      <x:c r="G188" s="79" t="str">
        <x:v>canonical_group_row</x:v>
      </x:c>
      <x:c r="H188" s="79" t="str">
        <x:v>یک یا چند قیمت نامشخص است</x:v>
      </x:c>
    </x:row>
    <x:row r="189">
      <x:c r="A189" s="79" t="n">
        <x:v>312</x:v>
      </x:c>
      <x:c r="B189" s="79" t="str">
        <x:v>عسل سیاهدانه</x:v>
      </x:c>
      <x:c r="C189" s="79" t="str">
        <x:v>قنادی و شیرینی</x:v>
      </x:c>
      <x:c r="D189" s="79" t="str">
        <x:v>قنادی و شیرینی</x:v>
      </x:c>
      <x:c r="E189" s="79" t="str">
        <x:v>REVIEW</x:v>
      </x:c>
      <x:c r="F189" s="79" t="str">
        <x:v>EDIBLE</x:v>
      </x:c>
      <x:c r="G189" s="79" t="str">
        <x:v>canonical_group_row</x:v>
      </x:c>
      <x:c r="H189" s="79" t="str">
        <x:v>یک یا چند قیمت نامشخص است</x:v>
      </x:c>
    </x:row>
    <x:row r="190">
      <x:c r="A190" s="79" t="n">
        <x:v>313</x:v>
      </x:c>
      <x:c r="B190" s="79" t="str">
        <x:v>عسل کنار</x:v>
      </x:c>
      <x:c r="C190" s="79" t="str">
        <x:v>قنادی و شیرینی</x:v>
      </x:c>
      <x:c r="D190" s="79" t="str">
        <x:v>قنادی و شیرینی</x:v>
      </x:c>
      <x:c r="E190" s="79" t="str">
        <x:v>REVIEW</x:v>
      </x:c>
      <x:c r="F190" s="79" t="str">
        <x:v>EDIBLE</x:v>
      </x:c>
      <x:c r="G190" s="79" t="str">
        <x:v>canonical_group_row</x:v>
      </x:c>
      <x:c r="H190" s="79" t="str">
        <x:v>OK</x:v>
      </x:c>
    </x:row>
    <x:row r="191">
      <x:c r="A191" s="79" t="n">
        <x:v>314</x:v>
      </x:c>
      <x:c r="B191" s="79" t="str">
        <x:v>عسل یونجه</x:v>
      </x:c>
      <x:c r="C191" s="79" t="str">
        <x:v>قنادی و شیرینی</x:v>
      </x:c>
      <x:c r="D191" s="79" t="str">
        <x:v>قنادی و شیرینی</x:v>
      </x:c>
      <x:c r="E191" s="79" t="str">
        <x:v>REVIEW</x:v>
      </x:c>
      <x:c r="F191" s="79" t="str">
        <x:v>EDIBLE</x:v>
      </x:c>
      <x:c r="G191" s="79" t="str">
        <x:v>canonical_group_row</x:v>
      </x:c>
      <x:c r="H191" s="79" t="str">
        <x:v>یک یا چند قیمت نامشخص است</x:v>
      </x:c>
    </x:row>
    <x:row r="192">
      <x:c r="A192" s="79" t="n">
        <x:v>315</x:v>
      </x:c>
      <x:c r="B192" s="79" t="str">
        <x:v>عناب</x:v>
      </x:c>
      <x:c r="C192" s="79" t="str">
        <x:v>خشکبار و آجیل</x:v>
      </x:c>
      <x:c r="D192" s="79" t="str">
        <x:v>خشکبار و آجیل</x:v>
      </x:c>
      <x:c r="E192" s="79" t="str">
        <x:v>REVIEW</x:v>
      </x:c>
      <x:c r="F192" s="79" t="str">
        <x:v>EDIBLE</x:v>
      </x:c>
      <x:c r="G192" s="79" t="str">
        <x:v>canonical_group_row</x:v>
      </x:c>
      <x:c r="H192" s="79" t="str">
        <x:v>MERGED</x:v>
      </x:c>
    </x:row>
    <x:row r="193">
      <x:c r="A193" s="79" t="n">
        <x:v>316</x:v>
      </x:c>
      <x:c r="B193" s="79" t="str">
        <x:v>عناب خشک</x:v>
      </x:c>
      <x:c r="C193" s="79" t="str">
        <x:v>خشکبار و آجیل</x:v>
      </x:c>
      <x:c r="D193" s="79" t="str">
        <x:v>خشکبار و آجیل</x:v>
      </x:c>
      <x:c r="E193" s="79" t="str">
        <x:v>REVIEW</x:v>
      </x:c>
      <x:c r="F193" s="79" t="str">
        <x:v>EDIBLE</x:v>
      </x:c>
      <x:c r="G193" s="79" t="str">
        <x:v>merge_into_canonical_group</x:v>
      </x:c>
      <x:c r="H193" s="79" t="str">
        <x:v>MERGED</x:v>
      </x:c>
    </x:row>
    <x:row r="194">
      <x:c r="A194" s="79" t="n">
        <x:v>317</x:v>
      </x:c>
      <x:c r="B194" s="79" t="str">
        <x:v>عود</x:v>
      </x:c>
      <x:c r="C194" s="79" t="str">
        <x:v>نیاز به بررسی</x:v>
      </x:c>
      <x:c r="D194" s="79" t="str">
        <x:v>گیاهان دارویی</x:v>
      </x:c>
      <x:c r="E194" s="79" t="str">
        <x:v>REVIEW</x:v>
      </x:c>
      <x:c r="F194" s="79" t="str">
        <x:v>NON_EDIBLE</x:v>
      </x:c>
      <x:c r="G194" s="79" t="str">
        <x:v>canonical_group_row</x:v>
      </x:c>
      <x:c r="H194" s="79" t="str">
        <x:v>دسته قبلاً خالی/نیازمند بررسی بود؛ بر اساس ماهیت موضعی/غیرخوراکی به گیاهان دارویی منتقل شد | غیرخوراکی</x:v>
      </x:c>
    </x:row>
    <x:row r="195">
      <x:c r="A195" s="79" t="n">
        <x:v>318</x:v>
      </x:c>
      <x:c r="B195" s="79" t="str">
        <x:v>غوره پودر</x:v>
      </x:c>
      <x:c r="C195" s="79" t="str">
        <x:v>ادویه</x:v>
      </x:c>
      <x:c r="D195" s="79" t="str">
        <x:v>ادویه</x:v>
      </x:c>
      <x:c r="E195" s="79" t="str">
        <x:v>EDIBLE</x:v>
      </x:c>
      <x:c r="F195" s="79" t="str">
        <x:v>EDIBLE</x:v>
      </x:c>
      <x:c r="G195" s="79" t="str">
        <x:v>canonical_group_row</x:v>
      </x:c>
      <x:c r="H195" s="79" t="str">
        <x:v>یک یا چند قیمت نامشخص است</x:v>
      </x:c>
    </x:row>
    <x:row r="196">
      <x:c r="A196" s="79" t="n">
        <x:v>324</x:v>
      </x:c>
      <x:c r="B196" s="79" t="str">
        <x:v>قرص کمر</x:v>
      </x:c>
      <x:c r="C196" s="79" t="str">
        <x:v>نیاز به بررسی</x:v>
      </x:c>
      <x:c r="D196" s="79" t="str">
        <x:v>گیاهان دارویی</x:v>
      </x:c>
      <x:c r="E196" s="79" t="str">
        <x:v>REVIEW</x:v>
      </x:c>
      <x:c r="F196" s="79" t="str">
        <x:v>REVIEW</x:v>
      </x:c>
      <x:c r="G196" s="79" t="str">
        <x:v>canonical_group_row</x:v>
      </x:c>
      <x:c r="H196" s="79" t="str">
        <x:v>دسته با اطمینان متوسط اصلاح شد؛ در صورت حساسیت دستی بازبینی شود | نوع مصرف نیازمند بررسی دستی</x:v>
      </x:c>
    </x:row>
    <x:row r="197">
      <x:c r="A197" s="79" t="n">
        <x:v>325</x:v>
      </x:c>
      <x:c r="B197" s="79" t="str">
        <x:v>قره قروت</x:v>
      </x:c>
      <x:c r="C197" s="79" t="str">
        <x:v>نیاز به بررسی</x:v>
      </x:c>
      <x:c r="D197" s="79" t="str">
        <x:v>قنادی و شیرینی</x:v>
      </x:c>
      <x:c r="E197" s="79" t="str">
        <x:v>REVIEW</x:v>
      </x:c>
      <x:c r="F197" s="79" t="str">
        <x:v>EDIBLE</x:v>
      </x:c>
      <x:c r="G197" s="79" t="str">
        <x:v>canonical_group_row</x:v>
      </x:c>
      <x:c r="H197" s="79" t="str">
        <x:v>دسته از «نیاز به بررسی» به «قنادی و شیرینی» اصلاح شد</x:v>
      </x:c>
    </x:row>
    <x:row r="198">
      <x:c r="A198" s="79" t="n">
        <x:v>326</x:v>
      </x:c>
      <x:c r="B198" s="79" t="str">
        <x:v>قهوه اسپرسو</x:v>
      </x:c>
      <x:c r="C198" s="79" t="str">
        <x:v>نیاز به بررسی</x:v>
      </x:c>
      <x:c r="D198" s="79" t="str">
        <x:v>نوشیدنی‌ها</x:v>
      </x:c>
      <x:c r="E198" s="79" t="str">
        <x:v>REVIEW</x:v>
      </x:c>
      <x:c r="F198" s="79" t="str">
        <x:v>EDIBLE</x:v>
      </x:c>
      <x:c r="G198" s="79" t="str">
        <x:v>canonical_group_row</x:v>
      </x:c>
      <x:c r="H198" s="79" t="str">
        <x:v>دسته از «نیاز به بررسی» به «نوشیدنی‌ها» اصلاح شد</x:v>
      </x:c>
    </x:row>
    <x:row r="199">
      <x:c r="A199" s="79" t="n">
        <x:v>327</x:v>
      </x:c>
      <x:c r="B199" s="79" t="str">
        <x:v>قهوه ترک</x:v>
      </x:c>
      <x:c r="C199" s="79" t="str">
        <x:v>نیاز به بررسی</x:v>
      </x:c>
      <x:c r="D199" s="79" t="str">
        <x:v>نوشیدنی‌ها</x:v>
      </x:c>
      <x:c r="E199" s="79" t="str">
        <x:v>REVIEW</x:v>
      </x:c>
      <x:c r="F199" s="79" t="str">
        <x:v>EDIBLE</x:v>
      </x:c>
      <x:c r="G199" s="79" t="str">
        <x:v>canonical_group_row</x:v>
      </x:c>
      <x:c r="H199" s="79" t="str">
        <x:v>دسته از «نیاز به بررسی» به «نوشیدنی‌ها» اصلاح شد</x:v>
      </x:c>
    </x:row>
    <x:row r="200">
      <x:c r="A200" s="79" t="n">
        <x:v>328</x:v>
      </x:c>
      <x:c r="B200" s="79" t="str">
        <x:v>قهوه فوری</x:v>
      </x:c>
      <x:c r="C200" s="79" t="str">
        <x:v>نیاز به بررسی</x:v>
      </x:c>
      <x:c r="D200" s="79" t="str">
        <x:v>نوشیدنی‌ها</x:v>
      </x:c>
      <x:c r="E200" s="79" t="str">
        <x:v>REVIEW</x:v>
      </x:c>
      <x:c r="F200" s="79" t="str">
        <x:v>EDIBLE</x:v>
      </x:c>
      <x:c r="G200" s="79" t="str">
        <x:v>canonical_group_row</x:v>
      </x:c>
      <x:c r="H200" s="79" t="str">
        <x:v>دسته از «نیاز به بررسی» به «نوشیدنی‌ها» اصلاح شد</x:v>
      </x:c>
    </x:row>
    <x:row r="201">
      <x:c r="A201" s="79" t="n">
        <x:v>329</x:v>
      </x:c>
      <x:c r="B201" s="79" t="str">
        <x:v>کاکائو</x:v>
      </x:c>
      <x:c r="C201" s="79" t="str">
        <x:v>قنادی و شیرینی</x:v>
      </x:c>
      <x:c r="D201" s="79" t="str">
        <x:v>قنادی و شیرینی</x:v>
      </x:c>
      <x:c r="E201" s="79" t="str">
        <x:v>REVIEW</x:v>
      </x:c>
      <x:c r="F201" s="79" t="str">
        <x:v>EDIBLE</x:v>
      </x:c>
      <x:c r="G201" s="79" t="str">
        <x:v>canonical_group_row</x:v>
      </x:c>
      <x:c r="H201" s="79" t="str">
        <x:v>OK</x:v>
      </x:c>
    </x:row>
    <x:row r="202">
      <x:c r="A202" s="79" t="n">
        <x:v>330</x:v>
      </x:c>
      <x:c r="B202" s="79" t="str">
        <x:v>کپسول خالی</x:v>
      </x:c>
      <x:c r="C202" s="79" t="str">
        <x:v>نیاز به بررسی</x:v>
      </x:c>
      <x:c r="D202" s="79" t="str">
        <x:v>عدم ایمپورت</x:v>
      </x:c>
      <x:c r="E202" s="79" t="str">
        <x:v>REVIEW</x:v>
      </x:c>
      <x:c r="F202" s="79" t="str">
        <x:v>NON_PRODUCT</x:v>
      </x:c>
      <x:c r="G202" s="79" t="str">
        <x:v>skip_do_not_import</x:v>
      </x:c>
      <x:c r="H202" s="79" t="str">
        <x:v>ملزومات/ظرف/ابزار است و چون دسته «ملزومات» حذف شده، برای سایت ایمپورت نشود.</x:v>
      </x:c>
    </x:row>
    <x:row r="203">
      <x:c r="A203" s="79" t="n">
        <x:v>331</x:v>
      </x:c>
      <x:c r="B203" s="79" t="str">
        <x:v>کرم ارده</x:v>
      </x:c>
      <x:c r="C203" s="79" t="str">
        <x:v>قنادی و شیرینی</x:v>
      </x:c>
      <x:c r="D203" s="79" t="str">
        <x:v>قنادی و شیرینی</x:v>
      </x:c>
      <x:c r="E203" s="79" t="str">
        <x:v>REVIEW</x:v>
      </x:c>
      <x:c r="F203" s="79" t="str">
        <x:v>EDIBLE</x:v>
      </x:c>
      <x:c r="G203" s="79" t="str">
        <x:v>canonical_group_row</x:v>
      </x:c>
      <x:c r="H203" s="79" t="str">
        <x:v>OK</x:v>
      </x:c>
    </x:row>
    <x:row r="204">
      <x:c r="A204" s="79" t="n">
        <x:v>332</x:v>
      </x:c>
      <x:c r="B204" s="79" t="str">
        <x:v>کرم بادام زمینی</x:v>
      </x:c>
      <x:c r="C204" s="79" t="str">
        <x:v>خشکبار و آجیل</x:v>
      </x:c>
      <x:c r="D204" s="79" t="str">
        <x:v>خشکبار و آجیل</x:v>
      </x:c>
      <x:c r="E204" s="79" t="str">
        <x:v>REVIEW</x:v>
      </x:c>
      <x:c r="F204" s="79" t="str">
        <x:v>EDIBLE</x:v>
      </x:c>
      <x:c r="G204" s="79" t="str">
        <x:v>canonical_group_row</x:v>
      </x:c>
      <x:c r="H204" s="79" t="str">
        <x:v>OK</x:v>
      </x:c>
    </x:row>
    <x:row r="205">
      <x:c r="A205" s="79" t="n">
        <x:v>333</x:v>
      </x:c>
      <x:c r="B205" s="79" t="str">
        <x:v>کرم کنجد</x:v>
      </x:c>
      <x:c r="C205" s="79" t="str">
        <x:v>خشکبار و آجیل</x:v>
      </x:c>
      <x:c r="D205" s="79" t="str">
        <x:v>خشکبار و آجیل</x:v>
      </x:c>
      <x:c r="E205" s="79" t="str">
        <x:v>REVIEW</x:v>
      </x:c>
      <x:c r="F205" s="79" t="str">
        <x:v>EDIBLE</x:v>
      </x:c>
      <x:c r="G205" s="79" t="str">
        <x:v>canonical_group_row</x:v>
      </x:c>
      <x:c r="H205" s="79" t="str">
        <x:v>OK</x:v>
      </x:c>
    </x:row>
    <x:row r="206">
      <x:c r="A206" s="79" t="n">
        <x:v>334</x:v>
      </x:c>
      <x:c r="B206" s="79" t="str">
        <x:v>کره بادام درختی</x:v>
      </x:c>
      <x:c r="C206" s="79" t="str">
        <x:v>خشکبار و آجیل</x:v>
      </x:c>
      <x:c r="D206" s="79" t="str">
        <x:v>خشکبار و آجیل</x:v>
      </x:c>
      <x:c r="E206" s="79" t="str">
        <x:v>REVIEW</x:v>
      </x:c>
      <x:c r="F206" s="79" t="str">
        <x:v>EDIBLE</x:v>
      </x:c>
      <x:c r="G206" s="79" t="str">
        <x:v>canonical_group_row</x:v>
      </x:c>
      <x:c r="H206" s="79" t="str">
        <x:v>OK</x:v>
      </x:c>
    </x:row>
    <x:row r="207">
      <x:c r="A207" s="79" t="n">
        <x:v>335</x:v>
      </x:c>
      <x:c r="B207" s="79" t="str">
        <x:v>کره بادام زمینی</x:v>
      </x:c>
      <x:c r="C207" s="79" t="str">
        <x:v>خشکبار و آجیل</x:v>
      </x:c>
      <x:c r="D207" s="79" t="str">
        <x:v>خشکبار و آجیل</x:v>
      </x:c>
      <x:c r="E207" s="79" t="str">
        <x:v>REVIEW</x:v>
      </x:c>
      <x:c r="F207" s="79" t="str">
        <x:v>EDIBLE</x:v>
      </x:c>
      <x:c r="G207" s="79" t="str">
        <x:v>canonical_group_row</x:v>
      </x:c>
      <x:c r="H207" s="79" t="str">
        <x:v>MERGED</x:v>
      </x:c>
    </x:row>
    <x:row r="208">
      <x:c r="A208" s="79" t="n">
        <x:v>336</x:v>
      </x:c>
      <x:c r="B208" s="79" t="str">
        <x:v>کره بادام زمینی عسلی</x:v>
      </x:c>
      <x:c r="C208" s="79" t="str">
        <x:v>قنادی و شیرینی</x:v>
      </x:c>
      <x:c r="D208" s="79" t="str">
        <x:v>خشکبار و آجیل</x:v>
      </x:c>
      <x:c r="E208" s="79" t="str">
        <x:v>REVIEW</x:v>
      </x:c>
      <x:c r="F208" s="79" t="str">
        <x:v>EDIBLE</x:v>
      </x:c>
      <x:c r="G208" s="79" t="str">
        <x:v>merge_into_canonical_group</x:v>
      </x:c>
      <x:c r="H208" s="79" t="str">
        <x:v>دسته از «قنادی و شیرینی» به «خشکبار و آجیل» اصلاح شد</x:v>
      </x:c>
    </x:row>
    <x:row r="209">
      <x:c r="A209" s="79" t="n">
        <x:v>337</x:v>
      </x:c>
      <x:c r="B209" s="79" t="str">
        <x:v>کره بادام هندی</x:v>
      </x:c>
      <x:c r="C209" s="79" t="str">
        <x:v>خشکبار و آجیل</x:v>
      </x:c>
      <x:c r="D209" s="79" t="str">
        <x:v>خشکبار و آجیل</x:v>
      </x:c>
      <x:c r="E209" s="79" t="str">
        <x:v>REVIEW</x:v>
      </x:c>
      <x:c r="F209" s="79" t="str">
        <x:v>EDIBLE</x:v>
      </x:c>
      <x:c r="G209" s="79" t="str">
        <x:v>canonical_group_row</x:v>
      </x:c>
      <x:c r="H209" s="79" t="str">
        <x:v>یک یا چند قیمت نامشخص است</x:v>
      </x:c>
    </x:row>
    <x:row r="210">
      <x:c r="A210" s="79" t="n">
        <x:v>338</x:v>
      </x:c>
      <x:c r="B210" s="79" t="str">
        <x:v>کره پسته</x:v>
      </x:c>
      <x:c r="C210" s="79" t="str">
        <x:v>خشکبار و آجیل</x:v>
      </x:c>
      <x:c r="D210" s="79" t="str">
        <x:v>خشکبار و آجیل</x:v>
      </x:c>
      <x:c r="E210" s="79" t="str">
        <x:v>REVIEW</x:v>
      </x:c>
      <x:c r="F210" s="79" t="str">
        <x:v>EDIBLE</x:v>
      </x:c>
      <x:c r="G210" s="79" t="str">
        <x:v>canonical_group_row</x:v>
      </x:c>
      <x:c r="H210" s="79" t="str">
        <x:v>OK</x:v>
      </x:c>
    </x:row>
    <x:row r="211">
      <x:c r="A211" s="79" t="n">
        <x:v>339</x:v>
      </x:c>
      <x:c r="B211" s="79" t="str">
        <x:v>کره پنج مغز</x:v>
      </x:c>
      <x:c r="C211" s="79" t="str">
        <x:v>نیاز به بررسی</x:v>
      </x:c>
      <x:c r="D211" s="79" t="str">
        <x:v>خشکبار و آجیل</x:v>
      </x:c>
      <x:c r="E211" s="79" t="str">
        <x:v>REVIEW</x:v>
      </x:c>
      <x:c r="F211" s="79" t="str">
        <x:v>EDIBLE</x:v>
      </x:c>
      <x:c r="G211" s="79" t="str">
        <x:v>canonical_group_row</x:v>
      </x:c>
      <x:c r="H211" s="79" t="str">
        <x:v>دسته از «نیاز به بررسی» به «خشکبار و آجیل» اصلاح شد</x:v>
      </x:c>
    </x:row>
    <x:row r="212">
      <x:c r="A212" s="79" t="n">
        <x:v>340</x:v>
      </x:c>
      <x:c r="B212" s="79" t="str">
        <x:v>کره فندق</x:v>
      </x:c>
      <x:c r="C212" s="79" t="str">
        <x:v>خشکبار و آجیل</x:v>
      </x:c>
      <x:c r="D212" s="79" t="str">
        <x:v>خشکبار و آجیل</x:v>
      </x:c>
      <x:c r="E212" s="79" t="str">
        <x:v>REVIEW</x:v>
      </x:c>
      <x:c r="F212" s="79" t="str">
        <x:v>EDIBLE</x:v>
      </x:c>
      <x:c r="G212" s="79" t="str">
        <x:v>canonical_group_row</x:v>
      </x:c>
      <x:c r="H212" s="79" t="str">
        <x:v>OK</x:v>
      </x:c>
    </x:row>
    <x:row r="213">
      <x:c r="A213" s="79" t="n">
        <x:v>341</x:v>
      </x:c>
      <x:c r="B213" s="79" t="str">
        <x:v>کره کدو</x:v>
      </x:c>
      <x:c r="C213" s="79" t="str">
        <x:v>نیاز به بررسی</x:v>
      </x:c>
      <x:c r="D213" s="79" t="str">
        <x:v>خشکبار و آجیل</x:v>
      </x:c>
      <x:c r="E213" s="79" t="str">
        <x:v>REVIEW</x:v>
      </x:c>
      <x:c r="F213" s="79" t="str">
        <x:v>EDIBLE</x:v>
      </x:c>
      <x:c r="G213" s="79" t="str">
        <x:v>canonical_group_row</x:v>
      </x:c>
      <x:c r="H213" s="79" t="str">
        <x:v>دسته از «نیاز به بررسی» به «خشکبار و آجیل» اصلاح شد | یک یا چند قیمت نامشخص است</x:v>
      </x:c>
    </x:row>
    <x:row r="214">
      <x:c r="A214" s="79" t="n">
        <x:v>342</x:v>
      </x:c>
      <x:c r="B214" s="79" t="str">
        <x:v>کره نارگیل</x:v>
      </x:c>
      <x:c r="C214" s="79" t="str">
        <x:v>نیاز به بررسی</x:v>
      </x:c>
      <x:c r="D214" s="79" t="str">
        <x:v>خشکبار و آجیل</x:v>
      </x:c>
      <x:c r="E214" s="79" t="str">
        <x:v>REVIEW</x:v>
      </x:c>
      <x:c r="F214" s="79" t="str">
        <x:v>EDIBLE</x:v>
      </x:c>
      <x:c r="G214" s="79" t="str">
        <x:v>canonical_group_row</x:v>
      </x:c>
      <x:c r="H214" s="79" t="str">
        <x:v>دسته از «نیاز به بررسی» به «خشکبار و آجیل» اصلاح شد</x:v>
      </x:c>
    </x:row>
    <x:row r="215">
      <x:c r="A215" s="79" t="n">
        <x:v>343</x:v>
      </x:c>
      <x:c r="B215" s="79" t="str">
        <x:v>کشمش با هسته (مویز)</x:v>
      </x:c>
      <x:c r="C215" s="79" t="str">
        <x:v>خشکبار و آجیل</x:v>
      </x:c>
      <x:c r="D215" s="79" t="str">
        <x:v>خشکبار و آجیل</x:v>
      </x:c>
      <x:c r="E215" s="79" t="str">
        <x:v>REVIEW</x:v>
      </x:c>
      <x:c r="F215" s="79" t="str">
        <x:v>EDIBLE</x:v>
      </x:c>
      <x:c r="G215" s="79" t="str">
        <x:v>canonical_group_row</x:v>
      </x:c>
      <x:c r="H215" s="79" t="str">
        <x:v>OK</x:v>
      </x:c>
    </x:row>
    <x:row r="216">
      <x:c r="A216" s="79" t="n">
        <x:v>344</x:v>
      </x:c>
      <x:c r="B216" s="79" t="str">
        <x:v>کشمش سبز</x:v>
      </x:c>
      <x:c r="C216" s="79" t="str">
        <x:v>خشکبار و آجیل</x:v>
      </x:c>
      <x:c r="D216" s="79" t="str">
        <x:v>خشکبار و آجیل</x:v>
      </x:c>
      <x:c r="E216" s="79" t="str">
        <x:v>REVIEW</x:v>
      </x:c>
      <x:c r="F216" s="79" t="str">
        <x:v>EDIBLE</x:v>
      </x:c>
      <x:c r="G216" s="79" t="str">
        <x:v>canonical_group_row</x:v>
      </x:c>
      <x:c r="H216" s="79" t="str">
        <x:v>OK</x:v>
      </x:c>
    </x:row>
    <x:row r="217">
      <x:c r="A217" s="79" t="n">
        <x:v>345</x:v>
      </x:c>
      <x:c r="B217" s="79" t="str">
        <x:v>کلوچه زنجبیلی با شکر قهوه ای</x:v>
      </x:c>
      <x:c r="C217" s="79" t="str">
        <x:v>قنادی و شیرینی</x:v>
      </x:c>
      <x:c r="D217" s="79" t="str">
        <x:v>قنادی و شیرینی</x:v>
      </x:c>
      <x:c r="E217" s="79" t="str">
        <x:v>REVIEW</x:v>
      </x:c>
      <x:c r="F217" s="79" t="str">
        <x:v>EDIBLE</x:v>
      </x:c>
      <x:c r="G217" s="79" t="str">
        <x:v>canonical_group_row</x:v>
      </x:c>
      <x:c r="H217" s="79" t="str">
        <x:v>OK</x:v>
      </x:c>
    </x:row>
    <x:row r="218">
      <x:c r="A218" s="79" t="n">
        <x:v>346</x:v>
      </x:c>
      <x:c r="B218" s="79" t="str">
        <x:v>کلوچه زنجبیلی با مغز خرما</x:v>
      </x:c>
      <x:c r="C218" s="79" t="str">
        <x:v>قنادی و شیرینی</x:v>
      </x:c>
      <x:c r="D218" s="79" t="str">
        <x:v>قنادی و شیرینی</x:v>
      </x:c>
      <x:c r="E218" s="79" t="str">
        <x:v>REVIEW</x:v>
      </x:c>
      <x:c r="F218" s="79" t="str">
        <x:v>EDIBLE</x:v>
      </x:c>
      <x:c r="G218" s="79" t="str">
        <x:v>canonical_group_row</x:v>
      </x:c>
      <x:c r="H218" s="79" t="str">
        <x:v>OK</x:v>
      </x:c>
    </x:row>
    <x:row r="219">
      <x:c r="A219" s="79" t="n">
        <x:v>347</x:v>
      </x:c>
      <x:c r="B219" s="79" t="str">
        <x:v>کلوچه کلمپه</x:v>
      </x:c>
      <x:c r="C219" s="79" t="str">
        <x:v>نیاز به بررسی</x:v>
      </x:c>
      <x:c r="D219" s="79" t="str">
        <x:v>قنادی و شیرینی</x:v>
      </x:c>
      <x:c r="E219" s="79" t="str">
        <x:v>REVIEW</x:v>
      </x:c>
      <x:c r="F219" s="79" t="str">
        <x:v>EDIBLE</x:v>
      </x:c>
      <x:c r="G219" s="79" t="str">
        <x:v>canonical_group_row</x:v>
      </x:c>
      <x:c r="H219" s="79" t="str">
        <x:v>دسته از «نیاز به بررسی» به «قنادی و شیرینی» اصلاح شد</x:v>
      </x:c>
    </x:row>
    <x:row r="220">
      <x:c r="A220" s="79" t="n">
        <x:v>348</x:v>
      </x:c>
      <x:c r="B220" s="79" t="str">
        <x:v>کنجد خام ایرانی</x:v>
      </x:c>
      <x:c r="C220" s="79" t="str">
        <x:v>خشکبار و آجیل</x:v>
      </x:c>
      <x:c r="D220" s="79" t="str">
        <x:v>خشکبار و آجیل</x:v>
      </x:c>
      <x:c r="E220" s="79" t="str">
        <x:v>REVIEW</x:v>
      </x:c>
      <x:c r="F220" s="79" t="str">
        <x:v>EDIBLE</x:v>
      </x:c>
      <x:c r="G220" s="79" t="str">
        <x:v>canonical_group_row</x:v>
      </x:c>
      <x:c r="H220" s="79" t="str">
        <x:v>یک یا چند قیمت نامشخص است</x:v>
      </x:c>
    </x:row>
    <x:row r="221">
      <x:c r="A221" s="79" t="n">
        <x:v>349</x:v>
      </x:c>
      <x:c r="B221" s="79" t="str">
        <x:v>کنجد دزفول</x:v>
      </x:c>
      <x:c r="C221" s="79" t="str">
        <x:v>خشکبار و آجیل</x:v>
      </x:c>
      <x:c r="D221" s="79" t="str">
        <x:v>خشکبار و آجیل</x:v>
      </x:c>
      <x:c r="E221" s="79" t="str">
        <x:v>REVIEW</x:v>
      </x:c>
      <x:c r="F221" s="79" t="str">
        <x:v>EDIBLE</x:v>
      </x:c>
      <x:c r="G221" s="79" t="str">
        <x:v>merge_into_canonical_group</x:v>
      </x:c>
      <x:c r="H221" s="79" t="str">
        <x:v>یک یا چند قیمت نامشخص است</x:v>
      </x:c>
    </x:row>
    <x:row r="222">
      <x:c r="A222" s="79" t="n">
        <x:v>350</x:v>
      </x:c>
      <x:c r="B222" s="79" t="str">
        <x:v>کنجد سفید</x:v>
      </x:c>
      <x:c r="C222" s="79" t="str">
        <x:v>خشکبار و آجیل</x:v>
      </x:c>
      <x:c r="D222" s="79" t="str">
        <x:v>خشکبار و آجیل</x:v>
      </x:c>
      <x:c r="E222" s="79" t="str">
        <x:v>REVIEW</x:v>
      </x:c>
      <x:c r="F222" s="79" t="str">
        <x:v>EDIBLE</x:v>
      </x:c>
      <x:c r="G222" s="79" t="str">
        <x:v>merge_into_canonical_group</x:v>
      </x:c>
      <x:c r="H222" s="79" t="str">
        <x:v>MERGED</x:v>
      </x:c>
    </x:row>
    <x:row r="223">
      <x:c r="A223" s="79" t="n">
        <x:v>351</x:v>
      </x:c>
      <x:c r="B223" s="79" t="str">
        <x:v>کنجد قهوه ای</x:v>
      </x:c>
      <x:c r="C223" s="79" t="str">
        <x:v>خشکبار و آجیل</x:v>
      </x:c>
      <x:c r="D223" s="79" t="str">
        <x:v>خشکبار و آجیل</x:v>
      </x:c>
      <x:c r="E223" s="79" t="str">
        <x:v>REVIEW</x:v>
      </x:c>
      <x:c r="F223" s="79" t="str">
        <x:v>EDIBLE</x:v>
      </x:c>
      <x:c r="G223" s="79" t="str">
        <x:v>merge_into_canonical_group</x:v>
      </x:c>
      <x:c r="H223" s="79" t="str">
        <x:v>MERGED</x:v>
      </x:c>
    </x:row>
    <x:row r="224">
      <x:c r="A224" s="79" t="n">
        <x:v>352</x:v>
      </x:c>
      <x:c r="B224" s="79" t="str">
        <x:v>کنجد لار ارده</x:v>
      </x:c>
      <x:c r="C224" s="79" t="str">
        <x:v>قنادی و شیرینی</x:v>
      </x:c>
      <x:c r="D224" s="79" t="str">
        <x:v>خشکبار و آجیل</x:v>
      </x:c>
      <x:c r="E224" s="79" t="str">
        <x:v>REVIEW</x:v>
      </x:c>
      <x:c r="F224" s="79" t="str">
        <x:v>EDIBLE</x:v>
      </x:c>
      <x:c r="G224" s="79" t="str">
        <x:v>merge_into_canonical_group</x:v>
      </x:c>
      <x:c r="H224" s="79" t="str">
        <x:v>دسته از «قنادی و شیرینی» به «خشکبار و آجیل» اصلاح شد</x:v>
      </x:c>
    </x:row>
    <x:row r="225">
      <x:c r="A225" s="79" t="n">
        <x:v>353</x:v>
      </x:c>
      <x:c r="B225" s="79" t="str">
        <x:v>کندر خوراکی</x:v>
      </x:c>
      <x:c r="C225" s="79" t="str">
        <x:v>نیاز به بررسی</x:v>
      </x:c>
      <x:c r="D225" s="79" t="str">
        <x:v>گیاهان دارویی</x:v>
      </x:c>
      <x:c r="E225" s="79" t="str">
        <x:v>REVIEW</x:v>
      </x:c>
      <x:c r="F225" s="79" t="str">
        <x:v>EDIBLE</x:v>
      </x:c>
      <x:c r="G225" s="79" t="str">
        <x:v>canonical_group_row</x:v>
      </x:c>
      <x:c r="H225" s="79" t="str">
        <x:v>دسته از «نیاز به بررسی» به «گیاهان دارویی» اصلاح شد</x:v>
      </x:c>
    </x:row>
    <x:row r="226">
      <x:c r="A226" s="79" t="n">
        <x:v>354</x:v>
      </x:c>
      <x:c r="B226" s="79" t="str">
        <x:v>کینوا سفید</x:v>
      </x:c>
      <x:c r="C226" s="79" t="str">
        <x:v>حبوبات و غلات</x:v>
      </x:c>
      <x:c r="D226" s="79" t="str">
        <x:v>حبوبات و غلات</x:v>
      </x:c>
      <x:c r="E226" s="79" t="str">
        <x:v>REVIEW</x:v>
      </x:c>
      <x:c r="F226" s="79" t="str">
        <x:v>EDIBLE</x:v>
      </x:c>
      <x:c r="G226" s="79" t="str">
        <x:v>canonical_group_row</x:v>
      </x:c>
      <x:c r="H226" s="79" t="str">
        <x:v>OK</x:v>
      </x:c>
    </x:row>
    <x:row r="227">
      <x:c r="A227" s="79" t="n">
        <x:v>355</x:v>
      </x:c>
      <x:c r="B227" s="79" t="str">
        <x:v>گرده گل</x:v>
      </x:c>
      <x:c r="C227" s="79" t="str">
        <x:v>نیاز به بررسی</x:v>
      </x:c>
      <x:c r="D227" s="79" t="str">
        <x:v>گیاهان دارویی</x:v>
      </x:c>
      <x:c r="E227" s="79" t="str">
        <x:v>REVIEW</x:v>
      </x:c>
      <x:c r="F227" s="79" t="str">
        <x:v>EDIBLE</x:v>
      </x:c>
      <x:c r="G227" s="79" t="str">
        <x:v>canonical_group_row</x:v>
      </x:c>
      <x:c r="H227" s="79" t="str">
        <x:v>دسته از «نیاز به بررسی» به «گیاهان دارویی» اصلاح شد</x:v>
      </x:c>
    </x:row>
    <x:row r="228">
      <x:c r="A228" s="79" t="n">
        <x:v>356</x:v>
      </x:c>
      <x:c r="B228" s="79" t="str">
        <x:v>گشنیز</x:v>
      </x:c>
      <x:c r="C228" s="79" t="str">
        <x:v>نیاز به بررسی</x:v>
      </x:c>
      <x:c r="D228" s="79" t="str">
        <x:v>ادویه</x:v>
      </x:c>
      <x:c r="E228" s="79" t="str">
        <x:v>REVIEW</x:v>
      </x:c>
      <x:c r="F228" s="79" t="str">
        <x:v>EDIBLE</x:v>
      </x:c>
      <x:c r="G228" s="79" t="str">
        <x:v>canonical_group_row</x:v>
      </x:c>
      <x:c r="H228" s="79" t="str">
        <x:v>دسته از «نیاز به بررسی» به «ادویه» اصلاح شد</x:v>
      </x:c>
    </x:row>
    <x:row r="229">
      <x:c r="A229" s="79" t="n">
        <x:v>358</x:v>
      </x:c>
      <x:c r="B229" s="79" t="str">
        <x:v>گل سرخ پرک</x:v>
      </x:c>
      <x:c r="C229" s="79" t="str">
        <x:v>نیاز به بررسی</x:v>
      </x:c>
      <x:c r="D229" s="79" t="str">
        <x:v>گیاهان دارویی</x:v>
      </x:c>
      <x:c r="E229" s="79" t="str">
        <x:v>REVIEW</x:v>
      </x:c>
      <x:c r="F229" s="79" t="str">
        <x:v>EDIBLE</x:v>
      </x:c>
      <x:c r="G229" s="79" t="str">
        <x:v>canonical_group_row</x:v>
      </x:c>
      <x:c r="H229" s="79" t="str">
        <x:v>دسته از «نیاز به بررسی» به «گیاهان دارویی» اصلاح شد</x:v>
      </x:c>
    </x:row>
    <x:row r="230">
      <x:c r="A230" s="79" t="n">
        <x:v>359</x:v>
      </x:c>
      <x:c r="B230" s="79" t="str">
        <x:v>گل سرخ غنچه</x:v>
      </x:c>
      <x:c r="C230" s="79" t="str">
        <x:v>نیاز به بررسی</x:v>
      </x:c>
      <x:c r="D230" s="79" t="str">
        <x:v>گیاهان دارویی</x:v>
      </x:c>
      <x:c r="E230" s="79" t="str">
        <x:v>REVIEW</x:v>
      </x:c>
      <x:c r="F230" s="79" t="str">
        <x:v>EDIBLE</x:v>
      </x:c>
      <x:c r="G230" s="79" t="str">
        <x:v>merge_into_canonical_group</x:v>
      </x:c>
      <x:c r="H230" s="79" t="str">
        <x:v>دسته از «نیاز به بررسی» به «گیاهان دارویی» اصلاح شد</x:v>
      </x:c>
    </x:row>
    <x:row r="231">
      <x:c r="A231" s="79" t="n">
        <x:v>362</x:v>
      </x:c>
      <x:c r="B231" s="79" t="str">
        <x:v>گلرنگ</x:v>
      </x:c>
      <x:c r="C231" s="79" t="str">
        <x:v>نیاز به بررسی</x:v>
      </x:c>
      <x:c r="D231" s="79" t="str">
        <x:v>گیاهان دارویی</x:v>
      </x:c>
      <x:c r="E231" s="79" t="str">
        <x:v>REVIEW</x:v>
      </x:c>
      <x:c r="F231" s="79" t="str">
        <x:v>EDIBLE</x:v>
      </x:c>
      <x:c r="G231" s="79" t="str">
        <x:v>canonical_group_row</x:v>
      </x:c>
      <x:c r="H231" s="79" t="str">
        <x:v>دسته از «نیاز به بررسی» به «گیاهان دارویی» اصلاح شد</x:v>
      </x:c>
    </x:row>
    <x:row r="232">
      <x:c r="A232" s="79" t="n">
        <x:v>363</x:v>
      </x:c>
      <x:c r="B232" s="79" t="str">
        <x:v>گندم</x:v>
      </x:c>
      <x:c r="C232" s="79" t="str">
        <x:v>حبوبات و غلات</x:v>
      </x:c>
      <x:c r="D232" s="79" t="str">
        <x:v>حبوبات و غلات</x:v>
      </x:c>
      <x:c r="E232" s="79" t="str">
        <x:v>REVIEW</x:v>
      </x:c>
      <x:c r="F232" s="79" t="str">
        <x:v>EDIBLE</x:v>
      </x:c>
      <x:c r="G232" s="79" t="str">
        <x:v>canonical_group_row</x:v>
      </x:c>
      <x:c r="H232" s="79" t="str">
        <x:v>OK</x:v>
      </x:c>
    </x:row>
    <x:row r="233">
      <x:c r="A233" s="79" t="n">
        <x:v>365</x:v>
      </x:c>
      <x:c r="B233" s="79" t="str">
        <x:v>لبو</x:v>
      </x:c>
      <x:c r="C233" s="79" t="str">
        <x:v>نیاز به بررسی</x:v>
      </x:c>
      <x:c r="D233" s="79" t="str">
        <x:v>نوشیدنی‌ها</x:v>
      </x:c>
      <x:c r="E233" s="79" t="str">
        <x:v>REVIEW</x:v>
      </x:c>
      <x:c r="F233" s="79" t="str">
        <x:v>EDIBLE</x:v>
      </x:c>
      <x:c r="G233" s="79" t="str">
        <x:v>canonical_group_row</x:v>
      </x:c>
      <x:c r="H233" s="79" t="str">
        <x:v>دسته از «نیاز به بررسی» به «نوشیدنی‌ها» اصلاح شد | یک یا چند قیمت نامشخص است</x:v>
      </x:c>
    </x:row>
    <x:row r="234">
      <x:c r="A234" s="79" t="n">
        <x:v>366</x:v>
      </x:c>
      <x:c r="B234" s="79" t="str">
        <x:v>لواشک</x:v>
      </x:c>
      <x:c r="C234" s="79" t="str">
        <x:v>نیاز به بررسی</x:v>
      </x:c>
      <x:c r="D234" s="79" t="str">
        <x:v>خشکبار و آجیل</x:v>
      </x:c>
      <x:c r="E234" s="79" t="str">
        <x:v>REVIEW</x:v>
      </x:c>
      <x:c r="F234" s="79" t="str">
        <x:v>EDIBLE</x:v>
      </x:c>
      <x:c r="G234" s="79" t="str">
        <x:v>canonical_group_row</x:v>
      </x:c>
      <x:c r="H234" s="79" t="str">
        <x:v>دسته از «نیاز به بررسی» به «خشکبار و آجیل» اصلاح شد | یک یا چند قیمت نامشخص است</x:v>
      </x:c>
    </x:row>
    <x:row r="235">
      <x:c r="A235" s="79" t="n">
        <x:v>367</x:v>
      </x:c>
      <x:c r="B235" s="79" t="str">
        <x:v>لیمو اسلایس</x:v>
      </x:c>
      <x:c r="C235" s="79" t="str">
        <x:v>نیاز به بررسی</x:v>
      </x:c>
      <x:c r="D235" s="79" t="str">
        <x:v>ادویه</x:v>
      </x:c>
      <x:c r="E235" s="79" t="str">
        <x:v>REVIEW</x:v>
      </x:c>
      <x:c r="F235" s="79" t="str">
        <x:v>EDIBLE</x:v>
      </x:c>
      <x:c r="G235" s="79" t="str">
        <x:v>canonical_group_row</x:v>
      </x:c>
      <x:c r="H235" s="79" t="str">
        <x:v>دسته از «نیاز به بررسی» به «ادویه» اصلاح شد</x:v>
      </x:c>
    </x:row>
    <x:row r="236">
      <x:c r="A236" s="79" t="n">
        <x:v>368</x:v>
      </x:c>
      <x:c r="B236" s="79" t="str">
        <x:v>لیمو ببری</x:v>
      </x:c>
      <x:c r="C236" s="79" t="str">
        <x:v>نیاز به بررسی</x:v>
      </x:c>
      <x:c r="D236" s="79" t="str">
        <x:v>ادویه</x:v>
      </x:c>
      <x:c r="E236" s="79" t="str">
        <x:v>REVIEW</x:v>
      </x:c>
      <x:c r="F236" s="79" t="str">
        <x:v>EDIBLE</x:v>
      </x:c>
      <x:c r="G236" s="79" t="str">
        <x:v>canonical_group_row</x:v>
      </x:c>
      <x:c r="H236" s="79" t="str">
        <x:v>دسته از «نیاز به بررسی» به «ادویه» اصلاح شد</x:v>
      </x:c>
    </x:row>
    <x:row r="237">
      <x:c r="A237" s="79" t="n">
        <x:v>370</x:v>
      </x:c>
      <x:c r="B237" s="79" t="str">
        <x:v>مصفی خون</x:v>
      </x:c>
      <x:c r="C237" s="79" t="str">
        <x:v>نیاز به بررسی</x:v>
      </x:c>
      <x:c r="D237" s="79" t="str">
        <x:v>گیاهان دارویی</x:v>
      </x:c>
      <x:c r="E237" s="79" t="str">
        <x:v>REVIEW</x:v>
      </x:c>
      <x:c r="F237" s="79" t="str">
        <x:v>REVIEW</x:v>
      </x:c>
      <x:c r="G237" s="79" t="str">
        <x:v>canonical_group_row</x:v>
      </x:c>
      <x:c r="H237" s="79" t="str">
        <x:v>دسته با اطمینان متوسط اصلاح شد؛ در صورت حساسیت دستی بازبینی شود | نوع مصرف نیازمند بررسی دستی | یک یا چند قیمت نامشخص است</x:v>
      </x:c>
    </x:row>
    <x:row r="238">
      <x:c r="A238" s="79" t="n">
        <x:v>373</x:v>
      </x:c>
      <x:c r="B238" s="79" t="str">
        <x:v>نارگیل سریلانکا چرب</x:v>
      </x:c>
      <x:c r="C238" s="79" t="str">
        <x:v>نیاز به بررسی</x:v>
      </x:c>
      <x:c r="D238" s="79" t="str">
        <x:v>خشکبار و آجیل</x:v>
      </x:c>
      <x:c r="E238" s="79" t="str">
        <x:v>REVIEW</x:v>
      </x:c>
      <x:c r="F238" s="79" t="str">
        <x:v>EDIBLE</x:v>
      </x:c>
      <x:c r="G238" s="79" t="str">
        <x:v>canonical_group_row</x:v>
      </x:c>
      <x:c r="H238" s="79" t="str">
        <x:v>دسته از «نیاز به بررسی» به «خشکبار و آجیل» اصلاح شد</x:v>
      </x:c>
    </x:row>
    <x:row r="239">
      <x:c r="A239" s="79" t="n">
        <x:v>374</x:v>
      </x:c>
      <x:c r="B239" s="79" t="str">
        <x:v>نشاسته ذرت</x:v>
      </x:c>
      <x:c r="C239" s="79" t="str">
        <x:v>آرد و قنادی</x:v>
      </x:c>
      <x:c r="D239" s="79" t="str">
        <x:v>آرد و قنادی</x:v>
      </x:c>
      <x:c r="E239" s="79" t="str">
        <x:v>REVIEW</x:v>
      </x:c>
      <x:c r="F239" s="79" t="str">
        <x:v>EDIBLE</x:v>
      </x:c>
      <x:c r="G239" s="79" t="str">
        <x:v>canonical_group_row</x:v>
      </x:c>
      <x:c r="H239" s="79" t="str">
        <x:v>OK</x:v>
      </x:c>
    </x:row>
    <x:row r="240">
      <x:c r="A240" s="79" t="n">
        <x:v>375</x:v>
      </x:c>
      <x:c r="B240" s="79" t="str">
        <x:v>نشاسته گندم گل</x:v>
      </x:c>
      <x:c r="C240" s="79" t="str">
        <x:v>آرد و قنادی</x:v>
      </x:c>
      <x:c r="D240" s="79" t="str">
        <x:v>آرد و قنادی</x:v>
      </x:c>
      <x:c r="E240" s="79" t="str">
        <x:v>REVIEW</x:v>
      </x:c>
      <x:c r="F240" s="79" t="str">
        <x:v>EDIBLE</x:v>
      </x:c>
      <x:c r="G240" s="79" t="str">
        <x:v>canonical_group_row</x:v>
      </x:c>
      <x:c r="H240" s="79" t="str">
        <x:v>OK</x:v>
      </x:c>
    </x:row>
    <x:row r="241">
      <x:c r="A241" s="79" t="n">
        <x:v>380</x:v>
      </x:c>
      <x:c r="B241" s="79" t="str">
        <x:v>نمک صورتی</x:v>
      </x:c>
      <x:c r="C241" s="79" t="str">
        <x:v>ادویه</x:v>
      </x:c>
      <x:c r="D241" s="79" t="str">
        <x:v>ادویه</x:v>
      </x:c>
      <x:c r="E241" s="79" t="str">
        <x:v>EDIBLE</x:v>
      </x:c>
      <x:c r="F241" s="79" t="str">
        <x:v>EDIBLE</x:v>
      </x:c>
      <x:c r="G241" s="79" t="str">
        <x:v>canonical_group_row</x:v>
      </x:c>
      <x:c r="H241" s="79" t="str">
        <x:v>MERGED</x:v>
      </x:c>
    </x:row>
    <x:row r="242">
      <x:c r="A242" s="79" t="n">
        <x:v>381</x:v>
      </x:c>
      <x:c r="B242" s="79" t="str">
        <x:v>نمک صورتی سنگ</x:v>
      </x:c>
      <x:c r="C242" s="79" t="str">
        <x:v>ادویه</x:v>
      </x:c>
      <x:c r="D242" s="79" t="str">
        <x:v>ادویه</x:v>
      </x:c>
      <x:c r="E242" s="79" t="str">
        <x:v>EDIBLE</x:v>
      </x:c>
      <x:c r="F242" s="79" t="str">
        <x:v>EDIBLE</x:v>
      </x:c>
      <x:c r="G242" s="79" t="str">
        <x:v>merge_into_canonical_group</x:v>
      </x:c>
      <x:c r="H242" s="79" t="str">
        <x:v>MERGED</x:v>
      </x:c>
    </x:row>
    <x:row r="243">
      <x:c r="A243" s="79" t="n">
        <x:v>384</x:v>
      </x:c>
      <x:c r="B243" s="79" t="str">
        <x:v>نوتلا</x:v>
      </x:c>
      <x:c r="C243" s="79" t="str">
        <x:v>قنادی و شیرینی</x:v>
      </x:c>
      <x:c r="D243" s="79" t="str">
        <x:v>قنادی و شیرینی</x:v>
      </x:c>
      <x:c r="E243" s="79" t="str">
        <x:v>REVIEW</x:v>
      </x:c>
      <x:c r="F243" s="79" t="str">
        <x:v>EDIBLE</x:v>
      </x:c>
      <x:c r="G243" s="79" t="str">
        <x:v>canonical_group_row</x:v>
      </x:c>
      <x:c r="H243" s="79" t="str">
        <x:v>یک یا چند قیمت نامشخص است</x:v>
      </x:c>
    </x:row>
    <x:row r="244">
      <x:c r="A244" s="79" t="n">
        <x:v>385</x:v>
      </x:c>
      <x:c r="B244" s="79" t="str">
        <x:v>نوتلا ناب سرا</x:v>
      </x:c>
      <x:c r="C244" s="79" t="str">
        <x:v>قنادی و شیرینی</x:v>
      </x:c>
      <x:c r="D244" s="79" t="str">
        <x:v>قنادی و شیرینی</x:v>
      </x:c>
      <x:c r="E244" s="79" t="str">
        <x:v>REVIEW</x:v>
      </x:c>
      <x:c r="F244" s="79" t="str">
        <x:v>EDIBLE</x:v>
      </x:c>
      <x:c r="G244" s="79" t="str">
        <x:v>merge_into_canonical_group</x:v>
      </x:c>
      <x:c r="H244" s="79" t="str">
        <x:v>MERGED</x:v>
      </x:c>
    </x:row>
    <x:row r="245">
      <x:c r="A245" s="79" t="n">
        <x:v>386</x:v>
      </x:c>
      <x:c r="B245" s="79" t="str">
        <x:v>نوره</x:v>
      </x:c>
      <x:c r="C245" s="79" t="str">
        <x:v>نیاز به بررسی</x:v>
      </x:c>
      <x:c r="D245" s="79" t="str">
        <x:v>گیاهان دارویی</x:v>
      </x:c>
      <x:c r="E245" s="79" t="str">
        <x:v>REVIEW</x:v>
      </x:c>
      <x:c r="F245" s="79" t="str">
        <x:v>TOPICAL</x:v>
      </x:c>
      <x:c r="G245" s="79" t="str">
        <x:v>canonical_group_row</x:v>
      </x:c>
      <x:c r="H245" s="79" t="str">
        <x:v>دسته قبلاً خالی/نیازمند بررسی بود؛ بر اساس ماهیت موضعی/غیرخوراکی به گیاهان دارویی منتقل شد | نوع مصرف به موضعی/غیرخوراکی اصلاح شد</x:v>
      </x:c>
    </x:row>
    <x:row r="246">
      <x:c r="A246" s="79" t="n">
        <x:v>391</x:v>
      </x:c>
      <x:c r="B246" s="79" t="str">
        <x:v>وانیل خرسی شکری</x:v>
      </x:c>
      <x:c r="C246" s="79" t="str">
        <x:v>قنادی و شیرینی</x:v>
      </x:c>
      <x:c r="D246" s="79" t="str">
        <x:v>قنادی و شیرینی</x:v>
      </x:c>
      <x:c r="E246" s="79" t="str">
        <x:v>REVIEW</x:v>
      </x:c>
      <x:c r="F246" s="79" t="str">
        <x:v>EDIBLE</x:v>
      </x:c>
      <x:c r="G246" s="79" t="str">
        <x:v>canonical_group_row</x:v>
      </x:c>
      <x:c r="H246" s="79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55d8118f5e39498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121" t="str">
        <x:v>شاخص</x:v>
      </x:c>
      <x:c r="B1" s="121" t="str">
        <x:v>مقدار</x:v>
      </x:c>
    </x:row>
    <x:row r="2">
      <x:c r="A2" t="str">
        <x:v>تعداد ردیف اولیه</x:v>
      </x:c>
      <x:c r="B2" t="n">
        <x:v>388</x:v>
      </x:c>
    </x:row>
    <x:row r="3">
      <x:c r="A3" t="str">
        <x:v>تعداد محصول نهایی بعد از ادغام</x:v>
      </x:c>
      <x:c r="B3" t="n">
        <x:v>359</x:v>
      </x:c>
    </x:row>
    <x:row r="4">
      <x:c r="A4" t="str">
        <x:v>تعداد گروه‌های ادغام‌شده</x:v>
      </x:c>
      <x:c r="B4" t="n">
        <x:v>23</x:v>
      </x:c>
    </x:row>
    <x:row r="5">
      <x:c r="A5" t="str">
        <x:v>ردیف‌هایی که داخل گروه ادغام شدند</x:v>
      </x:c>
      <x:c r="B5" t="n">
        <x:v>29</x:v>
      </x:c>
    </x:row>
    <x:row r="6">
      <x:c r="A6" t="str">
        <x:v>ردیف‌های skip / عدم ایمپورت</x:v>
      </x:c>
      <x:c r="B6" t="n">
        <x:v>13</x:v>
      </x:c>
    </x:row>
    <x:row r="7">
      <x:c r="A7" t="str">
        <x:v>اصلاح دسته/نوع مصرف/قیمت نیازمند بررسی</x:v>
      </x:c>
      <x:c r="B7" t="n">
        <x:v>245</x:v>
      </x:c>
    </x:row>
    <x:row r="8">
      <x:c r="A8" t="str">
        <x:v>تعداد محصول نهایی قابل import/update</x:v>
      </x:c>
      <x:c r="B8" t="n">
        <x:v>346</x:v>
      </x:c>
    </x:row>
  </x:sheetData>
  <x:pageMargins left="0.7" right="0.7" top="0.75" bottom="0.75" header="0.3" footer="0.3"/>
</x:worksheet>
</file>